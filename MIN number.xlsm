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\Desktop\"/>
    </mc:Choice>
  </mc:AlternateContent>
  <xr:revisionPtr revIDLastSave="0" documentId="13_ncr:1_{75EBD50B-AB74-4CB5-A577-E2D678F7A9C0}" xr6:coauthVersionLast="36" xr6:coauthVersionMax="36" xr10:uidLastSave="{00000000-0000-0000-0000-000000000000}"/>
  <workbookProtection workbookAlgorithmName="SHA-512" workbookHashValue="sz6pF2DITLkTnVQ/gnJvYrx9CGEE3aCO8f015GS4y3yeLm8oeq2wE4oQm32LXMzPY+mxfaUP2y7FjHaEjU/7qQ==" workbookSaltValue="QuI6KZeK+tmTocTDnkiBLw==" workbookSpinCount="100000" lockStructure="1"/>
  <bookViews>
    <workbookView xWindow="0" yWindow="0" windowWidth="28800" windowHeight="11625" xr2:uid="{18A0A42A-B86F-42D0-A052-6A3C2E081BF0}"/>
  </bookViews>
  <sheets>
    <sheet name="Sheet1" sheetId="1" r:id="rId1"/>
    <sheet name="Already Used Sequence Numbers" sheetId="3" r:id="rId2"/>
    <sheet name="NumbersUsed" sheetId="2" state="hidden" r:id="rId3"/>
  </sheets>
  <functionGroups builtInGroupCount="19"/>
  <definedNames>
    <definedName name="CheckDigit">Sheet1!$E$14</definedName>
    <definedName name="CompleteMIN">Sheet1!$E$16</definedName>
    <definedName name="DigitToUse">NumbersUsed!$Y$5</definedName>
    <definedName name="OrgID">Sheet1!$E$12</definedName>
    <definedName name="SeqNum">Sheet1!$E$13</definedName>
    <definedName name="SqlNum1">NumbersUsed!$O$1</definedName>
    <definedName name="SqlNum10">NumbersUsed!$X$1</definedName>
    <definedName name="SqlNum2">NumbersUsed!$P$1</definedName>
    <definedName name="SqlNum3">NumbersUsed!$Q$1</definedName>
    <definedName name="SqlNum4">NumbersUsed!$R$1</definedName>
    <definedName name="SqlNum5">NumbersUsed!$S$1</definedName>
    <definedName name="SqlNum6">NumbersUsed!$T$1</definedName>
    <definedName name="SqlNum7">NumbersUsed!$U$1</definedName>
    <definedName name="SqlNum8">NumbersUsed!$V$1</definedName>
    <definedName name="SqlNum9">NumbersUsed!$W$1</definedName>
  </definedNames>
  <calcPr calcId="191029" iterateDelta="5.0000000000000001E-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3" i="2" l="1"/>
  <c r="R2" i="2" l="1"/>
  <c r="S2" i="2"/>
  <c r="T2" i="2"/>
  <c r="U2" i="2"/>
  <c r="V2" i="2"/>
  <c r="W2" i="2"/>
  <c r="X2" i="2"/>
  <c r="Q2" i="2"/>
  <c r="P2" i="2"/>
  <c r="O2" i="2"/>
  <c r="H2" i="2" l="1"/>
  <c r="H3" i="2" s="1"/>
  <c r="X3" i="2"/>
  <c r="W3" i="2"/>
  <c r="V3" i="2"/>
  <c r="U3" i="2"/>
  <c r="T3" i="2"/>
  <c r="S3" i="2"/>
  <c r="R3" i="2"/>
  <c r="P3" i="2"/>
  <c r="Q3" i="2"/>
  <c r="O3" i="2"/>
  <c r="N2" i="2"/>
  <c r="N3" i="2" s="1"/>
  <c r="M2" i="2"/>
  <c r="M3" i="2" s="1"/>
  <c r="L2" i="2"/>
  <c r="L3" i="2" s="1"/>
  <c r="K2" i="2"/>
  <c r="K3" i="2" s="1"/>
  <c r="J2" i="2"/>
  <c r="J3" i="2" s="1"/>
  <c r="I2" i="2"/>
  <c r="I3" i="2" l="1"/>
  <c r="Y3" i="2" s="1"/>
  <c r="Y4" i="2" s="1"/>
  <c r="Y5" i="2" s="1"/>
</calcChain>
</file>

<file path=xl/sharedStrings.xml><?xml version="1.0" encoding="utf-8"?>
<sst xmlns="http://schemas.openxmlformats.org/spreadsheetml/2006/main" count="10" uniqueCount="10">
  <si>
    <t>Already Used Numbers</t>
  </si>
  <si>
    <t>Complete MIN:</t>
  </si>
  <si>
    <t>1015170</t>
  </si>
  <si>
    <t>Stronghill Org ID:</t>
  </si>
  <si>
    <t>Sequence Number:</t>
  </si>
  <si>
    <t>Check Digit:</t>
  </si>
  <si>
    <t>Match?</t>
  </si>
  <si>
    <t>Numbers Already Used</t>
  </si>
  <si>
    <t>7055475115</t>
  </si>
  <si>
    <t>1015170-7055475115-1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</si>
</sst>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onsolas"/>
      <family val="3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49" fontId="0" fillId="0" borderId="0" xfId="0" applyNumberFormat="1"/>
    <xf numFmtId="0" fontId="0" fillId="0" borderId="0" xfId="0" applyAlignment="1">
      <alignment vertical="center"/>
    </xf>
    <xf numFmtId="0" fontId="0" fillId="0" borderId="0" xfId="0" applyNumberFormat="1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Sequence Number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85725</xdr:colOff>
      <xdr:row>1</xdr:row>
      <xdr:rowOff>76200</xdr:rowOff>
    </xdr:from>
    <xdr:to>
      <xdr:col>4</xdr:col>
      <xdr:colOff>1696561</xdr:colOff>
      <xdr:row>10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5450" y="266700"/>
          <a:ext cx="3115786" cy="1638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7</xdr:col>
          <xdr:colOff>200025</xdr:colOff>
          <xdr:row>9</xdr:row>
          <xdr:rowOff>28575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9F9D0-486D-44A0-97EF-8380DB9293AB}">
  <sheetPr codeName="Sheet1"/>
  <dimension ref="A2:E16"/>
  <sheetViews>
    <sheetView showGridLines="0" tabSelected="1" workbookViewId="0">
      <selection activeCell="E16" sqref="E16"/>
    </sheetView>
  </sheetViews>
  <sheetFormatPr defaultRowHeight="15" x14ac:dyDescent="0.25"/>
  <cols>
    <col min="1" max="1" width="2.140625" customWidth="1"/>
    <col min="2" max="2" width="12.85546875" customWidth="1"/>
    <col min="4" max="4" width="22.5703125" bestFit="1" customWidth="1"/>
    <col min="5" max="5" width="29.28515625" bestFit="1" customWidth="1"/>
    <col min="6" max="6" width="10.85546875" bestFit="1" customWidth="1"/>
  </cols>
  <sheetData>
    <row r="2" spans="1:5" x14ac:dyDescent="0.25">
      <c r="A2" s="1"/>
    </row>
    <row r="12" spans="1:5" ht="15.75" x14ac:dyDescent="0.25">
      <c r="D12" s="6" t="s">
        <v>3</v>
      </c>
      <c r="E12" s="2" t="s">
        <v>2</v>
      </c>
    </row>
    <row r="13" spans="1:5" ht="15.75" x14ac:dyDescent="0.25">
      <c r="D13" s="6" t="s">
        <v>4</v>
      </c>
      <c r="E13" s="2" t="s">
        <v>8</v>
      </c>
    </row>
    <row r="14" spans="1:5" ht="15.75" x14ac:dyDescent="0.25">
      <c r="D14" s="6" t="s">
        <v>5</v>
      </c>
      <c r="E14" s="7">
        <v>1</v>
      </c>
    </row>
    <row r="15" spans="1:5" ht="15.75" x14ac:dyDescent="0.25">
      <c r="D15" s="6"/>
    </row>
    <row r="16" spans="1:5" ht="18.75" x14ac:dyDescent="0.3">
      <c r="D16" s="6" t="s">
        <v>1</v>
      </c>
      <c r="E16" s="5" t="s">
        <v>9</v>
      </c>
    </row>
  </sheetData>
  <sheetProtection algorithmName="SHA-512" hashValue="H1Pu+Wa1ZstaZMyf1KM5fjKjRLApC/BrIut3/LtQKkXxmaMnvn+n5en5ZDqe5wXaSBSYoBmebjvqC8RAPGzyDA==" saltValue="kjsN+8XbJmZlD5Evb9njxA==" spinCount="100000" sheet="1" objects="1" scenarios="1" selectLockedCells="1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RandomNumber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1FBC1-DF46-462D-896A-5692AD9928E2}">
  <sheetPr codeName="Sheet3"/>
  <dimension ref="A1:A2"/>
  <sheetViews>
    <sheetView workbookViewId="0"/>
  </sheetViews>
  <sheetFormatPr defaultRowHeight="15" x14ac:dyDescent="0.25"/>
  <cols>
    <col min="1" max="1" width="21.7109375" bestFit="1" customWidth="1"/>
  </cols>
  <sheetData>
    <row r="1" spans="1:1" x14ac:dyDescent="0.25">
      <c r="A1" t="s">
        <v>7</v>
      </c>
    </row>
    <row r="2" spans="1:1" x14ac:dyDescent="0.25">
      <c r="A2">
        <v>7055475115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415AA-662C-466C-A0D3-B684BB229B22}">
  <sheetPr codeName="Sheet2"/>
  <dimension ref="A1:Y9"/>
  <sheetViews>
    <sheetView workbookViewId="0">
      <selection activeCell="B1" sqref="B1"/>
    </sheetView>
  </sheetViews>
  <sheetFormatPr defaultRowHeight="15" x14ac:dyDescent="0.25"/>
  <cols>
    <col min="1" max="1" width="21.7109375" bestFit="1" customWidth="1"/>
    <col min="4" max="4" width="11" bestFit="1" customWidth="1"/>
    <col min="8" max="8" width="11" bestFit="1" customWidth="1"/>
    <col min="16" max="16" width="11" bestFit="1" customWidth="1"/>
  </cols>
  <sheetData>
    <row r="1" spans="1:25" x14ac:dyDescent="0.25">
      <c r="A1" t="s">
        <v>0</v>
      </c>
      <c r="D1">
        <v>7055475115</v>
      </c>
      <c r="E1" t="b">
        <v>1</v>
      </c>
      <c r="H1">
        <v>1</v>
      </c>
      <c r="I1">
        <v>0</v>
      </c>
      <c r="J1">
        <v>1</v>
      </c>
      <c r="K1">
        <v>5</v>
      </c>
      <c r="L1">
        <v>1</v>
      </c>
      <c r="M1">
        <v>7</v>
      </c>
      <c r="N1">
        <v>0</v>
      </c>
      <c r="O1">
        <v>7</v>
      </c>
      <c r="P1" s="3">
        <v>0</v>
      </c>
      <c r="Q1">
        <v>5</v>
      </c>
      <c r="R1">
        <v>5</v>
      </c>
      <c r="S1">
        <v>4</v>
      </c>
      <c r="T1">
        <v>7</v>
      </c>
      <c r="U1">
        <v>5</v>
      </c>
      <c r="V1">
        <v>1</v>
      </c>
      <c r="W1">
        <v>1</v>
      </c>
      <c r="X1">
        <v>5</v>
      </c>
    </row>
    <row r="2" spans="1:25" x14ac:dyDescent="0.25">
      <c r="A2">
        <v>7055475115</v>
      </c>
      <c r="H2">
        <f t="shared" ref="H2:N2" si="0">H1*2</f>
        <v>2</v>
      </c>
      <c r="I2">
        <f>I1*1</f>
        <v>0</v>
      </c>
      <c r="J2">
        <f t="shared" si="0"/>
        <v>2</v>
      </c>
      <c r="K2">
        <f>K1*1</f>
        <v>5</v>
      </c>
      <c r="L2">
        <f t="shared" si="0"/>
        <v>2</v>
      </c>
      <c r="M2">
        <f>M1*1</f>
        <v>7</v>
      </c>
      <c r="N2">
        <f t="shared" si="0"/>
        <v>0</v>
      </c>
      <c r="O2">
        <f>SqlNum1*1</f>
        <v>7</v>
      </c>
      <c r="P2">
        <f>SqlNum2*2</f>
        <v>0</v>
      </c>
      <c r="Q2">
        <f>SqlNum3*1</f>
        <v>5</v>
      </c>
      <c r="R2">
        <f>SqlNum4*2</f>
        <v>10</v>
      </c>
      <c r="S2">
        <f>SqlNum5*1</f>
        <v>4</v>
      </c>
      <c r="T2">
        <f>SqlNum6*2</f>
        <v>14</v>
      </c>
      <c r="U2">
        <f>SqlNum7*1</f>
        <v>5</v>
      </c>
      <c r="V2">
        <f>SqlNum8*2</f>
        <v>2</v>
      </c>
      <c r="W2">
        <f>SqlNum9*1</f>
        <v>1</v>
      </c>
      <c r="X2">
        <f>SqlNum10 * 2</f>
        <v>10</v>
      </c>
    </row>
    <row r="3" spans="1:25" x14ac:dyDescent="0.25">
      <c r="C3" t="s">
        <v>6</v>
      </c>
      <c r="D3">
        <f>MATCH(D1,A:A)</f>
        <v>2</v>
      </c>
      <c r="H3" s="4">
        <f t="shared" ref="H3:W3" si="1">IF(LEN(H2) &gt; 1, MID(H2,1,1) + MID(H2,2,1), H2)</f>
        <v>2</v>
      </c>
      <c r="I3" s="4">
        <f t="shared" si="1"/>
        <v>0</v>
      </c>
      <c r="J3" s="4">
        <f t="shared" si="1"/>
        <v>2</v>
      </c>
      <c r="K3" s="4">
        <f t="shared" si="1"/>
        <v>5</v>
      </c>
      <c r="L3" s="4">
        <f t="shared" si="1"/>
        <v>2</v>
      </c>
      <c r="M3" s="4">
        <f t="shared" si="1"/>
        <v>7</v>
      </c>
      <c r="N3" s="4">
        <f t="shared" si="1"/>
        <v>0</v>
      </c>
      <c r="O3" s="4">
        <f t="shared" si="1"/>
        <v>7</v>
      </c>
      <c r="P3" s="4">
        <f t="shared" si="1"/>
        <v>0</v>
      </c>
      <c r="Q3" s="4">
        <f t="shared" si="1"/>
        <v>5</v>
      </c>
      <c r="R3" s="4">
        <f t="shared" si="1"/>
        <v>1</v>
      </c>
      <c r="S3" s="4">
        <f t="shared" si="1"/>
        <v>4</v>
      </c>
      <c r="T3" s="4">
        <f t="shared" si="1"/>
        <v>5</v>
      </c>
      <c r="U3" s="4">
        <f t="shared" si="1"/>
        <v>5</v>
      </c>
      <c r="V3" s="4">
        <f t="shared" si="1"/>
        <v>2</v>
      </c>
      <c r="W3" s="4">
        <f t="shared" si="1"/>
        <v>1</v>
      </c>
      <c r="X3" s="4">
        <f>IF(LEN(X2) &gt; 1, MID(X2,1,1) + MID(X2,2,1), X2)</f>
        <v>1</v>
      </c>
      <c r="Y3">
        <f>SUM(H3:X3)</f>
        <v>49</v>
      </c>
    </row>
    <row r="4" spans="1:25" x14ac:dyDescent="0.25">
      <c r="P4" s="3"/>
      <c r="Y4">
        <f>Y3*9</f>
        <v>441</v>
      </c>
    </row>
    <row r="5" spans="1:25" x14ac:dyDescent="0.25">
      <c r="P5" s="3"/>
      <c r="Y5" t="str">
        <f>MID(Y4,LEN(Y4),1)</f>
        <v>1</v>
      </c>
    </row>
    <row r="6" spans="1:25" x14ac:dyDescent="0.25">
      <c r="P6" s="3"/>
    </row>
    <row r="8" spans="1:25" x14ac:dyDescent="0.25">
      <c r="P8" s="3"/>
    </row>
    <row r="9" spans="1:25" x14ac:dyDescent="0.25">
      <c r="P9" s="3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generateRandomNumber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7</xdr:col>
                    <xdr:colOff>200025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Sheet1</vt:lpstr>
      <vt:lpstr>Already Used Sequence Numbers</vt:lpstr>
      <vt:lpstr>NumbersUsed</vt:lpstr>
      <vt:lpstr>CheckDigit</vt:lpstr>
      <vt:lpstr>CompleteMIN</vt:lpstr>
      <vt:lpstr>DigitToUse</vt:lpstr>
      <vt:lpstr>OrgID</vt:lpstr>
      <vt:lpstr>SeqNum</vt:lpstr>
      <vt:lpstr>SqlNum1</vt:lpstr>
      <vt:lpstr>SqlNum10</vt:lpstr>
      <vt:lpstr>SqlNum2</vt:lpstr>
      <vt:lpstr>SqlNum3</vt:lpstr>
      <vt:lpstr>SqlNum4</vt:lpstr>
      <vt:lpstr>SqlNum5</vt:lpstr>
      <vt:lpstr>SqlNum6</vt:lpstr>
      <vt:lpstr>SqlNum7</vt:lpstr>
      <vt:lpstr>SqlNum8</vt:lpstr>
      <vt:lpstr>SqlNum9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Morris</dc:creator>
  <cp:lastModifiedBy>Ben Morris</cp:lastModifiedBy>
  <dcterms:created xsi:type="dcterms:W3CDTF">2019-07-01T18:52:12Z</dcterms:created>
  <dcterms:modified xsi:type="dcterms:W3CDTF">2019-07-02T18:16:02Z</dcterms:modified>
</cp:coreProperties>
</file>