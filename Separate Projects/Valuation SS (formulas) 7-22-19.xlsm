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Zeus\FR$\ben\Documents\GitHub\work-files\"/>
    </mc:Choice>
  </mc:AlternateContent>
  <xr:revisionPtr revIDLastSave="0" documentId="13_ncr:1_{21CDF2C5-2A62-4EEA-A794-E2D35B0BB18A}" xr6:coauthVersionLast="41" xr6:coauthVersionMax="41" xr10:uidLastSave="{00000000-0000-0000-0000-000000000000}"/>
  <bookViews>
    <workbookView xWindow="-120" yWindow="-120" windowWidth="29040" windowHeight="15840" xr2:uid="{794DA476-FEC4-43C0-9EEC-130C8D9F58EE}"/>
  </bookViews>
  <sheets>
    <sheet name="Sheet1" sheetId="1" r:id="rId1"/>
    <sheet name="Sheet2" sheetId="2" r:id="rId2"/>
  </sheets>
  <definedNames>
    <definedName name="Comp1Condition">Sheet1!$D$10</definedName>
    <definedName name="Comp1ConditionAdj">Sheet1!$D$11</definedName>
    <definedName name="Comp2Condition">Sheet1!$E$10</definedName>
    <definedName name="Comp2ConditionAdj">Sheet1!$E$11</definedName>
    <definedName name="Comp3Condition">Sheet1!$F$10</definedName>
    <definedName name="Comp3ConditionAdj">Sheet1!$F$11</definedName>
    <definedName name="Condition">Sheet1!$C$10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5" i="1" l="1"/>
  <c r="E15" i="1"/>
  <c r="D15" i="1"/>
  <c r="R4" i="1" l="1"/>
  <c r="R2" i="1"/>
  <c r="R3" i="1"/>
  <c r="R5" i="1" l="1"/>
  <c r="F5" i="1"/>
  <c r="E5" i="1"/>
  <c r="F7" i="1" l="1"/>
  <c r="E7" i="1"/>
  <c r="D5" i="1"/>
  <c r="D7" i="1" l="1"/>
  <c r="C17" i="1" s="1"/>
</calcChain>
</file>

<file path=xl/sharedStrings.xml><?xml version="1.0" encoding="utf-8"?>
<sst xmlns="http://schemas.openxmlformats.org/spreadsheetml/2006/main" count="43" uniqueCount="33">
  <si>
    <t>Subject info</t>
  </si>
  <si>
    <t xml:space="preserve">Proj Sales Price </t>
  </si>
  <si>
    <t xml:space="preserve">List Price </t>
  </si>
  <si>
    <t>LP-5%</t>
  </si>
  <si>
    <t>Living Area:</t>
  </si>
  <si>
    <t>Price/sq. ft:</t>
  </si>
  <si>
    <t xml:space="preserve"> Yr Built:</t>
  </si>
  <si>
    <t>Condition:</t>
  </si>
  <si>
    <t>Condition adj:</t>
  </si>
  <si>
    <t>Adj to GLA:</t>
  </si>
  <si>
    <t>Adjusted SP:</t>
  </si>
  <si>
    <t>PSP/sf</t>
  </si>
  <si>
    <t>Poor, Fair, Avg, Good</t>
  </si>
  <si>
    <t>subj is sup +, if inf - (from proj sp)</t>
  </si>
  <si>
    <t>average price x sf difference in variances of 50 sf or more.</t>
  </si>
  <si>
    <t>#</t>
  </si>
  <si>
    <t>sum or sub of line 4, 10,12</t>
  </si>
  <si>
    <t>Percentage to substract</t>
  </si>
  <si>
    <t>%</t>
  </si>
  <si>
    <t>Poor</t>
  </si>
  <si>
    <t>Fair</t>
  </si>
  <si>
    <t>Avg</t>
  </si>
  <si>
    <t>Good</t>
  </si>
  <si>
    <t>Lot size:</t>
  </si>
  <si>
    <t>Sq ft variance</t>
  </si>
  <si>
    <t>Subject Info</t>
  </si>
  <si>
    <t>Comp 1</t>
  </si>
  <si>
    <t>Comp 2</t>
  </si>
  <si>
    <t>Comp 3</t>
  </si>
  <si>
    <t>Other Price Adjustment:</t>
  </si>
  <si>
    <t>Misc:</t>
  </si>
  <si>
    <t>Sales Date</t>
  </si>
  <si>
    <t>Average price per sq. ft.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</si>
</sst>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Protection="1"/>
    <xf numFmtId="0" fontId="0" fillId="0" borderId="1" xfId="0" applyBorder="1" applyProtection="1"/>
    <xf numFmtId="164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Protection="1"/>
    <xf numFmtId="0" fontId="0" fillId="2" borderId="1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1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0" fontId="0" fillId="0" borderId="1" xfId="0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4" fontId="0" fillId="3" borderId="5" xfId="0" applyNumberFormat="1" applyFill="1" applyBorder="1" applyAlignment="1" applyProtection="1">
      <alignment horizontal="center"/>
      <protection locked="0"/>
    </xf>
    <xf numFmtId="164" fontId="0" fillId="3" borderId="5" xfId="0" applyNumberForma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164" fontId="0" fillId="3" borderId="6" xfId="0" applyNumberFormat="1" applyFill="1" applyBorder="1" applyAlignment="1" applyProtection="1">
      <alignment horizontal="center"/>
    </xf>
    <xf numFmtId="0" fontId="0" fillId="0" borderId="0" xfId="0" applyBorder="1" applyProtection="1"/>
    <xf numFmtId="165" fontId="0" fillId="3" borderId="0" xfId="0" applyNumberFormat="1" applyFill="1" applyBorder="1" applyProtection="1">
      <protection locked="0"/>
    </xf>
    <xf numFmtId="164" fontId="0" fillId="3" borderId="0" xfId="0" applyNumberFormat="1" applyFill="1" applyBorder="1" applyAlignment="1" applyProtection="1">
      <alignment horizontal="center"/>
      <protection locked="0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AD88-EED9-4586-ACE7-D8FC8A548E0D}">
  <sheetPr codeName="Sheet1"/>
  <dimension ref="B1:R35"/>
  <sheetViews>
    <sheetView showGridLines="0" tabSelected="1" workbookViewId="0">
      <selection activeCell="B2" sqref="B2"/>
    </sheetView>
  </sheetViews>
  <sheetFormatPr defaultRowHeight="15" x14ac:dyDescent="0.25"/>
  <cols>
    <col min="1" max="1" width="2.140625" style="1" customWidth="1"/>
    <col min="2" max="2" width="25.7109375" style="1" customWidth="1"/>
    <col min="3" max="3" width="17.42578125" style="1" customWidth="1"/>
    <col min="4" max="6" width="13.5703125" style="1" customWidth="1"/>
    <col min="7" max="7" width="2.140625" style="1" customWidth="1"/>
    <col min="8" max="8" width="22.140625" style="1" bestFit="1" customWidth="1"/>
    <col min="9" max="9" width="4.28515625" style="1" customWidth="1"/>
    <col min="10" max="10" width="2" style="1" bestFit="1" customWidth="1"/>
    <col min="11" max="11" width="11.28515625" style="1" customWidth="1"/>
    <col min="12" max="17" width="9.140625" style="1" customWidth="1"/>
    <col min="18" max="18" width="3.42578125" style="1" hidden="1" customWidth="1"/>
    <col min="19" max="19" width="11.5703125" style="1" bestFit="1" customWidth="1"/>
    <col min="20" max="20" width="10.5703125" style="1" bestFit="1" customWidth="1"/>
    <col min="21" max="16384" width="9.140625" style="1"/>
  </cols>
  <sheetData>
    <row r="1" spans="2:18" ht="15.75" thickBot="1" x14ac:dyDescent="0.3">
      <c r="R1" s="1" t="s">
        <v>24</v>
      </c>
    </row>
    <row r="2" spans="2:18" x14ac:dyDescent="0.25">
      <c r="B2" s="11" t="s">
        <v>0</v>
      </c>
      <c r="C2" s="5" t="s">
        <v>25</v>
      </c>
      <c r="D2" s="25" t="s">
        <v>26</v>
      </c>
      <c r="E2" s="25" t="s">
        <v>27</v>
      </c>
      <c r="F2" s="25" t="s">
        <v>28</v>
      </c>
      <c r="G2" s="19"/>
      <c r="H2" s="1" t="s">
        <v>17</v>
      </c>
      <c r="I2" s="7">
        <v>5</v>
      </c>
      <c r="J2" s="1" t="s">
        <v>18</v>
      </c>
      <c r="R2" s="1">
        <f>ABS(C6-D6)</f>
        <v>0</v>
      </c>
    </row>
    <row r="3" spans="2:18" x14ac:dyDescent="0.25">
      <c r="B3" s="11" t="s">
        <v>31</v>
      </c>
      <c r="C3" s="12"/>
      <c r="D3" s="14"/>
      <c r="E3" s="14"/>
      <c r="F3" s="14"/>
      <c r="G3" s="20"/>
      <c r="R3" s="1">
        <f>ABS(C6-E6)</f>
        <v>0</v>
      </c>
    </row>
    <row r="4" spans="2:18" x14ac:dyDescent="0.25">
      <c r="B4" s="11" t="s">
        <v>2</v>
      </c>
      <c r="C4" s="13"/>
      <c r="D4" s="15"/>
      <c r="E4" s="15"/>
      <c r="F4" s="15"/>
      <c r="G4" s="21"/>
      <c r="R4" s="1">
        <f>ABS(C6-F6)</f>
        <v>0</v>
      </c>
    </row>
    <row r="5" spans="2:18" x14ac:dyDescent="0.25">
      <c r="B5" s="11" t="s">
        <v>1</v>
      </c>
      <c r="C5" s="13"/>
      <c r="D5" s="16">
        <f>D4*(100-I2)*0.01</f>
        <v>0</v>
      </c>
      <c r="E5" s="16">
        <f>E4*(100-I2)*0.01</f>
        <v>0</v>
      </c>
      <c r="F5" s="16">
        <f>F4*(100-I2)*0.01</f>
        <v>0</v>
      </c>
      <c r="G5" s="22"/>
      <c r="R5" s="1" t="e">
        <f>ABS(C6-#REF!)</f>
        <v>#REF!</v>
      </c>
    </row>
    <row r="6" spans="2:18" x14ac:dyDescent="0.25">
      <c r="B6" s="11" t="s">
        <v>4</v>
      </c>
      <c r="C6" s="13"/>
      <c r="D6" s="17"/>
      <c r="E6" s="17"/>
      <c r="F6" s="17"/>
      <c r="G6" s="23"/>
    </row>
    <row r="7" spans="2:18" x14ac:dyDescent="0.25">
      <c r="B7" s="11" t="s">
        <v>5</v>
      </c>
      <c r="C7" s="13"/>
      <c r="D7" s="16">
        <f>IFERROR(D5/D6,0)</f>
        <v>0</v>
      </c>
      <c r="E7" s="16">
        <f>IFERROR(E5/E6,0)</f>
        <v>0</v>
      </c>
      <c r="F7" s="16">
        <f>IFERROR(F5/F6,0)</f>
        <v>0</v>
      </c>
      <c r="G7" s="22"/>
    </row>
    <row r="8" spans="2:18" x14ac:dyDescent="0.25">
      <c r="B8" s="11" t="s">
        <v>9</v>
      </c>
      <c r="C8" s="13"/>
      <c r="D8" s="15"/>
      <c r="E8" s="15"/>
      <c r="F8" s="15"/>
      <c r="G8" s="21"/>
    </row>
    <row r="9" spans="2:18" x14ac:dyDescent="0.25">
      <c r="B9" s="11" t="s">
        <v>6</v>
      </c>
      <c r="C9" s="13"/>
      <c r="D9" s="17"/>
      <c r="E9" s="17"/>
      <c r="F9" s="17"/>
      <c r="G9" s="23"/>
      <c r="M9" s="9" t="s">
        <v>19</v>
      </c>
      <c r="N9" s="9" t="s">
        <v>20</v>
      </c>
      <c r="O9" s="10" t="s">
        <v>21</v>
      </c>
      <c r="P9" s="9" t="s">
        <v>22</v>
      </c>
    </row>
    <row r="10" spans="2:18" x14ac:dyDescent="0.25">
      <c r="B10" s="11" t="s">
        <v>7</v>
      </c>
      <c r="C10" s="13"/>
      <c r="D10" s="17"/>
      <c r="E10" s="17"/>
      <c r="F10" s="17"/>
      <c r="G10" s="23"/>
      <c r="L10" s="8" t="s">
        <v>19</v>
      </c>
      <c r="M10" s="4">
        <v>0</v>
      </c>
      <c r="N10" s="6">
        <v>5</v>
      </c>
      <c r="O10" s="6">
        <v>10</v>
      </c>
      <c r="P10" s="6">
        <v>20</v>
      </c>
    </row>
    <row r="11" spans="2:18" x14ac:dyDescent="0.25">
      <c r="B11" s="11" t="s">
        <v>8</v>
      </c>
      <c r="C11" s="13"/>
      <c r="D11" s="15"/>
      <c r="E11" s="15"/>
      <c r="F11" s="15"/>
      <c r="G11" s="21"/>
      <c r="L11" s="8" t="s">
        <v>20</v>
      </c>
      <c r="M11" s="6">
        <v>5</v>
      </c>
      <c r="N11" s="4">
        <v>0</v>
      </c>
      <c r="O11" s="6">
        <v>5</v>
      </c>
      <c r="P11" s="6">
        <v>10</v>
      </c>
    </row>
    <row r="12" spans="2:18" x14ac:dyDescent="0.25">
      <c r="B12" s="11" t="s">
        <v>23</v>
      </c>
      <c r="C12" s="13"/>
      <c r="D12" s="17"/>
      <c r="E12" s="17"/>
      <c r="F12" s="17"/>
      <c r="G12" s="23"/>
      <c r="L12" s="8" t="s">
        <v>21</v>
      </c>
      <c r="M12" s="6">
        <v>10</v>
      </c>
      <c r="N12" s="6">
        <v>5</v>
      </c>
      <c r="O12" s="4">
        <v>0</v>
      </c>
      <c r="P12" s="6">
        <v>10</v>
      </c>
    </row>
    <row r="13" spans="2:18" x14ac:dyDescent="0.25">
      <c r="B13" s="11" t="s">
        <v>30</v>
      </c>
      <c r="C13" s="13"/>
      <c r="D13" s="15"/>
      <c r="E13" s="15"/>
      <c r="F13" s="15"/>
      <c r="G13" s="21"/>
      <c r="L13" s="8" t="s">
        <v>22</v>
      </c>
      <c r="M13" s="6">
        <v>20</v>
      </c>
      <c r="N13" s="6">
        <v>10</v>
      </c>
      <c r="O13" s="6">
        <v>10</v>
      </c>
      <c r="P13" s="4">
        <v>0</v>
      </c>
    </row>
    <row r="14" spans="2:18" x14ac:dyDescent="0.25">
      <c r="B14" s="11" t="s">
        <v>29</v>
      </c>
      <c r="C14" s="13"/>
      <c r="D14" s="15"/>
      <c r="E14" s="15"/>
      <c r="F14" s="15"/>
      <c r="G14" s="21"/>
    </row>
    <row r="15" spans="2:18" ht="15.75" thickBot="1" x14ac:dyDescent="0.3">
      <c r="B15" s="11" t="s">
        <v>10</v>
      </c>
      <c r="C15" s="13"/>
      <c r="D15" s="18">
        <f>SUM(D5+D8+D11+D13+D14)</f>
        <v>0</v>
      </c>
      <c r="E15" s="18">
        <f>SUM(E5+E8+E11+E13+E14)</f>
        <v>0</v>
      </c>
      <c r="F15" s="18">
        <f>SUM(F5+F8+F11+F13+F14)</f>
        <v>0</v>
      </c>
      <c r="G15" s="22"/>
    </row>
    <row r="16" spans="2:18" x14ac:dyDescent="0.25">
      <c r="B16" s="11"/>
      <c r="C16" s="2"/>
      <c r="D16" s="24"/>
      <c r="E16" s="24"/>
      <c r="F16" s="24"/>
      <c r="G16" s="24"/>
    </row>
    <row r="17" spans="2:8" x14ac:dyDescent="0.25">
      <c r="B17" s="11" t="s">
        <v>32</v>
      </c>
      <c r="C17" s="3">
        <f>AVERAGE(D7:F7)</f>
        <v>0</v>
      </c>
      <c r="D17" s="19"/>
      <c r="E17" s="24"/>
      <c r="F17" s="24"/>
      <c r="G17" s="24"/>
    </row>
    <row r="18" spans="2:8" x14ac:dyDescent="0.25">
      <c r="C18"/>
      <c r="D18"/>
      <c r="E18"/>
      <c r="F18"/>
      <c r="G18"/>
      <c r="H18"/>
    </row>
    <row r="19" spans="2:8" x14ac:dyDescent="0.25"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</row>
    <row r="25" spans="2:8" x14ac:dyDescent="0.25">
      <c r="B25"/>
      <c r="C25"/>
      <c r="D25"/>
      <c r="E25"/>
      <c r="F25"/>
      <c r="G25"/>
    </row>
    <row r="26" spans="2:8" x14ac:dyDescent="0.25">
      <c r="B26"/>
      <c r="C26"/>
      <c r="D26"/>
      <c r="E26"/>
      <c r="F26"/>
      <c r="G26"/>
    </row>
    <row r="27" spans="2:8" x14ac:dyDescent="0.25">
      <c r="B27"/>
      <c r="C27"/>
      <c r="D27"/>
      <c r="E27"/>
      <c r="F27"/>
      <c r="G27"/>
    </row>
    <row r="28" spans="2:8" x14ac:dyDescent="0.25">
      <c r="B28"/>
      <c r="C28"/>
      <c r="D28"/>
      <c r="E28"/>
      <c r="F28"/>
      <c r="G28"/>
    </row>
    <row r="29" spans="2:8" x14ac:dyDescent="0.25">
      <c r="B29"/>
      <c r="C29"/>
      <c r="D29"/>
      <c r="E29"/>
      <c r="F29"/>
      <c r="G29"/>
    </row>
    <row r="30" spans="2:8" x14ac:dyDescent="0.25">
      <c r="B30"/>
      <c r="C30"/>
      <c r="D30"/>
      <c r="E30"/>
      <c r="F30"/>
      <c r="G30"/>
    </row>
    <row r="31" spans="2:8" x14ac:dyDescent="0.25">
      <c r="B31"/>
      <c r="C31"/>
      <c r="D31"/>
      <c r="E31"/>
      <c r="F31"/>
      <c r="G31"/>
    </row>
    <row r="32" spans="2:8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</sheetData>
  <sheetProtection algorithmName="SHA-512" hashValue="8QymzCEKANFWb8sLvsj/JGHyvNhWFC1jrOM3Vni5ByMNYESYk9QRftOh3u3O+YU9+JreHCAk+Xeo6xVu7rXVpg==" saltValue="x++XgbENi1JrNkiQC10g+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r:id="rId5">
            <anchor moveWithCells="1">
              <from>
                <xdr:col>8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C7AB45-F43A-4F31-B2D4-7E98B5C650CC}">
          <x14:formula1>
            <xm:f>Sheet2!$D$1:$D$4</xm:f>
          </x14:formula1>
          <xm:sqref>C10:G10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7150B-2AA0-4283-9649-364A22FD09D7}">
  <sheetPr codeName="Sheet2"/>
  <dimension ref="D1:K11"/>
  <sheetViews>
    <sheetView workbookViewId="0">
      <selection activeCell="H20" sqref="H20"/>
    </sheetView>
  </sheetViews>
  <sheetFormatPr defaultRowHeight="15" x14ac:dyDescent="0.25"/>
  <sheetData>
    <row r="1" spans="4:11" x14ac:dyDescent="0.25">
      <c r="D1" t="s">
        <v>19</v>
      </c>
      <c r="H1" s="1" t="s">
        <v>3</v>
      </c>
      <c r="I1" s="1" t="s">
        <v>15</v>
      </c>
      <c r="J1" s="1"/>
      <c r="K1" s="1"/>
    </row>
    <row r="2" spans="4:11" x14ac:dyDescent="0.25">
      <c r="D2" t="s">
        <v>20</v>
      </c>
      <c r="H2" s="1"/>
      <c r="I2" s="1"/>
      <c r="J2" s="1"/>
      <c r="K2" s="1"/>
    </row>
    <row r="3" spans="4:11" x14ac:dyDescent="0.25">
      <c r="D3" t="s">
        <v>21</v>
      </c>
      <c r="H3" s="1" t="s">
        <v>11</v>
      </c>
      <c r="I3" s="1"/>
      <c r="J3" s="1"/>
      <c r="K3" s="1"/>
    </row>
    <row r="4" spans="4:11" x14ac:dyDescent="0.25">
      <c r="D4" t="s">
        <v>22</v>
      </c>
      <c r="H4" s="1" t="s">
        <v>14</v>
      </c>
      <c r="I4" s="1"/>
      <c r="J4" s="1"/>
      <c r="K4" s="1"/>
    </row>
    <row r="5" spans="4:11" x14ac:dyDescent="0.25">
      <c r="H5" s="1"/>
      <c r="I5" s="1"/>
      <c r="J5" s="1"/>
      <c r="K5" s="1"/>
    </row>
    <row r="6" spans="4:11" x14ac:dyDescent="0.25">
      <c r="H6" s="1" t="s">
        <v>12</v>
      </c>
      <c r="I6" s="1"/>
      <c r="J6" s="1"/>
      <c r="K6" s="1"/>
    </row>
    <row r="7" spans="4:11" x14ac:dyDescent="0.25">
      <c r="H7" s="1" t="s">
        <v>13</v>
      </c>
      <c r="I7" s="1" t="s">
        <v>15</v>
      </c>
      <c r="J7" s="1"/>
      <c r="K7" s="1"/>
    </row>
    <row r="8" spans="4:11" x14ac:dyDescent="0.25">
      <c r="H8" s="1"/>
      <c r="I8" s="1"/>
      <c r="J8" s="1"/>
      <c r="K8" s="1"/>
    </row>
    <row r="9" spans="4:11" x14ac:dyDescent="0.25">
      <c r="H9" s="1"/>
      <c r="I9" s="1" t="s">
        <v>15</v>
      </c>
      <c r="J9" s="1"/>
      <c r="K9" s="1"/>
    </row>
    <row r="10" spans="4:11" x14ac:dyDescent="0.25">
      <c r="H10" s="1"/>
      <c r="I10" s="1"/>
      <c r="J10" s="1"/>
      <c r="K10" s="1"/>
    </row>
    <row r="11" spans="4:11" x14ac:dyDescent="0.25">
      <c r="H11" s="1" t="s">
        <v>16</v>
      </c>
      <c r="I11" s="1"/>
      <c r="J11" s="1"/>
      <c r="K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Sheet2</vt:lpstr>
      <vt:lpstr>Comp1Condition</vt:lpstr>
      <vt:lpstr>Comp1ConditionAdj</vt:lpstr>
      <vt:lpstr>Comp2Condition</vt:lpstr>
      <vt:lpstr>Comp2ConditionAdj</vt:lpstr>
      <vt:lpstr>Comp3Condition</vt:lpstr>
      <vt:lpstr>Comp3ConditionAdj</vt:lpstr>
      <vt:lpstr>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Tressala Smith</dc:creator>
  <cp:lastModifiedBy>Ben Morris</cp:lastModifiedBy>
  <dcterms:created xsi:type="dcterms:W3CDTF">2019-06-06T17:39:27Z</dcterms:created>
  <dcterms:modified xsi:type="dcterms:W3CDTF">2019-07-22T17:21:34Z</dcterms:modified>
</cp:coreProperties>
</file>