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hidePivotFieldList="1" defaultThemeVersion="166925"/>
  <mc:AlternateContent xmlns:mc="http://schemas.openxmlformats.org/markup-compatibility/2006">
    <mc:Choice Requires="x15">
      <x15ac:absPath xmlns:x15ac="http://schemas.microsoft.com/office/spreadsheetml/2010/11/ac" url="C:\Users\ben\Desktop\Testing2\"/>
    </mc:Choice>
  </mc:AlternateContent>
  <xr:revisionPtr revIDLastSave="0" documentId="13_ncr:1_{54FD48D7-81AB-4FD4-86D3-A62088D9C631}" xr6:coauthVersionLast="41" xr6:coauthVersionMax="41" xr10:uidLastSave="{00000000-0000-0000-0000-000000000000}"/>
  <bookViews>
    <workbookView xWindow="-28920" yWindow="-120" windowWidth="29040" windowHeight="15840" xr2:uid="{63287CCA-20A9-4450-A3BF-F2A60385CEC4}"/>
  </bookViews>
  <sheets>
    <sheet name="Sheet1" sheetId="1" r:id="rId1"/>
    <sheet name="LOS" sheetId="14" state="hidden" r:id="rId2"/>
    <sheet name="RecordingCosts" sheetId="13" state="hidden" r:id="rId3"/>
    <sheet name="Database" sheetId="10" r:id="rId4"/>
    <sheet name="ApplicationImport" sheetId="18" state="hidden" r:id="rId5"/>
    <sheet name="NewDatabase" sheetId="11" state="hidden" r:id="rId6"/>
    <sheet name="TempDatabase" sheetId="17" state="hidden" r:id="rId7"/>
    <sheet name="DropdownInfo" sheetId="2" state="hidden" r:id="rId8"/>
    <sheet name="Driver" sheetId="12" state="hidden" r:id="rId9"/>
    <sheet name="StuffToAdd" sheetId="3" state="hidden" r:id="rId10"/>
    <sheet name="New Loan" sheetId="4" state="hidden" r:id="rId11"/>
    <sheet name="New Amort" sheetId="5" state="hidden" r:id="rId12"/>
    <sheet name="Regular 30-360 Amortization" sheetId="15" state="hidden" r:id="rId13"/>
    <sheet name="Deferred to Maturity 30-360" sheetId="16" state="hidden" r:id="rId14"/>
  </sheets>
  <functionGroups builtInGroupCount="19"/>
  <definedNames>
    <definedName name="AbstractFees">Sheet1!$BL$57</definedName>
    <definedName name="AgeDeferral">Sheet1!$CR$47</definedName>
    <definedName name="AmountFinanced">'New Loan'!$R$7</definedName>
    <definedName name="AmountTotalsInfo">DropdownInfo!$M$76:$O$100</definedName>
    <definedName name="AmountToTaxCollector">Database!$F$33</definedName>
    <definedName name="AppDate">Sheet1!$Y$44</definedName>
    <definedName name="AppInfo">Database!$A$2:$BFY$2</definedName>
    <definedName name="AppliedDisability">Sheet1!$CR$48</definedName>
    <definedName name="APR">'New Loan'!$R$6</definedName>
    <definedName name="AssessmentOfValue">Sheet1!$Y$51</definedName>
    <definedName name="B1Bankrupt">Sheet1!$L$12</definedName>
    <definedName name="B1Disabled">Sheet1!$AA$12</definedName>
    <definedName name="B1Info">Sheet1!$H$11,Sheet1!$AB$11,Sheet1!$AO$11,Sheet1!$AZ$11,Sheet1!$L$12,Sheet1!$S$12,Sheet1!$AA$12,Sheet1!$AL$12,Sheet1!$J$13,Sheet1!$AB$13,Sheet1!$AO$13,Sheet1!$AX$13,Sheet1!$J$14,Sheet1!$AB$14,Sheet1!$AO$14,Sheet1!$AX$14,Sheet1!$E$15,Sheet1!$Y$15,Sheet1!$AL$15,Sheet1!$AY$15,Sheet1!$E$16,Sheet1!$AG$16,Sheet1!$AU$16,Sheet1!$E$17,Sheet1!$S$17,Sheet1!$AG$17,Sheet1!$AU$17</definedName>
    <definedName name="B1Over65">Sheet1!$S$12</definedName>
    <definedName name="B1SSN01">Database!$H$13</definedName>
    <definedName name="B1SSN02">Database!$I$13</definedName>
    <definedName name="B1SSN03">Database!$J$13</definedName>
    <definedName name="B1SSN04">Database!$K$13</definedName>
    <definedName name="B1SSN05">Database!$L$13</definedName>
    <definedName name="B1SSN06">Database!$M$13</definedName>
    <definedName name="B1SSN07">Database!$N$13</definedName>
    <definedName name="B1SSN08">Database!$O$13</definedName>
    <definedName name="B1SSN09">Database!$P$13</definedName>
    <definedName name="B2Bankrupt">Sheet1!$L$22</definedName>
    <definedName name="B2Disabled">Sheet1!$AA$22</definedName>
    <definedName name="B2Info">Sheet1!$H$21,Sheet1!$AB$21,Sheet1!$AO$21,Sheet1!$AZ$21,Sheet1!$L$22,Sheet1!$S$22,Sheet1!$AA$22,Sheet1!$AL$22,Sheet1!$J$23,Sheet1!$AB$23,Sheet1!$AO$23,Sheet1!$AX$23,Sheet1!$J$24,Sheet1!$AB$24,Sheet1!$AO$24,Sheet1!$AX$24,Sheet1!$E$25,Sheet1!$Y$25,Sheet1!$AL$25,Sheet1!$AY$25,Sheet1!$E$26,Sheet1!$AG$26,Sheet1!$AU$26,Sheet1!$E$27,Sheet1!$S$27,Sheet1!$AG$27,Sheet1!$AU$27</definedName>
    <definedName name="B2MAddress">Sheet1!$J$24</definedName>
    <definedName name="B2MCity">Sheet1!$AB$24</definedName>
    <definedName name="B2MState">Sheet1!$AO$24</definedName>
    <definedName name="B2MZip">Sheet1!$AX$24</definedName>
    <definedName name="B2Over65">Sheet1!$S$22</definedName>
    <definedName name="B2SSN01">Database!$H$14</definedName>
    <definedName name="B2SSN02">Database!$I$14</definedName>
    <definedName name="B2SSN03">Database!$J$14</definedName>
    <definedName name="B2SSN04">Database!$K$14</definedName>
    <definedName name="B2SSN05">Database!$L$14</definedName>
    <definedName name="B2SSN06">Database!$M$14</definedName>
    <definedName name="B2SSN07">Database!$N$14</definedName>
    <definedName name="B2SSN08">Database!$O$14</definedName>
    <definedName name="B2SSN09">Database!$P$14</definedName>
    <definedName name="B3Bankrupt">Sheet1!$L$32</definedName>
    <definedName name="B3Disabled">Sheet1!$AA$32</definedName>
    <definedName name="B3Info">Sheet1!$H$31,Sheet1!$AB$31,Sheet1!$AO$31,Sheet1!$AZ$31,Sheet1!$L$32,Sheet1!$S$32,Sheet1!$AA$32,Sheet1!$AL$32,Sheet1!$J$33:$X$34,Sheet1!$AB$33:$AK$34,Sheet1!$AO$33:$AU$34,Sheet1!$AX$33:$BE$34,Sheet1!$E$35,Sheet1!$Y$35,Sheet1!$AL$35,Sheet1!$AY$35,Sheet1!$E$36,Sheet1!$AG$36,Sheet1!$AU$36,Sheet1!$E$37,Sheet1!$S$37,Sheet1!$AG$37,Sheet1!$AU$37</definedName>
    <definedName name="B3MAddress">Sheet1!$J$34</definedName>
    <definedName name="B3MCity">Sheet1!$AB$34</definedName>
    <definedName name="B3MState">Sheet1!$AO$34</definedName>
    <definedName name="B3MZIP">Sheet1!$AX$34</definedName>
    <definedName name="B3Over65">Sheet1!$S$32</definedName>
    <definedName name="B3SSN01">Database!$H$15</definedName>
    <definedName name="B3SSN02">Database!$I$15</definedName>
    <definedName name="B3SSN03">Database!$J$15</definedName>
    <definedName name="B3SSN04">Database!$K$15</definedName>
    <definedName name="B3SSN05">Database!$L$15</definedName>
    <definedName name="B3SSN06">Database!$M$15</definedName>
    <definedName name="B3SSN07">Database!$N$15</definedName>
    <definedName name="B3SSN08">Database!$O$15</definedName>
    <definedName name="B3SSN09">Database!$P$15</definedName>
    <definedName name="BankAccountNumber">Sheet1!$Y$63</definedName>
    <definedName name="BankName">Sheet1!$Y$61</definedName>
    <definedName name="BankRoutingNumber">Sheet1!$Y$62</definedName>
    <definedName name="Bankruptcy">Sheet1!$CR$55</definedName>
    <definedName name="BankruptcyCounty">Sheet1!$CR$56</definedName>
    <definedName name="BankruptcySearch">Sheet1!$Y$52</definedName>
    <definedName name="Borrower1AddressCity">Sheet1!$AB$13</definedName>
    <definedName name="Borrower1AddressState">Sheet1!$AO$13</definedName>
    <definedName name="Borrower1AddressZIP">Sheet1!$AX$13</definedName>
    <definedName name="Borrower1AKA1">Sheet1!$AG$16</definedName>
    <definedName name="Borrower1AKA2">Sheet1!$AU$16</definedName>
    <definedName name="Borrower1AKA3">Sheet1!$E$17</definedName>
    <definedName name="Borrower1AKA4">Sheet1!$S$17</definedName>
    <definedName name="Borrower1AKA5">Sheet1!$AG$17</definedName>
    <definedName name="Borrower1AKA6">Sheet1!$AU$17</definedName>
    <definedName name="Borrower1CellPhone">Sheet1!$Y$15</definedName>
    <definedName name="Borrower1DOB">Sheet1!$AB$11</definedName>
    <definedName name="Borrower1Email">Sheet1!$E$15</definedName>
    <definedName name="Borrower1FKA">Sheet1!$E$16</definedName>
    <definedName name="Borrower1HomePhone">Sheet1!$AY$15</definedName>
    <definedName name="Borrower1Marital">Sheet1!$AZ$11</definedName>
    <definedName name="Borrower1Name">Sheet1!$H$11</definedName>
    <definedName name="Borrower1NameStorage">Database!$G$18</definedName>
    <definedName name="Borrower1PAddress">Sheet1!$J$13</definedName>
    <definedName name="Borrower1SSN">Sheet1!$AO$11</definedName>
    <definedName name="Borrower1WorkPhone">Sheet1!$AL$15</definedName>
    <definedName name="Borrower2AddressCity">Sheet1!$AB$23</definedName>
    <definedName name="Borrower2AddressState">Sheet1!$AO$23</definedName>
    <definedName name="Borrower2AddressStreet">Sheet1!$J$23</definedName>
    <definedName name="Borrower2AddressZIP">Sheet1!$AX$23</definedName>
    <definedName name="Borrower2AKA1">Sheet1!$AG$26</definedName>
    <definedName name="Borrower2AKA2">Sheet1!$AU$26</definedName>
    <definedName name="Borrower2AKA3">Sheet1!$E$27</definedName>
    <definedName name="Borrower2AKA4">Sheet1!$S$27</definedName>
    <definedName name="Borrower2AKA5">Sheet1!$AG$27</definedName>
    <definedName name="Borrower2AKA6">Sheet1!$AU$27</definedName>
    <definedName name="Borrower2CellPhone">Sheet1!$Y$25</definedName>
    <definedName name="Borrower2DOB">Sheet1!$AB$21</definedName>
    <definedName name="Borrower2Email">Sheet1!$E$25</definedName>
    <definedName name="Borrower2FKA">Sheet1!$E$26</definedName>
    <definedName name="Borrower2HomePhone">Sheet1!$AY$25</definedName>
    <definedName name="Borrower2Marital">Sheet1!$AZ$21</definedName>
    <definedName name="Borrower2Name">Sheet1!$H$21</definedName>
    <definedName name="Borrower2NameStorage">Database!$G$19</definedName>
    <definedName name="Borrower2SSN">Sheet1!$AO$21</definedName>
    <definedName name="Borrower2WorkPhone">Sheet1!$AL$25</definedName>
    <definedName name="Borrower3AddressCity">Sheet1!$AB$33</definedName>
    <definedName name="Borrower3AddressState">Sheet1!$AO$33</definedName>
    <definedName name="Borrower3AddressStreet">Sheet1!$J$33</definedName>
    <definedName name="Borrower3AddressZIP">Sheet1!$AX$33</definedName>
    <definedName name="Borrower3AKA1">Sheet1!$AG$36</definedName>
    <definedName name="Borrower3AKA2">Sheet1!$AU$36</definedName>
    <definedName name="Borrower3AKA3">Sheet1!$E$37</definedName>
    <definedName name="Borrower3AKA4">Sheet1!$S$37</definedName>
    <definedName name="Borrower3AKA5">Sheet1!$AG$37</definedName>
    <definedName name="Borrower3AKA6">Sheet1!$AU$37</definedName>
    <definedName name="Borrower3CellPhone">Sheet1!$Y$35</definedName>
    <definedName name="Borrower3DOB">Sheet1!$AB$31</definedName>
    <definedName name="Borrower3Email">Sheet1!$E$35</definedName>
    <definedName name="Borrower3FKA">Sheet1!$E$36</definedName>
    <definedName name="Borrower3HomePhone">Sheet1!$AY$35</definedName>
    <definedName name="Borrower3Marital">Sheet1!$AZ$31</definedName>
    <definedName name="Borrower3Name">Sheet1!$H$31</definedName>
    <definedName name="Borrower3NameStorage">Database!$G$20</definedName>
    <definedName name="Borrower3SSN">Sheet1!$AO$31</definedName>
    <definedName name="Borrower3WorkPhone">Sheet1!$AL$35</definedName>
    <definedName name="BorrowerType">Sheet1!$N$4</definedName>
    <definedName name="BQ_1">Sheet1!$L$360</definedName>
    <definedName name="BQ_10">Sheet1!$W$365</definedName>
    <definedName name="BQ_11">Sheet1!$BK$366</definedName>
    <definedName name="BQ_12">Sheet1!$W$367</definedName>
    <definedName name="BQ_13">Sheet1!$AN$368</definedName>
    <definedName name="BQ_14">Sheet1!$S$369</definedName>
    <definedName name="BQ_15">Sheet1!$X$370</definedName>
    <definedName name="BQ_16">Sheet1!$AL$370</definedName>
    <definedName name="BQ_2">Sheet1!$N$361</definedName>
    <definedName name="BQ_3">Sheet1!$AC$361</definedName>
    <definedName name="BQ_4">Sheet1!$AS$361</definedName>
    <definedName name="BQ_5">Sheet1!$P$362</definedName>
    <definedName name="BQ_6">Sheet1!$AE$362</definedName>
    <definedName name="BQ_7">Sheet1!$AU$362</definedName>
    <definedName name="BQ_8">Sheet1!$Q$363</definedName>
    <definedName name="BQ_9">Sheet1!$S$364</definedName>
    <definedName name="CheckBox01">Sheet1!$DZ$10</definedName>
    <definedName name="CheckBox02">Sheet1!$DZ$12</definedName>
    <definedName name="CheckBox03">Sheet1!$DZ$14</definedName>
    <definedName name="CheckBox04">Sheet1!$DZ$16</definedName>
    <definedName name="ClosingCosts">Sheet1!$BL$55</definedName>
    <definedName name="CLTV">DropdownInfo!$Q$40</definedName>
    <definedName name="CombinedB1FKA">Database!$C$18</definedName>
    <definedName name="CombinedB2FKA">Database!$C$19</definedName>
    <definedName name="CombinedB3FKA">Database!$C$20</definedName>
    <definedName name="CompanyHolidays">DropdownInfo!$AJ$3:$AN$11</definedName>
    <definedName name="CourtCost">Sheet1!$BL$56</definedName>
    <definedName name="CreditAmount">Sheet1!$Y$56</definedName>
    <definedName name="DisabilityDeferral">Sheet1!$CR$49</definedName>
    <definedName name="DocumentPreparationFee">Sheet1!$BL$49</definedName>
    <definedName name="Dyn_Full_Name">OFFSET(NewDatabase!$BJ$5,0,0,HeightOfDatabase,1)</definedName>
    <definedName name="Dyn_Full_Name_LN">OFFSET(NewDatabase!$B$5,0,0,HeightOfDatabase,1)</definedName>
    <definedName name="Entity">Sheet1!$N$2</definedName>
    <definedName name="ExpectedIncome">Sheet1!$CR$57</definedName>
    <definedName name="ExternalTitleReview">Sheet1!$BL$52</definedName>
    <definedName name="ExternalTitleSearch">Sheet1!$BL$51</definedName>
    <definedName name="FileName">ApplicationImport!$B$5</definedName>
    <definedName name="FinalPayment">'New Loan'!$R$5</definedName>
    <definedName name="FinalPayment30360">'New Loan'!$S$15</definedName>
    <definedName name="FinanceCharge">'New Loan'!$R$8</definedName>
    <definedName name="FinanceCharge30360">'New Loan'!$S$17</definedName>
    <definedName name="firstMonthlyPayment">Sheet1!$CG$17</definedName>
    <definedName name="FirstPayment30360">'New Loan'!$S$14</definedName>
    <definedName name="FirstPaymentDate">Sheet1!$BL$44</definedName>
    <definedName name="FloodFee">Sheet1!$Y$50</definedName>
    <definedName name="HeightOfDatabase">Database!$C$13</definedName>
    <definedName name="HomeSteadExemption">Sheet1!$CR$46</definedName>
    <definedName name="HouseholdIncome">Sheet1!$Y$58</definedName>
    <definedName name="Insurance">Sheet1!$Y$59</definedName>
    <definedName name="InsuranceNeeded">DropdownInfo!$Q$43</definedName>
    <definedName name="IntentForPayments">Sheet1!$CR$59</definedName>
    <definedName name="InterestRate">Sheet1!$BL$41</definedName>
    <definedName name="InternalTitleReview">Sheet1!$Y$54</definedName>
    <definedName name="InternalTitleSearch">Sheet1!$Y$53</definedName>
    <definedName name="LastPaymentDate">'New Loan'!$R$3</definedName>
    <definedName name="LegalCriteria">Database!$C$24</definedName>
    <definedName name="LegalsABArea">DropdownInfo!$M$48:$P$72</definedName>
    <definedName name="LendingEntitywithNumbers">DropdownInfo!$B$3:$C$15</definedName>
    <definedName name="LendingInfo">Sheet1!$N$2:$Z$5</definedName>
    <definedName name="LengthOfArray">Database!$C$5</definedName>
    <definedName name="ListofLendingEntitesNumbers">DropdownInfo!$C$3:$C$14</definedName>
    <definedName name="ListofLendingEntities">DropdownInfo!$B$3:$B$14</definedName>
    <definedName name="LNPlusName">Database!$C$14</definedName>
    <definedName name="LNToLoad">Database!$C$7</definedName>
    <definedName name="Loan_Type">'New Loan'!$C$3</definedName>
    <definedName name="LoanInfo">Sheet1!$Y$41:$AK$45,Sheet1!$Y$47:$AK$48,Sheet1!$Y$50:$AK$54,Sheet1!$Y$56,Sheet1!$Y$58:$AK$60,Sheet1!$BL$41:$BX$44,Sheet1!$BL$47:$BX$53,Sheet1!$BL$55:$BX$59,Sheet1!$Y$61:$AK$63</definedName>
    <definedName name="LoanNumber">Sheet1!$Y$41</definedName>
    <definedName name="LoanOfficer">Sheet1!$Y$42</definedName>
    <definedName name="LoanReady">Database!$C$17</definedName>
    <definedName name="LoanType">Sheet1!$N$5</definedName>
    <definedName name="LoanTypeChoice">DropdownInfo!$M$35</definedName>
    <definedName name="LOSMonthlyPayment">LOS!$AC$5</definedName>
    <definedName name="MailingCIty">Sheet1!$AB$14</definedName>
    <definedName name="MailingFee">Sheet1!$BL$48</definedName>
    <definedName name="MailingState">Sheet1!$AO$14</definedName>
    <definedName name="MailingStreet">Sheet1!$J$14</definedName>
    <definedName name="MailingZIP">Sheet1!$AX$14</definedName>
    <definedName name="MakePayments">Sheet1!$CR$58</definedName>
    <definedName name="MarketingInfo">Sheet1!$Y$60</definedName>
    <definedName name="MI_1">Sheet1!$M$373</definedName>
    <definedName name="MI_10">Sheet1!$AB$377</definedName>
    <definedName name="MI_11">Sheet1!$AH$377</definedName>
    <definedName name="MI_12">Sheet1!$AN$377</definedName>
    <definedName name="MI_13">Sheet1!$AS$377</definedName>
    <definedName name="MI_14">Sheet1!$AZ$377</definedName>
    <definedName name="MI_15">Sheet1!$BI$377</definedName>
    <definedName name="MI_16">Sheet1!$T$378</definedName>
    <definedName name="MI_17">Sheet1!$Y$378</definedName>
    <definedName name="MI_18">Sheet1!$O$379</definedName>
    <definedName name="MI_2">Sheet1!$AA$373</definedName>
    <definedName name="MI_3">Sheet1!$AM$373</definedName>
    <definedName name="MI_4">Sheet1!$L$375</definedName>
    <definedName name="MI_5">Sheet1!$X$375</definedName>
    <definedName name="MI_6">Sheet1!$AR$375</definedName>
    <definedName name="MI_7">Sheet1!$Y$376</definedName>
    <definedName name="MI_8">Sheet1!$M$377</definedName>
    <definedName name="MI_9">Sheet1!$U$377</definedName>
    <definedName name="MiscInfo">Sheet1!$U$350,Sheet1!$AB$350,Sheet1!$AI$350,Sheet1!$AU$350,Sheet1!$X$351,Sheet1!$AE$351,Sheet1!$AM$351,Sheet1!$J$352,Sheet1!$R$352,Sheet1!$AB$352,Sheet1!$AP$352,Sheet1!$BG$352,Sheet1!$AM$353,Sheet1!$Q$354,Sheet1!$AC$354,Sheet1!$BV$354,Sheet1!$I$355,Sheet1!$Y$355,Sheet1!$AQ$355,Sheet1!$R$356,Sheet1!$AE$356,Sheet1!$AF$357,Sheet1!$L$360,Sheet1!$N$361,Sheet1!$AC$361,Sheet1!$AS$361,Sheet1!$P$362,Sheet1!$AE$362,Sheet1!$AU$362,Sheet1!$Q$363,Sheet1!$S$364,Sheet1!$W$365,Sheet1!$BK$366,Sheet1!$W$367,Sheet1!$AN$368,Sheet1!$S$369,Sheet1!$X$370,Sheet1!$AL$370,Sheet1!$M$373,Sheet1!$AA$373,Sheet1!$AM$373,Sheet1!$L$375,Sheet1!$X$375,Sheet1!$AR$375,Sheet1!$Y$376,Sheet1!$M$377,Sheet1!$U$377,Sheet1!$AB$377,Sheet1!$AH$377,Sheet1!$AN$377,Sheet1!$AS$377,Sheet1!$AZ$377,Sheet1!$BI$377,Sheet1!$T$378,Sheet1!$Y$378,Sheet1!$O$379</definedName>
    <definedName name="MonthlyPayment">'New Loan'!$R$4</definedName>
    <definedName name="MortgageCompany">Sheet1!$CR$53</definedName>
    <definedName name="MortgageLoan">Sheet1!$CR$52</definedName>
    <definedName name="NMLS">Sheet1!$Y$43</definedName>
    <definedName name="NotaryFee">Sheet1!$BL$47</definedName>
    <definedName name="Notes">Sheet1!$BI$11</definedName>
    <definedName name="NumberOfBorrowers">Sheet1!$AM$2</definedName>
    <definedName name="NumberOfProperties">Sheet1!$AM$3</definedName>
    <definedName name="NumberOfSworns">Driver!$K$6</definedName>
    <definedName name="NumberOfUniqueEntities">Driver!$K$4</definedName>
    <definedName name="OCCCNumber">Sheet1!$N$3</definedName>
    <definedName name="OtherFees">Sheet1!$BL$58</definedName>
    <definedName name="OtherFeesCharged">Database!$F$34</definedName>
    <definedName name="PathToAppTemplate">DropdownInfo!$X$18</definedName>
    <definedName name="PathToCert">DropdownInfo!$X$16</definedName>
    <definedName name="PathToCorporateMailMerge">DropdownInfo!$X$15</definedName>
    <definedName name="PathToDatabase">DropdownInfo!$X$11</definedName>
    <definedName name="PathToGFE">DropdownInfo!$X$17</definedName>
    <definedName name="PathToIndividualMailMerge">DropdownInfo!$X$14</definedName>
    <definedName name="PathToLoanDoc">DropdownInfo!$X$10</definedName>
    <definedName name="PathToMergeFields">DropdownInfo!$X$12</definedName>
    <definedName name="PathToSaveLocation">DropdownInfo!$X$13</definedName>
    <definedName name="PendingCauseNumber">Sheet1!$CR$51</definedName>
    <definedName name="PendingLawsuits">Sheet1!$CR$50</definedName>
    <definedName name="PI_1">Sheet1!$U$350</definedName>
    <definedName name="PI_10">Sheet1!$AB$352</definedName>
    <definedName name="PI_11">Sheet1!$AP$352</definedName>
    <definedName name="PI_12">Sheet1!$BG$352</definedName>
    <definedName name="PI_13">Sheet1!$AM$353</definedName>
    <definedName name="PI_14">Sheet1!$Q$354</definedName>
    <definedName name="PI_15">Sheet1!$AC$354</definedName>
    <definedName name="PI_16">Sheet1!$BV$354</definedName>
    <definedName name="PI_17">Sheet1!$I$355</definedName>
    <definedName name="PI_18">Sheet1!$Y$355</definedName>
    <definedName name="PI_19">Sheet1!$AQ$355</definedName>
    <definedName name="PI_2">Sheet1!$AB$350</definedName>
    <definedName name="PI_20">Sheet1!$R$356</definedName>
    <definedName name="PI_21">Sheet1!$AE$356</definedName>
    <definedName name="PI_22">Sheet1!$AF$357</definedName>
    <definedName name="PI_3">Sheet1!$AI$350</definedName>
    <definedName name="PI_4">Sheet1!$AU$350</definedName>
    <definedName name="PI_5">Sheet1!$X$351</definedName>
    <definedName name="PI_6">Sheet1!$AE$351</definedName>
    <definedName name="PI_7">Sheet1!$AM$351</definedName>
    <definedName name="PI_8">Sheet1!$J$352</definedName>
    <definedName name="PI_9">Sheet1!$R$352</definedName>
    <definedName name="PrincipalPaymentAmount">Database!$F$32</definedName>
    <definedName name="ProcessingFee">Sheet1!$Y$47</definedName>
    <definedName name="Processor">Sheet1!$Y$45</definedName>
    <definedName name="Prop10AccountNumber1">Sheet1!$BV$171</definedName>
    <definedName name="Prop10AccountNumber2">Sheet1!$BV$172</definedName>
    <definedName name="Prop10AccountNumber3">Sheet1!$BV$173</definedName>
    <definedName name="Prop10AccountNumber4">Sheet1!$BV$174</definedName>
    <definedName name="Prop10Address">Sheet1!$J$170</definedName>
    <definedName name="Prop10AmountDue1">Sheet1!$DK$171</definedName>
    <definedName name="Prop10AmountDue2">Sheet1!$DK$172</definedName>
    <definedName name="Prop10AmountDue3">Sheet1!$DK$173</definedName>
    <definedName name="Prop10AmountDue4">Sheet1!$DK$174</definedName>
    <definedName name="Prop10Attached">Sheet1!$BD$172</definedName>
    <definedName name="Prop10CADImprovementValue">Sheet1!$AI$171</definedName>
    <definedName name="Prop10CADLandValue">Sheet1!$U$171</definedName>
    <definedName name="Prop10Cause">Sheet1!$AR$174</definedName>
    <definedName name="Prop10City">Sheet1!$AB$170</definedName>
    <definedName name="Prop10County">Sheet1!$F$171</definedName>
    <definedName name="Prop10FDate">Sheet1!$S$174</definedName>
    <definedName name="Prop10Foreclosure">Sheet1!$K$174</definedName>
    <definedName name="Prop10HKValue">Sheet1!$AT$171</definedName>
    <definedName name="Prop10Info">Sheet1!$J$170,Sheet1!$AB$170,Sheet1!$AO$170,Sheet1!$AX$170,Sheet1!$F$171,Sheet1!$U$171,Sheet1!$AI$171,Sheet1!$AT$171,Sheet1!$BD$171:$BE$173,Sheet1!$AR$174,Sheet1!$AR$172:$AW$173,Sheet1!$AE$173:$AI$174,Sheet1!$S$172:$W$174,Sheet1!$K$172:$L$174,Sheet1!$J$175,Sheet1!$BJ$171:$DR$174</definedName>
    <definedName name="Prop10Lawsuit">Sheet1!$AE$174</definedName>
    <definedName name="Prop10Legal">Sheet1!$J$175</definedName>
    <definedName name="Prop10LegalA">DropdownInfo!$M$57</definedName>
    <definedName name="Prop10LegalB">DropdownInfo!$N$57</definedName>
    <definedName name="Prop10LoanBalance">Sheet1!$AR$173</definedName>
    <definedName name="Prop10LoanDate">Sheet1!$AE$173</definedName>
    <definedName name="Prop10MobileHome">Sheet1!$BD$171</definedName>
    <definedName name="Prop10MortgageHolder">Sheet1!$K$172</definedName>
    <definedName name="Prop10MortgageWith">Sheet1!$S$172</definedName>
    <definedName name="Prop10Name1">Sheet1!$CE$171</definedName>
    <definedName name="Prop10Name2">Sheet1!$CE$172</definedName>
    <definedName name="Prop10Name3">Sheet1!$CE$173</definedName>
    <definedName name="Prop10Name4">Sheet1!$CE$174</definedName>
    <definedName name="Prop10State">Sheet1!$AO$170</definedName>
    <definedName name="Prop10TaxingEntity1">Sheet1!$BJ$171</definedName>
    <definedName name="Prop10TaxingEntity2">Sheet1!$BJ$172</definedName>
    <definedName name="Prop10TaxingEntity3">Sheet1!$BJ$173</definedName>
    <definedName name="Prop10TaxingEntity4">Sheet1!$BJ$174</definedName>
    <definedName name="Prop10TaxLiens">Sheet1!$AR$172</definedName>
    <definedName name="Prop10TaxLoan">Sheet1!$K$173</definedName>
    <definedName name="Prop10TaxLoanWith">Sheet1!$S$173</definedName>
    <definedName name="Prop10TDHCA">Sheet1!$BD$173</definedName>
    <definedName name="Prop10Title1">Sheet1!$CO$171</definedName>
    <definedName name="Prop10Title2">Sheet1!$CO$172</definedName>
    <definedName name="Prop10Title3">Sheet1!$CO$173</definedName>
    <definedName name="Prop10Title4">Sheet1!$CO$174</definedName>
    <definedName name="Prop10TotalAmountDue">DropdownInfo!$M$85</definedName>
    <definedName name="Prop10Years1">Sheet1!$DA$171</definedName>
    <definedName name="Prop10Years2">Sheet1!$DA$172</definedName>
    <definedName name="Prop10Years3">Sheet1!$DA$173</definedName>
    <definedName name="Prop10Years4">Sheet1!$DA$174</definedName>
    <definedName name="Prop10ZIP">Sheet1!$AX$170</definedName>
    <definedName name="Prop11AccountNumber1">Sheet1!$BV$182</definedName>
    <definedName name="Prop11AccountNumber2">Sheet1!$BV$183</definedName>
    <definedName name="Prop11AccountNumber3">Sheet1!$BV$184</definedName>
    <definedName name="Prop11AccountNumber4">Sheet1!$BV$185</definedName>
    <definedName name="Prop11Address">Sheet1!$J$181</definedName>
    <definedName name="Prop11AmountDue1">Sheet1!$DK$182</definedName>
    <definedName name="Prop11AmountDue2">Sheet1!$DK$183</definedName>
    <definedName name="Prop11AmountDue3">Sheet1!$DK$184</definedName>
    <definedName name="Prop11AmountDue4">Sheet1!$DK$185</definedName>
    <definedName name="Prop11Attached">Sheet1!$BD$183</definedName>
    <definedName name="Prop11CADImprovementValue">Sheet1!$AI$182</definedName>
    <definedName name="Prop11CADLandValue">Sheet1!$U$182</definedName>
    <definedName name="Prop11Cause">Sheet1!$AR$185</definedName>
    <definedName name="Prop11City">Sheet1!$AB$181</definedName>
    <definedName name="Prop11County">Sheet1!$F$182</definedName>
    <definedName name="Prop11FDate">Sheet1!$S$185</definedName>
    <definedName name="Prop11Foreclosure">Sheet1!$K$185</definedName>
    <definedName name="Prop11HKValue">Sheet1!$AT$182</definedName>
    <definedName name="Prop11Info">Sheet1!$J$181,Sheet1!$AB$181,Sheet1!$AO$181,Sheet1!$AX$181,Sheet1!$F$182,Sheet1!$U$182,Sheet1!$AI$182,Sheet1!$AT$182,Sheet1!$BD$182:$BE$184,Sheet1!$AR$185,Sheet1!$AR$183:$AW$184,Sheet1!$AE$184:$AI$185,Sheet1!$S$183:$W$185,Sheet1!$K$183:$L$185,Sheet1!$J$186,Sheet1!$BJ$182:$DR$185</definedName>
    <definedName name="Prop11Lawsuit">Sheet1!$AE$185</definedName>
    <definedName name="Prop11Legal">Sheet1!$J$186</definedName>
    <definedName name="Prop11LegalA">DropdownInfo!$M$58</definedName>
    <definedName name="Prop11LegalB">DropdownInfo!$N$58</definedName>
    <definedName name="Prop11LoanBalance">Sheet1!$AR$184</definedName>
    <definedName name="Prop11LoanDate">Sheet1!$AE$184</definedName>
    <definedName name="Prop11MobileHome">Sheet1!$BD$182</definedName>
    <definedName name="Prop11MortgageHolder">Sheet1!$K$183</definedName>
    <definedName name="Prop11MortgageWith">Sheet1!$S$183</definedName>
    <definedName name="Prop11Name1">Sheet1!$CE$182</definedName>
    <definedName name="Prop11Name2">Sheet1!$CE$183</definedName>
    <definedName name="Prop11Name3">Sheet1!$CE$184</definedName>
    <definedName name="Prop11Name4">Sheet1!$CE$185</definedName>
    <definedName name="Prop11State">Sheet1!$AO$181</definedName>
    <definedName name="Prop11TaxingEntity1">Sheet1!$BJ$182</definedName>
    <definedName name="Prop11TaxingEntity2">Sheet1!$BJ$183</definedName>
    <definedName name="Prop11TaxingEntity3">Sheet1!$BJ$184</definedName>
    <definedName name="Prop11TaxingEntity4">Sheet1!$BJ$185</definedName>
    <definedName name="Prop11TaxLiens">Sheet1!$AR$183</definedName>
    <definedName name="Prop11TaxLoan">Sheet1!$K$184</definedName>
    <definedName name="Prop11TaxLoanWith">Sheet1!$S$184</definedName>
    <definedName name="Prop11TDHCA">Sheet1!$BD$184</definedName>
    <definedName name="Prop11Title1">Sheet1!$CO$182</definedName>
    <definedName name="Prop11Title2">Sheet1!$CO$183</definedName>
    <definedName name="Prop11Title3">Sheet1!$CO$184</definedName>
    <definedName name="Prop11Title4">Sheet1!$CO$185</definedName>
    <definedName name="Prop11TotalAmountDue">DropdownInfo!$M$86</definedName>
    <definedName name="Prop11Years1">Sheet1!$DA$182</definedName>
    <definedName name="Prop11Years2">Sheet1!$DA$183</definedName>
    <definedName name="Prop11Years3">Sheet1!$DA$184</definedName>
    <definedName name="Prop11Years4">Sheet1!$DA$185</definedName>
    <definedName name="Prop11ZIP">Sheet1!$AX$181</definedName>
    <definedName name="Prop12AccountNumber1">Sheet1!$BV$193</definedName>
    <definedName name="Prop12AccountNumber2">Sheet1!$BV$194</definedName>
    <definedName name="Prop12AccountNumber3">Sheet1!$BV$195</definedName>
    <definedName name="Prop12AccountNumber4">Sheet1!$BV$196</definedName>
    <definedName name="Prop12Address">Sheet1!$J$192</definedName>
    <definedName name="Prop12AmountDue1">Sheet1!$DK$193</definedName>
    <definedName name="Prop12AmountDue2">Sheet1!$DK$194</definedName>
    <definedName name="Prop12AmountDue3">Sheet1!$DK$195</definedName>
    <definedName name="Prop12AmountDue4">Sheet1!$DK$196</definedName>
    <definedName name="Prop12Attached">Sheet1!$BD$194</definedName>
    <definedName name="Prop12CADImprovementValue">Sheet1!$AI$193</definedName>
    <definedName name="Prop12CADLandValue">Sheet1!$U$193</definedName>
    <definedName name="Prop12Cause">Sheet1!$AR$196</definedName>
    <definedName name="Prop12City">Sheet1!$AB$192</definedName>
    <definedName name="Prop12County">Sheet1!$F$193</definedName>
    <definedName name="Prop12FDate">Sheet1!$S$196</definedName>
    <definedName name="Prop12Foreclosure">Sheet1!$K$196</definedName>
    <definedName name="Prop12HKValue">Sheet1!$AT$193</definedName>
    <definedName name="Prop12Info">Sheet1!$J$192,Sheet1!$AB$192,Sheet1!$AO$192,Sheet1!$AX$192,Sheet1!$F$193,Sheet1!$U$193,Sheet1!$AI$193,Sheet1!$AT$193,Sheet1!$BD$193:$BE$195,Sheet1!$AR$194:$AW$195,Sheet1!$AR$196,Sheet1!$AE$195:$AI$196,Sheet1!$S$194:$W$196,Sheet1!$K$194:$L$196,Sheet1!$J$197,Sheet1!$BJ$193:$DR$196</definedName>
    <definedName name="Prop12Lawsuit">Sheet1!$AE$196</definedName>
    <definedName name="Prop12Legal">Sheet1!$J$197</definedName>
    <definedName name="Prop12LegalA">DropdownInfo!$M$59</definedName>
    <definedName name="Prop12LegalB">DropdownInfo!$N$59</definedName>
    <definedName name="Prop12LoanBalance">Sheet1!$AR$195</definedName>
    <definedName name="Prop12LoanDate">Sheet1!$AE$195</definedName>
    <definedName name="Prop12MobileHome">Sheet1!$BD$193</definedName>
    <definedName name="Prop12MortgageHolder">Sheet1!$K$194</definedName>
    <definedName name="Prop12MortgageWith">Sheet1!$S$194</definedName>
    <definedName name="Prop12Name1">Sheet1!$CE$193</definedName>
    <definedName name="Prop12Name2">Sheet1!$CE$194</definedName>
    <definedName name="Prop12Name3">Sheet1!$CE$195</definedName>
    <definedName name="Prop12Name4">Sheet1!$CE$196</definedName>
    <definedName name="Prop12State">Sheet1!$AO$192</definedName>
    <definedName name="Prop12TaxingEntity1">Sheet1!$BJ$193</definedName>
    <definedName name="Prop12TaxingEntity2">Sheet1!$BJ$194</definedName>
    <definedName name="Prop12TaxingEntity3">Sheet1!$BJ$195</definedName>
    <definedName name="Prop12TaxingEntity4">Sheet1!$BJ$196</definedName>
    <definedName name="Prop12TaxLiens">Sheet1!$AR$194</definedName>
    <definedName name="Prop12TaxLoan">Sheet1!$K$195</definedName>
    <definedName name="Prop12TaxLoanWith">Sheet1!$S$195</definedName>
    <definedName name="Prop12TDHCA">Sheet1!$BD$195</definedName>
    <definedName name="Prop12Title1">Sheet1!$CO$193</definedName>
    <definedName name="Prop12Title2">Sheet1!$CO$194</definedName>
    <definedName name="Prop12Title3">Sheet1!$CO$195</definedName>
    <definedName name="Prop12Title4">Sheet1!$CO$196</definedName>
    <definedName name="Prop12TotalAmountDue">DropdownInfo!$M$87</definedName>
    <definedName name="Prop12Years1">Sheet1!$DA$193</definedName>
    <definedName name="Prop12Years2">Sheet1!$DA$194</definedName>
    <definedName name="Prop12Years3">Sheet1!$DA$195</definedName>
    <definedName name="Prop12Years4">Sheet1!$DA$196</definedName>
    <definedName name="Prop12ZIP">Sheet1!$AX$192</definedName>
    <definedName name="Prop13AccountNumber1">Sheet1!$BV$204</definedName>
    <definedName name="Prop13AccountNumber2">Sheet1!$BV$205</definedName>
    <definedName name="Prop13AccountNumber3">Sheet1!$BV$206</definedName>
    <definedName name="Prop13AccountNumber4">Sheet1!$BV$207</definedName>
    <definedName name="Prop13Address">Sheet1!$J$203</definedName>
    <definedName name="Prop13AmountDue1">Sheet1!$DK$204</definedName>
    <definedName name="Prop13AmountDue2">Sheet1!$DK$205</definedName>
    <definedName name="Prop13AmountDue3">Sheet1!$DK$206</definedName>
    <definedName name="Prop13AmountDue4">Sheet1!$DK$207</definedName>
    <definedName name="Prop13Attached">Sheet1!$BD$205</definedName>
    <definedName name="Prop13CADImprovementValue">Sheet1!$AI$204</definedName>
    <definedName name="Prop13CADLandValue">Sheet1!$U$204</definedName>
    <definedName name="Prop13Cause">Sheet1!$AR$207</definedName>
    <definedName name="Prop13City">Sheet1!$AB$203</definedName>
    <definedName name="Prop13County">Sheet1!$F$204</definedName>
    <definedName name="Prop13FDate">Sheet1!$S$207</definedName>
    <definedName name="Prop13Foreclosure">Sheet1!$K$207</definedName>
    <definedName name="Prop13HKValue">Sheet1!$AT$204</definedName>
    <definedName name="Prop13Info">Sheet1!$J$203,Sheet1!$AB$203,Sheet1!$AO$203,Sheet1!$AX$203,Sheet1!$F$204,Sheet1!$U$204,Sheet1!$AI$204,Sheet1!$AT$204,Sheet1!$BD$204:$BE$206,Sheet1!$AR$205:$AW$206,Sheet1!$AR$207,Sheet1!$AE$206:$AI$207,Sheet1!$S$205:$W$207,Sheet1!$K$205:$L$207,Sheet1!$J$208,Sheet1!$BJ$204:$DR$207</definedName>
    <definedName name="Prop13Lawsuit">Sheet1!$AE$207</definedName>
    <definedName name="Prop13Legal">Sheet1!$J$208</definedName>
    <definedName name="Prop13LegalA">DropdownInfo!$M$60</definedName>
    <definedName name="Prop13LegalB">DropdownInfo!$N$60</definedName>
    <definedName name="Prop13LoanBalance">Sheet1!$AR$206</definedName>
    <definedName name="Prop13LoanDate">Sheet1!$AE$206</definedName>
    <definedName name="Prop13MobileHome">Sheet1!$BD$204</definedName>
    <definedName name="Prop13MortgageHolder">Sheet1!$K$205</definedName>
    <definedName name="Prop13MortgageWith">Sheet1!$S$205</definedName>
    <definedName name="Prop13Name1">Sheet1!$CE$204</definedName>
    <definedName name="Prop13Name2">Sheet1!$CE$205</definedName>
    <definedName name="Prop13Name3">Sheet1!$CE$206</definedName>
    <definedName name="Prop13Name4">Sheet1!$CE$207</definedName>
    <definedName name="Prop13State">Sheet1!$AO$203</definedName>
    <definedName name="Prop13TaxingEntity1">Sheet1!$BJ$204</definedName>
    <definedName name="Prop13TaxingEntity2">Sheet1!$BJ$205</definedName>
    <definedName name="Prop13TaxingEntity3">Sheet1!$BJ$206</definedName>
    <definedName name="Prop13TaxingEntity4">Sheet1!$BJ$207</definedName>
    <definedName name="Prop13TaxLiens">Sheet1!$AR$205</definedName>
    <definedName name="Prop13TaxLoan">Sheet1!$K$206</definedName>
    <definedName name="Prop13TaxLoanWith">Sheet1!$S$206</definedName>
    <definedName name="Prop13TDHCA">Sheet1!$BD$206</definedName>
    <definedName name="Prop13Title1">Sheet1!$CO$204</definedName>
    <definedName name="Prop13Title2">Sheet1!$CO$205</definedName>
    <definedName name="Prop13Title3">Sheet1!$CO$206</definedName>
    <definedName name="Prop13Title4">Sheet1!$CO$207</definedName>
    <definedName name="Prop13TotalAmountDue">DropdownInfo!$M$88</definedName>
    <definedName name="Prop13Years1">Sheet1!$DA$204</definedName>
    <definedName name="Prop13Years2">Sheet1!$DA$205</definedName>
    <definedName name="Prop13Years3">Sheet1!$DA$206</definedName>
    <definedName name="Prop13Years4">Sheet1!$DA$207</definedName>
    <definedName name="Prop13ZIP">Sheet1!$AX$203</definedName>
    <definedName name="Prop14AccountNumber1">Sheet1!$BV$215</definedName>
    <definedName name="Prop14AccountNumber2">Sheet1!$BV$216</definedName>
    <definedName name="Prop14AccountNumber3">Sheet1!$BV$217</definedName>
    <definedName name="Prop14AccountNumber4">Sheet1!$BV$218</definedName>
    <definedName name="Prop14Address">Sheet1!$J$214</definedName>
    <definedName name="Prop14AmountDue1">Sheet1!$DK$215</definedName>
    <definedName name="Prop14AmountDue2">Sheet1!$DK$216</definedName>
    <definedName name="Prop14AmountDue3">Sheet1!$DK$217</definedName>
    <definedName name="Prop14AmountDue4">Sheet1!$DK$218</definedName>
    <definedName name="Prop14Attached">Sheet1!$BD$216</definedName>
    <definedName name="Prop14CADImprovementValue">Sheet1!$AI$215</definedName>
    <definedName name="Prop14CADLandValue">Sheet1!$U$215</definedName>
    <definedName name="Prop14Cause">Sheet1!$AR$218</definedName>
    <definedName name="Prop14City">Sheet1!$AB$214</definedName>
    <definedName name="Prop14County">Sheet1!$F$215</definedName>
    <definedName name="Prop14FDate">Sheet1!$S$218</definedName>
    <definedName name="Prop14Foreclosure">Sheet1!$K$218</definedName>
    <definedName name="Prop14HKValue">Sheet1!$AT$215</definedName>
    <definedName name="Prop14Info">Sheet1!$J$214,Sheet1!$AB$214,Sheet1!$AO$214,Sheet1!$AX$214,Sheet1!$F$215,Sheet1!$U$215,Sheet1!$AI$215,Sheet1!$AT$215,Sheet1!$BD$215:$BE$217,Sheet1!$AR$216:$AW$217,Sheet1!$AR$218,Sheet1!$AE$217:$AI$218,Sheet1!$S$216:$W$218,Sheet1!$K$216:$L$218,Sheet1!$J$219,Sheet1!$BJ$215:$DR$218</definedName>
    <definedName name="Prop14Lawsuit">Sheet1!$AE$218</definedName>
    <definedName name="Prop14Legal">Sheet1!$J$219</definedName>
    <definedName name="Prop14LegalA">DropdownInfo!$M$61</definedName>
    <definedName name="Prop14LegalB">DropdownInfo!$N$61</definedName>
    <definedName name="Prop14LoanBalance">Sheet1!$AR$217</definedName>
    <definedName name="Prop14LoanDate">Sheet1!$AE$217</definedName>
    <definedName name="Prop14MobileHome">Sheet1!$BD$215</definedName>
    <definedName name="Prop14MortgageHolder">Sheet1!$K$216</definedName>
    <definedName name="Prop14MortgageWith">Sheet1!$S$216</definedName>
    <definedName name="Prop14Name1">Sheet1!$CE$215</definedName>
    <definedName name="Prop14Name2">Sheet1!$CE$216</definedName>
    <definedName name="Prop14Name3">Sheet1!$CE$217</definedName>
    <definedName name="Prop14Name4">Sheet1!$CE$218</definedName>
    <definedName name="Prop14State">Sheet1!$AO$214</definedName>
    <definedName name="Prop14TaxingEntity1">Sheet1!$BJ$215</definedName>
    <definedName name="Prop14TaxingEntity2">Sheet1!$BJ$216</definedName>
    <definedName name="Prop14TaxingEntity3">Sheet1!$BJ$217</definedName>
    <definedName name="Prop14TaxingEntity4">Sheet1!$BJ$218</definedName>
    <definedName name="Prop14TaxLiens">Sheet1!$AR$216</definedName>
    <definedName name="Prop14TaxLoan">Sheet1!$K$217</definedName>
    <definedName name="Prop14TaxLoanWith">Sheet1!$S$217</definedName>
    <definedName name="Prop14TDHCA">Sheet1!$BD$217</definedName>
    <definedName name="Prop14Title1">Sheet1!$CO$215</definedName>
    <definedName name="Prop14Title2">Sheet1!$CO$216</definedName>
    <definedName name="Prop14Title3">Sheet1!$CO$217</definedName>
    <definedName name="Prop14Title4">Sheet1!$CO$218</definedName>
    <definedName name="Prop14TotalAmountDue">DropdownInfo!$M$89</definedName>
    <definedName name="Prop14Years1">Sheet1!$DA$215</definedName>
    <definedName name="Prop14Years2">Sheet1!$DA$216</definedName>
    <definedName name="Prop14Years3">Sheet1!$DA$217</definedName>
    <definedName name="Prop14Years4">Sheet1!$DA$218</definedName>
    <definedName name="Prop14ZIP">Sheet1!$AX$214</definedName>
    <definedName name="Prop15AccountNumber1">Sheet1!$BV$226</definedName>
    <definedName name="Prop15AccountNumber2">Sheet1!$BV$227</definedName>
    <definedName name="Prop15AccountNumber3">Sheet1!$BV$228</definedName>
    <definedName name="Prop15AccountNumber4">Sheet1!$BV$229</definedName>
    <definedName name="Prop15Address">Sheet1!$J$225</definedName>
    <definedName name="Prop15AmountDue1">Sheet1!$DK$226</definedName>
    <definedName name="Prop15AmountDue2">Sheet1!$DK$227</definedName>
    <definedName name="Prop15AmountDue3">Sheet1!$DK$228</definedName>
    <definedName name="Prop15AmountDue4">Sheet1!$DK$229</definedName>
    <definedName name="Prop15Attached">Sheet1!$BD$227</definedName>
    <definedName name="Prop15CADImprovementValue">Sheet1!$AI$226</definedName>
    <definedName name="Prop15CADLandValue">Sheet1!$U$226</definedName>
    <definedName name="Prop15Cause">Sheet1!$AR$229</definedName>
    <definedName name="Prop15City">Sheet1!$AB$225</definedName>
    <definedName name="Prop15County">Sheet1!$F$226</definedName>
    <definedName name="Prop15FDate">Sheet1!$S$229</definedName>
    <definedName name="Prop15Foreclosure">Sheet1!$K$229</definedName>
    <definedName name="Prop15HKValue">Sheet1!$AT$226</definedName>
    <definedName name="Prop15Info">Sheet1!$J$225,Sheet1!$AB$225,Sheet1!$AO$225,Sheet1!$AX$225,Sheet1!$F$226,Sheet1!$U$226,Sheet1!$AI$226,Sheet1!$AT$226,Sheet1!$BD$226:$BE$228,Sheet1!$AR$227:$AW$228,Sheet1!$AR$229,Sheet1!$AE$228:$AI$229,Sheet1!$S$227:$W$229,Sheet1!$K$227:$L$229,Sheet1!$J$230,Sheet1!$BJ$226:$DR$229</definedName>
    <definedName name="Prop15Lawsuit">Sheet1!$AE$229</definedName>
    <definedName name="Prop15Legal">Sheet1!$J$230</definedName>
    <definedName name="Prop15LegalA">DropdownInfo!$M$62</definedName>
    <definedName name="Prop15LegalB">DropdownInfo!$N$62</definedName>
    <definedName name="Prop15LoanBalance">Sheet1!$AR$228</definedName>
    <definedName name="Prop15LoanDate">Sheet1!$AE$228</definedName>
    <definedName name="Prop15MobileHome">Sheet1!$BD$226</definedName>
    <definedName name="Prop15MortgageHolder">Sheet1!$K$227</definedName>
    <definedName name="Prop15MortgageWith">Sheet1!$S$227</definedName>
    <definedName name="Prop15Name1">Sheet1!$CE$226</definedName>
    <definedName name="Prop15Name2">Sheet1!$CE$227</definedName>
    <definedName name="Prop15Name3">Sheet1!$CE$228</definedName>
    <definedName name="Prop15Name4">Sheet1!$CE$229</definedName>
    <definedName name="Prop15State">Sheet1!$AO$225</definedName>
    <definedName name="Prop15TaxingEntity1">Sheet1!$BJ$226</definedName>
    <definedName name="Prop15TaxingEntity2">Sheet1!$BJ$227</definedName>
    <definedName name="Prop15TaxingEntity3">Sheet1!$BJ$228</definedName>
    <definedName name="Prop15TaxingEntity4">Sheet1!$BJ$229</definedName>
    <definedName name="Prop15TaxLiens">Sheet1!$AR$227</definedName>
    <definedName name="Prop15TaxLoan">Sheet1!$K$228</definedName>
    <definedName name="Prop15TaxLoanWith">Sheet1!$S$228</definedName>
    <definedName name="Prop15TDHCA">Sheet1!$BD$228</definedName>
    <definedName name="Prop15Title1">Sheet1!$CO$226</definedName>
    <definedName name="Prop15Title2">Sheet1!$CO$227</definedName>
    <definedName name="Prop15Title3">Sheet1!$CO$228</definedName>
    <definedName name="Prop15Title4">Sheet1!$CO$229</definedName>
    <definedName name="Prop15TotalAmountDue">DropdownInfo!$M$90</definedName>
    <definedName name="Prop15Years1">Sheet1!$DA$226</definedName>
    <definedName name="Prop15Years2">Sheet1!$DA$227</definedName>
    <definedName name="Prop15Years3">Sheet1!$DA$228</definedName>
    <definedName name="Prop15Years4">Sheet1!$DA$229</definedName>
    <definedName name="Prop15ZIP">Sheet1!$AX$225</definedName>
    <definedName name="Prop16AccountNumber1">Sheet1!$BV$237</definedName>
    <definedName name="Prop16AccountNumber2">Sheet1!$BV$238</definedName>
    <definedName name="Prop16AccountNumber3">Sheet1!$BV$239</definedName>
    <definedName name="Prop16AccountNumber4">Sheet1!$BV$240</definedName>
    <definedName name="Prop16Address">Sheet1!$J$236</definedName>
    <definedName name="Prop16AmountDue1">Sheet1!$DK$237</definedName>
    <definedName name="Prop16AmountDue2">Sheet1!$DK$238</definedName>
    <definedName name="Prop16AmountDue3">Sheet1!$DK$239</definedName>
    <definedName name="Prop16AmountDue4">Sheet1!$DK$240</definedName>
    <definedName name="Prop16Attached">Sheet1!$BD$238</definedName>
    <definedName name="Prop16CADImprovementValue">Sheet1!$AI$237</definedName>
    <definedName name="Prop16CADLandValue">Sheet1!$U$237</definedName>
    <definedName name="Prop16Cause">Sheet1!$AR$240</definedName>
    <definedName name="Prop16City">Sheet1!$AB$236</definedName>
    <definedName name="Prop16County">Sheet1!$F$237</definedName>
    <definedName name="Prop16FDate">Sheet1!$S$240</definedName>
    <definedName name="Prop16Foreclosure">Sheet1!$K$240</definedName>
    <definedName name="Prop16HKValue">Sheet1!$AT$237</definedName>
    <definedName name="Prop16Info">Sheet1!$J$236,Sheet1!$AB$236,Sheet1!$AO$236,Sheet1!$AX$236,Sheet1!$F$237,Sheet1!$U$237,Sheet1!$AI$237,Sheet1!$AT$237,Sheet1!$BD$237:$BE$239,Sheet1!$AR$238:$AW$239,Sheet1!$AR$240,Sheet1!$AE$239:$AI$240,Sheet1!$S$238:$W$240,Sheet1!$K$238:$L$240,Sheet1!$J$241,Sheet1!$BJ$237:$DR$240</definedName>
    <definedName name="Prop16Lawsuit">Sheet1!$AE$240</definedName>
    <definedName name="Prop16Legal">Sheet1!$J$241</definedName>
    <definedName name="Prop16LegalA">DropdownInfo!$M$63</definedName>
    <definedName name="Prop16LegalB">DropdownInfo!$N$63</definedName>
    <definedName name="Prop16LoanBalance">Sheet1!$AR$239</definedName>
    <definedName name="Prop16LoanDate">Sheet1!$AE$239</definedName>
    <definedName name="Prop16MobileHome">Sheet1!$BD$237</definedName>
    <definedName name="Prop16MortgageHolder">Sheet1!$K$238</definedName>
    <definedName name="Prop16MortgageWith">Sheet1!$S$238</definedName>
    <definedName name="Prop16Name1">Sheet1!$CE$237</definedName>
    <definedName name="Prop16Name2">Sheet1!$CE$238</definedName>
    <definedName name="Prop16Name3">Sheet1!$CE$239</definedName>
    <definedName name="Prop16Name4">Sheet1!$CE$240</definedName>
    <definedName name="Prop16State">Sheet1!$AO$236</definedName>
    <definedName name="Prop16TaxingEntity1">Sheet1!$BJ$237</definedName>
    <definedName name="Prop16TaxingEntity2">Sheet1!$BJ$238</definedName>
    <definedName name="Prop16TaxingEntity3">Sheet1!$BJ$239</definedName>
    <definedName name="Prop16TaxingEntity4">Sheet1!$BJ$240</definedName>
    <definedName name="Prop16TaxLiens">Sheet1!$AR$238</definedName>
    <definedName name="Prop16TaxLoan">Sheet1!$K$239</definedName>
    <definedName name="Prop16TaxLoanWith">Sheet1!$S$239</definedName>
    <definedName name="Prop16TDHCA">Sheet1!$BD$239</definedName>
    <definedName name="Prop16Title1">Sheet1!$CO$237</definedName>
    <definedName name="Prop16Title2">Sheet1!$CO$238</definedName>
    <definedName name="Prop16Title3">Sheet1!$CO$239</definedName>
    <definedName name="Prop16Title4">Sheet1!$CO$240</definedName>
    <definedName name="Prop16TotalAmountDue">DropdownInfo!$M$91</definedName>
    <definedName name="Prop16Years1">Sheet1!$DA$237</definedName>
    <definedName name="Prop16Years2">Sheet1!$DA$238</definedName>
    <definedName name="Prop16Years3">Sheet1!$DA$239</definedName>
    <definedName name="Prop16Years4">Sheet1!$DA$240</definedName>
    <definedName name="Prop16ZIP">Sheet1!$AX$236</definedName>
    <definedName name="Prop17AccountNumber1">Sheet1!$BV$248</definedName>
    <definedName name="Prop17AccountNumber2">Sheet1!$BV$249</definedName>
    <definedName name="Prop17AccountNumber3">Sheet1!$BV$250</definedName>
    <definedName name="Prop17AccountNumber4">Sheet1!$BV$251</definedName>
    <definedName name="Prop17Address">Sheet1!$J$247</definedName>
    <definedName name="Prop17AmountDue1">Sheet1!$DK$248</definedName>
    <definedName name="Prop17AmountDue2">Sheet1!$DK$249</definedName>
    <definedName name="Prop17AmountDue3">Sheet1!$DK$250</definedName>
    <definedName name="Prop17AmountDue4">Sheet1!$DK$251</definedName>
    <definedName name="Prop17Attached">Sheet1!$BD$249</definedName>
    <definedName name="Prop17CADImprovementValue">Sheet1!$AI$248</definedName>
    <definedName name="Prop17CADLandValue">Sheet1!$U$248</definedName>
    <definedName name="Prop17Cause">Sheet1!$AR$251</definedName>
    <definedName name="Prop17City">Sheet1!$AB$247</definedName>
    <definedName name="Prop17County">Sheet1!$F$248</definedName>
    <definedName name="Prop17FDate">Sheet1!$S$251</definedName>
    <definedName name="Prop17Foreclosure">Sheet1!$K$251</definedName>
    <definedName name="Prop17HKValue">Sheet1!$AT$248</definedName>
    <definedName name="Prop17Info">Sheet1!$J$247,Sheet1!$AB$247,Sheet1!$AO$247,Sheet1!$AX$247,Sheet1!$F$248,Sheet1!$U$248,Sheet1!$AI$248,Sheet1!$AT$248,Sheet1!$BD$248:$BE$250,Sheet1!$AR$249:$AW$250,Sheet1!$AR$251,Sheet1!$AE$250:$AI$251,Sheet1!$S$249:$W$251,Sheet1!$K$249:$L$251,Sheet1!$J$252,Sheet1!$BJ$248:$DR$251</definedName>
    <definedName name="Prop17Lawsuit">Sheet1!$AE$251</definedName>
    <definedName name="Prop17Legal">Sheet1!$J$252</definedName>
    <definedName name="Prop17LegalA">DropdownInfo!$M$64</definedName>
    <definedName name="Prop17LegalB">DropdownInfo!$N$64</definedName>
    <definedName name="Prop17LoanBalance">Sheet1!$AR$250</definedName>
    <definedName name="Prop17LoanDate">Sheet1!$AE$250</definedName>
    <definedName name="Prop17MobileHome">Sheet1!$BD$248</definedName>
    <definedName name="Prop17MortgageHolder">Sheet1!$K$249</definedName>
    <definedName name="Prop17MortgageWIth">Sheet1!$S$249</definedName>
    <definedName name="Prop17Name1">Sheet1!$CE$248</definedName>
    <definedName name="Prop17Name2">Sheet1!$CE$249</definedName>
    <definedName name="Prop17Name3">Sheet1!$CE$250</definedName>
    <definedName name="Prop17Name4">Sheet1!$CE$251</definedName>
    <definedName name="Prop17State">Sheet1!$AO$247</definedName>
    <definedName name="Prop17TaxingEntity1">Sheet1!$BJ$248</definedName>
    <definedName name="Prop17TaxingEntity2">Sheet1!$BJ$249</definedName>
    <definedName name="Prop17TaxingEntity3">Sheet1!$BJ$250</definedName>
    <definedName name="Prop17TaxingEntity4">Sheet1!$BJ$251</definedName>
    <definedName name="Prop17TaxLiens">Sheet1!$AR$249</definedName>
    <definedName name="Prop17TaxLoan">Sheet1!$K$250</definedName>
    <definedName name="Prop17TaxLoanWith">Sheet1!$S$250</definedName>
    <definedName name="Prop17TDHCA">Sheet1!$BD$250</definedName>
    <definedName name="Prop17Title1">Sheet1!$CO$248</definedName>
    <definedName name="Prop17Title2">Sheet1!$CO$249</definedName>
    <definedName name="Prop17Title3">Sheet1!$CO$250</definedName>
    <definedName name="Prop17Title4">Sheet1!$CO$251</definedName>
    <definedName name="Prop17TotalAmountDue">DropdownInfo!$M$92</definedName>
    <definedName name="Prop17Years1">Sheet1!$DA$248</definedName>
    <definedName name="Prop17Years2">Sheet1!$DA$249</definedName>
    <definedName name="Prop17Years3">Sheet1!$DA$250</definedName>
    <definedName name="Prop17Years4">Sheet1!$DA$251</definedName>
    <definedName name="Prop17ZIP">Sheet1!$AX$247</definedName>
    <definedName name="Prop18AccountNumber1">Sheet1!$BV$259</definedName>
    <definedName name="Prop18AccountNumber2">Sheet1!$BV$260</definedName>
    <definedName name="Prop18AccountNumber3">Sheet1!$BV$261</definedName>
    <definedName name="Prop18AccountNumber4">Sheet1!$BV$262</definedName>
    <definedName name="Prop18Address">Sheet1!$J$258</definedName>
    <definedName name="Prop18AmountDue1">Sheet1!$DK$259</definedName>
    <definedName name="Prop18AmountDue2">Sheet1!$DK$260</definedName>
    <definedName name="Prop18AmountDue3">Sheet1!$DK$261</definedName>
    <definedName name="Prop18AmountDue4">Sheet1!$DK$262</definedName>
    <definedName name="Prop18Attached">Sheet1!$BD$260</definedName>
    <definedName name="Prop18CADImprovementValue">Sheet1!$AI$259</definedName>
    <definedName name="Prop18CADLandValue">Sheet1!$U$259</definedName>
    <definedName name="Prop18Cause">Sheet1!$AR$262</definedName>
    <definedName name="Prop18City">Sheet1!$AB$258</definedName>
    <definedName name="Prop18County">Sheet1!$F$259</definedName>
    <definedName name="Prop18FDate">Sheet1!$S$262</definedName>
    <definedName name="Prop18Foreclosure">Sheet1!$K$262</definedName>
    <definedName name="Prop18HKValue">Sheet1!$AT$259</definedName>
    <definedName name="Prop18Info">Sheet1!$J$258,Sheet1!$AB$258,Sheet1!$AO$258,Sheet1!$AX$258,Sheet1!$F$259,Sheet1!$U$259,Sheet1!$AI$259,Sheet1!$AT$259,Sheet1!$BD$259:$BE$261,Sheet1!$AR$260,Sheet1!$AR$261,Sheet1!$AR$262,Sheet1!$AE$261:$AI$262,Sheet1!$S$260:$W$262,Sheet1!$K$260:$L$262,Sheet1!$J$263,Sheet1!$BJ$259:$DR$262</definedName>
    <definedName name="Prop18Lawsuit">Sheet1!$AE$262</definedName>
    <definedName name="Prop18Legal">Sheet1!$J$263</definedName>
    <definedName name="Prop18LegalA">DropdownInfo!$M$65</definedName>
    <definedName name="Prop18LegalB">DropdownInfo!$N$65</definedName>
    <definedName name="Prop18LoanBalance">Sheet1!$AR$261</definedName>
    <definedName name="Prop18LoanDate">Sheet1!$AE$261</definedName>
    <definedName name="Prop18MobileHome">Sheet1!$BD$259</definedName>
    <definedName name="Prop18MortgageHolder">Sheet1!$K$260</definedName>
    <definedName name="Prop18MortgageWith">Sheet1!$S$260</definedName>
    <definedName name="Prop18Name1">Sheet1!$CE$259</definedName>
    <definedName name="Prop18Name2">Sheet1!$CE$260</definedName>
    <definedName name="Prop18Name3">Sheet1!$CE$261</definedName>
    <definedName name="Prop18Name4">Sheet1!$CE$262</definedName>
    <definedName name="Prop18State">Sheet1!$AO$258</definedName>
    <definedName name="Prop18TaxingEntity1">Sheet1!$BJ$259</definedName>
    <definedName name="Prop18TaxingEntity2">Sheet1!$BJ$260</definedName>
    <definedName name="Prop18TaxingEntity3">Sheet1!$BJ$261</definedName>
    <definedName name="Prop18TaxingEntity4">Sheet1!$BJ$262</definedName>
    <definedName name="Prop18TaxLiens">Sheet1!$AR$260</definedName>
    <definedName name="Prop18TaxLoan">Sheet1!$K$261</definedName>
    <definedName name="Prop18TaxLoanWith">Sheet1!$S$261</definedName>
    <definedName name="Prop18TDHCA">Sheet1!$BD$261</definedName>
    <definedName name="Prop18Title1">Sheet1!$CO$259</definedName>
    <definedName name="Prop18Title2">Sheet1!$CO$260</definedName>
    <definedName name="Prop18Title3">Sheet1!$CO$261</definedName>
    <definedName name="Prop18Title4">Sheet1!$CO$262</definedName>
    <definedName name="Prop18TotalAmountDue">DropdownInfo!$M$93</definedName>
    <definedName name="Prop18Years1">Sheet1!$DA$259</definedName>
    <definedName name="Prop18Years2">Sheet1!$DA$260</definedName>
    <definedName name="Prop18Years3">Sheet1!$DA$261</definedName>
    <definedName name="Prop18Years4">Sheet1!$DA$262</definedName>
    <definedName name="Prop18ZIP">Sheet1!$AX$258</definedName>
    <definedName name="Prop19AccountNumber1">Sheet1!$BV$270</definedName>
    <definedName name="Prop19AccountNumber2">Sheet1!$BV$271</definedName>
    <definedName name="Prop19AccountNumber3">Sheet1!$BV$272</definedName>
    <definedName name="Prop19AccountNumber4">Sheet1!$BV$273</definedName>
    <definedName name="Prop19Address">Sheet1!$J$269</definedName>
    <definedName name="Prop19AmountDue1">Sheet1!$DK$270</definedName>
    <definedName name="Prop19AmountDue2">Sheet1!$DK$271</definedName>
    <definedName name="Prop19AmountDue3">Sheet1!$DK$272</definedName>
    <definedName name="Prop19AmountDue4">Sheet1!$DK$273</definedName>
    <definedName name="Prop19Attached">Sheet1!$BD$271</definedName>
    <definedName name="Prop19CADImprovementValue">Sheet1!$AI$270</definedName>
    <definedName name="Prop19CADLandValue">Sheet1!$U$270</definedName>
    <definedName name="Prop19Cause">Sheet1!$AR$273</definedName>
    <definedName name="Prop19City">Sheet1!$AB$269</definedName>
    <definedName name="Prop19County">Sheet1!$F$270</definedName>
    <definedName name="Prop19FDate">Sheet1!$S$273</definedName>
    <definedName name="Prop19Foreclosure">Sheet1!$K$273</definedName>
    <definedName name="Prop19HKValue">Sheet1!$AT$270</definedName>
    <definedName name="Prop19Info">Sheet1!$J$269,Sheet1!$AB$269,Sheet1!$AO$269,Sheet1!$AX$269,Sheet1!$F$270,Sheet1!$U$270,Sheet1!$AI$270,Sheet1!$AT$270,Sheet1!$BD$270:$BE$272,Sheet1!$AR$273,Sheet1!$AR$271:$AW$272,Sheet1!$AE$272:$AI$273,Sheet1!$S$271:$W$273,Sheet1!$K$271:$L$273,Sheet1!$J$274,Sheet1!$BJ$270:$DR$273</definedName>
    <definedName name="Prop19Lawsuit">Sheet1!$AE$273</definedName>
    <definedName name="Prop19Legal">Sheet1!$J$274</definedName>
    <definedName name="Prop19LegalA">DropdownInfo!$M$66</definedName>
    <definedName name="Prop19LegalB">DropdownInfo!$N$66</definedName>
    <definedName name="Prop19LoanBalance">Sheet1!$AR$272</definedName>
    <definedName name="Prop19LoanDate">Sheet1!$AE$272</definedName>
    <definedName name="Prop19MobileHome">Sheet1!$BD$270</definedName>
    <definedName name="Prop19MortgageHolder">Sheet1!$K$271</definedName>
    <definedName name="Prop19MortgageWith">Sheet1!$S$271</definedName>
    <definedName name="Prop19Name1">Sheet1!$CE$270</definedName>
    <definedName name="Prop19Name2">Sheet1!$CE$271</definedName>
    <definedName name="Prop19Name3">Sheet1!$CE$272</definedName>
    <definedName name="Prop19Name4">Sheet1!$CE$273</definedName>
    <definedName name="Prop19State">Sheet1!$AO$269</definedName>
    <definedName name="Prop19TaxingEntity1">Sheet1!$BJ$270</definedName>
    <definedName name="Prop19TaxingEntity2">Sheet1!$BJ$271</definedName>
    <definedName name="Prop19TaxingEntity3">Sheet1!$BJ$272</definedName>
    <definedName name="Prop19TaxingEntity4">Sheet1!$BJ$273</definedName>
    <definedName name="Prop19TaxLiens">Sheet1!$AR$271</definedName>
    <definedName name="Prop19TaxLoan">Sheet1!$K$272</definedName>
    <definedName name="Prop19TaxLoanWith">Sheet1!$S$272</definedName>
    <definedName name="Prop19TDHCA">Sheet1!$BD$272</definedName>
    <definedName name="Prop19Title1">Sheet1!$CO$270</definedName>
    <definedName name="Prop19Title2">Sheet1!$CO$271</definedName>
    <definedName name="Prop19Title3">Sheet1!$CO$272</definedName>
    <definedName name="Prop19Title4">Sheet1!$CO$273</definedName>
    <definedName name="Prop19TotalAmountDue">DropdownInfo!$M$94</definedName>
    <definedName name="Prop19Years1">Sheet1!$DA$270</definedName>
    <definedName name="Prop19Years2">Sheet1!$DA$271</definedName>
    <definedName name="Prop19Years3">Sheet1!$DA$272</definedName>
    <definedName name="Prop19Years4">Sheet1!$DA$273</definedName>
    <definedName name="Prop19ZIP">Sheet1!$AX$269</definedName>
    <definedName name="Prop1AccountNumber1">Sheet1!$BV$72</definedName>
    <definedName name="Prop1AccountNumber2">Sheet1!$BV$73</definedName>
    <definedName name="Prop1AccountNumber3">Sheet1!$BV$74</definedName>
    <definedName name="Prop1AccountNumber4">Sheet1!$BV$75</definedName>
    <definedName name="Prop1Address">Sheet1!$J$71</definedName>
    <definedName name="Prop1AmountDue1">Sheet1!$DK$72</definedName>
    <definedName name="Prop1AmountDue2">Sheet1!$DK$73</definedName>
    <definedName name="Prop1AmountDue3">Sheet1!$DK$74</definedName>
    <definedName name="Prop1AmountDue4">Sheet1!$DK$75</definedName>
    <definedName name="Prop1Attached">Sheet1!$BD$73</definedName>
    <definedName name="Prop1CADLandValue">Sheet1!$U$72</definedName>
    <definedName name="Prop1CADTotal">Sheet1!$AI$72</definedName>
    <definedName name="Prop1Cause">Sheet1!$AR$75</definedName>
    <definedName name="Prop1City">Sheet1!$AB$71</definedName>
    <definedName name="Prop1County">Sheet1!$F$72</definedName>
    <definedName name="Prop1FDate">Sheet1!$S$75</definedName>
    <definedName name="Prop1Foreclosure">Sheet1!$K$75</definedName>
    <definedName name="Prop1HKValue">Sheet1!$AT$72</definedName>
    <definedName name="Prop1Info">Sheet1!$J$71,Sheet1!$AB$71,Sheet1!$AO$71,Sheet1!$AX$71,Sheet1!$F$72,Sheet1!$U$72,Sheet1!$AI$72,Sheet1!$AT$72,Sheet1!$BD$72:$BE$74,Sheet1!$AR$75,Sheet1!$AR$73:$AW$74,Sheet1!$AE$74:$AI$75,Sheet1!$S$73:$W$75,Sheet1!$K$73:$L$75,Sheet1!$J$76,Sheet1!$BJ$72:$DR$75</definedName>
    <definedName name="Prop1Lawsuit">Sheet1!$AE$75</definedName>
    <definedName name="Prop1Legal">Sheet1!$J$76</definedName>
    <definedName name="Prop1LegalA">DropdownInfo!$M$48</definedName>
    <definedName name="Prop1LegalB">DropdownInfo!$N$48</definedName>
    <definedName name="Prop1LoanBalance">Sheet1!$AR$74</definedName>
    <definedName name="Prop1LoanDate">Sheet1!$AE$74</definedName>
    <definedName name="Prop1MobileHome">Sheet1!$BD$72</definedName>
    <definedName name="Prop1MortgageHolder">Sheet1!$K$73</definedName>
    <definedName name="Prop1MortgageWith">Sheet1!$S$73</definedName>
    <definedName name="Prop1Name1">Sheet1!$CE$72</definedName>
    <definedName name="Prop1Name2">Sheet1!$CE$73</definedName>
    <definedName name="Prop1Name3">Sheet1!$CE$74</definedName>
    <definedName name="Prop1Name4">Sheet1!$CE$75</definedName>
    <definedName name="Prop1State">Sheet1!$AO$71</definedName>
    <definedName name="Prop1TaxingEntity1">Sheet1!$BJ$72</definedName>
    <definedName name="Prop1TaxingEntity2">Sheet1!$BJ$73</definedName>
    <definedName name="Prop1TaxingEntity3">Sheet1!$BJ$74</definedName>
    <definedName name="Prop1TaxingEntity4">Sheet1!$BJ$75</definedName>
    <definedName name="Prop1TaxLiens">Sheet1!$AR$73</definedName>
    <definedName name="Prop1TaxLoan">Sheet1!$K$74</definedName>
    <definedName name="Prop1TaxLoanWith">Sheet1!$S$74</definedName>
    <definedName name="Prop1TDHCA">Sheet1!$BD$74</definedName>
    <definedName name="Prop1Title1">Sheet1!$CO$72</definedName>
    <definedName name="Prop1Title2">Sheet1!$CO$73</definedName>
    <definedName name="Prop1Title3">Sheet1!$CO$74</definedName>
    <definedName name="Prop1Title4">Sheet1!$CO$75</definedName>
    <definedName name="Prop1TotalAmountDue">DropdownInfo!$M$76</definedName>
    <definedName name="Prop1Years1">Sheet1!$DA$72</definedName>
    <definedName name="Prop1Years2">Sheet1!$DA$73</definedName>
    <definedName name="Prop1Years3">Sheet1!$DA$74</definedName>
    <definedName name="Prop1Years4">Sheet1!$DA$75</definedName>
    <definedName name="Prop1ZIP">Sheet1!$AX$71</definedName>
    <definedName name="Prop20AccountNumber1">Sheet1!$BV$281</definedName>
    <definedName name="Prop20AccountNumber2">Sheet1!$BV$282</definedName>
    <definedName name="Prop20AccountNumber3">Sheet1!$BV$283</definedName>
    <definedName name="Prop20AccountNumber4">Sheet1!$BV$284</definedName>
    <definedName name="Prop20Address">Sheet1!$J$280</definedName>
    <definedName name="Prop20AmountDue1">Sheet1!$DK$281</definedName>
    <definedName name="Prop20AmountDue2">Sheet1!$DK$282</definedName>
    <definedName name="Prop20AmountDue3">Sheet1!$DK$283</definedName>
    <definedName name="Prop20AmountDue4">Sheet1!$DK$284</definedName>
    <definedName name="Prop20Attached">Sheet1!$BD$282</definedName>
    <definedName name="Prop20CADImprovementValue">Sheet1!$AI$281</definedName>
    <definedName name="Prop20CADLandValue">Sheet1!$U$281</definedName>
    <definedName name="Prop20Cause">Sheet1!$AR$284</definedName>
    <definedName name="Prop20City">Sheet1!$AO$280</definedName>
    <definedName name="Prop20County">Sheet1!$F$281</definedName>
    <definedName name="Prop20FDate">Sheet1!$S$284</definedName>
    <definedName name="Prop20Foreclosure">Sheet1!$K$284</definedName>
    <definedName name="Prop20HKValue">Sheet1!$AT$281</definedName>
    <definedName name="Prop20Info">Sheet1!$J$280,Sheet1!$AB$280,Sheet1!$AO$280,Sheet1!$AX$280,Sheet1!$F$281,Sheet1!$U$281,Sheet1!$AI$281,Sheet1!$AT$281,Sheet1!$BD$281:$BE$283,Sheet1!$AR$284,Sheet1!$AR$282:$AW$283,Sheet1!$AE$283:$AI$284,Sheet1!$S$282:$W$284,Sheet1!$K$282:$L$284,Sheet1!$J$285,Sheet1!$BJ$281:$DR$284</definedName>
    <definedName name="Prop20Lawsuit">Sheet1!$AE$284</definedName>
    <definedName name="Prop20Legal">Sheet1!$J$285</definedName>
    <definedName name="Prop20LegalA">DropdownInfo!$M$67</definedName>
    <definedName name="Prop20LegalB">DropdownInfo!$N$67</definedName>
    <definedName name="Prop20LoanBalance">Sheet1!$AR$283</definedName>
    <definedName name="Prop20LoanDate">Sheet1!$AE$283</definedName>
    <definedName name="Prop20MobileHome">Sheet1!$BD$281</definedName>
    <definedName name="Prop20MortgageHolder">Sheet1!$K$282</definedName>
    <definedName name="Prop20MortgageWith">Sheet1!$S$282</definedName>
    <definedName name="Prop20Name1">Sheet1!$CE$281</definedName>
    <definedName name="Prop20Name2">Sheet1!$CE$282</definedName>
    <definedName name="Prop20Name3">Sheet1!$CE$283</definedName>
    <definedName name="Prop20Name4">Sheet1!$CE$284</definedName>
    <definedName name="Prop20State">Sheet1!$AO$280</definedName>
    <definedName name="Prop20TaxingEntity1">Sheet1!$BJ$281</definedName>
    <definedName name="Prop20TaxingEntity2">Sheet1!$BJ$282</definedName>
    <definedName name="Prop20TaxingEntity3">Sheet1!$BJ$283</definedName>
    <definedName name="Prop20TaxingEntity4">Sheet1!$BJ$284</definedName>
    <definedName name="Prop20TaxLiens">Sheet1!$AR$282</definedName>
    <definedName name="Prop20TaxLoan">Sheet1!$K$283</definedName>
    <definedName name="Prop20TaxLoanWith">Sheet1!$S$283</definedName>
    <definedName name="Prop20TDHCA">Sheet1!$BD$283</definedName>
    <definedName name="Prop20Title1">Sheet1!$CO$281</definedName>
    <definedName name="Prop20Title2">Sheet1!$CO$282</definedName>
    <definedName name="Prop20Title3">Sheet1!$CO$283</definedName>
    <definedName name="Prop20Title4">Sheet1!$CO$284</definedName>
    <definedName name="Prop20TotalAmountDue">DropdownInfo!$M$95</definedName>
    <definedName name="Prop20Years1">Sheet1!$DA$281</definedName>
    <definedName name="Prop20Years2">Sheet1!$DA$282</definedName>
    <definedName name="Prop20Years3">Sheet1!$DA$283</definedName>
    <definedName name="Prop20Years4">Sheet1!$DA$284</definedName>
    <definedName name="Prop20ZIP">Sheet1!$AX$280</definedName>
    <definedName name="Prop21AccountNumber1">Sheet1!$BV$292</definedName>
    <definedName name="Prop21AccountNumber2">Sheet1!$BV$293</definedName>
    <definedName name="Prop21AccountNumber3">Sheet1!$BV$294</definedName>
    <definedName name="Prop21AccountNumber4">Sheet1!$BV$295</definedName>
    <definedName name="Prop21Address">Sheet1!$J$291</definedName>
    <definedName name="Prop21AmountDue1">Sheet1!$DK$292</definedName>
    <definedName name="Prop21AmountDue2">Sheet1!$DK$293</definedName>
    <definedName name="Prop21AmountDue3">Sheet1!$DK$294</definedName>
    <definedName name="Prop21AmountDue4">Sheet1!$DK$295</definedName>
    <definedName name="Prop21Attached">Sheet1!$BD$293</definedName>
    <definedName name="Prop21CADImprovementValue">Sheet1!$AI$292</definedName>
    <definedName name="Prop21CADLandValue">Sheet1!$U$292</definedName>
    <definedName name="Prop21Cause">Sheet1!$AR$295</definedName>
    <definedName name="Prop21City">Sheet1!$AB$291</definedName>
    <definedName name="Prop21County">Sheet1!$F$292</definedName>
    <definedName name="Prop21FDate">Sheet1!$S$295</definedName>
    <definedName name="Prop21Foreclosure">Sheet1!$K$295</definedName>
    <definedName name="Prop21HKValue">Sheet1!$AT$292</definedName>
    <definedName name="Prop21Info">Sheet1!$J$291,Sheet1!$AB$291,Sheet1!$AO$291,Sheet1!$AX$291,Sheet1!$F$292,Sheet1!$U$292,Sheet1!$AI$292,Sheet1!$AT$292,Sheet1!$BD$292:$BE$294,Sheet1!$AR$295,Sheet1!$AR$293:$AW$294,Sheet1!$AE$294:$AI$295,Sheet1!$S$293:$W$295,Sheet1!$K$293:$L$295,Sheet1!$J$296,Sheet1!$BJ$292:$DR$295</definedName>
    <definedName name="Prop21Lawsuit">Sheet1!$AE$295</definedName>
    <definedName name="Prop21Legal">Sheet1!$J$296</definedName>
    <definedName name="Prop21LegalA">DropdownInfo!$M$68</definedName>
    <definedName name="Prop21LegalB">DropdownInfo!$N$68</definedName>
    <definedName name="Prop21LoanBalance">Sheet1!$AR$294</definedName>
    <definedName name="Prop21LoanDate">Sheet1!$AE$294</definedName>
    <definedName name="Prop21MobileHome">Sheet1!$BD$292</definedName>
    <definedName name="Prop21MortgageHolder">Sheet1!$K$293</definedName>
    <definedName name="Prop21MortgageWith">Sheet1!$S$293</definedName>
    <definedName name="Prop21Name1">Sheet1!$CE$292</definedName>
    <definedName name="Prop21Name2">Sheet1!$CE$293</definedName>
    <definedName name="Prop21Name3">Sheet1!$CE$294</definedName>
    <definedName name="Prop21Name4">Sheet1!$CE$295</definedName>
    <definedName name="Prop21State">Sheet1!$AO$291</definedName>
    <definedName name="Prop21TaxingEntity1">Sheet1!$BJ$292</definedName>
    <definedName name="Prop21TaxingEntity2">Sheet1!$BJ$293</definedName>
    <definedName name="Prop21TaxingEntity3">Sheet1!$BJ$294</definedName>
    <definedName name="Prop21TaxingEntity4">Sheet1!$BJ$295</definedName>
    <definedName name="Prop21TaxLiens">Sheet1!$AR$293</definedName>
    <definedName name="Prop21TaxLoan">Sheet1!$K$294</definedName>
    <definedName name="Prop21TaxLoanWith">Sheet1!$S$294</definedName>
    <definedName name="Prop21TDHCA">Sheet1!$BD$294</definedName>
    <definedName name="Prop21Title1">Sheet1!$CO$292</definedName>
    <definedName name="Prop21Title2">Sheet1!$CO$293</definedName>
    <definedName name="Prop21Title3">Sheet1!$CO$294</definedName>
    <definedName name="Prop21Title4">Sheet1!$CO$295</definedName>
    <definedName name="Prop21TotalAmountDue">DropdownInfo!$M$96</definedName>
    <definedName name="Prop21Years1">Sheet1!$DA$292</definedName>
    <definedName name="Prop21Years2">Sheet1!$DA$293</definedName>
    <definedName name="Prop21Years3">Sheet1!$DA$294</definedName>
    <definedName name="Prop21Years4">Sheet1!$DA$295</definedName>
    <definedName name="Prop21ZIP">Sheet1!$AX$291</definedName>
    <definedName name="Prop22AccountNumber1">Sheet1!$BV$303</definedName>
    <definedName name="Prop22AccountNumber2">Sheet1!$BV$304</definedName>
    <definedName name="Prop22AccountNumber3">Sheet1!$BV$305</definedName>
    <definedName name="Prop22AccountNumber4">Sheet1!$BV$306</definedName>
    <definedName name="Prop22Address">Sheet1!$J$302</definedName>
    <definedName name="Prop22AmountDue1">Sheet1!$DK$303</definedName>
    <definedName name="Prop22AmountDue2">Sheet1!$DK$304</definedName>
    <definedName name="Prop22AmountDue3">Sheet1!$DK$305</definedName>
    <definedName name="Prop22AmountDue4">Sheet1!$DK$306</definedName>
    <definedName name="Prop22Attached">Sheet1!$BD$304</definedName>
    <definedName name="Prop22CADImprovementValue">Sheet1!$AI$303</definedName>
    <definedName name="Prop22CADLandValue">Sheet1!$U$303</definedName>
    <definedName name="Prop22Cause">Sheet1!$AR$306</definedName>
    <definedName name="Prop22City">Sheet1!$AB$302</definedName>
    <definedName name="Prop22County">Sheet1!$F$303</definedName>
    <definedName name="Prop22FDate">Sheet1!$S$306</definedName>
    <definedName name="Prop22Foreclosure">Sheet1!$K$306</definedName>
    <definedName name="Prop22HKValue">Sheet1!$AT$303</definedName>
    <definedName name="Prop22Info">Sheet1!$J$302,Sheet1!$AB$302,Sheet1!$AO$302,Sheet1!$AX$302,Sheet1!$F$303,Sheet1!$U$303,Sheet1!$AI$303,Sheet1!$AT$303,Sheet1!$BD$303:$BE$305,Sheet1!$AR$306,Sheet1!$AR$304:$AW$305,Sheet1!$AE$305:$AI$306,Sheet1!$S$304:$W$306,Sheet1!$K$304:$L$306,Sheet1!$J$307,Sheet1!$BJ$303:$DR$306</definedName>
    <definedName name="Prop22Lawsuit">Sheet1!$AE$306</definedName>
    <definedName name="Prop22Legal">Sheet1!$J$307</definedName>
    <definedName name="Prop22LegalA">DropdownInfo!$M$69</definedName>
    <definedName name="Prop22LegalB">DropdownInfo!$N$69</definedName>
    <definedName name="Prop22LoanBalance">Sheet1!$AR$305</definedName>
    <definedName name="Prop22LoanDate">Sheet1!$AE$305</definedName>
    <definedName name="Prop22MobileHome">Sheet1!$BD$303</definedName>
    <definedName name="Prop22MortgageHolder">Sheet1!$K$304</definedName>
    <definedName name="Prop22MortgageWith">Sheet1!$S$304</definedName>
    <definedName name="Prop22Name1">Sheet1!$CE$303</definedName>
    <definedName name="Prop22Name2">Sheet1!$CE$304</definedName>
    <definedName name="Prop22Name3">Sheet1!$CE$305</definedName>
    <definedName name="Prop22Name4">Sheet1!$CE$306</definedName>
    <definedName name="Prop22State">Sheet1!$AO$302</definedName>
    <definedName name="Prop22TaxingEntity1">Sheet1!$BJ$303</definedName>
    <definedName name="Prop22TaxingEntity2">Sheet1!$BJ$304</definedName>
    <definedName name="Prop22TaxingEntity3">Sheet1!$BJ$305</definedName>
    <definedName name="Prop22TaxingEntity4">Sheet1!$BJ$306</definedName>
    <definedName name="Prop22TaxLiens">Sheet1!$AR$304</definedName>
    <definedName name="Prop22TaxLoan">Sheet1!$K$305</definedName>
    <definedName name="Prop22TaxLoanWith">Sheet1!$S$305</definedName>
    <definedName name="Prop22TDHCA">Sheet1!$BD$305</definedName>
    <definedName name="Prop22Title1">Sheet1!$CO$303</definedName>
    <definedName name="Prop22Title2">Sheet1!$CO$304</definedName>
    <definedName name="Prop22Title3">Sheet1!$CO$305</definedName>
    <definedName name="Prop22Title4">Sheet1!$CO$306</definedName>
    <definedName name="Prop22TotalAmountDue">DropdownInfo!$M$97</definedName>
    <definedName name="Prop22Years1">Sheet1!$DA$303</definedName>
    <definedName name="Prop22Years2">Sheet1!$DA$304</definedName>
    <definedName name="Prop22Years3">Sheet1!$DA$305</definedName>
    <definedName name="Prop22Years4">Sheet1!$DA$306</definedName>
    <definedName name="Prop22ZIP">Sheet1!$AX$302</definedName>
    <definedName name="Prop23AccountNumber1">Sheet1!$BV$314</definedName>
    <definedName name="Prop23AccountNumber2">Sheet1!$BV$315</definedName>
    <definedName name="Prop23AccountNumber3">Sheet1!$BV$316</definedName>
    <definedName name="Prop23AccountNumber4">Sheet1!$BV$317</definedName>
    <definedName name="Prop23Address">Sheet1!$J$313</definedName>
    <definedName name="Prop23AmountDue1">Sheet1!$DK$314</definedName>
    <definedName name="Prop23AmountDue2">Sheet1!$DK$315</definedName>
    <definedName name="Prop23AmountDue3">Sheet1!$DK$316</definedName>
    <definedName name="Prop23AmountDue4">Sheet1!$DK$317</definedName>
    <definedName name="Prop23Attached">Sheet1!$BD$315</definedName>
    <definedName name="Prop23CADImprovementValue">Sheet1!$AI$314</definedName>
    <definedName name="Prop23CADLandValue">Sheet1!$U$314</definedName>
    <definedName name="Prop23Cause">Sheet1!$AR$317</definedName>
    <definedName name="Prop23City">Sheet1!$AB$313</definedName>
    <definedName name="Prop23County">Sheet1!$F$314</definedName>
    <definedName name="Prop23FDate">Sheet1!$S$317</definedName>
    <definedName name="Prop23Foreclosure">Sheet1!$K$317</definedName>
    <definedName name="Prop23HKValue">Sheet1!$AT$314</definedName>
    <definedName name="Prop23Info">Sheet1!$J$313,Sheet1!$AB$313,Sheet1!$AO$313,Sheet1!$AX$313,Sheet1!$F$314,Sheet1!$U$314,Sheet1!$AI$314,Sheet1!$AT$314,Sheet1!$BD$314:$BE$316,Sheet1!$AR$317,Sheet1!$AR$315:$AW$316,Sheet1!$AE$316:$AI$317,Sheet1!$S$315:$W$317,Sheet1!$K$315:$L$317,Sheet1!$J$318,Sheet1!$BJ$314:$DR$317</definedName>
    <definedName name="Prop23Lawsuit">Sheet1!$AE$317</definedName>
    <definedName name="Prop23Legal">Sheet1!$J$318</definedName>
    <definedName name="Prop23LegalA">DropdownInfo!$M$70</definedName>
    <definedName name="Prop23LegalB">DropdownInfo!$N$70</definedName>
    <definedName name="Prop23LoanBalance">Sheet1!$AR$316</definedName>
    <definedName name="Prop23LoanDate">Sheet1!$AE$316</definedName>
    <definedName name="Prop23MobileHome">Sheet1!$BD$314</definedName>
    <definedName name="Prop23MortgageHolder">Sheet1!$K$315</definedName>
    <definedName name="Prop23MortgageWith">Sheet1!$S$315</definedName>
    <definedName name="Prop23Name1">Sheet1!$CE$314</definedName>
    <definedName name="Prop23Name2">Sheet1!$CE$315</definedName>
    <definedName name="Prop23Name3">Sheet1!$CE$316</definedName>
    <definedName name="Prop23Name4">Sheet1!$CE$317</definedName>
    <definedName name="Prop23State">Sheet1!$AO$313</definedName>
    <definedName name="Prop23TaxingEntity1">Sheet1!$BJ$314</definedName>
    <definedName name="Prop23TaxingEntity2">Sheet1!$BJ$315</definedName>
    <definedName name="Prop23TaxingEntity3">Sheet1!$BJ$316</definedName>
    <definedName name="Prop23TaxingEntity4">Sheet1!$BJ$317</definedName>
    <definedName name="Prop23TaxLiens">Sheet1!$AR$315</definedName>
    <definedName name="Prop23TaxLoan">Sheet1!$K$316</definedName>
    <definedName name="Prop23TaxLoanWith">Sheet1!$S$316</definedName>
    <definedName name="Prop23TDHCA">Sheet1!$BD$316</definedName>
    <definedName name="Prop23Title1">Sheet1!$CO$314</definedName>
    <definedName name="Prop23Title2">Sheet1!$CO$315</definedName>
    <definedName name="Prop23Title3">Sheet1!$CO$316</definedName>
    <definedName name="Prop23Title4">Sheet1!$CO$317</definedName>
    <definedName name="Prop23TotalAmountDue">DropdownInfo!$M$98</definedName>
    <definedName name="Prop23Years1">Sheet1!$DA$314</definedName>
    <definedName name="Prop23Years2">Sheet1!$DA$315</definedName>
    <definedName name="Prop23Years3">Sheet1!$DA$316</definedName>
    <definedName name="Prop23Years4">Sheet1!$DA$317</definedName>
    <definedName name="Prop23ZIP">Sheet1!$AX$313</definedName>
    <definedName name="Prop24AccountNumber1">Sheet1!$BV$325</definedName>
    <definedName name="Prop24AccountNumber2">Sheet1!$BV$326</definedName>
    <definedName name="Prop24AccountNumber3">Sheet1!$BV$327</definedName>
    <definedName name="Prop24AccountNumber4">Sheet1!$BV$328</definedName>
    <definedName name="Prop24Address">Sheet1!$J$324</definedName>
    <definedName name="Prop24AmountDue1">Sheet1!$DK$325</definedName>
    <definedName name="Prop24AmountDue2">Sheet1!$DK$326</definedName>
    <definedName name="Prop24AmountDue3">Sheet1!$DK$327</definedName>
    <definedName name="Prop24AmountDue4">Sheet1!$DK$328</definedName>
    <definedName name="Prop24Attached">Sheet1!$BD$326</definedName>
    <definedName name="Prop24CADImprovementValue">Sheet1!$AI$325</definedName>
    <definedName name="Prop24CADLandValue">Sheet1!$U$325</definedName>
    <definedName name="Prop24Cause">Sheet1!$AR$328</definedName>
    <definedName name="Prop24City">Sheet1!$AB$324</definedName>
    <definedName name="Prop24County">Sheet1!$F$325</definedName>
    <definedName name="Prop24FDate">Sheet1!$S$328</definedName>
    <definedName name="Prop24Foreclosure">Sheet1!$K$328</definedName>
    <definedName name="Prop24HKValue">Sheet1!$AT$325</definedName>
    <definedName name="Prop24Info">Sheet1!$J$324,Sheet1!$AB$324,Sheet1!$AO$324,Sheet1!$AX$324,Sheet1!$F$325,Sheet1!$U$325,Sheet1!$AI$325,Sheet1!$AT$325,Sheet1!$BD$325:$BE$327,Sheet1!$AR$328,Sheet1!$AR$326:$AW$327,Sheet1!$AE$327:$AI$328,Sheet1!$S$326:$W$328,Sheet1!$K$326:$L$328,Sheet1!$J$329,Sheet1!$BJ$325:$DR$328</definedName>
    <definedName name="Prop24Lawsuit">Sheet1!$AE$328</definedName>
    <definedName name="Prop24Legal">Sheet1!$J$329</definedName>
    <definedName name="Prop24LegalA">DropdownInfo!$M$71</definedName>
    <definedName name="Prop24LegalB">DropdownInfo!$N$71</definedName>
    <definedName name="Prop24LoanBalance">Sheet1!$AR$327</definedName>
    <definedName name="Prop24LoanDate">Sheet1!$AE$327</definedName>
    <definedName name="Prop24MobileHome">Sheet1!$BD$325</definedName>
    <definedName name="Prop24MortgageHolder">Sheet1!$K$326</definedName>
    <definedName name="Prop24MortgageWith">Sheet1!$S$326</definedName>
    <definedName name="Prop24Name1">Sheet1!$CE$325</definedName>
    <definedName name="Prop24Name2">Sheet1!$CE$326</definedName>
    <definedName name="Prop24Name3">Sheet1!$CE$327</definedName>
    <definedName name="Prop24Name4">Sheet1!$CE$328</definedName>
    <definedName name="Prop24State">Sheet1!$AO$324</definedName>
    <definedName name="Prop24TaxingEntity1">Sheet1!$BJ$325</definedName>
    <definedName name="Prop24TaxingEntity2">Sheet1!$BJ$326</definedName>
    <definedName name="Prop24TaxingEntity3">Sheet1!$BJ$327</definedName>
    <definedName name="Prop24TaxingEntity4">Sheet1!$BJ$328</definedName>
    <definedName name="Prop24TaxLiens">Sheet1!$AR$326</definedName>
    <definedName name="Prop24TaxLoan">Sheet1!$K$327</definedName>
    <definedName name="Prop24TaxLoanWith">Sheet1!$S$327</definedName>
    <definedName name="Prop24TDHCA">Sheet1!$BD$327</definedName>
    <definedName name="Prop24Title1">Sheet1!$CO$325</definedName>
    <definedName name="Prop24Title2">Sheet1!$CO$326</definedName>
    <definedName name="Prop24Title3">Sheet1!$CO$327</definedName>
    <definedName name="Prop24Title4">Sheet1!$CO$328</definedName>
    <definedName name="Prop24TotalAmountDue">DropdownInfo!$M$99</definedName>
    <definedName name="Prop24Years1">Sheet1!$DA$325</definedName>
    <definedName name="Prop24Years2">Sheet1!$DA$326</definedName>
    <definedName name="Prop24Years3">Sheet1!$DA$327</definedName>
    <definedName name="Prop24Years4">Sheet1!$DA$328</definedName>
    <definedName name="Prop24ZIP">Sheet1!$AX$324</definedName>
    <definedName name="Prop25AccountNumber1">Sheet1!$BV$336</definedName>
    <definedName name="Prop25AccountNumber2">Sheet1!$BV$337</definedName>
    <definedName name="Prop25AccountNumber3">Sheet1!$BV$338</definedName>
    <definedName name="Prop25AccountNumber4">Sheet1!$BV$339</definedName>
    <definedName name="Prop25Address">Sheet1!$J$335</definedName>
    <definedName name="Prop25AmountDue1">Sheet1!$DK$336</definedName>
    <definedName name="Prop25AmountDue2">Sheet1!$DK$337</definedName>
    <definedName name="Prop25AmountDue3">Sheet1!$DK$338</definedName>
    <definedName name="Prop25AmountDue4">Sheet1!$DK$339</definedName>
    <definedName name="Prop25Attached">Sheet1!$BD$337</definedName>
    <definedName name="Prop25CADImprovementValue">Sheet1!$AI$336</definedName>
    <definedName name="Prop25CADLandValue">Sheet1!$U$336</definedName>
    <definedName name="Prop25Cause">Sheet1!$AR$339</definedName>
    <definedName name="Prop25City">Sheet1!$AB$335</definedName>
    <definedName name="Prop25County">Sheet1!$F$336</definedName>
    <definedName name="Prop25FDate">Sheet1!$S$339</definedName>
    <definedName name="Prop25Foreclosure">Sheet1!$K$339</definedName>
    <definedName name="Prop25HKValue">Sheet1!$AT$336</definedName>
    <definedName name="Prop25Info">Sheet1!$J$335,Sheet1!$AB$335,Sheet1!$AO$335,Sheet1!$AX$335,Sheet1!$F$336,Sheet1!$U$336,Sheet1!$AI$336,Sheet1!$AT$336,Sheet1!$BD$336:$BE$338,Sheet1!$AR$339,Sheet1!$AR$337:$AW$338,Sheet1!$AE$338:$AI$339,Sheet1!$S$337:$W$339,Sheet1!$K$337:$L$339,Sheet1!$J$340,Sheet1!$BJ$336:$DR$339</definedName>
    <definedName name="Prop25Lawsuit">Sheet1!$AE$339</definedName>
    <definedName name="Prop25Legal">Sheet1!$J$340</definedName>
    <definedName name="Prop25LegalA">DropdownInfo!$M$72</definedName>
    <definedName name="Prop25LegalB">DropdownInfo!$N$72</definedName>
    <definedName name="Prop25LoanBalance">Sheet1!$AR$338</definedName>
    <definedName name="Prop25LoanDate">Sheet1!$AE$338</definedName>
    <definedName name="Prop25MobileHome">Sheet1!$BD$336</definedName>
    <definedName name="Prop25MortgageHolder">Sheet1!$K$337</definedName>
    <definedName name="Prop25MortgageWith">Sheet1!$S$337</definedName>
    <definedName name="Prop25Name1">Sheet1!$CE$336</definedName>
    <definedName name="Prop25Name2">Sheet1!$CE$337</definedName>
    <definedName name="Prop25Name3">Sheet1!$CE$338</definedName>
    <definedName name="Prop25Name4">Sheet1!$CE$339</definedName>
    <definedName name="Prop25State">Sheet1!$AO$335</definedName>
    <definedName name="Prop25TaxingEntity1">Sheet1!$BJ$336</definedName>
    <definedName name="Prop25TaxingEntity2">Sheet1!$BJ$337</definedName>
    <definedName name="Prop25TaxingEntity3">Sheet1!$BJ$338</definedName>
    <definedName name="Prop25TaxingEntity4">Sheet1!$BJ$339</definedName>
    <definedName name="Prop25TaxLiens">Sheet1!$AR$337</definedName>
    <definedName name="Prop25TaxLoan">Sheet1!$K$338</definedName>
    <definedName name="Prop25TaxLoanWith">Sheet1!$S$338</definedName>
    <definedName name="Prop25TDHCA">Sheet1!$BD$338</definedName>
    <definedName name="Prop25Title1">Sheet1!$CO$336</definedName>
    <definedName name="Prop25Title2">Sheet1!$CO$337</definedName>
    <definedName name="Prop25Title3">Sheet1!$CO$338</definedName>
    <definedName name="Prop25Title4">Sheet1!$CO$339</definedName>
    <definedName name="Prop25TotalAmountDue">DropdownInfo!$M$100</definedName>
    <definedName name="Prop25Years1">Sheet1!$DA$336</definedName>
    <definedName name="Prop25Years2">Sheet1!$DA$337</definedName>
    <definedName name="Prop25Years3">Sheet1!$DA$338</definedName>
    <definedName name="Prop25Years4">Sheet1!$DA$339</definedName>
    <definedName name="Prop25ZIP">Sheet1!$AX$335</definedName>
    <definedName name="Prop2AccountNumber1">Sheet1!$BV$83</definedName>
    <definedName name="Prop2AccountNumber2">Sheet1!$BV$84</definedName>
    <definedName name="Prop2AccountNumber3">Sheet1!$BV$85</definedName>
    <definedName name="Prop2AccountNumber4">Sheet1!$BV$86</definedName>
    <definedName name="Prop2Address">Sheet1!$J$82</definedName>
    <definedName name="Prop2AmountDue1">Sheet1!$DK$83</definedName>
    <definedName name="Prop2AmountDue2">Sheet1!$DK$84</definedName>
    <definedName name="Prop2AmountDue3">Sheet1!$DK$85</definedName>
    <definedName name="Prop2AmountDue4">Sheet1!$DK$86</definedName>
    <definedName name="Prop2Attached">Sheet1!$BD$84</definedName>
    <definedName name="Prop2CADImprovementValue">Sheet1!$AI$83</definedName>
    <definedName name="Prop2CADLandValue">Sheet1!$U$83</definedName>
    <definedName name="Prop2Cause">Sheet1!$AR$86</definedName>
    <definedName name="Prop2City">Sheet1!$AB$82</definedName>
    <definedName name="Prop2County">Sheet1!$F$83</definedName>
    <definedName name="Prop2FDate">Sheet1!$S$86</definedName>
    <definedName name="Prop2Foreclosure">Sheet1!$K$86</definedName>
    <definedName name="Prop2HKValue">Sheet1!$AT$83</definedName>
    <definedName name="Prop2Info">Sheet1!$J$82,Sheet1!$AB$82,Sheet1!$AO$82,Sheet1!$AX$82,Sheet1!$F$83,Sheet1!$U$83,Sheet1!$AI$83,Sheet1!$AT$83,Sheet1!$BD$83:$BE$85,Sheet1!$AR$84:$AW$85,Sheet1!$AE$85:$AI$86,Sheet1!$S$84:$W$86,Sheet1!$K$84:$L$86,Sheet1!$AR$86,Sheet1!$J$87,Sheet1!$BJ$83:$DR$86</definedName>
    <definedName name="Prop2Lawsuit">Sheet1!$AE$86</definedName>
    <definedName name="Prop2Legal">Sheet1!$J$87</definedName>
    <definedName name="Prop2LegalA">DropdownInfo!$M$49</definedName>
    <definedName name="Prop2LegalB">DropdownInfo!$N$49</definedName>
    <definedName name="Prop2LoanBalance">Sheet1!$AR$85</definedName>
    <definedName name="Prop2LoanDate">Sheet1!$AE$85</definedName>
    <definedName name="Prop2MobileHome">Sheet1!$BD$83</definedName>
    <definedName name="Prop2MortgageHolder">Sheet1!$K$84</definedName>
    <definedName name="Prop2MortgageWith">Sheet1!$S$84</definedName>
    <definedName name="Prop2Name1">Sheet1!$CE$83</definedName>
    <definedName name="Prop2Name2">Sheet1!$CE$84</definedName>
    <definedName name="Prop2Name3">Sheet1!$CE$85</definedName>
    <definedName name="Prop2Name4">Sheet1!$CE$86</definedName>
    <definedName name="Prop2State">Sheet1!$AO$82</definedName>
    <definedName name="Prop2TaxingEntity1">Sheet1!$BJ$83</definedName>
    <definedName name="Prop2TaxingEntity2">Sheet1!$BJ$84</definedName>
    <definedName name="Prop2TaxingEntity3">Sheet1!$BJ$85</definedName>
    <definedName name="Prop2TaxingEntity4">Sheet1!$BJ$86</definedName>
    <definedName name="Prop2TaxLiens">Sheet1!$AR$84</definedName>
    <definedName name="Prop2TaxLoan">Sheet1!$K$85</definedName>
    <definedName name="Prop2TaxLoanWith">Sheet1!$S$85</definedName>
    <definedName name="Prop2TDHCA">Sheet1!$BD$85</definedName>
    <definedName name="Prop2Title1">Sheet1!$CO$83</definedName>
    <definedName name="Prop2Title2">Sheet1!$CO$84</definedName>
    <definedName name="Prop2Title3">Sheet1!$CO$85</definedName>
    <definedName name="Prop2Title4">Sheet1!$CO$86</definedName>
    <definedName name="Prop2TotalAmountDue">DropdownInfo!$M$77</definedName>
    <definedName name="Prop2Years1">Sheet1!$DA$83</definedName>
    <definedName name="Prop2Years2">Sheet1!$DA$84</definedName>
    <definedName name="Prop2Years3">Sheet1!$DA$85</definedName>
    <definedName name="Prop2Years4">Sheet1!$DA$86</definedName>
    <definedName name="Prop2ZIP">Sheet1!$AX$82</definedName>
    <definedName name="Prop3AccountNumber1">Sheet1!$BV$94</definedName>
    <definedName name="Prop3AccountNumber2">Sheet1!$BV$95</definedName>
    <definedName name="Prop3AccountNumber3">Sheet1!$BV$96</definedName>
    <definedName name="Prop3AccountNumber4">Sheet1!$BV$97</definedName>
    <definedName name="Prop3Address">Sheet1!$J$93</definedName>
    <definedName name="Prop3AmountDue1">Sheet1!$DK$94</definedName>
    <definedName name="Prop3AmountDue2">Sheet1!$DK$95</definedName>
    <definedName name="Prop3AmountDue3">Sheet1!$DK$96</definedName>
    <definedName name="Prop3AmountDue4">Sheet1!$DK$97</definedName>
    <definedName name="Prop3Attached">Sheet1!$BD$95</definedName>
    <definedName name="Prop3CADImprvementValue">Sheet1!$AI$94</definedName>
    <definedName name="Prop3CADLandValue">Sheet1!$U$94</definedName>
    <definedName name="Prop3Cause">Sheet1!$AR$97</definedName>
    <definedName name="Prop3City">Sheet1!$AB$93</definedName>
    <definedName name="Prop3County">Sheet1!$F$94</definedName>
    <definedName name="Prop3FDate">Sheet1!$S$97</definedName>
    <definedName name="Prop3Foreclosure">Sheet1!$K$97</definedName>
    <definedName name="Prop3HKValue">Sheet1!$AT$94</definedName>
    <definedName name="Prop3Info">Sheet1!$J$93,Sheet1!$AB$93,Sheet1!$AO$93,Sheet1!$AX$93,Sheet1!$BD$94:$BE$96,Sheet1!$AT$94,Sheet1!$AI$94,Sheet1!$U$94,Sheet1!$F$94,Sheet1!$AR$95:$AW$96,Sheet1!$AE$96:$AI$97,Sheet1!$S$95:$W$97,Sheet1!$K$95:$L$97,Sheet1!$AR$97,Sheet1!$J$98,Sheet1!$BJ$94:$DR$97</definedName>
    <definedName name="Prop3Lawsuit">Sheet1!$AE$97</definedName>
    <definedName name="Prop3Legal">Sheet1!$J$98</definedName>
    <definedName name="Prop3LegalA">DropdownInfo!$M$50</definedName>
    <definedName name="Prop3LegalB">DropdownInfo!$N$50</definedName>
    <definedName name="Prop3LoanBalance">Sheet1!$AR$96</definedName>
    <definedName name="Prop3LoanDate">Sheet1!$AE$96</definedName>
    <definedName name="Prop3MobileHome">Sheet1!$BD$94</definedName>
    <definedName name="Prop3MortgageHolder">Sheet1!$K$95</definedName>
    <definedName name="Prop3MortgageWith">Sheet1!$S$95</definedName>
    <definedName name="Prop3Name1">Sheet1!$CE$94</definedName>
    <definedName name="Prop3Name2">Sheet1!$CE$95</definedName>
    <definedName name="Prop3Name3">Sheet1!$CE$96</definedName>
    <definedName name="Prop3Name4">Sheet1!$CE$97</definedName>
    <definedName name="Prop3State">Sheet1!$AO$93</definedName>
    <definedName name="Prop3TaxingEntity1">Sheet1!$BJ$94</definedName>
    <definedName name="Prop3TaxingEntity2">Sheet1!$BJ$95</definedName>
    <definedName name="Prop3TaxingEntity3">Sheet1!$BJ$96</definedName>
    <definedName name="Prop3TaxingEntity4">Sheet1!$BJ$97</definedName>
    <definedName name="Prop3TaxLiens">Sheet1!$AR$95</definedName>
    <definedName name="Prop3TaxLoan">Sheet1!$K$96</definedName>
    <definedName name="Prop3TaxLoanWith">Sheet1!$S$96</definedName>
    <definedName name="Prop3TDHCA">Sheet1!$BD$96</definedName>
    <definedName name="Prop3Title1">Sheet1!$CO$94</definedName>
    <definedName name="Prop3Title2">Sheet1!$CO$95</definedName>
    <definedName name="Prop3Title3">Sheet1!$CO$96</definedName>
    <definedName name="Prop3Title4">Sheet1!$CO$97</definedName>
    <definedName name="Prop3TotalAmountDue">DropdownInfo!$M$78</definedName>
    <definedName name="Prop3Years1">Sheet1!$DA$94</definedName>
    <definedName name="Prop3Years2">Sheet1!$DA$95</definedName>
    <definedName name="Prop3Years3">Sheet1!$DA$96</definedName>
    <definedName name="Prop3Years4">Sheet1!$DA$97</definedName>
    <definedName name="Prop3ZIP">Sheet1!$AX$93</definedName>
    <definedName name="Prop4AccountNumber1">Sheet1!$BV$105</definedName>
    <definedName name="Prop4AccountNumber2">Sheet1!$BV$106</definedName>
    <definedName name="Prop4AccountNumber3">Sheet1!$BV$107</definedName>
    <definedName name="Prop4AccountNumber4">Sheet1!$BV$108</definedName>
    <definedName name="Prop4Address">Sheet1!$J$104</definedName>
    <definedName name="Prop4AmountDue1">Sheet1!$DK$105</definedName>
    <definedName name="Prop4AmountDue2">Sheet1!$DK$106</definedName>
    <definedName name="Prop4AmountDue3">Sheet1!$DK$107</definedName>
    <definedName name="Prop4AmountDue4">Sheet1!$DK$108</definedName>
    <definedName name="Prop4Attached">Sheet1!$BD$106</definedName>
    <definedName name="Prop4CADImprovementValue">Sheet1!$AI$105</definedName>
    <definedName name="Prop4CADLandValues">Sheet1!$U$105</definedName>
    <definedName name="Prop4Cause">Sheet1!$AR$108</definedName>
    <definedName name="Prop4City">Sheet1!$AB$104</definedName>
    <definedName name="Prop4County">Sheet1!$F$105</definedName>
    <definedName name="Prop4FDate">Sheet1!$S$108</definedName>
    <definedName name="Prop4Foreclosure">Sheet1!$K$108</definedName>
    <definedName name="Prop4HKValue">Sheet1!$AT$105</definedName>
    <definedName name="Prop4Info">Sheet1!$J$104,Sheet1!$AB$104,Sheet1!$AO$104,Sheet1!$AX$104,Sheet1!$F$105,Sheet1!$U$105,Sheet1!$AI$105,Sheet1!$AT$105,Sheet1!$BD$105:$BE$107,Sheet1!$AR$108,Sheet1!$AR$106:$AW$107,Sheet1!$AE$107:$AI$108,Sheet1!$S$106:$W$108,Sheet1!$K$106:$L$108,Sheet1!$J$109,Sheet1!$BJ$105:$DR$108</definedName>
    <definedName name="Prop4Lawsuit">Sheet1!$AE$108</definedName>
    <definedName name="Prop4Legal">Sheet1!$J$109</definedName>
    <definedName name="Prop4LegalA">DropdownInfo!$M$51</definedName>
    <definedName name="Prop4LegalB">DropdownInfo!$N$51</definedName>
    <definedName name="Prop4LoanBalance">Sheet1!$AR$107</definedName>
    <definedName name="Prop4LoanDate">Sheet1!$AE$107</definedName>
    <definedName name="Prop4MobileHome">Sheet1!$BD$105</definedName>
    <definedName name="Prop4MortgageHolder">Sheet1!$K$106</definedName>
    <definedName name="Prop4MortgageWith">Sheet1!$S$106</definedName>
    <definedName name="Prop4Name1">Sheet1!$CE$105</definedName>
    <definedName name="Prop4Name2">Sheet1!$CE$106</definedName>
    <definedName name="Prop4Name3">Sheet1!$CE$107</definedName>
    <definedName name="Prop4Name4">Sheet1!$CE$108</definedName>
    <definedName name="Prop4State">Sheet1!$AO$104</definedName>
    <definedName name="Prop4TaxingEntity1">Sheet1!$BJ$105</definedName>
    <definedName name="Prop4TaxingEntity2">Sheet1!$BJ$106</definedName>
    <definedName name="Prop4TaxingEntity3">Sheet1!$BJ$107</definedName>
    <definedName name="Prop4TaxingEntity4">Sheet1!$BJ$108</definedName>
    <definedName name="Prop4TaxLiens">Sheet1!$AR$106</definedName>
    <definedName name="Prop4TaxLoan">Sheet1!$K$107</definedName>
    <definedName name="Prop4TaxLoanWith">Sheet1!$S$107</definedName>
    <definedName name="Prop4TDHCA">Sheet1!$BD$107</definedName>
    <definedName name="Prop4Title1">Sheet1!$CO$105</definedName>
    <definedName name="Prop4Title2">Sheet1!$CO$106</definedName>
    <definedName name="Prop4Title3">Sheet1!$CO$107</definedName>
    <definedName name="Prop4Title4">Sheet1!$CO$108</definedName>
    <definedName name="Prop4TotalAmountDue">DropdownInfo!$M$79</definedName>
    <definedName name="Prop4Years1">Sheet1!$DA$105</definedName>
    <definedName name="Prop4Years2">Sheet1!$DA$106</definedName>
    <definedName name="Prop4Years3">Sheet1!$DA$107</definedName>
    <definedName name="Prop4Years4">Sheet1!$DA$108</definedName>
    <definedName name="Prop4ZIP">Sheet1!$AX$104</definedName>
    <definedName name="Prop5AccountNumber1">Sheet1!$BV$116</definedName>
    <definedName name="Prop5AccountNumber2">Sheet1!$BV$117</definedName>
    <definedName name="Prop5AccountNumber3">Sheet1!$BV$118</definedName>
    <definedName name="Prop5AccountNumber4">Sheet1!$BV$119</definedName>
    <definedName name="Prop5Address">Sheet1!$J$115</definedName>
    <definedName name="Prop5AmountDue1">Sheet1!$DK$116</definedName>
    <definedName name="Prop5AmountDue2">Sheet1!$DK$117</definedName>
    <definedName name="Prop5AmountDue3">Sheet1!$DK$118</definedName>
    <definedName name="Prop5AmountDue4">Sheet1!$DK$119</definedName>
    <definedName name="Prop5Attached">Sheet1!$BD$117</definedName>
    <definedName name="Prop5CADImprovementValue">Sheet1!$AI$116</definedName>
    <definedName name="Prop5CADLandValue">Sheet1!$U$116</definedName>
    <definedName name="Prop5Cause">Sheet1!$AR$119</definedName>
    <definedName name="Prop5City">Sheet1!$AB$115</definedName>
    <definedName name="Prop5County">Sheet1!$F$116</definedName>
    <definedName name="Prop5FDate">Sheet1!$S$119</definedName>
    <definedName name="Prop5Foreclosure">Sheet1!$K$119</definedName>
    <definedName name="Prop5HKValue">Sheet1!$AT$116</definedName>
    <definedName name="Prop5Info">Sheet1!$J$115,Sheet1!$AB$115,Sheet1!$AO$115,Sheet1!$AX$115,Sheet1!$F$116,Sheet1!$U$116,Sheet1!$AI$116,Sheet1!$AT$116,Sheet1!$BD$116:$BE$118,Sheet1!$AR$119,Sheet1!$AR$117:$AW$118,Sheet1!$AE$118:$AI$119,Sheet1!$S$117:$W$119,Sheet1!$K$117:$L$119,Sheet1!$J$120,Sheet1!$BJ$116:$DR$119</definedName>
    <definedName name="Prop5Lawsuit">Sheet1!$AE$119</definedName>
    <definedName name="Prop5Legal">Sheet1!$J$120</definedName>
    <definedName name="Prop5LegalA">DropdownInfo!$M$52</definedName>
    <definedName name="Prop5LegalB">DropdownInfo!$N$52</definedName>
    <definedName name="Prop5LoanBalance">Sheet1!$AR$118</definedName>
    <definedName name="Prop5LoanDate">Sheet1!$AE$118</definedName>
    <definedName name="Prop5MobileHome">Sheet1!$BD$116</definedName>
    <definedName name="Prop5MortgageHolder">Sheet1!$K$117</definedName>
    <definedName name="Prop5MortgageWith">Sheet1!$S$117</definedName>
    <definedName name="Prop5Name1">Sheet1!$CE$116</definedName>
    <definedName name="Prop5Name2">Sheet1!$CE$117</definedName>
    <definedName name="Prop5Name3">Sheet1!$CE$118</definedName>
    <definedName name="Prop5Name4">Sheet1!$CE$119</definedName>
    <definedName name="Prop5State">Sheet1!$AO$115</definedName>
    <definedName name="Prop5TaxingEntity1">Sheet1!$BJ$116</definedName>
    <definedName name="Prop5TaxingEntity2">Sheet1!$BJ$117</definedName>
    <definedName name="Prop5TaxingEntity3">Sheet1!$BJ$118</definedName>
    <definedName name="Prop5TaxingEntity4">Sheet1!$BJ$119</definedName>
    <definedName name="Prop5TaxLiens">Sheet1!$AR$117</definedName>
    <definedName name="Prop5TaxLoan">Sheet1!$K$118</definedName>
    <definedName name="Prop5TaxLoanWith">Sheet1!$S$118</definedName>
    <definedName name="Prop5TDHCA">Sheet1!$BD$118</definedName>
    <definedName name="Prop5Title1">Sheet1!$CO$116</definedName>
    <definedName name="Prop5Title2">Sheet1!$CO$117</definedName>
    <definedName name="Prop5Title3">Sheet1!$CO$118</definedName>
    <definedName name="Prop5Title4">Sheet1!$CO$119</definedName>
    <definedName name="Prop5TotalAmountDue">DropdownInfo!$M$80</definedName>
    <definedName name="Prop5Years1">Sheet1!$DA$116</definedName>
    <definedName name="Prop5Years2">Sheet1!$DA$117</definedName>
    <definedName name="Prop5Years3">Sheet1!$DA$118</definedName>
    <definedName name="Prop5Years4">Sheet1!$DA$119</definedName>
    <definedName name="Prop5ZIP">Sheet1!$AX$115</definedName>
    <definedName name="Prop6AccountNumber1">Sheet1!$BV$127</definedName>
    <definedName name="Prop6AccountNumber2">Sheet1!$BV$128</definedName>
    <definedName name="Prop6AccountNumber3">Sheet1!$BV$129</definedName>
    <definedName name="Prop6AccountNumber4">Sheet1!$BV$130</definedName>
    <definedName name="Prop6Address">Sheet1!$J$126</definedName>
    <definedName name="Prop6AmountDue1">Sheet1!$DK$127</definedName>
    <definedName name="Prop6AmountDue2">Sheet1!$DK$128</definedName>
    <definedName name="Prop6AmountDue3">Sheet1!$DK$129</definedName>
    <definedName name="Prop6AmountDue4">Sheet1!$DK$130</definedName>
    <definedName name="Prop6Attached">Sheet1!$BD$128</definedName>
    <definedName name="Prop6CADImprovementValue">Sheet1!$AI$127</definedName>
    <definedName name="Prop6CADLandValue">Sheet1!$U$127</definedName>
    <definedName name="Prop6Cause">Sheet1!$AR$130</definedName>
    <definedName name="Prop6City">Sheet1!$AB$126</definedName>
    <definedName name="Prop6County">Sheet1!$F$127</definedName>
    <definedName name="Prop6FDate">Sheet1!$S$130</definedName>
    <definedName name="Prop6Foreclosure">Sheet1!$K$130</definedName>
    <definedName name="Prop6HKValue">Sheet1!$AT$127</definedName>
    <definedName name="Prop6Info">Sheet1!$J$126,Sheet1!$AB$126,Sheet1!$AO$126,Sheet1!$AX$126,Sheet1!$F$127,Sheet1!$U$127,Sheet1!$AI$127,Sheet1!$AT$127,Sheet1!$BD$127:$BE$129,Sheet1!$AR$130,Sheet1!$AR$128:$AW$129,Sheet1!$AE$129:$AI$130,Sheet1!$S$128:$W$130,Sheet1!$K$128:$L$130,Sheet1!$J$131,Sheet1!$BJ$127:$DR$130</definedName>
    <definedName name="Prop6Lawsuit">Sheet1!$AE$130</definedName>
    <definedName name="Prop6Legal">Sheet1!$J$131</definedName>
    <definedName name="Prop6LegalA">DropdownInfo!$M$53</definedName>
    <definedName name="Prop6LegalB">DropdownInfo!$N$53</definedName>
    <definedName name="Prop6LoanBalance">Sheet1!$AR$129</definedName>
    <definedName name="Prop6LoanDate">Sheet1!$AE$129</definedName>
    <definedName name="Prop6MobileHome">Sheet1!$BD$127</definedName>
    <definedName name="Prop6MortgageHolder">Sheet1!$K$128</definedName>
    <definedName name="Prop6MortgageWith">Sheet1!$S$128</definedName>
    <definedName name="Prop6Name1">Sheet1!$CE$127</definedName>
    <definedName name="Prop6Name2">Sheet1!$CE$128</definedName>
    <definedName name="Prop6Name3">Sheet1!$CE$129</definedName>
    <definedName name="Prop6Name4">Sheet1!$CE$130</definedName>
    <definedName name="Prop6State">Sheet1!$AO$126</definedName>
    <definedName name="Prop6TaxingEntity1">Sheet1!$BJ$127</definedName>
    <definedName name="Prop6TaxingEntity2">Sheet1!$BJ$128</definedName>
    <definedName name="Prop6TaxingEntity3">Sheet1!$BJ$129</definedName>
    <definedName name="Prop6TaxingEntity4">Sheet1!$BJ$130</definedName>
    <definedName name="Prop6TaxLiens">Sheet1!$AR$128</definedName>
    <definedName name="Prop6TaxLoan">Sheet1!$K$129</definedName>
    <definedName name="Prop6TaxLoanWith">Sheet1!$S$129</definedName>
    <definedName name="Prop6TDHCA">Sheet1!$BD$129</definedName>
    <definedName name="Prop6Title1">Sheet1!$CO$127</definedName>
    <definedName name="Prop6Title2">Sheet1!$CO$128</definedName>
    <definedName name="Prop6Title3">Sheet1!$CO$129</definedName>
    <definedName name="Prop6Title4">Sheet1!$CO$130</definedName>
    <definedName name="Prop6TotalAmountDue">DropdownInfo!$M$81</definedName>
    <definedName name="Prop6Years1">Sheet1!$DA$127</definedName>
    <definedName name="Prop6Years2">Sheet1!$DA$128</definedName>
    <definedName name="Prop6Years3">Sheet1!$DA$129</definedName>
    <definedName name="Prop6Years4">Sheet1!$DA$130</definedName>
    <definedName name="Prop6ZIP">Sheet1!$AX$126</definedName>
    <definedName name="Prop7AccountNumber1">Sheet1!$BV$138</definedName>
    <definedName name="Prop7AccountNumber2">Sheet1!$BV$139</definedName>
    <definedName name="Prop7AccountNumber3">Sheet1!$BV$140</definedName>
    <definedName name="Prop7AccountNumber4">Sheet1!$BV$141</definedName>
    <definedName name="Prop7Address">Sheet1!$J$137</definedName>
    <definedName name="Prop7AmountDue1">Sheet1!$DK$138</definedName>
    <definedName name="Prop7AmountDue2">Sheet1!$DK$139</definedName>
    <definedName name="Prop7AmountDue3">Sheet1!$DK$140</definedName>
    <definedName name="Prop7AmountDue4">Sheet1!$DK$141</definedName>
    <definedName name="Prop7Attached">Sheet1!$BD$139</definedName>
    <definedName name="Prop7CADImprovementValue">Sheet1!$AI$138</definedName>
    <definedName name="Prop7CADLandValue">Sheet1!$U$138</definedName>
    <definedName name="Prop7Cause">Sheet1!$AR$141</definedName>
    <definedName name="Prop7City">Sheet1!$AB$137</definedName>
    <definedName name="Prop7County">Sheet1!$F$138</definedName>
    <definedName name="Prop7FDate">Sheet1!$S$141</definedName>
    <definedName name="Prop7Foreclosure">Sheet1!$K$141</definedName>
    <definedName name="Prop7HKValue">Sheet1!$AT$138</definedName>
    <definedName name="Prop7Info">Sheet1!$J$137,Sheet1!$AB$137,Sheet1!$AO$137,Sheet1!$AX$137,Sheet1!$F$138,Sheet1!$U$138,Sheet1!$AI$138,Sheet1!$AT$138,Sheet1!$BD$138:$BE$140,Sheet1!$J$142,Sheet1!$AR$141,Sheet1!$AR$139:$AW$140,Sheet1!$AE$140:$AI$141,Sheet1!$S$139:$W$141,Sheet1!$K$139:$L$141,Sheet1!$BJ$138:$DR$141</definedName>
    <definedName name="Prop7Lawsuit">Sheet1!$AE$141</definedName>
    <definedName name="Prop7Legal">Sheet1!$J$142</definedName>
    <definedName name="Prop7LegalA">DropdownInfo!$M$54</definedName>
    <definedName name="Prop7LegalB">DropdownInfo!$N$54</definedName>
    <definedName name="Prop7LoanBalance">Sheet1!$AR$140</definedName>
    <definedName name="Prop7LoanDate">Sheet1!$AE$140</definedName>
    <definedName name="Prop7MobileHome">Sheet1!$BD$138</definedName>
    <definedName name="Prop7MortgageHolder">Sheet1!$K$139</definedName>
    <definedName name="Prop7MortgageWith">Sheet1!$S$139</definedName>
    <definedName name="Prop7Name1">Sheet1!$CE$138</definedName>
    <definedName name="Prop7Name2">Sheet1!$CE$139</definedName>
    <definedName name="Prop7Name3">Sheet1!$CE$140</definedName>
    <definedName name="Prop7Name4">Sheet1!$CE$141</definedName>
    <definedName name="Prop7State">Sheet1!$AO$137</definedName>
    <definedName name="Prop7TaxingEntity1">Sheet1!$BJ$138</definedName>
    <definedName name="Prop7TaxingEntity2">Sheet1!$BJ$139</definedName>
    <definedName name="Prop7TaxingEntity3">Sheet1!$BJ$140</definedName>
    <definedName name="Prop7TaxingEntity4">Sheet1!$BJ$141</definedName>
    <definedName name="Prop7TaxLiens">Sheet1!$AR$139</definedName>
    <definedName name="Prop7TaxLoan">Sheet1!$K$140</definedName>
    <definedName name="Prop7TaxLoanWith">Sheet1!$S$140</definedName>
    <definedName name="Prop7TDHCA">Sheet1!$BD$140</definedName>
    <definedName name="Prop7Title1">Sheet1!$CO$138</definedName>
    <definedName name="Prop7Title2">Sheet1!$CO$139</definedName>
    <definedName name="Prop7Title3">Sheet1!$CO$140</definedName>
    <definedName name="Prop7Title4">Sheet1!$CO$141</definedName>
    <definedName name="Prop7TotalAmountDue">DropdownInfo!$M$82</definedName>
    <definedName name="Prop7Years1">Sheet1!$DA$138</definedName>
    <definedName name="Prop7Years2">Sheet1!$DA$139</definedName>
    <definedName name="Prop7Years3">Sheet1!$DA$140</definedName>
    <definedName name="Prop7Years4">Sheet1!$DA$141</definedName>
    <definedName name="Prop7ZIP">Sheet1!$AX$137</definedName>
    <definedName name="Prop8AccountNumber1">Sheet1!$BV$149</definedName>
    <definedName name="Prop8AccountNumber2">Sheet1!$BV$150</definedName>
    <definedName name="Prop8AccountNumber3">Sheet1!$BV$151</definedName>
    <definedName name="Prop8AccountNumber4">Sheet1!$BV$152</definedName>
    <definedName name="Prop8Address">Sheet1!$J$148</definedName>
    <definedName name="Prop8AmountDue1">Sheet1!$DK$149</definedName>
    <definedName name="Prop8AmountDue2">Sheet1!$DK$150</definedName>
    <definedName name="Prop8AmountDue3">Sheet1!$DK$151</definedName>
    <definedName name="Prop8AmountDue4">Sheet1!$DK$152</definedName>
    <definedName name="Prop8Attached">Sheet1!$BD$150</definedName>
    <definedName name="Prop8CADImprovementValue">Sheet1!$AI$149</definedName>
    <definedName name="Prop8CADLandValue">Sheet1!$U$149</definedName>
    <definedName name="Prop8Cause">Sheet1!$AR$152</definedName>
    <definedName name="Prop8City">Sheet1!$AB$148</definedName>
    <definedName name="Prop8County">Sheet1!$F$149</definedName>
    <definedName name="Prop8FDate">Sheet1!$S$152</definedName>
    <definedName name="Prop8Foreclosure">Sheet1!$K$152</definedName>
    <definedName name="Prop8HKValue">Sheet1!$AT$149</definedName>
    <definedName name="Prop8Info">Sheet1!$J$148,Sheet1!$AB$148,Sheet1!$AO$148,Sheet1!$AX$148,Sheet1!$F$149,Sheet1!$U$149,Sheet1!$AI$149,Sheet1!$AT$149,Sheet1!$BD$149:$BE$151,Sheet1!$AR$152,Sheet1!$AR$150:$AW$151,Sheet1!$AE$151:$AI$152,Sheet1!$S$150:$W$152,Sheet1!$K$150:$L$152,Sheet1!$J$153,Sheet1!$BJ$149:$DR$152</definedName>
    <definedName name="Prop8Lawsuit">Sheet1!$AE$152</definedName>
    <definedName name="Prop8Legal">Sheet1!$J$153</definedName>
    <definedName name="Prop8LegalA">DropdownInfo!$M$55</definedName>
    <definedName name="Prop8LegalB">DropdownInfo!$N$55</definedName>
    <definedName name="Prop8LoanBalance">Sheet1!$AR$151</definedName>
    <definedName name="Prop8LoanDate">Sheet1!$AE$151</definedName>
    <definedName name="Prop8MobileHome">Sheet1!$BD$149</definedName>
    <definedName name="Prop8MortgageHolder">Sheet1!$K$150</definedName>
    <definedName name="Prop8MortgageWith">Sheet1!$S$150</definedName>
    <definedName name="Prop8Name1">Sheet1!$CE$149</definedName>
    <definedName name="Prop8Name2">Sheet1!$CE$150</definedName>
    <definedName name="Prop8Name3">Sheet1!$CE$151</definedName>
    <definedName name="Prop8Name4">Sheet1!$CE$152</definedName>
    <definedName name="Prop8State">Sheet1!$AO$148</definedName>
    <definedName name="Prop8TaxingEntity1">Sheet1!$BJ$149</definedName>
    <definedName name="Prop8TaxingEntity2">Sheet1!$BJ$150</definedName>
    <definedName name="Prop8TaxingEntity3">Sheet1!$BJ$151</definedName>
    <definedName name="Prop8TaxingEntity4">Sheet1!$BJ$152</definedName>
    <definedName name="Prop8TaxLiens">Sheet1!$AR$150</definedName>
    <definedName name="Prop8TaxLoan">Sheet1!$K$151</definedName>
    <definedName name="Prop8TaxLoanWith">Sheet1!$S$151</definedName>
    <definedName name="Prop8TDHCA">Sheet1!$BD$151</definedName>
    <definedName name="Prop8Title1">Sheet1!$CO$149</definedName>
    <definedName name="Prop8Title2">Sheet1!$CO$150</definedName>
    <definedName name="Prop8Title3">Sheet1!$CO$151</definedName>
    <definedName name="Prop8Title4">Sheet1!$CO$152</definedName>
    <definedName name="Prop8TotalAmountDue">DropdownInfo!$M$83</definedName>
    <definedName name="Prop8Years1">Sheet1!$DA$149</definedName>
    <definedName name="Prop8Years2">Sheet1!$DA$150</definedName>
    <definedName name="Prop8Years3">Sheet1!$DA$151</definedName>
    <definedName name="Prop8Years4">Sheet1!$DA$152</definedName>
    <definedName name="Prop8ZIP">Sheet1!$AX$148</definedName>
    <definedName name="Prop9AccountNumber1">Sheet1!$BV$160</definedName>
    <definedName name="Prop9AccountNumber2">Sheet1!$BV$161</definedName>
    <definedName name="Prop9AccountNumber3">Sheet1!$BV$162</definedName>
    <definedName name="Prop9AccountNumber4">Sheet1!$BV$163</definedName>
    <definedName name="Prop9Address">Sheet1!$J$159</definedName>
    <definedName name="Prop9AmountDue1">Sheet1!$DK$160</definedName>
    <definedName name="Prop9AmountDue2">Sheet1!$DK$161</definedName>
    <definedName name="Prop9AmountDue3">Sheet1!$DK$162</definedName>
    <definedName name="Prop9AmountDue4">Sheet1!$DK$163</definedName>
    <definedName name="Prop9Attached">Sheet1!$BD$161</definedName>
    <definedName name="Prop9CADImprovementValue">Sheet1!$AI$160</definedName>
    <definedName name="Prop9CADLandValue">Sheet1!$U$160</definedName>
    <definedName name="Prop9Cause">Sheet1!$AR$163</definedName>
    <definedName name="Prop9City">Sheet1!$AB$159</definedName>
    <definedName name="Prop9County">Sheet1!$F$160</definedName>
    <definedName name="Prop9FDate">Sheet1!$S$163</definedName>
    <definedName name="Prop9Foreclosure">Sheet1!$K$163</definedName>
    <definedName name="Prop9HKValue">Sheet1!$AT$160</definedName>
    <definedName name="Prop9Info">Sheet1!$J$159,Sheet1!$AB$159,Sheet1!$AO$159,Sheet1!$AX$159,Sheet1!$F$160,Sheet1!$U$160,Sheet1!$AI$160,Sheet1!$AT$160,Sheet1!$BD$160:$BE$162,Sheet1!$AR$163,Sheet1!$AR$161:$AW$162,Sheet1!$AE$162:$AI$163,Sheet1!$S$161:$W$163,Sheet1!$K$161:$L$163,Sheet1!$J$164,Sheet1!$BJ$160:$DR$163</definedName>
    <definedName name="Prop9Lawsuit">Sheet1!$AE$163</definedName>
    <definedName name="Prop9Legal">Sheet1!$J$164</definedName>
    <definedName name="Prop9LegalA">DropdownInfo!$M$56</definedName>
    <definedName name="Prop9LegalB">DropdownInfo!$N$56</definedName>
    <definedName name="Prop9LoanBalance">Sheet1!$AR$162</definedName>
    <definedName name="Prop9LoanDate">Sheet1!$AE$162</definedName>
    <definedName name="Prop9MobileHome">Sheet1!$BD$160</definedName>
    <definedName name="Prop9MortgageHolder">Sheet1!$K$161</definedName>
    <definedName name="Prop9MortgageWith">Sheet1!$S$161</definedName>
    <definedName name="Prop9Name1">Sheet1!$CE$160</definedName>
    <definedName name="Prop9Name2">Sheet1!$CE$161</definedName>
    <definedName name="Prop9Name3">Sheet1!$CE$162</definedName>
    <definedName name="Prop9Name4">Sheet1!$CE$163</definedName>
    <definedName name="Prop9State">Sheet1!$AO$159</definedName>
    <definedName name="Prop9TaxingEntity1">Sheet1!$BJ$160</definedName>
    <definedName name="Prop9TaxingEntity2">Sheet1!$BJ$161</definedName>
    <definedName name="Prop9TaxingEntity3">Sheet1!$BJ$162</definedName>
    <definedName name="Prop9TaxingEntity4">Sheet1!$BJ$163</definedName>
    <definedName name="Prop9TaxLiens">Sheet1!$AR$161</definedName>
    <definedName name="Prop9TaxLoan">Sheet1!$K$162</definedName>
    <definedName name="Prop9TaxLoanWith">Sheet1!$S$162</definedName>
    <definedName name="Prop9TDHCA">Sheet1!$BD$162</definedName>
    <definedName name="Prop9Title1">Sheet1!$CO$160</definedName>
    <definedName name="Prop9Title2">Sheet1!$CO$161</definedName>
    <definedName name="Prop9Title3">Sheet1!$CO$162</definedName>
    <definedName name="Prop9Title4">Sheet1!$CO$163</definedName>
    <definedName name="Prop9TotalAmountDue">DropdownInfo!$M$84</definedName>
    <definedName name="Prop9Years1">Sheet1!$DA$160</definedName>
    <definedName name="Prop9Years2">Sheet1!$DA$161</definedName>
    <definedName name="Prop9Years3">Sheet1!$DA$162</definedName>
    <definedName name="Prop9Years4">Sheet1!$DA$163</definedName>
    <definedName name="Prop9ZIP">Sheet1!$AX$159</definedName>
    <definedName name="RangeToColor">Sheet1!$CS$1:$DL$8</definedName>
    <definedName name="RecordingFee">Sheet1!$BL$53</definedName>
    <definedName name="RescindDate">DropdownInfo!$C$33</definedName>
    <definedName name="ReviseDate">Database!$B$38</definedName>
    <definedName name="SaveChoice">Database!$B$39</definedName>
    <definedName name="SearchResults">OFFSET(TempDatabase!$A$2,0,0,COUNTA(TempDatabase!$A:$A)-1,3)</definedName>
    <definedName name="SearchResults2">OFFSET(TempDatabase!$F$2,0,0,COUNTA(TempDatabase!$F:$F)-1,3)</definedName>
    <definedName name="SigningDate">Sheet1!$BL$43</definedName>
    <definedName name="TempFKA1">Database!$E$18</definedName>
    <definedName name="TempFKA2">Database!$E$19</definedName>
    <definedName name="TempFKA3">Database!$E$20</definedName>
    <definedName name="Term">Sheet1!$BL$42</definedName>
    <definedName name="TitleCurativeFee">Sheet1!$BL$50</definedName>
    <definedName name="TLTAInfo">Sheet1!$CR$46:$DD$59</definedName>
    <definedName name="todayDate">DropdownInfo!$C$23</definedName>
    <definedName name="TotalCourtCosts">Sheet1!$BL$59</definedName>
    <definedName name="TotalOfPayments">'New Loan'!$R$9</definedName>
    <definedName name="TotalOfPayments30360">'New Loan'!$S$16</definedName>
    <definedName name="TotalOtherFees">Database!$F$35</definedName>
    <definedName name="TotalTaxAmount">Database!$F$36</definedName>
    <definedName name="TypeSelected">Database!$C$15</definedName>
    <definedName name="UnderwritingFee">Sheet1!$Y$48</definedName>
    <definedName name="UniqueAmount1">Driver!$F$1</definedName>
    <definedName name="UniqueAmount10">Driver!$F$10</definedName>
    <definedName name="UniqueAmount100">Driver!$F$100</definedName>
    <definedName name="UniqueAmount11">Driver!$F$11</definedName>
    <definedName name="UniqueAmount12">Driver!$F$12</definedName>
    <definedName name="UniqueAmount13">Driver!$F$13</definedName>
    <definedName name="UniqueAmount14">Driver!$F$14</definedName>
    <definedName name="UniqueAmount15">Driver!$F$15</definedName>
    <definedName name="UniqueAmount16">Driver!$F$16</definedName>
    <definedName name="UniqueAmount17">Driver!$F$17</definedName>
    <definedName name="UniqueAmount18">Driver!$F$18</definedName>
    <definedName name="UniqueAmount19">Driver!$F$19</definedName>
    <definedName name="UniqueAmount2">Driver!$F$2</definedName>
    <definedName name="UniqueAmount20">Driver!$F$20</definedName>
    <definedName name="UniqueAmount21">Driver!$F$21</definedName>
    <definedName name="UniqueAmount22">Driver!$F$22</definedName>
    <definedName name="UniqueAmount23">Driver!$F$23</definedName>
    <definedName name="UniqueAmount24">Driver!$F$24</definedName>
    <definedName name="UniqueAmount25">Driver!$F$25</definedName>
    <definedName name="UniqueAmount26">Driver!$F$26</definedName>
    <definedName name="UniqueAmount27">Driver!$F$27</definedName>
    <definedName name="UniqueAmount28">Driver!$F$28</definedName>
    <definedName name="UniqueAmount29">Driver!$F$29</definedName>
    <definedName name="UniqueAmount3">Driver!$F$3</definedName>
    <definedName name="UniqueAmount30">Driver!$F$30</definedName>
    <definedName name="UniqueAmount31">Driver!$F$31</definedName>
    <definedName name="UniqueAmount32">Driver!$F$32</definedName>
    <definedName name="UniqueAmount33">Driver!$F$33</definedName>
    <definedName name="UniqueAmount34">Driver!$F$34</definedName>
    <definedName name="UniqueAmount35">Driver!$F$35</definedName>
    <definedName name="UniqueAmount36">Driver!$F$36</definedName>
    <definedName name="UniqueAmount37">Driver!$F$37</definedName>
    <definedName name="UniqueAmount38">Driver!$F$38</definedName>
    <definedName name="UniqueAmount39">Driver!$F$39</definedName>
    <definedName name="UniqueAmount4">Driver!$F$4</definedName>
    <definedName name="UniqueAmount40">Driver!$F$40</definedName>
    <definedName name="UniqueAmount41">Driver!$F$41</definedName>
    <definedName name="UniqueAmount42">Driver!$F$42</definedName>
    <definedName name="UniqueAmount43">Driver!$F$43</definedName>
    <definedName name="UniqueAmount44">Driver!$F$44</definedName>
    <definedName name="UniqueAmount45">Driver!$F$45</definedName>
    <definedName name="UniqueAmount46">Driver!$F$46</definedName>
    <definedName name="UniqueAmount47">Driver!$F$47</definedName>
    <definedName name="UniqueAmount48">Driver!$F$48</definedName>
    <definedName name="UniqueAmount49">Driver!$F$49</definedName>
    <definedName name="UniqueAmount5">Driver!$F$5</definedName>
    <definedName name="UniqueAmount50">Driver!$F$50</definedName>
    <definedName name="UniqueAmount51">Driver!$F$51</definedName>
    <definedName name="UniqueAmount52">Driver!$F$52</definedName>
    <definedName name="UniqueAmount53">Driver!$F$53</definedName>
    <definedName name="UniqueAmount54">Driver!$F$54</definedName>
    <definedName name="UniqueAmount55">Driver!$F$55</definedName>
    <definedName name="UniqueAmount56">Driver!$F$56</definedName>
    <definedName name="UniqueAmount57">Driver!$F$57</definedName>
    <definedName name="UniqueAmount58">Driver!$F$58</definedName>
    <definedName name="UniqueAmount59">Driver!$F$59</definedName>
    <definedName name="UniqueAmount6">Driver!$F$6</definedName>
    <definedName name="UniqueAmount60">Driver!$F$60</definedName>
    <definedName name="UniqueAmount61">Driver!$F$61</definedName>
    <definedName name="UniqueAmount62">Driver!$F$62</definedName>
    <definedName name="UniqueAmount63">Driver!$F$63</definedName>
    <definedName name="UniqueAmount64">Driver!$F$64</definedName>
    <definedName name="UniqueAmount65">Driver!$F$65</definedName>
    <definedName name="UniqueAmount66">Driver!$F$66</definedName>
    <definedName name="UniqueAmount67">Driver!$F$67</definedName>
    <definedName name="UniqueAmount68">Driver!$F$68</definedName>
    <definedName name="UniqueAmount69">Driver!$F$69</definedName>
    <definedName name="UniqueAmount7">Driver!$F$7</definedName>
    <definedName name="UniqueAmount70">Driver!$F$70</definedName>
    <definedName name="UniqueAmount71">Driver!$F$71</definedName>
    <definedName name="UniqueAmount72">Driver!$F$72</definedName>
    <definedName name="UniqueAmount73">Driver!$F$73</definedName>
    <definedName name="UniqueAmount74">Driver!$F$74</definedName>
    <definedName name="UniqueAmount75">Driver!$F$75</definedName>
    <definedName name="UniqueAmount76">Driver!$F$76</definedName>
    <definedName name="UniqueAmount77">Driver!$F$77</definedName>
    <definedName name="UniqueAmount78">Driver!$F$78</definedName>
    <definedName name="UniqueAmount79">Driver!$F$79</definedName>
    <definedName name="UniqueAmount8">Driver!$F$8</definedName>
    <definedName name="UniqueAmount80">Driver!$F$80</definedName>
    <definedName name="UniqueAmount81">Driver!$F$81</definedName>
    <definedName name="UniqueAmount82">Driver!$F$82</definedName>
    <definedName name="UniqueAmount83">Driver!$F$83</definedName>
    <definedName name="UniqueAmount84">Driver!$F$84</definedName>
    <definedName name="UniqueAmount85">Driver!$F$85</definedName>
    <definedName name="UniqueAmount86">Driver!$F$86</definedName>
    <definedName name="UniqueAmount87">Driver!$F$87</definedName>
    <definedName name="UniqueAmount88">Driver!$F$88</definedName>
    <definedName name="UniqueAmount89">Driver!$F$89</definedName>
    <definedName name="UniqueAmount9">Driver!$F$9</definedName>
    <definedName name="UniqueAmount90">Driver!$F$90</definedName>
    <definedName name="UniqueAmount91">Driver!$F$91</definedName>
    <definedName name="UniqueAmount92">Driver!$F$92</definedName>
    <definedName name="UniqueAmount93">Driver!$F$93</definedName>
    <definedName name="UniqueAmount94">Driver!$F$94</definedName>
    <definedName name="UniqueAmount95">Driver!$F$95</definedName>
    <definedName name="UniqueAmount96">Driver!$F$96</definedName>
    <definedName name="UniqueAmount97">Driver!$F$97</definedName>
    <definedName name="UniqueAmount98">Driver!$F$98</definedName>
    <definedName name="UniqueAmount99">Driver!$F$99</definedName>
    <definedName name="UniqueCalculator">DropdownInfo!$C$40</definedName>
    <definedName name="UniqueEntity1">Driver!$E$1</definedName>
    <definedName name="UniqueEntity10">Driver!$E$10</definedName>
    <definedName name="UniqueEntity100">Driver!$E$100</definedName>
    <definedName name="UniqueEntity11">Driver!$E$11</definedName>
    <definedName name="UniqueEntity12">Driver!$E$12</definedName>
    <definedName name="UniqueEntity13">Driver!$E$13</definedName>
    <definedName name="UniqueEntity14">Driver!$E$14</definedName>
    <definedName name="UniqueEntity15">Driver!$E$15</definedName>
    <definedName name="UniqueEntity16">Driver!$E$16</definedName>
    <definedName name="UniqueEntity17">Driver!$E$17</definedName>
    <definedName name="UniqueEntity18">Driver!$E$18</definedName>
    <definedName name="UniqueEntity19">Driver!$E$19</definedName>
    <definedName name="UniqueEntity2">Driver!$E$2</definedName>
    <definedName name="UniqueEntity20">Driver!$E$20</definedName>
    <definedName name="UniqueEntity21">Driver!$E$21</definedName>
    <definedName name="UniqueEntity22">Driver!$E$22</definedName>
    <definedName name="UniqueEntity23">Driver!$E$23</definedName>
    <definedName name="UniqueEntity24">Driver!$E$24</definedName>
    <definedName name="UniqueEntity25">Driver!$E$25</definedName>
    <definedName name="UniqueEntity26">Driver!$E$26</definedName>
    <definedName name="UniqueEntity27">Driver!$E$27</definedName>
    <definedName name="UniqueEntity28">Driver!$E$28</definedName>
    <definedName name="UniqueEntity29">Driver!$E$29</definedName>
    <definedName name="UniqueEntity3">Driver!$E$3</definedName>
    <definedName name="UniqueEntity30">Driver!$E$30</definedName>
    <definedName name="UniqueEntity31">Driver!$E$31</definedName>
    <definedName name="UniqueEntity32">Driver!$E$32</definedName>
    <definedName name="UniqueEntity33">Driver!$E$33</definedName>
    <definedName name="UniqueEntity34">Driver!$E$34</definedName>
    <definedName name="UniqueEntity35">Driver!$E$35</definedName>
    <definedName name="UniqueEntity36">Driver!$E$36</definedName>
    <definedName name="UniqueEntity37">Driver!$E$37</definedName>
    <definedName name="UniqueEntity38">Driver!$E$38</definedName>
    <definedName name="UniqueEntity39">Driver!$E$39</definedName>
    <definedName name="UniqueEntity4">Driver!$E$4</definedName>
    <definedName name="UniqueEntity40">Driver!$E$40</definedName>
    <definedName name="UniqueEntity41">Driver!$E$41</definedName>
    <definedName name="UniqueEntity42">Driver!$E$42</definedName>
    <definedName name="UniqueEntity43">Driver!$E$43</definedName>
    <definedName name="UniqueEntity44">Driver!$E$44</definedName>
    <definedName name="UniqueEntity45">Driver!$E$45</definedName>
    <definedName name="UniqueEntity46">Driver!$E$46</definedName>
    <definedName name="UniqueEntity47">Driver!$E$47</definedName>
    <definedName name="UniqueEntity48">Driver!$E$48</definedName>
    <definedName name="UniqueEntity49">Driver!$E$49</definedName>
    <definedName name="UniqueEntity5">Driver!$E$5</definedName>
    <definedName name="UniqueEntity50">Driver!$E$50</definedName>
    <definedName name="UniqueEntity51">Driver!$E$51</definedName>
    <definedName name="UniqueEntity52">Driver!$E$52</definedName>
    <definedName name="UniqueEntity53">Driver!$E$53</definedName>
    <definedName name="UniqueEntity54">Driver!$E$54</definedName>
    <definedName name="UniqueEntity55">Driver!$E$55</definedName>
    <definedName name="UniqueEntity56">Driver!$E$56</definedName>
    <definedName name="UniqueEntity57">Driver!$E$57</definedName>
    <definedName name="UniqueEntity58">Driver!$E$58</definedName>
    <definedName name="UniqueEntity59">Driver!$E$59</definedName>
    <definedName name="UniqueEntity6">Driver!$E$6</definedName>
    <definedName name="UniqueEntity60">Driver!$E$60</definedName>
    <definedName name="UniqueEntity61">Driver!$E$61</definedName>
    <definedName name="UniqueEntity62">Driver!$E$62</definedName>
    <definedName name="UniqueEntity63">Driver!$E$63</definedName>
    <definedName name="UniqueEntity64">Driver!$E$64</definedName>
    <definedName name="UniqueEntity65">Driver!$E$65</definedName>
    <definedName name="UniqueEntity66">Driver!$E$66</definedName>
    <definedName name="UniqueEntity67">Driver!$E$67</definedName>
    <definedName name="UniqueEntity68">Driver!$E$68</definedName>
    <definedName name="UniqueEntity69">Driver!$E$69</definedName>
    <definedName name="UniqueEntity7">Driver!$E$7</definedName>
    <definedName name="UniqueEntity70">Driver!$E$70</definedName>
    <definedName name="UniqueEntity71">Driver!$E$71</definedName>
    <definedName name="UniqueEntity72">Driver!$E$72</definedName>
    <definedName name="UniqueEntity73">Driver!$E$73</definedName>
    <definedName name="UniqueEntity74">Driver!$E$74</definedName>
    <definedName name="UniqueEntity75">Driver!$E$75</definedName>
    <definedName name="UniqueEntity76">Driver!$E$76</definedName>
    <definedName name="UniqueEntity77">Driver!$E$77</definedName>
    <definedName name="UniqueEntity78">Driver!$E$78</definedName>
    <definedName name="UniqueEntity79">Driver!$E$79</definedName>
    <definedName name="UniqueEntity8">Driver!$E$8</definedName>
    <definedName name="UniqueEntity80">Driver!$E$80</definedName>
    <definedName name="UniqueEntity81">Driver!$E$81</definedName>
    <definedName name="UniqueEntity82">Driver!$E$82</definedName>
    <definedName name="UniqueEntity83">Driver!$E$83</definedName>
    <definedName name="UniqueEntity84">Driver!$E$84</definedName>
    <definedName name="UniqueEntity85">Driver!$E$85</definedName>
    <definedName name="UniqueEntity86">Driver!$E$86</definedName>
    <definedName name="UniqueEntity87">Driver!$E$87</definedName>
    <definedName name="UniqueEntity88">Driver!$E$88</definedName>
    <definedName name="UniqueEntity89">Driver!$E$89</definedName>
    <definedName name="UniqueEntity9">Driver!$E$9</definedName>
    <definedName name="UniqueEntity90">Driver!$E$90</definedName>
    <definedName name="UniqueEntity91">Driver!$E$91</definedName>
    <definedName name="UniqueEntity92">Driver!$E$92</definedName>
    <definedName name="UniqueEntity93">Driver!$E$93</definedName>
    <definedName name="UniqueEntity94">Driver!$E$94</definedName>
    <definedName name="UniqueEntity95">Driver!$E$95</definedName>
    <definedName name="UniqueEntity96">Driver!$E$96</definedName>
    <definedName name="UniqueEntity97">Driver!$E$97</definedName>
    <definedName name="UniqueEntity98">Driver!$E$98</definedName>
    <definedName name="UniqueEntity99">Driver!$E$99</definedName>
    <definedName name="UniqueLoanNumbers">Database!$C$16</definedName>
    <definedName name="YearFinanced">Sheet1!$CR$54</definedName>
  </definedNames>
  <calcPr calcId="191029" iterateDelta="5.0000000000000001E-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18" l="1"/>
  <c r="BN2" i="10" l="1"/>
  <c r="BM2" i="10"/>
  <c r="BL2" i="10"/>
  <c r="BL60" i="1" l="1"/>
  <c r="BL61" i="1" l="1"/>
  <c r="BDQ2" i="10" l="1"/>
  <c r="F15" i="10" l="1"/>
  <c r="BFG2" i="10" l="1"/>
  <c r="BFF2" i="10"/>
  <c r="BFE2" i="10"/>
  <c r="BFD2" i="10"/>
  <c r="F13" i="10" l="1"/>
  <c r="L17" i="4" l="1"/>
  <c r="DK87" i="1" l="1"/>
  <c r="DK98" i="1"/>
  <c r="DK109" i="1"/>
  <c r="DK120" i="1"/>
  <c r="DK131" i="1"/>
  <c r="DK142" i="1"/>
  <c r="DK153" i="1"/>
  <c r="DK164" i="1"/>
  <c r="DK175" i="1"/>
  <c r="DK186" i="1"/>
  <c r="DK197" i="1"/>
  <c r="DK208" i="1"/>
  <c r="DK219" i="1"/>
  <c r="DK230" i="1"/>
  <c r="DK241" i="1"/>
  <c r="DK252" i="1"/>
  <c r="DK263" i="1"/>
  <c r="DK274" i="1"/>
  <c r="DK285" i="1"/>
  <c r="DK296" i="1"/>
  <c r="DK307" i="1"/>
  <c r="DK318" i="1"/>
  <c r="DK329" i="1"/>
  <c r="DK340" i="1"/>
  <c r="DK76" i="1"/>
  <c r="B16" i="16" l="1"/>
  <c r="B17" i="16" s="1"/>
  <c r="Q1" i="16"/>
  <c r="B18" i="16" l="1"/>
  <c r="B19" i="16" l="1"/>
  <c r="B20" i="16" l="1"/>
  <c r="B21" i="16" l="1"/>
  <c r="B22" i="16" l="1"/>
  <c r="B23" i="16" l="1"/>
  <c r="B24" i="16" l="1"/>
  <c r="B25" i="16" l="1"/>
  <c r="B26" i="16" l="1"/>
  <c r="B27" i="16" l="1"/>
  <c r="B28" i="16" l="1"/>
  <c r="B29" i="16" l="1"/>
  <c r="B30" i="16" l="1"/>
  <c r="B31" i="16" l="1"/>
  <c r="B32" i="16" l="1"/>
  <c r="B33" i="16" l="1"/>
  <c r="B34" i="16" l="1"/>
  <c r="B35" i="16" l="1"/>
  <c r="B36" i="16" l="1"/>
  <c r="B37" i="16" l="1"/>
  <c r="B38" i="16" l="1"/>
  <c r="B39" i="16" l="1"/>
  <c r="B40" i="16" l="1"/>
  <c r="B41" i="16" l="1"/>
  <c r="B42" i="16" l="1"/>
  <c r="B43" i="16" l="1"/>
  <c r="B44" i="16" l="1"/>
  <c r="B45" i="16" l="1"/>
  <c r="B46" i="16" l="1"/>
  <c r="B47" i="16" l="1"/>
  <c r="B48" i="16" l="1"/>
  <c r="B49" i="16" l="1"/>
  <c r="B50" i="16" l="1"/>
  <c r="B51" i="16" l="1"/>
  <c r="B52" i="16" l="1"/>
  <c r="B53" i="16" l="1"/>
  <c r="B54" i="16" l="1"/>
  <c r="B55" i="16" l="1"/>
  <c r="B56" i="16" l="1"/>
  <c r="B57" i="16" l="1"/>
  <c r="B58" i="16" l="1"/>
  <c r="B59" i="16" l="1"/>
  <c r="B60" i="16" l="1"/>
  <c r="B61" i="16" l="1"/>
  <c r="B62" i="16" l="1"/>
  <c r="B63" i="16" l="1"/>
  <c r="B64" i="16" l="1"/>
  <c r="B65" i="16" l="1"/>
  <c r="B66" i="16" l="1"/>
  <c r="B67" i="16" l="1"/>
  <c r="B68" i="16" l="1"/>
  <c r="B69" i="16" l="1"/>
  <c r="B70" i="16" l="1"/>
  <c r="B71" i="16" l="1"/>
  <c r="B72" i="16" l="1"/>
  <c r="B73" i="16" l="1"/>
  <c r="B74" i="16" l="1"/>
  <c r="B75" i="16" l="1"/>
  <c r="B76" i="16" l="1"/>
  <c r="B77" i="16" l="1"/>
  <c r="B78" i="16" l="1"/>
  <c r="B79" i="16" l="1"/>
  <c r="B80" i="16" l="1"/>
  <c r="B81" i="16" l="1"/>
  <c r="B82" i="16" l="1"/>
  <c r="B83" i="16" l="1"/>
  <c r="B84" i="16" l="1"/>
  <c r="B85" i="16" l="1"/>
  <c r="B86" i="16" l="1"/>
  <c r="B87" i="16" l="1"/>
  <c r="B88" i="16" l="1"/>
  <c r="B89" i="16" l="1"/>
  <c r="B90" i="16" l="1"/>
  <c r="B91" i="16" l="1"/>
  <c r="B92" i="16" l="1"/>
  <c r="B93" i="16" l="1"/>
  <c r="B94" i="16" l="1"/>
  <c r="B95" i="16" l="1"/>
  <c r="B96" i="16" l="1"/>
  <c r="B97" i="16" l="1"/>
  <c r="B98" i="16" l="1"/>
  <c r="B99" i="16" l="1"/>
  <c r="B100" i="16" l="1"/>
  <c r="B101" i="16" l="1"/>
  <c r="B102" i="16" l="1"/>
  <c r="B103" i="16" l="1"/>
  <c r="B104" i="16" l="1"/>
  <c r="B105" i="16" l="1"/>
  <c r="B106" i="16" l="1"/>
  <c r="B107" i="16" l="1"/>
  <c r="B108" i="16" l="1"/>
  <c r="B109" i="16" l="1"/>
  <c r="B110" i="16" l="1"/>
  <c r="B111" i="16" l="1"/>
  <c r="B112" i="16" l="1"/>
  <c r="B113" i="16" l="1"/>
  <c r="B114" i="16" l="1"/>
  <c r="B115" i="16" l="1"/>
  <c r="B116" i="16" l="1"/>
  <c r="B117" i="16" l="1"/>
  <c r="B118" i="16" l="1"/>
  <c r="B119" i="16" l="1"/>
  <c r="B120" i="16" l="1"/>
  <c r="B121" i="16" l="1"/>
  <c r="B122" i="16" l="1"/>
  <c r="B123" i="16" l="1"/>
  <c r="B124" i="16" l="1"/>
  <c r="B125" i="16" l="1"/>
  <c r="B126" i="16" l="1"/>
  <c r="B127" i="16" l="1"/>
  <c r="B128" i="16" l="1"/>
  <c r="B129" i="16" l="1"/>
  <c r="B130" i="16" l="1"/>
  <c r="B131" i="16" l="1"/>
  <c r="B132" i="16" l="1"/>
  <c r="B133" i="16" l="1"/>
  <c r="B134" i="16" l="1"/>
  <c r="B135" i="16" l="1"/>
  <c r="B136" i="16" l="1"/>
  <c r="B137" i="16" l="1"/>
  <c r="B138" i="16" l="1"/>
  <c r="B139" i="16" l="1"/>
  <c r="B140" i="16" l="1"/>
  <c r="B141" i="16" l="1"/>
  <c r="B142" i="16" l="1"/>
  <c r="B143" i="16" l="1"/>
  <c r="B144" i="16" l="1"/>
  <c r="B145" i="16" l="1"/>
  <c r="B146" i="16" l="1"/>
  <c r="B147" i="16" l="1"/>
  <c r="B148" i="16" l="1"/>
  <c r="B149" i="16" l="1"/>
  <c r="B150" i="16" l="1"/>
  <c r="B151" i="16" l="1"/>
  <c r="B152" i="16" l="1"/>
  <c r="B153" i="16" l="1"/>
  <c r="B154" i="16" l="1"/>
  <c r="B155" i="16" l="1"/>
  <c r="B156" i="16" l="1"/>
  <c r="B157" i="16" l="1"/>
  <c r="B158" i="16" l="1"/>
  <c r="B159" i="16" l="1"/>
  <c r="B160" i="16" l="1"/>
  <c r="B161" i="16" l="1"/>
  <c r="B162" i="16" l="1"/>
  <c r="B163" i="16" l="1"/>
  <c r="B164" i="16" l="1"/>
  <c r="B165" i="16" l="1"/>
  <c r="B166" i="16" l="1"/>
  <c r="B167" i="16" l="1"/>
  <c r="B168" i="16" l="1"/>
  <c r="B169" i="16" l="1"/>
  <c r="B170" i="16" l="1"/>
  <c r="B171" i="16" l="1"/>
  <c r="B172" i="16" l="1"/>
  <c r="B173" i="16" l="1"/>
  <c r="B174" i="16" l="1"/>
  <c r="B175" i="16" l="1"/>
  <c r="B176" i="16" l="1"/>
  <c r="B177" i="16" l="1"/>
  <c r="B178" i="16" l="1"/>
  <c r="B179" i="16" l="1"/>
  <c r="B180" i="16" l="1"/>
  <c r="B181" i="16" l="1"/>
  <c r="B182" i="16" l="1"/>
  <c r="B183" i="16" l="1"/>
  <c r="B184" i="16" l="1"/>
  <c r="B185" i="16" l="1"/>
  <c r="B186" i="16" l="1"/>
  <c r="B187" i="16" l="1"/>
  <c r="B188" i="16" l="1"/>
  <c r="B189" i="16" l="1"/>
  <c r="B190" i="16" l="1"/>
  <c r="B191" i="16" l="1"/>
  <c r="B192" i="16" l="1"/>
  <c r="B193" i="16" l="1"/>
  <c r="B194" i="16" l="1"/>
  <c r="B195" i="16" l="1"/>
  <c r="BK2" i="10" l="1"/>
  <c r="BCO2" i="10" l="1"/>
  <c r="BCN2" i="10"/>
  <c r="BCM2" i="10"/>
  <c r="BCL2" i="10"/>
  <c r="BCK2" i="10"/>
  <c r="BCJ2" i="10"/>
  <c r="BCI2" i="10"/>
  <c r="BCH2" i="10"/>
  <c r="BCG2" i="10"/>
  <c r="BCF2" i="10"/>
  <c r="BCE2" i="10"/>
  <c r="BCD2" i="10"/>
  <c r="BCC2" i="10"/>
  <c r="BCB2" i="10"/>
  <c r="BCA2" i="10"/>
  <c r="BBZ2" i="10"/>
  <c r="BBY2" i="10"/>
  <c r="BBX2" i="10"/>
  <c r="BBW2" i="10"/>
  <c r="BBV2" i="10"/>
  <c r="BBU2" i="10"/>
  <c r="BBT2" i="10"/>
  <c r="BBS2" i="10"/>
  <c r="BBR2" i="10"/>
  <c r="BBQ2" i="10"/>
  <c r="BBP2" i="10"/>
  <c r="BBO2" i="10"/>
  <c r="BBN2" i="10"/>
  <c r="BBM2" i="10"/>
  <c r="BBL2" i="10"/>
  <c r="BBK2" i="10"/>
  <c r="BBJ2" i="10"/>
  <c r="BBI2" i="10"/>
  <c r="BBH2" i="10"/>
  <c r="BBG2" i="10"/>
  <c r="BBF2" i="10"/>
  <c r="BBE2" i="10"/>
  <c r="BBD2" i="10"/>
  <c r="BBC2" i="10"/>
  <c r="BBB2" i="10"/>
  <c r="BBA2" i="10"/>
  <c r="BAZ2" i="10"/>
  <c r="BAY2" i="10"/>
  <c r="BAX2" i="10"/>
  <c r="BAW2" i="10"/>
  <c r="BAV2" i="10"/>
  <c r="BAU2" i="10"/>
  <c r="BAT2" i="10"/>
  <c r="BAS2" i="10"/>
  <c r="BAR2" i="10"/>
  <c r="B16" i="15" l="1"/>
  <c r="B17" i="15" s="1"/>
  <c r="B18" i="15" s="1"/>
  <c r="B19" i="15" s="1"/>
  <c r="B20" i="15" s="1"/>
  <c r="B21" i="15" s="1"/>
  <c r="B22" i="15" s="1"/>
  <c r="B23" i="15" s="1"/>
  <c r="B24" i="15" s="1"/>
  <c r="B25" i="15" s="1"/>
  <c r="B26" i="15" s="1"/>
  <c r="B27" i="15" s="1"/>
  <c r="B28" i="15" s="1"/>
  <c r="B29" i="15" s="1"/>
  <c r="B30" i="15" s="1"/>
  <c r="B31" i="15" s="1"/>
  <c r="B32" i="15" s="1"/>
  <c r="Q1" i="15"/>
  <c r="B33" i="15" l="1"/>
  <c r="BCS2" i="10"/>
  <c r="BCU2" i="10"/>
  <c r="BCW2" i="10"/>
  <c r="BCP2" i="10"/>
  <c r="F14" i="10"/>
  <c r="BCT2" i="10" l="1"/>
  <c r="BCY2" i="10"/>
  <c r="BDJ2" i="10"/>
  <c r="B34" i="15"/>
  <c r="BCQ2" i="10"/>
  <c r="BDO2" i="10"/>
  <c r="BDM2" i="10"/>
  <c r="BDK2" i="10"/>
  <c r="BDI2" i="10"/>
  <c r="BCR2" i="10"/>
  <c r="BCV2" i="10"/>
  <c r="BDP2" i="10"/>
  <c r="BDL2" i="10"/>
  <c r="BDH2" i="10"/>
  <c r="BDF2" i="10"/>
  <c r="BCX2" i="10"/>
  <c r="BDN2" i="10"/>
  <c r="BDB2" i="10"/>
  <c r="BDE2" i="10"/>
  <c r="BDA2" i="10"/>
  <c r="BDD2" i="10"/>
  <c r="BCZ2" i="10"/>
  <c r="BDG2" i="10"/>
  <c r="BDC2" i="10"/>
  <c r="N5" i="14"/>
  <c r="X5" i="14"/>
  <c r="BS5" i="14" s="1"/>
  <c r="E5" i="14" s="1"/>
  <c r="W5" i="14"/>
  <c r="AF5" i="14" s="1"/>
  <c r="Q5" i="14"/>
  <c r="O5" i="14"/>
  <c r="M5" i="14"/>
  <c r="G5" i="14"/>
  <c r="FA6" i="14"/>
  <c r="ES6" i="14"/>
  <c r="EU6" i="14" s="1"/>
  <c r="EO6" i="14"/>
  <c r="FB6" i="14" s="1"/>
  <c r="EE6" i="14"/>
  <c r="DW6" i="14"/>
  <c r="DY6" i="14" s="1"/>
  <c r="DS6" i="14"/>
  <c r="EF6" i="14" s="1"/>
  <c r="DI6" i="14"/>
  <c r="DA6" i="14"/>
  <c r="CW6" i="14"/>
  <c r="DJ6" i="14" s="1"/>
  <c r="CM6" i="14"/>
  <c r="CE6" i="14"/>
  <c r="CA6" i="14"/>
  <c r="CN6" i="14" s="1"/>
  <c r="BU6" i="14"/>
  <c r="P6" i="14" s="1"/>
  <c r="BS6" i="14"/>
  <c r="E6" i="14" s="1"/>
  <c r="AH6" i="14"/>
  <c r="AF6" i="14"/>
  <c r="AB6" i="14"/>
  <c r="S6" i="14"/>
  <c r="U6" i="14" s="1"/>
  <c r="L6" i="14"/>
  <c r="FA5" i="14"/>
  <c r="ES5" i="14"/>
  <c r="EU5" i="14" s="1"/>
  <c r="EO5" i="14"/>
  <c r="FB5" i="14" s="1"/>
  <c r="EE5" i="14"/>
  <c r="DW5" i="14"/>
  <c r="DY5" i="14" s="1"/>
  <c r="DS5" i="14"/>
  <c r="EF5" i="14" s="1"/>
  <c r="DI5" i="14"/>
  <c r="DA5" i="14"/>
  <c r="DB5" i="14" s="1"/>
  <c r="CW5" i="14"/>
  <c r="DJ5" i="14" s="1"/>
  <c r="CM5" i="14"/>
  <c r="CE5" i="14"/>
  <c r="CG5" i="14" s="1"/>
  <c r="CA5" i="14"/>
  <c r="CN5" i="14" s="1"/>
  <c r="BU5" i="14"/>
  <c r="P5" i="14" s="1"/>
  <c r="AH5" i="14"/>
  <c r="L5" i="14"/>
  <c r="A5" i="14"/>
  <c r="A6" i="14" s="1"/>
  <c r="TF4" i="14"/>
  <c r="FG4" i="14"/>
  <c r="TG2" i="14"/>
  <c r="TH2" i="14" s="1"/>
  <c r="FH2" i="14"/>
  <c r="FH4" i="14" s="1"/>
  <c r="BR2" i="14"/>
  <c r="BQ2" i="14"/>
  <c r="BP2" i="14"/>
  <c r="BO2" i="14"/>
  <c r="BN2" i="14"/>
  <c r="BM2" i="14"/>
  <c r="BL2" i="14"/>
  <c r="BK2" i="14"/>
  <c r="BI2" i="14"/>
  <c r="BH2" i="14"/>
  <c r="BG2" i="14"/>
  <c r="BD2" i="14"/>
  <c r="BC2" i="14"/>
  <c r="BB2" i="14"/>
  <c r="BA2" i="14"/>
  <c r="AZ2" i="14"/>
  <c r="AY2" i="14"/>
  <c r="AX2" i="14"/>
  <c r="AU2" i="14"/>
  <c r="AT2" i="14"/>
  <c r="AT5" i="14" s="1"/>
  <c r="G2" i="14"/>
  <c r="AI1" i="14"/>
  <c r="AI2" i="14" s="1"/>
  <c r="AG1" i="14"/>
  <c r="AG2" i="14" s="1"/>
  <c r="T1" i="14"/>
  <c r="J2" i="14" s="1"/>
  <c r="S1" i="14"/>
  <c r="S2" i="14" s="1"/>
  <c r="R1" i="14"/>
  <c r="R2" i="14" s="1"/>
  <c r="Q1" i="14"/>
  <c r="Q2" i="14" s="1"/>
  <c r="O1" i="14"/>
  <c r="O2" i="14" s="1"/>
  <c r="N1" i="14"/>
  <c r="N2" i="14" s="1"/>
  <c r="AB5" i="14" l="1"/>
  <c r="B35" i="15"/>
  <c r="S5" i="14"/>
  <c r="V5" i="14" s="1"/>
  <c r="DD5" i="14"/>
  <c r="BT6" i="14"/>
  <c r="FF6" i="14" s="1"/>
  <c r="FG6" i="14" s="1"/>
  <c r="FH6" i="14" s="1"/>
  <c r="V6" i="14"/>
  <c r="T6" i="14"/>
  <c r="DC5" i="14"/>
  <c r="DX5" i="14"/>
  <c r="ET5" i="14"/>
  <c r="DX6" i="14"/>
  <c r="ET6" i="14"/>
  <c r="BI5" i="14"/>
  <c r="CF5" i="14"/>
  <c r="TH4" i="14"/>
  <c r="TI2" i="14"/>
  <c r="BQ5" i="14"/>
  <c r="T2" i="14"/>
  <c r="AU5" i="14"/>
  <c r="BG5" i="14"/>
  <c r="BJ5" i="14" s="1"/>
  <c r="BL5" i="14"/>
  <c r="EY6" i="14"/>
  <c r="EC6" i="14"/>
  <c r="DG6" i="14"/>
  <c r="CK6" i="14"/>
  <c r="BP5" i="14"/>
  <c r="DG5" i="14"/>
  <c r="FI2" i="14"/>
  <c r="EV5" i="14"/>
  <c r="CI6" i="14"/>
  <c r="BH5" i="14"/>
  <c r="EW6" i="14"/>
  <c r="EW5" i="14"/>
  <c r="EA5" i="14"/>
  <c r="DE5" i="14"/>
  <c r="CI5" i="14"/>
  <c r="DE6" i="14"/>
  <c r="EA6" i="14"/>
  <c r="CH5" i="14"/>
  <c r="EC5" i="14"/>
  <c r="EY5" i="14"/>
  <c r="I2" i="14"/>
  <c r="AX5" i="14"/>
  <c r="AY5" i="14"/>
  <c r="BC5" i="14"/>
  <c r="EX6" i="14"/>
  <c r="EX5" i="14"/>
  <c r="EB5" i="14"/>
  <c r="DF5" i="14"/>
  <c r="CJ5" i="14"/>
  <c r="EB6" i="14"/>
  <c r="CJ6" i="14"/>
  <c r="DF6" i="14"/>
  <c r="BN5" i="14"/>
  <c r="BA5" i="14"/>
  <c r="CK5" i="14"/>
  <c r="CG6" i="14"/>
  <c r="CF6" i="14"/>
  <c r="AT6" i="14"/>
  <c r="AY6" i="14" s="1"/>
  <c r="AZ5" i="14"/>
  <c r="BD5" i="14"/>
  <c r="DD6" i="14"/>
  <c r="CH6" i="14"/>
  <c r="BK5" i="14"/>
  <c r="DZ6" i="14"/>
  <c r="EV6" i="14"/>
  <c r="DZ5" i="14"/>
  <c r="BO5" i="14"/>
  <c r="TG4" i="14"/>
  <c r="BB5" i="14"/>
  <c r="BM5" i="14"/>
  <c r="TF5" i="14" s="1"/>
  <c r="DC6" i="14"/>
  <c r="DB6" i="14"/>
  <c r="B36" i="15" l="1"/>
  <c r="BT5" i="14"/>
  <c r="T5" i="14"/>
  <c r="U5" i="14"/>
  <c r="AG5" i="14" s="1"/>
  <c r="AI5" i="14" s="1"/>
  <c r="AN6" i="14"/>
  <c r="AM6" i="14"/>
  <c r="AL6" i="14"/>
  <c r="AC6" i="14"/>
  <c r="AD6" i="14" s="1"/>
  <c r="AP6" i="14"/>
  <c r="AO6" i="14"/>
  <c r="FI6" i="14"/>
  <c r="AK6" i="14"/>
  <c r="ED5" i="14"/>
  <c r="EG5" i="14" s="1"/>
  <c r="ED6" i="14"/>
  <c r="EG6" i="14" s="1"/>
  <c r="CL6" i="14"/>
  <c r="CO6" i="14" s="1"/>
  <c r="EZ6" i="14"/>
  <c r="FC6" i="14" s="1"/>
  <c r="BO6" i="14"/>
  <c r="BK6" i="14"/>
  <c r="BD6" i="14"/>
  <c r="TE5" i="14"/>
  <c r="BR5" i="14"/>
  <c r="AZ6" i="14"/>
  <c r="BI6" i="14"/>
  <c r="BQ6" i="14"/>
  <c r="BH6" i="14"/>
  <c r="EZ5" i="14"/>
  <c r="FC5" i="14" s="1"/>
  <c r="BL6" i="14"/>
  <c r="BG6" i="14"/>
  <c r="BJ6" i="14" s="1"/>
  <c r="TD5" i="14"/>
  <c r="AV5" i="14"/>
  <c r="AE5" i="14" s="1"/>
  <c r="AW5" i="14"/>
  <c r="DH6" i="14"/>
  <c r="DK6" i="14" s="1"/>
  <c r="BN6" i="14"/>
  <c r="BC6" i="14"/>
  <c r="BB6" i="14"/>
  <c r="FI4" i="14"/>
  <c r="FJ2" i="14"/>
  <c r="BA6" i="14"/>
  <c r="AU6" i="14"/>
  <c r="TJ2" i="14"/>
  <c r="TI5" i="14"/>
  <c r="TI4" i="14"/>
  <c r="TH5" i="14"/>
  <c r="G1" i="14"/>
  <c r="TG5" i="14"/>
  <c r="BM6" i="14"/>
  <c r="TC5" i="14"/>
  <c r="CL5" i="14"/>
  <c r="CO5" i="14" s="1"/>
  <c r="BP6" i="14"/>
  <c r="AX6" i="14"/>
  <c r="DH5" i="14"/>
  <c r="DK5" i="14" s="1"/>
  <c r="AJ5" i="14" l="1"/>
  <c r="B37" i="15"/>
  <c r="BF5" i="14"/>
  <c r="AL5" i="14"/>
  <c r="AM5" i="14"/>
  <c r="AP5" i="14"/>
  <c r="AN5" i="14"/>
  <c r="AC5" i="14"/>
  <c r="AD5" i="14" s="1"/>
  <c r="AO5" i="14"/>
  <c r="AK5" i="14"/>
  <c r="FF5" i="14"/>
  <c r="FG5" i="14" s="1"/>
  <c r="FH5" i="14" s="1"/>
  <c r="FI5" i="14" s="1"/>
  <c r="FJ5" i="14" s="1"/>
  <c r="TE6" i="14"/>
  <c r="TC6" i="14"/>
  <c r="TF6" i="14"/>
  <c r="TG6" i="14"/>
  <c r="TH6" i="14"/>
  <c r="TI6" i="14"/>
  <c r="BR6" i="14"/>
  <c r="BE5" i="14"/>
  <c r="FJ6" i="14"/>
  <c r="FJ4" i="14"/>
  <c r="FK2" i="14"/>
  <c r="AG6" i="14"/>
  <c r="AI6" i="14" s="1"/>
  <c r="AJ6" i="14" s="1"/>
  <c r="BF6" i="14"/>
  <c r="TJ6" i="14"/>
  <c r="TJ4" i="14"/>
  <c r="TJ5" i="14"/>
  <c r="TK2" i="14"/>
  <c r="AW6" i="14"/>
  <c r="TD6" i="14"/>
  <c r="AV6" i="14"/>
  <c r="AE6" i="14" s="1"/>
  <c r="B166" i="2"/>
  <c r="B167" i="2"/>
  <c r="B168" i="2"/>
  <c r="B169" i="2"/>
  <c r="B170" i="2"/>
  <c r="B165" i="2"/>
  <c r="B164" i="2"/>
  <c r="B163" i="2"/>
  <c r="B162" i="2"/>
  <c r="B161" i="2"/>
  <c r="B160" i="2"/>
  <c r="B159" i="2"/>
  <c r="B158" i="2"/>
  <c r="B157" i="2"/>
  <c r="B156" i="2"/>
  <c r="B155" i="2"/>
  <c r="B154" i="2"/>
  <c r="B153" i="2"/>
  <c r="B152" i="2"/>
  <c r="B151" i="2"/>
  <c r="B150" i="2"/>
  <c r="B149" i="2"/>
  <c r="B148" i="2"/>
  <c r="B147" i="2"/>
  <c r="FK5" i="14" l="1"/>
  <c r="B38" i="15"/>
  <c r="FK6" i="14"/>
  <c r="BE6" i="14"/>
  <c r="FK4" i="14"/>
  <c r="FL2" i="14"/>
  <c r="TK4" i="14"/>
  <c r="TK5" i="14"/>
  <c r="TK6" i="14"/>
  <c r="TL2" i="14"/>
  <c r="B146" i="2"/>
  <c r="B39" i="15" l="1"/>
  <c r="FL4" i="14"/>
  <c r="FM2" i="14"/>
  <c r="FL5" i="14"/>
  <c r="FM5" i="14" s="1"/>
  <c r="TL5" i="14"/>
  <c r="TL6" i="14"/>
  <c r="TL4" i="14"/>
  <c r="TM2" i="14"/>
  <c r="FL6" i="14"/>
  <c r="FM6" i="14" s="1"/>
  <c r="BFY2" i="10"/>
  <c r="BFX2" i="10"/>
  <c r="BFW2" i="10"/>
  <c r="BFV2" i="10"/>
  <c r="BFU2" i="10"/>
  <c r="BFT2" i="10"/>
  <c r="BFS2" i="10"/>
  <c r="BFR2" i="10"/>
  <c r="BFQ2" i="10"/>
  <c r="BFP2" i="10"/>
  <c r="BFO2" i="10"/>
  <c r="BFN2" i="10"/>
  <c r="BFM2" i="10"/>
  <c r="BFL2" i="10"/>
  <c r="BFK2" i="10"/>
  <c r="BFJ2" i="10"/>
  <c r="BFI2" i="10"/>
  <c r="BFH2" i="10"/>
  <c r="BFC2" i="10"/>
  <c r="BFB2" i="10"/>
  <c r="BFA2" i="10"/>
  <c r="BEZ2" i="10"/>
  <c r="BEY2" i="10"/>
  <c r="BEX2" i="10"/>
  <c r="BEW2" i="10"/>
  <c r="BEV2" i="10"/>
  <c r="BEU2" i="10"/>
  <c r="BET2" i="10"/>
  <c r="BES2" i="10"/>
  <c r="BER2" i="10"/>
  <c r="BEQ2" i="10"/>
  <c r="BEP2" i="10"/>
  <c r="BEO2" i="10"/>
  <c r="BEN2" i="10"/>
  <c r="BEM2" i="10"/>
  <c r="BEL2" i="10"/>
  <c r="BEK2" i="10"/>
  <c r="BEJ2" i="10"/>
  <c r="BEI2" i="10"/>
  <c r="BEH2" i="10"/>
  <c r="BEG2" i="10"/>
  <c r="BEF2" i="10"/>
  <c r="BEE2" i="10"/>
  <c r="BED2" i="10"/>
  <c r="BEC2" i="10"/>
  <c r="BEB2" i="10"/>
  <c r="BEA2" i="10"/>
  <c r="BDZ2" i="10"/>
  <c r="BDY2" i="10"/>
  <c r="BDX2" i="10"/>
  <c r="BDW2" i="10"/>
  <c r="BDV2" i="10"/>
  <c r="BDU2" i="10"/>
  <c r="BDT2" i="10"/>
  <c r="BDS2" i="10"/>
  <c r="BDR2" i="10"/>
  <c r="B40" i="15" l="1"/>
  <c r="TM6" i="14"/>
  <c r="TN2" i="14"/>
  <c r="TM4" i="14"/>
  <c r="TM5" i="14"/>
  <c r="FN2" i="14"/>
  <c r="FM4" i="14"/>
  <c r="C15" i="13"/>
  <c r="C16" i="13"/>
  <c r="C14" i="13"/>
  <c r="C8" i="13"/>
  <c r="C7" i="13"/>
  <c r="B41" i="15" l="1"/>
  <c r="FO2" i="14"/>
  <c r="FN4" i="14"/>
  <c r="FN5" i="14"/>
  <c r="FO5" i="14" s="1"/>
  <c r="TN6" i="14"/>
  <c r="TN4" i="14"/>
  <c r="TN5" i="14"/>
  <c r="TO2" i="14"/>
  <c r="FN6" i="14"/>
  <c r="C17" i="13"/>
  <c r="C9" i="13"/>
  <c r="FO6" i="14" l="1"/>
  <c r="B42" i="15"/>
  <c r="TO6" i="14"/>
  <c r="TO4" i="14"/>
  <c r="TO5" i="14"/>
  <c r="TP2" i="14"/>
  <c r="FO4" i="14"/>
  <c r="FP2" i="14"/>
  <c r="C10" i="13"/>
  <c r="C19" i="13" s="1"/>
  <c r="FP6" i="14" l="1"/>
  <c r="B43" i="15"/>
  <c r="FP5" i="14"/>
  <c r="TP5" i="14"/>
  <c r="TQ2" i="14"/>
  <c r="TP6" i="14"/>
  <c r="TP4" i="14"/>
  <c r="FP4" i="14"/>
  <c r="FQ2" i="14"/>
  <c r="AJ2" i="10"/>
  <c r="FQ6" i="14" l="1"/>
  <c r="B44" i="15"/>
  <c r="TQ6" i="14"/>
  <c r="TR2" i="14"/>
  <c r="TQ5" i="14"/>
  <c r="TQ4" i="14"/>
  <c r="FQ5" i="14"/>
  <c r="FQ4" i="14"/>
  <c r="FR2" i="14"/>
  <c r="Q40" i="2"/>
  <c r="FR5" i="14" l="1"/>
  <c r="B45" i="15"/>
  <c r="TR4" i="14"/>
  <c r="TR6" i="14"/>
  <c r="TR5" i="14"/>
  <c r="TS2" i="14"/>
  <c r="FR4" i="14"/>
  <c r="FS2" i="14"/>
  <c r="FR6" i="14"/>
  <c r="M34" i="2"/>
  <c r="AW2" i="10" s="1"/>
  <c r="FS6" i="14" l="1"/>
  <c r="B46" i="15"/>
  <c r="FS5" i="14"/>
  <c r="TS4" i="14"/>
  <c r="TS6" i="14"/>
  <c r="TS5" i="14"/>
  <c r="TT2" i="14"/>
  <c r="FS4" i="14"/>
  <c r="FT2" i="14"/>
  <c r="G22" i="4"/>
  <c r="G20" i="4"/>
  <c r="FT6" i="14" l="1"/>
  <c r="B47" i="15"/>
  <c r="TT6" i="14"/>
  <c r="TT5" i="14"/>
  <c r="TT4" i="14"/>
  <c r="TU2" i="14"/>
  <c r="FT5" i="14"/>
  <c r="FT4" i="14"/>
  <c r="FU2" i="14"/>
  <c r="ER2" i="10"/>
  <c r="B48" i="15" l="1"/>
  <c r="FU5" i="14"/>
  <c r="TU6" i="14"/>
  <c r="TV2" i="14"/>
  <c r="TU4" i="14"/>
  <c r="TU5" i="14"/>
  <c r="FV2" i="14"/>
  <c r="FU4" i="14"/>
  <c r="FU6" i="14"/>
  <c r="GF2" i="10"/>
  <c r="GE2" i="10"/>
  <c r="GD2" i="10"/>
  <c r="GC2" i="10"/>
  <c r="GB2" i="10"/>
  <c r="GA2" i="10"/>
  <c r="FZ2" i="10"/>
  <c r="FY2" i="10"/>
  <c r="FX2" i="10"/>
  <c r="FW2" i="10"/>
  <c r="FV2" i="10"/>
  <c r="FU2" i="10"/>
  <c r="FT2" i="10"/>
  <c r="FS2" i="10"/>
  <c r="FR2" i="10"/>
  <c r="FQ2" i="10"/>
  <c r="FP2" i="10"/>
  <c r="FO2" i="10"/>
  <c r="FN2" i="10"/>
  <c r="FM2" i="10"/>
  <c r="FL2" i="10"/>
  <c r="FK2" i="10"/>
  <c r="FJ2" i="10"/>
  <c r="FI2" i="10"/>
  <c r="FH2" i="10"/>
  <c r="FG2" i="10"/>
  <c r="FF2" i="10"/>
  <c r="FE2" i="10"/>
  <c r="FD2" i="10"/>
  <c r="FC2" i="10"/>
  <c r="FB2" i="10"/>
  <c r="FA2" i="10"/>
  <c r="EZ2" i="10"/>
  <c r="EY2" i="10"/>
  <c r="EX2" i="10"/>
  <c r="EW2" i="10"/>
  <c r="EV2" i="10"/>
  <c r="EU2" i="10"/>
  <c r="ET2" i="10"/>
  <c r="ES2" i="10"/>
  <c r="FV5" i="14" l="1"/>
  <c r="FV6" i="14"/>
  <c r="B49" i="15"/>
  <c r="TV4" i="14"/>
  <c r="TV6" i="14"/>
  <c r="TV5" i="14"/>
  <c r="TW2" i="14"/>
  <c r="FW2" i="14"/>
  <c r="FV4" i="14"/>
  <c r="B100" i="12"/>
  <c r="A100" i="12"/>
  <c r="B99" i="12"/>
  <c r="A99" i="12"/>
  <c r="B98" i="12"/>
  <c r="A98" i="12"/>
  <c r="B97" i="12"/>
  <c r="A97" i="12"/>
  <c r="B96" i="12"/>
  <c r="A96" i="12"/>
  <c r="B95" i="12"/>
  <c r="A95" i="12"/>
  <c r="B94" i="12"/>
  <c r="A94" i="12"/>
  <c r="B93" i="12"/>
  <c r="A93" i="12"/>
  <c r="B92" i="12"/>
  <c r="A92" i="12"/>
  <c r="B91" i="12"/>
  <c r="A91" i="12"/>
  <c r="B90" i="12"/>
  <c r="A90" i="12"/>
  <c r="B89" i="12"/>
  <c r="A89" i="12"/>
  <c r="B88" i="12"/>
  <c r="A88" i="12"/>
  <c r="B87" i="12"/>
  <c r="A87" i="12"/>
  <c r="B86" i="12"/>
  <c r="A86" i="12"/>
  <c r="B85" i="12"/>
  <c r="A85" i="12"/>
  <c r="B84" i="12"/>
  <c r="A84" i="12"/>
  <c r="B83" i="12"/>
  <c r="A83" i="12"/>
  <c r="B82" i="12"/>
  <c r="A82" i="12"/>
  <c r="B81" i="12"/>
  <c r="A81" i="12"/>
  <c r="B80" i="12"/>
  <c r="A80" i="12"/>
  <c r="B79" i="12"/>
  <c r="A79" i="12"/>
  <c r="B78" i="12"/>
  <c r="A78" i="12"/>
  <c r="B77" i="12"/>
  <c r="A77" i="12"/>
  <c r="B76" i="12"/>
  <c r="A76" i="12"/>
  <c r="B75" i="12"/>
  <c r="A75" i="12"/>
  <c r="B74" i="12"/>
  <c r="A74" i="12"/>
  <c r="B73" i="12"/>
  <c r="A73" i="12"/>
  <c r="B72" i="12"/>
  <c r="A72" i="12"/>
  <c r="B71" i="12"/>
  <c r="A71" i="12"/>
  <c r="B70" i="12"/>
  <c r="A70" i="12"/>
  <c r="B69" i="12"/>
  <c r="A69" i="12"/>
  <c r="B68" i="12"/>
  <c r="A68" i="12"/>
  <c r="B67" i="12"/>
  <c r="A67" i="12"/>
  <c r="B66" i="12"/>
  <c r="A66" i="12"/>
  <c r="B65" i="12"/>
  <c r="A65" i="12"/>
  <c r="B64" i="12"/>
  <c r="A64" i="12"/>
  <c r="B63" i="12"/>
  <c r="A63" i="12"/>
  <c r="B62" i="12"/>
  <c r="A62" i="12"/>
  <c r="B61" i="12"/>
  <c r="A61" i="12"/>
  <c r="B60" i="12"/>
  <c r="A60" i="12"/>
  <c r="B59" i="12"/>
  <c r="A59" i="12"/>
  <c r="B58" i="12"/>
  <c r="A58" i="12"/>
  <c r="B57" i="12"/>
  <c r="A57" i="12"/>
  <c r="B56" i="12"/>
  <c r="A56" i="12"/>
  <c r="B55" i="12"/>
  <c r="A55" i="12"/>
  <c r="B54" i="12"/>
  <c r="A54" i="12"/>
  <c r="B53" i="12"/>
  <c r="A53" i="12"/>
  <c r="B52" i="12"/>
  <c r="A52" i="12"/>
  <c r="B51" i="12"/>
  <c r="A51" i="12"/>
  <c r="B50" i="12"/>
  <c r="A50" i="12"/>
  <c r="B49" i="12"/>
  <c r="A49" i="12"/>
  <c r="B48" i="12"/>
  <c r="A48" i="12"/>
  <c r="B47" i="12"/>
  <c r="A47" i="12"/>
  <c r="B46" i="12"/>
  <c r="A46" i="12"/>
  <c r="B45" i="12"/>
  <c r="A45" i="12"/>
  <c r="B44" i="12"/>
  <c r="A44" i="12"/>
  <c r="B43" i="12"/>
  <c r="A43" i="12"/>
  <c r="B42" i="12"/>
  <c r="A42" i="12"/>
  <c r="B41" i="12"/>
  <c r="A41" i="12"/>
  <c r="B40" i="12"/>
  <c r="A40" i="12"/>
  <c r="B39" i="12"/>
  <c r="A39" i="12"/>
  <c r="B38" i="12"/>
  <c r="A38" i="12"/>
  <c r="B37" i="12"/>
  <c r="A37" i="12"/>
  <c r="B36" i="12"/>
  <c r="A36" i="12"/>
  <c r="B35" i="12"/>
  <c r="A35" i="12"/>
  <c r="B34" i="12"/>
  <c r="A34" i="12"/>
  <c r="B33" i="12"/>
  <c r="A33" i="12"/>
  <c r="B32" i="12"/>
  <c r="A32" i="12"/>
  <c r="B31" i="12"/>
  <c r="A31" i="12"/>
  <c r="B30" i="12"/>
  <c r="A30" i="12"/>
  <c r="B29" i="12"/>
  <c r="A29" i="12"/>
  <c r="B28" i="12"/>
  <c r="A28" i="12"/>
  <c r="B27" i="12"/>
  <c r="A27" i="12"/>
  <c r="B26" i="12"/>
  <c r="A26" i="12"/>
  <c r="B25" i="12"/>
  <c r="A25" i="12"/>
  <c r="B24" i="12"/>
  <c r="A24" i="12"/>
  <c r="B23" i="12"/>
  <c r="A23" i="12"/>
  <c r="B22" i="12"/>
  <c r="A22" i="12"/>
  <c r="B21" i="12"/>
  <c r="A21" i="12"/>
  <c r="B20" i="12"/>
  <c r="A20" i="12"/>
  <c r="B19" i="12"/>
  <c r="A19" i="12"/>
  <c r="B18" i="12"/>
  <c r="A18" i="12"/>
  <c r="B17" i="12"/>
  <c r="A17" i="12"/>
  <c r="B16" i="12"/>
  <c r="A16" i="12"/>
  <c r="B15" i="12"/>
  <c r="A15" i="12"/>
  <c r="B14" i="12"/>
  <c r="A14" i="12"/>
  <c r="B13" i="12"/>
  <c r="A13" i="12"/>
  <c r="B12" i="12"/>
  <c r="A12" i="12"/>
  <c r="B11" i="12"/>
  <c r="A11" i="12"/>
  <c r="B10" i="12"/>
  <c r="A10" i="12"/>
  <c r="B9" i="12"/>
  <c r="A9" i="12"/>
  <c r="B8" i="12"/>
  <c r="A8" i="12"/>
  <c r="B7" i="12"/>
  <c r="A7" i="12"/>
  <c r="B6" i="12"/>
  <c r="A6" i="12"/>
  <c r="B5" i="12"/>
  <c r="A5" i="12"/>
  <c r="B4" i="12"/>
  <c r="A4" i="12"/>
  <c r="B3" i="12"/>
  <c r="A3" i="12"/>
  <c r="B2" i="12"/>
  <c r="A2" i="12"/>
  <c r="B1" i="12"/>
  <c r="A1" i="12"/>
  <c r="B50" i="15" l="1"/>
  <c r="FW6" i="14"/>
  <c r="TW4" i="14"/>
  <c r="TW5" i="14"/>
  <c r="TW6" i="14"/>
  <c r="TX2" i="14"/>
  <c r="FW5" i="14"/>
  <c r="FW4" i="14"/>
  <c r="FX2" i="14"/>
  <c r="EQ2" i="10"/>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43" i="2"/>
  <c r="B59" i="2"/>
  <c r="B58" i="2"/>
  <c r="B57" i="2"/>
  <c r="B56" i="2"/>
  <c r="B55" i="2"/>
  <c r="B54" i="2"/>
  <c r="B53" i="2"/>
  <c r="B52" i="2"/>
  <c r="B51" i="2"/>
  <c r="B50" i="2"/>
  <c r="B49" i="2"/>
  <c r="B48" i="2"/>
  <c r="B47" i="2"/>
  <c r="B46" i="2"/>
  <c r="B45" i="2"/>
  <c r="B44" i="2"/>
  <c r="B42" i="2"/>
  <c r="B41" i="2"/>
  <c r="B40" i="2"/>
  <c r="C40" i="2" l="1"/>
  <c r="B51" i="15"/>
  <c r="FX5" i="14"/>
  <c r="FX6" i="14"/>
  <c r="FX4" i="14"/>
  <c r="FY2" i="14"/>
  <c r="TX5" i="14"/>
  <c r="TX6" i="14"/>
  <c r="TX4" i="14"/>
  <c r="TY2" i="14"/>
  <c r="U2" i="10"/>
  <c r="T2" i="10"/>
  <c r="S2" i="10"/>
  <c r="R2" i="10"/>
  <c r="Q2" i="10"/>
  <c r="P2" i="10"/>
  <c r="O2" i="10"/>
  <c r="N2" i="10"/>
  <c r="M2" i="10"/>
  <c r="L2" i="10"/>
  <c r="K2" i="10"/>
  <c r="B52" i="15" l="1"/>
  <c r="TY6" i="14"/>
  <c r="TZ2" i="14"/>
  <c r="TY5" i="14"/>
  <c r="TY4" i="14"/>
  <c r="FY4" i="14"/>
  <c r="FZ2" i="14"/>
  <c r="FY5" i="14"/>
  <c r="FZ5" i="14" s="1"/>
  <c r="FY6" i="14"/>
  <c r="AYW2" i="10"/>
  <c r="AYV2" i="10"/>
  <c r="AYU2" i="10"/>
  <c r="AYT2" i="10"/>
  <c r="AYS2" i="10"/>
  <c r="AYR2" i="10"/>
  <c r="AYQ2" i="10"/>
  <c r="AYP2" i="10"/>
  <c r="AYO2" i="10"/>
  <c r="AXA2" i="10"/>
  <c r="AWZ2" i="10"/>
  <c r="AWY2" i="10"/>
  <c r="AWX2" i="10"/>
  <c r="AWW2" i="10"/>
  <c r="AWV2" i="10"/>
  <c r="AWU2" i="10"/>
  <c r="AWT2" i="10"/>
  <c r="AWS2" i="10"/>
  <c r="AVE2" i="10"/>
  <c r="AVD2" i="10"/>
  <c r="AVC2" i="10"/>
  <c r="AVB2" i="10"/>
  <c r="AVA2" i="10"/>
  <c r="AUZ2" i="10"/>
  <c r="AUY2" i="10"/>
  <c r="AUX2" i="10"/>
  <c r="AUW2" i="10"/>
  <c r="ATI2" i="10"/>
  <c r="ATH2" i="10"/>
  <c r="ATG2" i="10"/>
  <c r="ATF2" i="10"/>
  <c r="ATE2" i="10"/>
  <c r="ATD2" i="10"/>
  <c r="ATC2" i="10"/>
  <c r="ATB2" i="10"/>
  <c r="ATA2" i="10"/>
  <c r="ARM2" i="10"/>
  <c r="ARL2" i="10"/>
  <c r="ARK2" i="10"/>
  <c r="ARJ2" i="10"/>
  <c r="ARI2" i="10"/>
  <c r="ARH2" i="10"/>
  <c r="ARG2" i="10"/>
  <c r="ARF2" i="10"/>
  <c r="ARE2" i="10"/>
  <c r="APQ2" i="10"/>
  <c r="APP2" i="10"/>
  <c r="APO2" i="10"/>
  <c r="APN2" i="10"/>
  <c r="APM2" i="10"/>
  <c r="APL2" i="10"/>
  <c r="APK2" i="10"/>
  <c r="APJ2" i="10"/>
  <c r="API2" i="10"/>
  <c r="ANU2" i="10"/>
  <c r="ANT2" i="10"/>
  <c r="ANS2" i="10"/>
  <c r="ANR2" i="10"/>
  <c r="ANQ2" i="10"/>
  <c r="ANP2" i="10"/>
  <c r="ANO2" i="10"/>
  <c r="ANN2" i="10"/>
  <c r="ANM2" i="10"/>
  <c r="ALY2" i="10"/>
  <c r="ALX2" i="10"/>
  <c r="ALW2" i="10"/>
  <c r="ALV2" i="10"/>
  <c r="ALU2" i="10"/>
  <c r="ALT2" i="10"/>
  <c r="ALS2" i="10"/>
  <c r="ALR2" i="10"/>
  <c r="ALQ2" i="10"/>
  <c r="AKC2" i="10"/>
  <c r="AKB2" i="10"/>
  <c r="AKA2" i="10"/>
  <c r="AJZ2" i="10"/>
  <c r="AJY2" i="10"/>
  <c r="AJX2" i="10"/>
  <c r="AJW2" i="10"/>
  <c r="AJV2" i="10"/>
  <c r="AJU2" i="10"/>
  <c r="AIG2" i="10"/>
  <c r="AIF2" i="10"/>
  <c r="AIE2" i="10"/>
  <c r="AID2" i="10"/>
  <c r="AIC2" i="10"/>
  <c r="AIB2" i="10"/>
  <c r="AIA2" i="10"/>
  <c r="AHZ2" i="10"/>
  <c r="AHY2" i="10"/>
  <c r="AGK2" i="10"/>
  <c r="AGJ2" i="10"/>
  <c r="AGI2" i="10"/>
  <c r="AGH2" i="10"/>
  <c r="AGG2" i="10"/>
  <c r="AGF2" i="10"/>
  <c r="AGE2" i="10"/>
  <c r="AGD2" i="10"/>
  <c r="AGC2" i="10"/>
  <c r="AEO2" i="10"/>
  <c r="AEN2" i="10"/>
  <c r="AEM2" i="10"/>
  <c r="AEL2" i="10"/>
  <c r="AEK2" i="10"/>
  <c r="AEJ2" i="10"/>
  <c r="AEI2" i="10"/>
  <c r="AEH2" i="10"/>
  <c r="AEG2" i="10"/>
  <c r="ACS2" i="10"/>
  <c r="ACR2" i="10"/>
  <c r="ACQ2" i="10"/>
  <c r="ACP2" i="10"/>
  <c r="ACO2" i="10"/>
  <c r="ACN2" i="10"/>
  <c r="ACM2" i="10"/>
  <c r="ACL2" i="10"/>
  <c r="ACK2" i="10"/>
  <c r="AAW2" i="10"/>
  <c r="AAV2" i="10"/>
  <c r="AAU2" i="10"/>
  <c r="AAT2" i="10"/>
  <c r="AAS2" i="10"/>
  <c r="AAR2" i="10"/>
  <c r="AAQ2" i="10"/>
  <c r="AAP2" i="10"/>
  <c r="AAO2" i="10"/>
  <c r="ZA2" i="10"/>
  <c r="YZ2" i="10"/>
  <c r="YY2" i="10"/>
  <c r="YX2" i="10"/>
  <c r="YW2" i="10"/>
  <c r="YV2" i="10"/>
  <c r="YU2" i="10"/>
  <c r="YT2" i="10"/>
  <c r="YS2" i="10"/>
  <c r="XE2" i="10"/>
  <c r="XD2" i="10"/>
  <c r="XC2" i="10"/>
  <c r="XB2" i="10"/>
  <c r="XA2" i="10"/>
  <c r="WZ2" i="10"/>
  <c r="WY2" i="10"/>
  <c r="WX2" i="10"/>
  <c r="WW2" i="10"/>
  <c r="VI2" i="10"/>
  <c r="VH2" i="10"/>
  <c r="VG2" i="10"/>
  <c r="VF2" i="10"/>
  <c r="VE2" i="10"/>
  <c r="VD2" i="10"/>
  <c r="VC2" i="10"/>
  <c r="VB2" i="10"/>
  <c r="VA2" i="10"/>
  <c r="TM2" i="10"/>
  <c r="TL2" i="10"/>
  <c r="TK2" i="10"/>
  <c r="TJ2" i="10"/>
  <c r="TI2" i="10"/>
  <c r="TH2" i="10"/>
  <c r="TG2" i="10"/>
  <c r="TF2" i="10"/>
  <c r="TE2" i="10"/>
  <c r="RQ2" i="10"/>
  <c r="RP2" i="10"/>
  <c r="RO2" i="10"/>
  <c r="RN2" i="10"/>
  <c r="RM2" i="10"/>
  <c r="RL2" i="10"/>
  <c r="RK2" i="10"/>
  <c r="RJ2" i="10"/>
  <c r="RI2" i="10"/>
  <c r="PU2" i="10"/>
  <c r="PT2" i="10"/>
  <c r="PS2" i="10"/>
  <c r="PR2" i="10"/>
  <c r="PQ2" i="10"/>
  <c r="PP2" i="10"/>
  <c r="PO2" i="10"/>
  <c r="PN2" i="10"/>
  <c r="PM2" i="10"/>
  <c r="NY2" i="10"/>
  <c r="NX2" i="10"/>
  <c r="NW2" i="10"/>
  <c r="NV2" i="10"/>
  <c r="NU2" i="10"/>
  <c r="NT2" i="10"/>
  <c r="NS2" i="10"/>
  <c r="NR2" i="10"/>
  <c r="NQ2" i="10"/>
  <c r="MC2" i="10"/>
  <c r="MB2" i="10"/>
  <c r="MA2" i="10"/>
  <c r="LZ2" i="10"/>
  <c r="LY2" i="10"/>
  <c r="LX2" i="10"/>
  <c r="LW2" i="10"/>
  <c r="LV2" i="10"/>
  <c r="LU2" i="10"/>
  <c r="KG2" i="10"/>
  <c r="KF2" i="10"/>
  <c r="KE2" i="10"/>
  <c r="KD2" i="10"/>
  <c r="KC2" i="10"/>
  <c r="KB2" i="10"/>
  <c r="KA2" i="10"/>
  <c r="JZ2" i="10"/>
  <c r="JY2" i="10"/>
  <c r="IK2" i="10"/>
  <c r="IJ2" i="10"/>
  <c r="II2" i="10"/>
  <c r="IH2" i="10"/>
  <c r="IG2" i="10"/>
  <c r="IF2" i="10"/>
  <c r="IE2" i="10"/>
  <c r="ID2" i="10"/>
  <c r="IC2" i="10"/>
  <c r="GO2" i="10"/>
  <c r="GN2" i="10"/>
  <c r="GM2" i="10"/>
  <c r="GL2" i="10"/>
  <c r="GK2" i="10"/>
  <c r="GJ2" i="10"/>
  <c r="GI2" i="10"/>
  <c r="GH2" i="10"/>
  <c r="GG2" i="10"/>
  <c r="FZ6" i="14" l="1"/>
  <c r="B53" i="15"/>
  <c r="TZ6" i="14"/>
  <c r="TZ4" i="14"/>
  <c r="UA2" i="14"/>
  <c r="TZ5" i="14"/>
  <c r="FZ4" i="14"/>
  <c r="GA2" i="14"/>
  <c r="GA5" i="14" s="1"/>
  <c r="DV2" i="10"/>
  <c r="DU2" i="10"/>
  <c r="DT2" i="10"/>
  <c r="DS2" i="10"/>
  <c r="DR2" i="10"/>
  <c r="DQ2" i="10"/>
  <c r="DP2" i="10"/>
  <c r="CV2" i="10"/>
  <c r="CU2" i="10"/>
  <c r="CT2" i="10"/>
  <c r="CS2" i="10"/>
  <c r="CR2" i="10"/>
  <c r="CQ2" i="10"/>
  <c r="CP2" i="10"/>
  <c r="BR2" i="10"/>
  <c r="BQ2" i="10"/>
  <c r="BP2" i="10"/>
  <c r="J2" i="10"/>
  <c r="I2" i="10"/>
  <c r="H2" i="10"/>
  <c r="B54" i="15" l="1"/>
  <c r="UA4" i="14"/>
  <c r="UA5" i="14"/>
  <c r="UA6" i="14"/>
  <c r="UB2" i="14"/>
  <c r="GA4" i="14"/>
  <c r="GB2" i="14"/>
  <c r="GA6" i="14"/>
  <c r="GB6" i="14" s="1"/>
  <c r="C23" i="2"/>
  <c r="B55" i="15" l="1"/>
  <c r="GB4" i="14"/>
  <c r="GC2" i="14"/>
  <c r="GC6" i="14"/>
  <c r="UB5" i="14"/>
  <c r="UB6" i="14"/>
  <c r="UB4" i="14"/>
  <c r="UC2" i="14"/>
  <c r="GB5" i="14"/>
  <c r="GC5" i="14" l="1"/>
  <c r="B56" i="15"/>
  <c r="GD2" i="14"/>
  <c r="GC4" i="14"/>
  <c r="UC6" i="14"/>
  <c r="UD2" i="14"/>
  <c r="UC4" i="14"/>
  <c r="UC5" i="14"/>
  <c r="GD6" i="14"/>
  <c r="V2" i="10"/>
  <c r="GD5" i="14" l="1"/>
  <c r="B57" i="15"/>
  <c r="UD6" i="14"/>
  <c r="UD4" i="14"/>
  <c r="UD5" i="14"/>
  <c r="UE2" i="14"/>
  <c r="GE2" i="14"/>
  <c r="GD4" i="14"/>
  <c r="C13" i="10"/>
  <c r="B58" i="15" l="1"/>
  <c r="GE5" i="14"/>
  <c r="GE6" i="14"/>
  <c r="GF6" i="14" s="1"/>
  <c r="GE4" i="14"/>
  <c r="GF2" i="14"/>
  <c r="UE6" i="14"/>
  <c r="UE4" i="14"/>
  <c r="UE5" i="14"/>
  <c r="UF2" i="14"/>
  <c r="B2" i="10"/>
  <c r="B59" i="15" l="1"/>
  <c r="UF5" i="14"/>
  <c r="UF6" i="14"/>
  <c r="UG2" i="14"/>
  <c r="UF4" i="14"/>
  <c r="GF4" i="14"/>
  <c r="GG2" i="14"/>
  <c r="GF5" i="14"/>
  <c r="GG5" i="14" s="1"/>
  <c r="CG2" i="10"/>
  <c r="B60" i="15" l="1"/>
  <c r="GG6" i="14"/>
  <c r="UG6" i="14"/>
  <c r="UH2" i="14"/>
  <c r="UG5" i="14"/>
  <c r="UG4" i="14"/>
  <c r="GG4" i="14"/>
  <c r="GH2" i="14"/>
  <c r="BX2" i="10"/>
  <c r="BW2" i="10"/>
  <c r="BV2" i="10"/>
  <c r="BU2" i="10"/>
  <c r="B61" i="15" l="1"/>
  <c r="GH6" i="14"/>
  <c r="GH4" i="14"/>
  <c r="GI2" i="14"/>
  <c r="UH4" i="14"/>
  <c r="UH6" i="14"/>
  <c r="UH5" i="14"/>
  <c r="UI2" i="14"/>
  <c r="GH5" i="14"/>
  <c r="B16" i="5"/>
  <c r="Q1" i="5"/>
  <c r="GI5" i="14" l="1"/>
  <c r="GJ5" i="14" s="1"/>
  <c r="GI6" i="14"/>
  <c r="B62" i="15"/>
  <c r="GI4" i="14"/>
  <c r="GJ2" i="14"/>
  <c r="UI4" i="14"/>
  <c r="UI6" i="14"/>
  <c r="UI5" i="14"/>
  <c r="UJ2" i="14"/>
  <c r="B17" i="5"/>
  <c r="B63" i="15" l="1"/>
  <c r="GJ4" i="14"/>
  <c r="GK2" i="14"/>
  <c r="UJ6" i="14"/>
  <c r="UJ5" i="14"/>
  <c r="UK2" i="14"/>
  <c r="UJ4" i="14"/>
  <c r="GK5" i="14"/>
  <c r="GJ6" i="14"/>
  <c r="GK6" i="14" s="1"/>
  <c r="B18" i="5"/>
  <c r="B64" i="15" l="1"/>
  <c r="UK6" i="14"/>
  <c r="UL2" i="14"/>
  <c r="UK4" i="14"/>
  <c r="UK5" i="14"/>
  <c r="GL2" i="14"/>
  <c r="GK4" i="14"/>
  <c r="GL5" i="14"/>
  <c r="B19" i="5"/>
  <c r="B65" i="15" l="1"/>
  <c r="GM2" i="14"/>
  <c r="GL4" i="14"/>
  <c r="UL4" i="14"/>
  <c r="UL6" i="14"/>
  <c r="UL5" i="14"/>
  <c r="UM2" i="14"/>
  <c r="GL6" i="14"/>
  <c r="GM6" i="14" s="1"/>
  <c r="GM5" i="14"/>
  <c r="B20" i="5"/>
  <c r="B66" i="15" l="1"/>
  <c r="GM4" i="14"/>
  <c r="GN2" i="14"/>
  <c r="GN6" i="14" s="1"/>
  <c r="UM4" i="14"/>
  <c r="UM5" i="14"/>
  <c r="UM6" i="14"/>
  <c r="UN2" i="14"/>
  <c r="B21" i="5"/>
  <c r="B67" i="15" l="1"/>
  <c r="UN5" i="14"/>
  <c r="UN6" i="14"/>
  <c r="UN4" i="14"/>
  <c r="UO2" i="14"/>
  <c r="GN4" i="14"/>
  <c r="GO2" i="14"/>
  <c r="GN5" i="14"/>
  <c r="GO5" i="14" s="1"/>
  <c r="B22" i="5"/>
  <c r="B68" i="15" l="1"/>
  <c r="GO4" i="14"/>
  <c r="GP2" i="14"/>
  <c r="GP5" i="14" s="1"/>
  <c r="UO6" i="14"/>
  <c r="UP2" i="14"/>
  <c r="UO5" i="14"/>
  <c r="UO4" i="14"/>
  <c r="GO6" i="14"/>
  <c r="GP6" i="14" s="1"/>
  <c r="B23" i="5"/>
  <c r="B69" i="15" l="1"/>
  <c r="UP6" i="14"/>
  <c r="UP4" i="14"/>
  <c r="UP5" i="14"/>
  <c r="UQ2" i="14"/>
  <c r="GP4" i="14"/>
  <c r="GQ2" i="14"/>
  <c r="B24" i="5"/>
  <c r="B70" i="15" l="1"/>
  <c r="GQ4" i="14"/>
  <c r="GR2" i="14"/>
  <c r="GQ5" i="14"/>
  <c r="GR5" i="14" s="1"/>
  <c r="GQ6" i="14"/>
  <c r="GR6" i="14" s="1"/>
  <c r="UQ4" i="14"/>
  <c r="UQ5" i="14"/>
  <c r="UQ6" i="14"/>
  <c r="UR2" i="14"/>
  <c r="B25" i="5"/>
  <c r="B71" i="15" l="1"/>
  <c r="GR4" i="14"/>
  <c r="GS2" i="14"/>
  <c r="GS6" i="14"/>
  <c r="UR5" i="14"/>
  <c r="UR6" i="14"/>
  <c r="UR4" i="14"/>
  <c r="US2" i="14"/>
  <c r="B26" i="5"/>
  <c r="B72" i="15" l="1"/>
  <c r="US6" i="14"/>
  <c r="UT2" i="14"/>
  <c r="US4" i="14"/>
  <c r="US5" i="14"/>
  <c r="GT2" i="14"/>
  <c r="GS4" i="14"/>
  <c r="GS5" i="14"/>
  <c r="GT5" i="14" s="1"/>
  <c r="B27" i="5"/>
  <c r="B73" i="15" l="1"/>
  <c r="UT6" i="14"/>
  <c r="UT4" i="14"/>
  <c r="UT5" i="14"/>
  <c r="UU2" i="14"/>
  <c r="GU2" i="14"/>
  <c r="GU5" i="14" s="1"/>
  <c r="GT4" i="14"/>
  <c r="GT6" i="14"/>
  <c r="GU6" i="14" s="1"/>
  <c r="B28" i="5"/>
  <c r="B74" i="15" l="1"/>
  <c r="UU6" i="14"/>
  <c r="UU4" i="14"/>
  <c r="UU5" i="14"/>
  <c r="UV2" i="14"/>
  <c r="GU4" i="14"/>
  <c r="GV2" i="14"/>
  <c r="B29" i="5"/>
  <c r="B75" i="15" l="1"/>
  <c r="UV5" i="14"/>
  <c r="UV6" i="14"/>
  <c r="UW2" i="14"/>
  <c r="UV4" i="14"/>
  <c r="GV4" i="14"/>
  <c r="GW2" i="14"/>
  <c r="GV6" i="14"/>
  <c r="GW6" i="14" s="1"/>
  <c r="GV5" i="14"/>
  <c r="GW5" i="14" s="1"/>
  <c r="B30" i="5"/>
  <c r="B76" i="15" l="1"/>
  <c r="UW6" i="14"/>
  <c r="UX2" i="14"/>
  <c r="UW5" i="14"/>
  <c r="UW4" i="14"/>
  <c r="GW4" i="14"/>
  <c r="GX2" i="14"/>
  <c r="B31" i="5"/>
  <c r="B77" i="15" l="1"/>
  <c r="GX4" i="14"/>
  <c r="GY2" i="14"/>
  <c r="GX6" i="14"/>
  <c r="GY6" i="14" s="1"/>
  <c r="UX4" i="14"/>
  <c r="UX6" i="14"/>
  <c r="UX5" i="14"/>
  <c r="UY2" i="14"/>
  <c r="GX5" i="14"/>
  <c r="GY5" i="14" s="1"/>
  <c r="B32" i="5"/>
  <c r="B78" i="15" l="1"/>
  <c r="GY4" i="14"/>
  <c r="GZ2" i="14"/>
  <c r="GZ6" i="14" s="1"/>
  <c r="UY4" i="14"/>
  <c r="UY6" i="14"/>
  <c r="UY5" i="14"/>
  <c r="UZ2" i="14"/>
  <c r="GZ5" i="14"/>
  <c r="B33" i="5"/>
  <c r="B79" i="15" l="1"/>
  <c r="UZ6" i="14"/>
  <c r="UZ5" i="14"/>
  <c r="UZ4" i="14"/>
  <c r="VA2" i="14"/>
  <c r="GZ4" i="14"/>
  <c r="HA2" i="14"/>
  <c r="HA5" i="14" s="1"/>
  <c r="B34" i="5"/>
  <c r="B80" i="15" l="1"/>
  <c r="HB2" i="14"/>
  <c r="HA4" i="14"/>
  <c r="HA6" i="14"/>
  <c r="HB6" i="14" s="1"/>
  <c r="VA6" i="14"/>
  <c r="VB2" i="14"/>
  <c r="VA4" i="14"/>
  <c r="VA5" i="14"/>
  <c r="B35" i="5"/>
  <c r="B81" i="15" l="1"/>
  <c r="VB4" i="14"/>
  <c r="VB6" i="14"/>
  <c r="VB5" i="14"/>
  <c r="VC2" i="14"/>
  <c r="HC2" i="14"/>
  <c r="HB4" i="14"/>
  <c r="HB5" i="14"/>
  <c r="HC5" i="14" s="1"/>
  <c r="B36" i="5"/>
  <c r="B82" i="15" l="1"/>
  <c r="VC4" i="14"/>
  <c r="VC5" i="14"/>
  <c r="VC6" i="14"/>
  <c r="VD2" i="14"/>
  <c r="HC4" i="14"/>
  <c r="HD2" i="14"/>
  <c r="HD5" i="14" s="1"/>
  <c r="HC6" i="14"/>
  <c r="B37" i="5"/>
  <c r="HD6" i="14" l="1"/>
  <c r="B83" i="15"/>
  <c r="VD5" i="14"/>
  <c r="VD6" i="14"/>
  <c r="VD4" i="14"/>
  <c r="VE2" i="14"/>
  <c r="HD4" i="14"/>
  <c r="HE2" i="14"/>
  <c r="HE5" i="14" s="1"/>
  <c r="B38" i="5"/>
  <c r="B84" i="15" l="1"/>
  <c r="VE6" i="14"/>
  <c r="VF2" i="14"/>
  <c r="VE5" i="14"/>
  <c r="VE4" i="14"/>
  <c r="HE4" i="14"/>
  <c r="HF2" i="14"/>
  <c r="HE6" i="14"/>
  <c r="HF6" i="14" s="1"/>
  <c r="B39" i="5"/>
  <c r="B85" i="15" l="1"/>
  <c r="VF6" i="14"/>
  <c r="VF4" i="14"/>
  <c r="VG2" i="14"/>
  <c r="VF5" i="14"/>
  <c r="HF4" i="14"/>
  <c r="HG2" i="14"/>
  <c r="HF5" i="14"/>
  <c r="HG5" i="14" s="1"/>
  <c r="B40" i="5"/>
  <c r="B86" i="15" l="1"/>
  <c r="HG6" i="14"/>
  <c r="VG4" i="14"/>
  <c r="VG5" i="14"/>
  <c r="VH2" i="14"/>
  <c r="VG6" i="14"/>
  <c r="HG4" i="14"/>
  <c r="HH2" i="14"/>
  <c r="HH5" i="14" s="1"/>
  <c r="B41" i="5"/>
  <c r="B87" i="15" l="1"/>
  <c r="HH6" i="14"/>
  <c r="VH5" i="14"/>
  <c r="VH6" i="14"/>
  <c r="VH4" i="14"/>
  <c r="VI2" i="14"/>
  <c r="HH4" i="14"/>
  <c r="HI2" i="14"/>
  <c r="B42" i="5"/>
  <c r="B88" i="15" l="1"/>
  <c r="HJ2" i="14"/>
  <c r="HI4" i="14"/>
  <c r="VI6" i="14"/>
  <c r="VJ2" i="14"/>
  <c r="VI4" i="14"/>
  <c r="VI5" i="14"/>
  <c r="HI6" i="14"/>
  <c r="HJ6" i="14" s="1"/>
  <c r="HI5" i="14"/>
  <c r="HJ5" i="14" s="1"/>
  <c r="B43" i="5"/>
  <c r="B89" i="15" l="1"/>
  <c r="VJ6" i="14"/>
  <c r="VJ4" i="14"/>
  <c r="VJ5" i="14"/>
  <c r="VK2" i="14"/>
  <c r="HK2" i="14"/>
  <c r="HJ4" i="14"/>
  <c r="B44" i="5"/>
  <c r="B90" i="15" l="1"/>
  <c r="HK4" i="14"/>
  <c r="HL2" i="14"/>
  <c r="VK6" i="14"/>
  <c r="VK4" i="14"/>
  <c r="VK5" i="14"/>
  <c r="VL2" i="14"/>
  <c r="HK6" i="14"/>
  <c r="HL6" i="14" s="1"/>
  <c r="HK5" i="14"/>
  <c r="B45" i="5"/>
  <c r="HL5" i="14" l="1"/>
  <c r="B91" i="15"/>
  <c r="HL4" i="14"/>
  <c r="HM2" i="14"/>
  <c r="HM6" i="14" s="1"/>
  <c r="VL5" i="14"/>
  <c r="VL6" i="14"/>
  <c r="VM2" i="14"/>
  <c r="VL4" i="14"/>
  <c r="B46" i="5"/>
  <c r="B92" i="15" l="1"/>
  <c r="VM6" i="14"/>
  <c r="VN2" i="14"/>
  <c r="VM5" i="14"/>
  <c r="VM4" i="14"/>
  <c r="HM4" i="14"/>
  <c r="HN2" i="14"/>
  <c r="HN6" i="14"/>
  <c r="HM5" i="14"/>
  <c r="HN5" i="14" s="1"/>
  <c r="B47" i="5"/>
  <c r="B93" i="15" l="1"/>
  <c r="HN4" i="14"/>
  <c r="HO2" i="14"/>
  <c r="VN4" i="14"/>
  <c r="VN6" i="14"/>
  <c r="VN5" i="14"/>
  <c r="VO2" i="14"/>
  <c r="B48" i="5"/>
  <c r="B94" i="15" l="1"/>
  <c r="HO4" i="14"/>
  <c r="HP2" i="14"/>
  <c r="VO4" i="14"/>
  <c r="VO6" i="14"/>
  <c r="VO5" i="14"/>
  <c r="VP2" i="14"/>
  <c r="HO5" i="14"/>
  <c r="HP5" i="14" s="1"/>
  <c r="HO6" i="14"/>
  <c r="HP6" i="14" s="1"/>
  <c r="B49" i="5"/>
  <c r="B95" i="15" l="1"/>
  <c r="HP4" i="14"/>
  <c r="HQ2" i="14"/>
  <c r="HQ6" i="14" s="1"/>
  <c r="VP6" i="14"/>
  <c r="VP5" i="14"/>
  <c r="VQ2" i="14"/>
  <c r="VP4" i="14"/>
  <c r="HQ5" i="14"/>
  <c r="B50" i="5"/>
  <c r="B96" i="15" l="1"/>
  <c r="VQ6" i="14"/>
  <c r="VR2" i="14"/>
  <c r="VQ4" i="14"/>
  <c r="VQ5" i="14"/>
  <c r="HR2" i="14"/>
  <c r="HR6" i="14" s="1"/>
  <c r="HQ4" i="14"/>
  <c r="B51" i="5"/>
  <c r="B97" i="15" l="1"/>
  <c r="HR4" i="14"/>
  <c r="HS2" i="14"/>
  <c r="HS6" i="14" s="1"/>
  <c r="HR5" i="14"/>
  <c r="HS5" i="14" s="1"/>
  <c r="VR4" i="14"/>
  <c r="VR6" i="14"/>
  <c r="VR5" i="14"/>
  <c r="VS2" i="14"/>
  <c r="B52" i="5"/>
  <c r="B98" i="15" l="1"/>
  <c r="VS4" i="14"/>
  <c r="VS5" i="14"/>
  <c r="VS6" i="14"/>
  <c r="VT2" i="14"/>
  <c r="HS4" i="14"/>
  <c r="HT2" i="14"/>
  <c r="HT6" i="14" s="1"/>
  <c r="B53" i="5"/>
  <c r="B99" i="15" l="1"/>
  <c r="HT4" i="14"/>
  <c r="HU2" i="14"/>
  <c r="HU6" i="14" s="1"/>
  <c r="VT5" i="14"/>
  <c r="VT6" i="14"/>
  <c r="VT4" i="14"/>
  <c r="VU2" i="14"/>
  <c r="HT5" i="14"/>
  <c r="HU5" i="14" s="1"/>
  <c r="B54" i="5"/>
  <c r="B100" i="15" l="1"/>
  <c r="VU6" i="14"/>
  <c r="VV2" i="14"/>
  <c r="VU5" i="14"/>
  <c r="VU4" i="14"/>
  <c r="HV2" i="14"/>
  <c r="HU4" i="14"/>
  <c r="B55" i="5"/>
  <c r="B101" i="15" l="1"/>
  <c r="VV6" i="14"/>
  <c r="VV4" i="14"/>
  <c r="VV5" i="14"/>
  <c r="VW2" i="14"/>
  <c r="HV6" i="14"/>
  <c r="HV5" i="14"/>
  <c r="HW5" i="14" s="1"/>
  <c r="HV4" i="14"/>
  <c r="HW2" i="14"/>
  <c r="B56" i="5"/>
  <c r="B102" i="15" l="1"/>
  <c r="HW6" i="14"/>
  <c r="VW4" i="14"/>
  <c r="VW5" i="14"/>
  <c r="VW6" i="14"/>
  <c r="VX2" i="14"/>
  <c r="HW4" i="14"/>
  <c r="HX2" i="14"/>
  <c r="B57" i="5"/>
  <c r="HX6" i="14" l="1"/>
  <c r="B103" i="15"/>
  <c r="HX4" i="14"/>
  <c r="HY2" i="14"/>
  <c r="VX5" i="14"/>
  <c r="VX6" i="14"/>
  <c r="VX4" i="14"/>
  <c r="VY2" i="14"/>
  <c r="HX5" i="14"/>
  <c r="B58" i="5"/>
  <c r="HY5" i="14" l="1"/>
  <c r="B104" i="15"/>
  <c r="VY6" i="14"/>
  <c r="VZ2" i="14"/>
  <c r="VY4" i="14"/>
  <c r="VY5" i="14"/>
  <c r="HZ2" i="14"/>
  <c r="HY4" i="14"/>
  <c r="HY6" i="14"/>
  <c r="B59" i="5"/>
  <c r="HZ6" i="14" l="1"/>
  <c r="IA6" i="14" s="1"/>
  <c r="B105" i="15"/>
  <c r="IA2" i="14"/>
  <c r="HZ4" i="14"/>
  <c r="VZ6" i="14"/>
  <c r="VZ4" i="14"/>
  <c r="VZ5" i="14"/>
  <c r="WA2" i="14"/>
  <c r="HZ5" i="14"/>
  <c r="IA5" i="14" s="1"/>
  <c r="B60" i="5"/>
  <c r="B106" i="15" l="1"/>
  <c r="IA4" i="14"/>
  <c r="IB2" i="14"/>
  <c r="IB6" i="14" s="1"/>
  <c r="WA6" i="14"/>
  <c r="WA4" i="14"/>
  <c r="WA5" i="14"/>
  <c r="WB2" i="14"/>
  <c r="B61" i="5"/>
  <c r="B107" i="15" l="1"/>
  <c r="WB5" i="14"/>
  <c r="WB6" i="14"/>
  <c r="WC2" i="14"/>
  <c r="WB4" i="14"/>
  <c r="IB4" i="14"/>
  <c r="IC2" i="14"/>
  <c r="IC6" i="14" s="1"/>
  <c r="IB5" i="14"/>
  <c r="IC5" i="14" s="1"/>
  <c r="B62" i="5"/>
  <c r="B108" i="15" l="1"/>
  <c r="WC6" i="14"/>
  <c r="WD2" i="14"/>
  <c r="WC5" i="14"/>
  <c r="WC4" i="14"/>
  <c r="ID2" i="14"/>
  <c r="IC4" i="14"/>
  <c r="B63" i="5"/>
  <c r="B109" i="15" l="1"/>
  <c r="ID4" i="14"/>
  <c r="IE2" i="14"/>
  <c r="ID6" i="14"/>
  <c r="IE6" i="14" s="1"/>
  <c r="WD4" i="14"/>
  <c r="WD6" i="14"/>
  <c r="WD5" i="14"/>
  <c r="WE2" i="14"/>
  <c r="ID5" i="14"/>
  <c r="IE5" i="14" s="1"/>
  <c r="B64" i="5"/>
  <c r="B110" i="15" l="1"/>
  <c r="WE4" i="14"/>
  <c r="WE6" i="14"/>
  <c r="WE5" i="14"/>
  <c r="WF2" i="14"/>
  <c r="IE4" i="14"/>
  <c r="IF2" i="14"/>
  <c r="IF5" i="14"/>
  <c r="B65" i="5"/>
  <c r="B111" i="15" l="1"/>
  <c r="WF6" i="14"/>
  <c r="WF5" i="14"/>
  <c r="WF4" i="14"/>
  <c r="WG2" i="14"/>
  <c r="IF4" i="14"/>
  <c r="IG2" i="14"/>
  <c r="IF6" i="14"/>
  <c r="IG6" i="14" s="1"/>
  <c r="B66" i="5"/>
  <c r="B112" i="15" l="1"/>
  <c r="WG6" i="14"/>
  <c r="WH2" i="14"/>
  <c r="WG4" i="14"/>
  <c r="WG5" i="14"/>
  <c r="IH2" i="14"/>
  <c r="IG4" i="14"/>
  <c r="IG5" i="14"/>
  <c r="IH5" i="14" s="1"/>
  <c r="B67" i="5"/>
  <c r="B113" i="15" l="1"/>
  <c r="WH4" i="14"/>
  <c r="WH6" i="14"/>
  <c r="WH5" i="14"/>
  <c r="WI2" i="14"/>
  <c r="IH6" i="14"/>
  <c r="IH4" i="14"/>
  <c r="II2" i="14"/>
  <c r="B68" i="5"/>
  <c r="B114" i="15" l="1"/>
  <c r="WI4" i="14"/>
  <c r="WI5" i="14"/>
  <c r="WI6" i="14"/>
  <c r="WJ2" i="14"/>
  <c r="II4" i="14"/>
  <c r="IJ2" i="14"/>
  <c r="II5" i="14"/>
  <c r="IJ5" i="14" s="1"/>
  <c r="II6" i="14"/>
  <c r="IJ6" i="14" s="1"/>
  <c r="B69" i="5"/>
  <c r="B115" i="15" l="1"/>
  <c r="IJ4" i="14"/>
  <c r="IK2" i="14"/>
  <c r="WJ5" i="14"/>
  <c r="WJ6" i="14"/>
  <c r="WJ4" i="14"/>
  <c r="WK2" i="14"/>
  <c r="IK5" i="14"/>
  <c r="B70" i="5"/>
  <c r="B116" i="15" l="1"/>
  <c r="IL2" i="14"/>
  <c r="IL5" i="14" s="1"/>
  <c r="IK4" i="14"/>
  <c r="WK6" i="14"/>
  <c r="WL2" i="14"/>
  <c r="WK5" i="14"/>
  <c r="WK4" i="14"/>
  <c r="IK6" i="14"/>
  <c r="IL6" i="14" s="1"/>
  <c r="B71" i="5"/>
  <c r="B117" i="15" l="1"/>
  <c r="IL4" i="14"/>
  <c r="IM2" i="14"/>
  <c r="IM6" i="14"/>
  <c r="WL6" i="14"/>
  <c r="WL4" i="14"/>
  <c r="WM2" i="14"/>
  <c r="WL5" i="14"/>
  <c r="B72" i="5"/>
  <c r="B118" i="15" l="1"/>
  <c r="IM4" i="14"/>
  <c r="IN2" i="14"/>
  <c r="IM5" i="14"/>
  <c r="IN5" i="14" s="1"/>
  <c r="WM4" i="14"/>
  <c r="WM5" i="14"/>
  <c r="WM6" i="14"/>
  <c r="WN2" i="14"/>
  <c r="B73" i="5"/>
  <c r="B119" i="15" l="1"/>
  <c r="IN4" i="14"/>
  <c r="IO2" i="14"/>
  <c r="WN5" i="14"/>
  <c r="WN6" i="14"/>
  <c r="WN4" i="14"/>
  <c r="WO2" i="14"/>
  <c r="IO5" i="14"/>
  <c r="IN6" i="14"/>
  <c r="IO6" i="14" s="1"/>
  <c r="B74" i="5"/>
  <c r="B120" i="15" l="1"/>
  <c r="WO6" i="14"/>
  <c r="WP2" i="14"/>
  <c r="WO4" i="14"/>
  <c r="WO5" i="14"/>
  <c r="IP2" i="14"/>
  <c r="IO4" i="14"/>
  <c r="IP5" i="14"/>
  <c r="B75" i="5"/>
  <c r="B121" i="15" l="1"/>
  <c r="IQ2" i="14"/>
  <c r="IQ5" i="14" s="1"/>
  <c r="IP4" i="14"/>
  <c r="WQ2" i="14"/>
  <c r="WP6" i="14"/>
  <c r="WP4" i="14"/>
  <c r="WP5" i="14"/>
  <c r="IP6" i="14"/>
  <c r="IQ6" i="14" s="1"/>
  <c r="B76" i="5"/>
  <c r="B122" i="15" l="1"/>
  <c r="WQ6" i="14"/>
  <c r="WQ4" i="14"/>
  <c r="WQ5" i="14"/>
  <c r="WR2" i="14"/>
  <c r="IQ4" i="14"/>
  <c r="IR2" i="14"/>
  <c r="B77" i="5"/>
  <c r="B123" i="15" l="1"/>
  <c r="IR4" i="14"/>
  <c r="IS2" i="14"/>
  <c r="IR6" i="14"/>
  <c r="IS6" i="14" s="1"/>
  <c r="IR5" i="14"/>
  <c r="IS5" i="14" s="1"/>
  <c r="WR5" i="14"/>
  <c r="WR6" i="14"/>
  <c r="WR4" i="14"/>
  <c r="WS2" i="14"/>
  <c r="B78" i="5"/>
  <c r="B124" i="15" l="1"/>
  <c r="IT2" i="14"/>
  <c r="IS4" i="14"/>
  <c r="WS6" i="14"/>
  <c r="WT2" i="14"/>
  <c r="WS5" i="14"/>
  <c r="WS4" i="14"/>
  <c r="B79" i="5"/>
  <c r="B125" i="15" l="1"/>
  <c r="IT4" i="14"/>
  <c r="IU2" i="14"/>
  <c r="IT6" i="14"/>
  <c r="IU6" i="14" s="1"/>
  <c r="WU2" i="14"/>
  <c r="WT4" i="14"/>
  <c r="WT6" i="14"/>
  <c r="WT5" i="14"/>
  <c r="IT5" i="14"/>
  <c r="B80" i="5"/>
  <c r="IU5" i="14" l="1"/>
  <c r="B126" i="15"/>
  <c r="WU4" i="14"/>
  <c r="WU6" i="14"/>
  <c r="WU5" i="14"/>
  <c r="WV2" i="14"/>
  <c r="IU4" i="14"/>
  <c r="IV2" i="14"/>
  <c r="B81" i="5"/>
  <c r="B127" i="15" l="1"/>
  <c r="IV4" i="14"/>
  <c r="IW2" i="14"/>
  <c r="WV6" i="14"/>
  <c r="WV5" i="14"/>
  <c r="WV4" i="14"/>
  <c r="WW2" i="14"/>
  <c r="IV6" i="14"/>
  <c r="IW6" i="14" s="1"/>
  <c r="IV5" i="14"/>
  <c r="IW5" i="14" s="1"/>
  <c r="B82" i="5"/>
  <c r="B128" i="15" l="1"/>
  <c r="IX2" i="14"/>
  <c r="IX6" i="14" s="1"/>
  <c r="IW4" i="14"/>
  <c r="WW6" i="14"/>
  <c r="WX2" i="14"/>
  <c r="WW4" i="14"/>
  <c r="WW5" i="14"/>
  <c r="B83" i="5"/>
  <c r="B129" i="15" l="1"/>
  <c r="IX4" i="14"/>
  <c r="IY2" i="14"/>
  <c r="WY2" i="14"/>
  <c r="WX4" i="14"/>
  <c r="WX6" i="14"/>
  <c r="WX5" i="14"/>
  <c r="IX5" i="14"/>
  <c r="IY5" i="14" s="1"/>
  <c r="B84" i="5"/>
  <c r="B130" i="15" l="1"/>
  <c r="WY4" i="14"/>
  <c r="WY5" i="14"/>
  <c r="WY6" i="14"/>
  <c r="WZ2" i="14"/>
  <c r="IY4" i="14"/>
  <c r="IZ2" i="14"/>
  <c r="IZ5" i="14" s="1"/>
  <c r="IY6" i="14"/>
  <c r="IZ6" i="14" s="1"/>
  <c r="B85" i="5"/>
  <c r="B131" i="15" l="1"/>
  <c r="WZ5" i="14"/>
  <c r="WZ6" i="14"/>
  <c r="XA2" i="14"/>
  <c r="WZ4" i="14"/>
  <c r="IZ4" i="14"/>
  <c r="JA2" i="14"/>
  <c r="B86" i="5"/>
  <c r="B132" i="15" l="1"/>
  <c r="XA6" i="14"/>
  <c r="XB2" i="14"/>
  <c r="XA5" i="14"/>
  <c r="XA4" i="14"/>
  <c r="JB2" i="14"/>
  <c r="JA4" i="14"/>
  <c r="JA5" i="14"/>
  <c r="JB5" i="14" s="1"/>
  <c r="JA6" i="14"/>
  <c r="B87" i="5"/>
  <c r="JB6" i="14" l="1"/>
  <c r="B133" i="15"/>
  <c r="JB4" i="14"/>
  <c r="JC2" i="14"/>
  <c r="XB6" i="14"/>
  <c r="XC2" i="14"/>
  <c r="XB4" i="14"/>
  <c r="XB5" i="14"/>
  <c r="JC5" i="14"/>
  <c r="B88" i="5"/>
  <c r="JC6" i="14" l="1"/>
  <c r="B134" i="15"/>
  <c r="JC4" i="14"/>
  <c r="JD2" i="14"/>
  <c r="JD5" i="14" s="1"/>
  <c r="XC4" i="14"/>
  <c r="XC5" i="14"/>
  <c r="XC6" i="14"/>
  <c r="XD2" i="14"/>
  <c r="B89" i="5"/>
  <c r="B135" i="15" l="1"/>
  <c r="JD4" i="14"/>
  <c r="JE2" i="14"/>
  <c r="XD5" i="14"/>
  <c r="XD6" i="14"/>
  <c r="XD4" i="14"/>
  <c r="XE2" i="14"/>
  <c r="JE5" i="14"/>
  <c r="JD6" i="14"/>
  <c r="B90" i="5"/>
  <c r="JE6" i="14" l="1"/>
  <c r="JF6" i="14" s="1"/>
  <c r="B136" i="15"/>
  <c r="JF2" i="14"/>
  <c r="JE4" i="14"/>
  <c r="JF5" i="14"/>
  <c r="XE6" i="14"/>
  <c r="XF2" i="14"/>
  <c r="XE4" i="14"/>
  <c r="XE5" i="14"/>
  <c r="B91" i="5"/>
  <c r="B137" i="15" l="1"/>
  <c r="XG2" i="14"/>
  <c r="XF6" i="14"/>
  <c r="XF4" i="14"/>
  <c r="XF5" i="14"/>
  <c r="JG2" i="14"/>
  <c r="JF4" i="14"/>
  <c r="B92" i="5"/>
  <c r="B138" i="15" l="1"/>
  <c r="JG4" i="14"/>
  <c r="JH2" i="14"/>
  <c r="JG6" i="14"/>
  <c r="JH6" i="14" s="1"/>
  <c r="JG5" i="14"/>
  <c r="JH5" i="14" s="1"/>
  <c r="XG6" i="14"/>
  <c r="XG4" i="14"/>
  <c r="XG5" i="14"/>
  <c r="XH2" i="14"/>
  <c r="B93" i="5"/>
  <c r="B139" i="15" l="1"/>
  <c r="JH4" i="14"/>
  <c r="JI2" i="14"/>
  <c r="JI6" i="14"/>
  <c r="XH5" i="14"/>
  <c r="XH6" i="14"/>
  <c r="XI2" i="14"/>
  <c r="XH4" i="14"/>
  <c r="B94" i="5"/>
  <c r="B140" i="15" l="1"/>
  <c r="JJ2" i="14"/>
  <c r="JJ6" i="14" s="1"/>
  <c r="JI4" i="14"/>
  <c r="XI6" i="14"/>
  <c r="XJ2" i="14"/>
  <c r="XI5" i="14"/>
  <c r="XI4" i="14"/>
  <c r="JI5" i="14"/>
  <c r="JJ5" i="14" s="1"/>
  <c r="B95" i="5"/>
  <c r="B141" i="15" l="1"/>
  <c r="XK2" i="14"/>
  <c r="XJ4" i="14"/>
  <c r="XJ6" i="14"/>
  <c r="XJ5" i="14"/>
  <c r="JJ4" i="14"/>
  <c r="JK2" i="14"/>
  <c r="B96" i="5"/>
  <c r="B142" i="15" l="1"/>
  <c r="JK4" i="14"/>
  <c r="JL2" i="14"/>
  <c r="XK4" i="14"/>
  <c r="XK6" i="14"/>
  <c r="XK5" i="14"/>
  <c r="XL2" i="14"/>
  <c r="JK6" i="14"/>
  <c r="JL6" i="14" s="1"/>
  <c r="JK5" i="14"/>
  <c r="B97" i="5"/>
  <c r="JL5" i="14" l="1"/>
  <c r="B143" i="15"/>
  <c r="XL6" i="14"/>
  <c r="XL5" i="14"/>
  <c r="XL4" i="14"/>
  <c r="XM2" i="14"/>
  <c r="JL4" i="14"/>
  <c r="JM2" i="14"/>
  <c r="B98" i="5"/>
  <c r="B144" i="15" l="1"/>
  <c r="JN2" i="14"/>
  <c r="JM4" i="14"/>
  <c r="JM5" i="14"/>
  <c r="JN5" i="14" s="1"/>
  <c r="XM6" i="14"/>
  <c r="XN2" i="14"/>
  <c r="XM4" i="14"/>
  <c r="XM5" i="14"/>
  <c r="JM6" i="14"/>
  <c r="JN6" i="14" s="1"/>
  <c r="B99" i="5"/>
  <c r="B145" i="15" l="1"/>
  <c r="XO2" i="14"/>
  <c r="XN4" i="14"/>
  <c r="XN6" i="14"/>
  <c r="XN5" i="14"/>
  <c r="JN4" i="14"/>
  <c r="JO2" i="14"/>
  <c r="JO5" i="14" s="1"/>
  <c r="B100" i="5"/>
  <c r="B146" i="15" l="1"/>
  <c r="JO6" i="14"/>
  <c r="JO4" i="14"/>
  <c r="JP2" i="14"/>
  <c r="JP5" i="14" s="1"/>
  <c r="XO4" i="14"/>
  <c r="XO5" i="14"/>
  <c r="XO6" i="14"/>
  <c r="XP2" i="14"/>
  <c r="B101" i="5"/>
  <c r="JP6" i="14" l="1"/>
  <c r="B147" i="15"/>
  <c r="XP5" i="14"/>
  <c r="XP6" i="14"/>
  <c r="XP4" i="14"/>
  <c r="XQ2" i="14"/>
  <c r="JP4" i="14"/>
  <c r="JQ2" i="14"/>
  <c r="B102" i="5"/>
  <c r="JQ6" i="14" l="1"/>
  <c r="JQ5" i="14"/>
  <c r="B148" i="15"/>
  <c r="XQ6" i="14"/>
  <c r="XR2" i="14"/>
  <c r="XQ5" i="14"/>
  <c r="XQ4" i="14"/>
  <c r="JR2" i="14"/>
  <c r="JQ4" i="14"/>
  <c r="B103" i="5"/>
  <c r="JR5" i="14" l="1"/>
  <c r="B149" i="15"/>
  <c r="XR6" i="14"/>
  <c r="XS2" i="14"/>
  <c r="XR4" i="14"/>
  <c r="XR5" i="14"/>
  <c r="JR4" i="14"/>
  <c r="JS2" i="14"/>
  <c r="JR6" i="14"/>
  <c r="JS6" i="14" s="1"/>
  <c r="B104" i="5"/>
  <c r="JS5" i="14" l="1"/>
  <c r="B150" i="15"/>
  <c r="XS4" i="14"/>
  <c r="XS5" i="14"/>
  <c r="XS6" i="14"/>
  <c r="XT2" i="14"/>
  <c r="JS4" i="14"/>
  <c r="JT2" i="14"/>
  <c r="B105" i="5"/>
  <c r="B151" i="15" l="1"/>
  <c r="XT5" i="14"/>
  <c r="XT6" i="14"/>
  <c r="XT4" i="14"/>
  <c r="XU2" i="14"/>
  <c r="JT4" i="14"/>
  <c r="JU2" i="14"/>
  <c r="JT6" i="14"/>
  <c r="JT5" i="14"/>
  <c r="B106" i="5"/>
  <c r="JU5" i="14" l="1"/>
  <c r="B152" i="15"/>
  <c r="JV2" i="14"/>
  <c r="JU4" i="14"/>
  <c r="XU6" i="14"/>
  <c r="XV2" i="14"/>
  <c r="XU4" i="14"/>
  <c r="XU5" i="14"/>
  <c r="JU6" i="14"/>
  <c r="JV6" i="14" s="1"/>
  <c r="B107" i="5"/>
  <c r="B153" i="15" l="1"/>
  <c r="XW2" i="14"/>
  <c r="XV6" i="14"/>
  <c r="XV4" i="14"/>
  <c r="XV5" i="14"/>
  <c r="JW2" i="14"/>
  <c r="JV4" i="14"/>
  <c r="JV5" i="14"/>
  <c r="JW5" i="14" s="1"/>
  <c r="B108" i="5"/>
  <c r="B154" i="15" l="1"/>
  <c r="JW4" i="14"/>
  <c r="JX2" i="14"/>
  <c r="XW6" i="14"/>
  <c r="XW4" i="14"/>
  <c r="XW5" i="14"/>
  <c r="XX2" i="14"/>
  <c r="JW6" i="14"/>
  <c r="B109" i="5"/>
  <c r="JX6" i="14" l="1"/>
  <c r="B155" i="15"/>
  <c r="JX4" i="14"/>
  <c r="JY2" i="14"/>
  <c r="XX5" i="14"/>
  <c r="XX6" i="14"/>
  <c r="XX4" i="14"/>
  <c r="XY2" i="14"/>
  <c r="JX5" i="14"/>
  <c r="B110" i="5"/>
  <c r="JY5" i="14" l="1"/>
  <c r="B156" i="15"/>
  <c r="JZ2" i="14"/>
  <c r="JY4" i="14"/>
  <c r="XY6" i="14"/>
  <c r="XZ2" i="14"/>
  <c r="XY5" i="14"/>
  <c r="XY4" i="14"/>
  <c r="JY6" i="14"/>
  <c r="JZ6" i="14" s="1"/>
  <c r="B111" i="5"/>
  <c r="JZ5" i="14" l="1"/>
  <c r="B157" i="15"/>
  <c r="YA2" i="14"/>
  <c r="XZ4" i="14"/>
  <c r="XZ6" i="14"/>
  <c r="XZ5" i="14"/>
  <c r="JZ4" i="14"/>
  <c r="KA2" i="14"/>
  <c r="KA6" i="14" s="1"/>
  <c r="B112" i="5"/>
  <c r="KA5" i="14" l="1"/>
  <c r="B158" i="15"/>
  <c r="YA4" i="14"/>
  <c r="YA6" i="14"/>
  <c r="YA5" i="14"/>
  <c r="YB2" i="14"/>
  <c r="KA4" i="14"/>
  <c r="KB2" i="14"/>
  <c r="KB6" i="14" s="1"/>
  <c r="B113" i="5"/>
  <c r="B159" i="15" l="1"/>
  <c r="YB6" i="14"/>
  <c r="YB5" i="14"/>
  <c r="YB4" i="14"/>
  <c r="YC2" i="14"/>
  <c r="KB4" i="14"/>
  <c r="KC2" i="14"/>
  <c r="KC6" i="14" s="1"/>
  <c r="KB5" i="14"/>
  <c r="KC5" i="14" s="1"/>
  <c r="B114" i="5"/>
  <c r="B160" i="15" l="1"/>
  <c r="KD2" i="14"/>
  <c r="KD5" i="14" s="1"/>
  <c r="KC4" i="14"/>
  <c r="YC6" i="14"/>
  <c r="YD2" i="14"/>
  <c r="YC4" i="14"/>
  <c r="YC5" i="14"/>
  <c r="KD6" i="14"/>
  <c r="B115" i="5"/>
  <c r="B161" i="15" l="1"/>
  <c r="KD4" i="14"/>
  <c r="KE2" i="14"/>
  <c r="KE5" i="14"/>
  <c r="YE2" i="14"/>
  <c r="YD4" i="14"/>
  <c r="YD6" i="14"/>
  <c r="YD5" i="14"/>
  <c r="B116" i="5"/>
  <c r="B162" i="15" l="1"/>
  <c r="KE4" i="14"/>
  <c r="KF2" i="14"/>
  <c r="YE4" i="14"/>
  <c r="YE5" i="14"/>
  <c r="YE6" i="14"/>
  <c r="YF2" i="14"/>
  <c r="KF5" i="14"/>
  <c r="KE6" i="14"/>
  <c r="B117" i="5"/>
  <c r="KF6" i="14" l="1"/>
  <c r="B163" i="15"/>
  <c r="KF4" i="14"/>
  <c r="KG2" i="14"/>
  <c r="YF5" i="14"/>
  <c r="YF6" i="14"/>
  <c r="YG2" i="14"/>
  <c r="YF4" i="14"/>
  <c r="B118" i="5"/>
  <c r="KG6" i="14" l="1"/>
  <c r="KG5" i="14"/>
  <c r="B164" i="15"/>
  <c r="YG6" i="14"/>
  <c r="YH2" i="14"/>
  <c r="YG5" i="14"/>
  <c r="YG4" i="14"/>
  <c r="KH2" i="14"/>
  <c r="KG4" i="14"/>
  <c r="B119" i="5"/>
  <c r="KH5" i="14" l="1"/>
  <c r="B165" i="15"/>
  <c r="KH4" i="14"/>
  <c r="KI2" i="14"/>
  <c r="YH6" i="14"/>
  <c r="YI2" i="14"/>
  <c r="YH4" i="14"/>
  <c r="YH5" i="14"/>
  <c r="KH6" i="14"/>
  <c r="B120" i="5"/>
  <c r="KI5" i="14" l="1"/>
  <c r="KI6" i="14"/>
  <c r="B166" i="15"/>
  <c r="YI4" i="14"/>
  <c r="YI5" i="14"/>
  <c r="YI6" i="14"/>
  <c r="YJ2" i="14"/>
  <c r="KI4" i="14"/>
  <c r="KJ2" i="14"/>
  <c r="B121" i="5"/>
  <c r="B167" i="15" l="1"/>
  <c r="KJ6" i="14"/>
  <c r="KJ5" i="14"/>
  <c r="KJ4" i="14"/>
  <c r="KK2" i="14"/>
  <c r="YJ5" i="14"/>
  <c r="YJ6" i="14"/>
  <c r="YJ4" i="14"/>
  <c r="YK2" i="14"/>
  <c r="B122" i="5"/>
  <c r="B168" i="15" l="1"/>
  <c r="KL2" i="14"/>
  <c r="KK4" i="14"/>
  <c r="KK6" i="14"/>
  <c r="KL6" i="14" s="1"/>
  <c r="YK6" i="14"/>
  <c r="YL2" i="14"/>
  <c r="YK4" i="14"/>
  <c r="YK5" i="14"/>
  <c r="KK5" i="14"/>
  <c r="KL5" i="14" s="1"/>
  <c r="B123" i="5"/>
  <c r="B169" i="15" l="1"/>
  <c r="YM2" i="14"/>
  <c r="YL6" i="14"/>
  <c r="YL4" i="14"/>
  <c r="YL5" i="14"/>
  <c r="KM2" i="14"/>
  <c r="KL4" i="14"/>
  <c r="B124" i="5"/>
  <c r="B170" i="15" l="1"/>
  <c r="KM4" i="14"/>
  <c r="KN2" i="14"/>
  <c r="YM6" i="14"/>
  <c r="YM4" i="14"/>
  <c r="YM5" i="14"/>
  <c r="YN2" i="14"/>
  <c r="KM6" i="14"/>
  <c r="KN6" i="14" s="1"/>
  <c r="KM5" i="14"/>
  <c r="B125" i="5"/>
  <c r="KN5" i="14" l="1"/>
  <c r="B171" i="15"/>
  <c r="KN4" i="14"/>
  <c r="KO2" i="14"/>
  <c r="YN5" i="14"/>
  <c r="YN6" i="14"/>
  <c r="YO2" i="14"/>
  <c r="YN4" i="14"/>
  <c r="B126" i="5"/>
  <c r="KO5" i="14" l="1"/>
  <c r="B172" i="15"/>
  <c r="KP2" i="14"/>
  <c r="KO4" i="14"/>
  <c r="YO6" i="14"/>
  <c r="YP2" i="14"/>
  <c r="YO5" i="14"/>
  <c r="YO4" i="14"/>
  <c r="KO6" i="14"/>
  <c r="KP6" i="14" s="1"/>
  <c r="B127" i="5"/>
  <c r="B173" i="15" l="1"/>
  <c r="YQ2" i="14"/>
  <c r="YP4" i="14"/>
  <c r="YP6" i="14"/>
  <c r="YP5" i="14"/>
  <c r="KP4" i="14"/>
  <c r="KQ2" i="14"/>
  <c r="KQ6" i="14" s="1"/>
  <c r="KP5" i="14"/>
  <c r="KQ5" i="14" s="1"/>
  <c r="B128" i="5"/>
  <c r="B174" i="15" l="1"/>
  <c r="YQ4" i="14"/>
  <c r="YQ6" i="14"/>
  <c r="YQ5" i="14"/>
  <c r="YR2" i="14"/>
  <c r="KQ4" i="14"/>
  <c r="KR2" i="14"/>
  <c r="KR5" i="14"/>
  <c r="B129" i="5"/>
  <c r="B175" i="15" l="1"/>
  <c r="KR6" i="14"/>
  <c r="KR4" i="14"/>
  <c r="KS2" i="14"/>
  <c r="YR6" i="14"/>
  <c r="YR5" i="14"/>
  <c r="YR4" i="14"/>
  <c r="YS2" i="14"/>
  <c r="B130" i="5"/>
  <c r="B176" i="15" l="1"/>
  <c r="KS6" i="14"/>
  <c r="YS6" i="14"/>
  <c r="YT2" i="14"/>
  <c r="YS4" i="14"/>
  <c r="YS5" i="14"/>
  <c r="KT2" i="14"/>
  <c r="KS4" i="14"/>
  <c r="KS5" i="14"/>
  <c r="B131" i="5"/>
  <c r="KT5" i="14" l="1"/>
  <c r="B177" i="15"/>
  <c r="KT6" i="14"/>
  <c r="YU2" i="14"/>
  <c r="YT4" i="14"/>
  <c r="YT6" i="14"/>
  <c r="YT5" i="14"/>
  <c r="KT4" i="14"/>
  <c r="KU2" i="14"/>
  <c r="B132" i="5"/>
  <c r="KU5" i="14" l="1"/>
  <c r="B178" i="15"/>
  <c r="KU6" i="14"/>
  <c r="KU4" i="14"/>
  <c r="KV2" i="14"/>
  <c r="YU4" i="14"/>
  <c r="YU5" i="14"/>
  <c r="YU6" i="14"/>
  <c r="YV2" i="14"/>
  <c r="B133" i="5"/>
  <c r="KV5" i="14" l="1"/>
  <c r="B179" i="15"/>
  <c r="KV6" i="14"/>
  <c r="KV4" i="14"/>
  <c r="KW2" i="14"/>
  <c r="YV5" i="14"/>
  <c r="YV6" i="14"/>
  <c r="YV4" i="14"/>
  <c r="YW2" i="14"/>
  <c r="B134" i="5"/>
  <c r="KW5" i="14" l="1"/>
  <c r="B180" i="15"/>
  <c r="KX2" i="14"/>
  <c r="KW4" i="14"/>
  <c r="YW6" i="14"/>
  <c r="YX2" i="14"/>
  <c r="YW5" i="14"/>
  <c r="YW4" i="14"/>
  <c r="KW6" i="14"/>
  <c r="B135" i="5"/>
  <c r="KX6" i="14" l="1"/>
  <c r="B181" i="15"/>
  <c r="YX6" i="14"/>
  <c r="YY2" i="14"/>
  <c r="YX4" i="14"/>
  <c r="YX5" i="14"/>
  <c r="KX4" i="14"/>
  <c r="KY2" i="14"/>
  <c r="KX5" i="14"/>
  <c r="B136" i="5"/>
  <c r="KY5" i="14" l="1"/>
  <c r="B182" i="15"/>
  <c r="KY4" i="14"/>
  <c r="KZ2" i="14"/>
  <c r="YY4" i="14"/>
  <c r="YY5" i="14"/>
  <c r="YY6" i="14"/>
  <c r="YZ2" i="14"/>
  <c r="KY6" i="14"/>
  <c r="B137" i="5"/>
  <c r="KZ6" i="14" l="1"/>
  <c r="B183" i="15"/>
  <c r="YZ5" i="14"/>
  <c r="YZ6" i="14"/>
  <c r="YZ4" i="14"/>
  <c r="ZA2" i="14"/>
  <c r="KZ4" i="14"/>
  <c r="LA2" i="14"/>
  <c r="KZ5" i="14"/>
  <c r="B138" i="5"/>
  <c r="LA6" i="14" l="1"/>
  <c r="LA5" i="14"/>
  <c r="B184" i="15"/>
  <c r="ZA6" i="14"/>
  <c r="ZB2" i="14"/>
  <c r="ZA4" i="14"/>
  <c r="ZA5" i="14"/>
  <c r="LB2" i="14"/>
  <c r="LA4" i="14"/>
  <c r="B139" i="5"/>
  <c r="LB5" i="14" l="1"/>
  <c r="B185" i="15"/>
  <c r="LB6" i="14"/>
  <c r="LC2" i="14"/>
  <c r="LB4" i="14"/>
  <c r="ZC2" i="14"/>
  <c r="ZB6" i="14"/>
  <c r="ZB4" i="14"/>
  <c r="ZB5" i="14"/>
  <c r="B140" i="5"/>
  <c r="B186" i="15" l="1"/>
  <c r="LC4" i="14"/>
  <c r="LD2" i="14"/>
  <c r="ZC6" i="14"/>
  <c r="ZC4" i="14"/>
  <c r="ZC5" i="14"/>
  <c r="ZD2" i="14"/>
  <c r="LC6" i="14"/>
  <c r="LD6" i="14" s="1"/>
  <c r="LC5" i="14"/>
  <c r="B141" i="5"/>
  <c r="LD5" i="14" l="1"/>
  <c r="B187" i="15"/>
  <c r="LD4" i="14"/>
  <c r="LE2" i="14"/>
  <c r="ZD5" i="14"/>
  <c r="ZD6" i="14"/>
  <c r="ZD4" i="14"/>
  <c r="ZE2" i="14"/>
  <c r="B142" i="5"/>
  <c r="LE5" i="14" l="1"/>
  <c r="LE6" i="14"/>
  <c r="B188" i="15"/>
  <c r="LF2" i="14"/>
  <c r="LE4" i="14"/>
  <c r="ZE6" i="14"/>
  <c r="ZF2" i="14"/>
  <c r="ZE5" i="14"/>
  <c r="ZE4" i="14"/>
  <c r="B143" i="5"/>
  <c r="LF6" i="14" l="1"/>
  <c r="B189" i="15"/>
  <c r="LF4" i="14"/>
  <c r="LG2" i="14"/>
  <c r="ZG2" i="14"/>
  <c r="ZF4" i="14"/>
  <c r="ZF6" i="14"/>
  <c r="ZF5" i="14"/>
  <c r="LF5" i="14"/>
  <c r="B144" i="5"/>
  <c r="LG6" i="14" l="1"/>
  <c r="B190" i="15"/>
  <c r="LG5" i="14"/>
  <c r="ZG4" i="14"/>
  <c r="ZG6" i="14"/>
  <c r="ZG5" i="14"/>
  <c r="ZH2" i="14"/>
  <c r="LG4" i="14"/>
  <c r="LH2" i="14"/>
  <c r="B145" i="5"/>
  <c r="LH6" i="14" l="1"/>
  <c r="LH5" i="14"/>
  <c r="B191" i="15"/>
  <c r="LH4" i="14"/>
  <c r="LI2" i="14"/>
  <c r="ZH6" i="14"/>
  <c r="ZH5" i="14"/>
  <c r="ZH4" i="14"/>
  <c r="ZI2" i="14"/>
  <c r="B146" i="5"/>
  <c r="B192" i="15" l="1"/>
  <c r="LJ2" i="14"/>
  <c r="LI4" i="14"/>
  <c r="ZI6" i="14"/>
  <c r="ZJ2" i="14"/>
  <c r="ZI4" i="14"/>
  <c r="ZI5" i="14"/>
  <c r="LI6" i="14"/>
  <c r="LJ6" i="14" s="1"/>
  <c r="LI5" i="14"/>
  <c r="LJ5" i="14" s="1"/>
  <c r="B147" i="5"/>
  <c r="B193" i="15" l="1"/>
  <c r="LJ4" i="14"/>
  <c r="LK2" i="14"/>
  <c r="LK5" i="14"/>
  <c r="ZK2" i="14"/>
  <c r="ZJ4" i="14"/>
  <c r="ZJ6" i="14"/>
  <c r="ZJ5" i="14"/>
  <c r="B148" i="5"/>
  <c r="B194" i="15" l="1"/>
  <c r="LK4" i="14"/>
  <c r="LL2" i="14"/>
  <c r="ZK4" i="14"/>
  <c r="ZK5" i="14"/>
  <c r="ZK6" i="14"/>
  <c r="ZL2" i="14"/>
  <c r="LK6" i="14"/>
  <c r="LL6" i="14" s="1"/>
  <c r="B149" i="5"/>
  <c r="B195" i="15" l="1"/>
  <c r="ZL5" i="14"/>
  <c r="ZL6" i="14"/>
  <c r="ZM2" i="14"/>
  <c r="ZL4" i="14"/>
  <c r="LL4" i="14"/>
  <c r="LM2" i="14"/>
  <c r="LL5" i="14"/>
  <c r="LM5" i="14" s="1"/>
  <c r="B150" i="5"/>
  <c r="LM6" i="14" l="1"/>
  <c r="ZM6" i="14"/>
  <c r="ZN2" i="14"/>
  <c r="ZM4" i="14"/>
  <c r="ZM5" i="14"/>
  <c r="LN2" i="14"/>
  <c r="LM4" i="14"/>
  <c r="B151" i="5"/>
  <c r="LN6" i="14" l="1"/>
  <c r="ZN6" i="14"/>
  <c r="ZO2" i="14"/>
  <c r="ZN4" i="14"/>
  <c r="ZN5" i="14"/>
  <c r="LN5" i="14"/>
  <c r="LN4" i="14"/>
  <c r="LO2" i="14"/>
  <c r="B152" i="5"/>
  <c r="LO5" i="14" l="1"/>
  <c r="ZO4" i="14"/>
  <c r="ZO5" i="14"/>
  <c r="ZO6" i="14"/>
  <c r="ZP2" i="14"/>
  <c r="LO4" i="14"/>
  <c r="LP2" i="14"/>
  <c r="LO6" i="14"/>
  <c r="LP6" i="14" s="1"/>
  <c r="B153" i="5"/>
  <c r="LP5" i="14" l="1"/>
  <c r="LQ5" i="14" s="1"/>
  <c r="LP4" i="14"/>
  <c r="LQ2" i="14"/>
  <c r="ZP5" i="14"/>
  <c r="ZP6" i="14"/>
  <c r="ZP4" i="14"/>
  <c r="ZQ2" i="14"/>
  <c r="LQ6" i="14"/>
  <c r="B154" i="5"/>
  <c r="LR2" i="14" l="1"/>
  <c r="LQ4" i="14"/>
  <c r="ZQ6" i="14"/>
  <c r="ZR2" i="14"/>
  <c r="ZQ4" i="14"/>
  <c r="ZQ5" i="14"/>
  <c r="B155" i="5"/>
  <c r="LS2" i="14" l="1"/>
  <c r="LR4" i="14"/>
  <c r="LR6" i="14"/>
  <c r="LS6" i="14" s="1"/>
  <c r="LR5" i="14"/>
  <c r="LS5" i="14" s="1"/>
  <c r="ZS2" i="14"/>
  <c r="ZR6" i="14"/>
  <c r="ZR4" i="14"/>
  <c r="ZR5" i="14"/>
  <c r="B156" i="5"/>
  <c r="LS4" i="14" l="1"/>
  <c r="LT2" i="14"/>
  <c r="ZS6" i="14"/>
  <c r="ZS4" i="14"/>
  <c r="ZS5" i="14"/>
  <c r="ZT2" i="14"/>
  <c r="B157" i="5"/>
  <c r="LT4" i="14" l="1"/>
  <c r="LU2" i="14"/>
  <c r="LT6" i="14"/>
  <c r="LT5" i="14"/>
  <c r="ZT5" i="14"/>
  <c r="ZT6" i="14"/>
  <c r="ZU2" i="14"/>
  <c r="ZT4" i="14"/>
  <c r="B158" i="5"/>
  <c r="LU5" i="14" l="1"/>
  <c r="LU6" i="14"/>
  <c r="LV2" i="14"/>
  <c r="LU4" i="14"/>
  <c r="ZU6" i="14"/>
  <c r="ZV2" i="14"/>
  <c r="ZU5" i="14"/>
  <c r="ZU4" i="14"/>
  <c r="B159" i="5"/>
  <c r="LV6" i="14" l="1"/>
  <c r="LV5" i="14"/>
  <c r="ZW2" i="14"/>
  <c r="ZV4" i="14"/>
  <c r="ZV6" i="14"/>
  <c r="ZV5" i="14"/>
  <c r="LV4" i="14"/>
  <c r="LW2" i="14"/>
  <c r="B160" i="5"/>
  <c r="LW4" i="14" l="1"/>
  <c r="LX2" i="14"/>
  <c r="LW5" i="14"/>
  <c r="LX5" i="14" s="1"/>
  <c r="ZW4" i="14"/>
  <c r="ZW6" i="14"/>
  <c r="ZW5" i="14"/>
  <c r="ZX2" i="14"/>
  <c r="LW6" i="14"/>
  <c r="LX6" i="14" s="1"/>
  <c r="B161" i="5"/>
  <c r="LX4" i="14" l="1"/>
  <c r="LY2" i="14"/>
  <c r="ZX6" i="14"/>
  <c r="ZX5" i="14"/>
  <c r="ZX4" i="14"/>
  <c r="ZY2" i="14"/>
  <c r="LY5" i="14"/>
  <c r="LY6" i="14"/>
  <c r="B162" i="5"/>
  <c r="ZY6" i="14" l="1"/>
  <c r="ZZ2" i="14"/>
  <c r="ZY4" i="14"/>
  <c r="ZY5" i="14"/>
  <c r="LZ2" i="14"/>
  <c r="LY4" i="14"/>
  <c r="LZ6" i="14"/>
  <c r="B163" i="5"/>
  <c r="LZ4" i="14" l="1"/>
  <c r="MA2" i="14"/>
  <c r="MA6" i="14" s="1"/>
  <c r="ZZ6" i="14"/>
  <c r="AAA2" i="14"/>
  <c r="ZZ4" i="14"/>
  <c r="ZZ5" i="14"/>
  <c r="LZ5" i="14"/>
  <c r="MA5" i="14" s="1"/>
  <c r="B164" i="5"/>
  <c r="MA4" i="14" l="1"/>
  <c r="MB2" i="14"/>
  <c r="MB5" i="14" s="1"/>
  <c r="AAA4" i="14"/>
  <c r="AAA5" i="14"/>
  <c r="AAA6" i="14"/>
  <c r="AAB2" i="14"/>
  <c r="B165" i="5"/>
  <c r="MB4" i="14" l="1"/>
  <c r="MC2" i="14"/>
  <c r="MB6" i="14"/>
  <c r="MC6" i="14" s="1"/>
  <c r="AAB5" i="14"/>
  <c r="AAB6" i="14"/>
  <c r="AAB4" i="14"/>
  <c r="AAC2" i="14"/>
  <c r="B166" i="5"/>
  <c r="AAC6" i="14" l="1"/>
  <c r="AAD2" i="14"/>
  <c r="AAC5" i="14"/>
  <c r="AAC4" i="14"/>
  <c r="MD2" i="14"/>
  <c r="MC4" i="14"/>
  <c r="MC5" i="14"/>
  <c r="MD5" i="14" s="1"/>
  <c r="B167" i="5"/>
  <c r="MD4" i="14" l="1"/>
  <c r="ME2" i="14"/>
  <c r="MD6" i="14"/>
  <c r="ME6" i="14" s="1"/>
  <c r="AAD6" i="14"/>
  <c r="AAE2" i="14"/>
  <c r="AAD4" i="14"/>
  <c r="AAD5" i="14"/>
  <c r="B168" i="5"/>
  <c r="AAE4" i="14" l="1"/>
  <c r="AAE6" i="14"/>
  <c r="AAE5" i="14"/>
  <c r="AAF2" i="14"/>
  <c r="ME4" i="14"/>
  <c r="MF2" i="14"/>
  <c r="ME5" i="14"/>
  <c r="MF5" i="14" s="1"/>
  <c r="MF6" i="14"/>
  <c r="B169" i="5"/>
  <c r="AAF6" i="14" l="1"/>
  <c r="AAF5" i="14"/>
  <c r="AAF4" i="14"/>
  <c r="AAG2" i="14"/>
  <c r="MF4" i="14"/>
  <c r="MG2" i="14"/>
  <c r="MG6" i="14" s="1"/>
  <c r="B170" i="5"/>
  <c r="MG5" i="14" l="1"/>
  <c r="MH2" i="14"/>
  <c r="MG4" i="14"/>
  <c r="AAG6" i="14"/>
  <c r="AAH2" i="14"/>
  <c r="AAG4" i="14"/>
  <c r="AAG5" i="14"/>
  <c r="B171" i="5"/>
  <c r="MH5" i="14" l="1"/>
  <c r="AAH6" i="14"/>
  <c r="AAI2" i="14"/>
  <c r="AAH4" i="14"/>
  <c r="AAH5" i="14"/>
  <c r="MI2" i="14"/>
  <c r="MH4" i="14"/>
  <c r="MH6" i="14"/>
  <c r="MI6" i="14" s="1"/>
  <c r="B172" i="5"/>
  <c r="MI5" i="14" l="1"/>
  <c r="AAI4" i="14"/>
  <c r="AAI5" i="14"/>
  <c r="AAI6" i="14"/>
  <c r="AAJ2" i="14"/>
  <c r="MI4" i="14"/>
  <c r="MJ2" i="14"/>
  <c r="MJ6" i="14" s="1"/>
  <c r="B173" i="5"/>
  <c r="AAJ5" i="14" l="1"/>
  <c r="AAJ6" i="14"/>
  <c r="AAJ4" i="14"/>
  <c r="AAK2" i="14"/>
  <c r="MJ4" i="14"/>
  <c r="MK2" i="14"/>
  <c r="MJ5" i="14"/>
  <c r="MK5" i="14" s="1"/>
  <c r="B174" i="5"/>
  <c r="AAK6" i="14" l="1"/>
  <c r="AAL2" i="14"/>
  <c r="AAK5" i="14"/>
  <c r="AAK4" i="14"/>
  <c r="ML2" i="14"/>
  <c r="ML5" i="14" s="1"/>
  <c r="MK4" i="14"/>
  <c r="MK6" i="14"/>
  <c r="B175" i="5"/>
  <c r="ML6" i="14" l="1"/>
  <c r="AAL6" i="14"/>
  <c r="AAM2" i="14"/>
  <c r="AAL4" i="14"/>
  <c r="AAL5" i="14"/>
  <c r="ML4" i="14"/>
  <c r="MM2" i="14"/>
  <c r="B176" i="5"/>
  <c r="AAM4" i="14" l="1"/>
  <c r="AAM6" i="14"/>
  <c r="AAM5" i="14"/>
  <c r="AAN2" i="14"/>
  <c r="MM4" i="14"/>
  <c r="MN2" i="14"/>
  <c r="MM6" i="14"/>
  <c r="MN6" i="14" s="1"/>
  <c r="MM5" i="14"/>
  <c r="MN5" i="14" s="1"/>
  <c r="B177" i="5"/>
  <c r="AAN6" i="14" l="1"/>
  <c r="AAN5" i="14"/>
  <c r="AAN4" i="14"/>
  <c r="AAO2" i="14"/>
  <c r="MN4" i="14"/>
  <c r="MO2" i="14"/>
  <c r="MO6" i="14"/>
  <c r="B178" i="5"/>
  <c r="MP2" i="14" l="1"/>
  <c r="MO4" i="14"/>
  <c r="AAO6" i="14"/>
  <c r="AAP2" i="14"/>
  <c r="AAO4" i="14"/>
  <c r="AAO5" i="14"/>
  <c r="MP6" i="14"/>
  <c r="MO5" i="14"/>
  <c r="MP5" i="14" s="1"/>
  <c r="B179" i="5"/>
  <c r="AAP6" i="14" l="1"/>
  <c r="AAQ2" i="14"/>
  <c r="AAP4" i="14"/>
  <c r="AAP5" i="14"/>
  <c r="MP4" i="14"/>
  <c r="MQ2" i="14"/>
  <c r="MQ5" i="14"/>
  <c r="MQ6" i="14"/>
  <c r="B180" i="5"/>
  <c r="AAQ4" i="14" l="1"/>
  <c r="AAQ5" i="14"/>
  <c r="AAQ6" i="14"/>
  <c r="AAR2" i="14"/>
  <c r="MQ4" i="14"/>
  <c r="MR2" i="14"/>
  <c r="MR6" i="14" s="1"/>
  <c r="B181" i="5"/>
  <c r="AAR5" i="14" l="1"/>
  <c r="AAR6" i="14"/>
  <c r="AAS2" i="14"/>
  <c r="AAR4" i="14"/>
  <c r="MR4" i="14"/>
  <c r="MS2" i="14"/>
  <c r="MR5" i="14"/>
  <c r="MS5" i="14" s="1"/>
  <c r="B182" i="5"/>
  <c r="AAS6" i="14" l="1"/>
  <c r="AAT2" i="14"/>
  <c r="AAS4" i="14"/>
  <c r="AAS5" i="14"/>
  <c r="MT2" i="14"/>
  <c r="MS4" i="14"/>
  <c r="MS6" i="14"/>
  <c r="MT6" i="14" s="1"/>
  <c r="B183" i="5"/>
  <c r="AAT6" i="14" l="1"/>
  <c r="AAU2" i="14"/>
  <c r="AAT4" i="14"/>
  <c r="AAT5" i="14"/>
  <c r="MT4" i="14"/>
  <c r="MU2" i="14"/>
  <c r="MT5" i="14"/>
  <c r="B184" i="5"/>
  <c r="AAU4" i="14" l="1"/>
  <c r="AAU6" i="14"/>
  <c r="AAU5" i="14"/>
  <c r="AAV2" i="14"/>
  <c r="MU4" i="14"/>
  <c r="MV2" i="14"/>
  <c r="MU5" i="14"/>
  <c r="MV5" i="14" s="1"/>
  <c r="MU6" i="14"/>
  <c r="MV6" i="14" s="1"/>
  <c r="B185" i="5"/>
  <c r="MV4" i="14" l="1"/>
  <c r="MW2" i="14"/>
  <c r="MW6" i="14"/>
  <c r="AAV6" i="14"/>
  <c r="AAV5" i="14"/>
  <c r="AAV4" i="14"/>
  <c r="AAW2" i="14"/>
  <c r="B186" i="5"/>
  <c r="AAW6" i="14" l="1"/>
  <c r="AAX2" i="14"/>
  <c r="AAW4" i="14"/>
  <c r="AAW5" i="14"/>
  <c r="MX2" i="14"/>
  <c r="MW4" i="14"/>
  <c r="MW5" i="14"/>
  <c r="MX5" i="14" s="1"/>
  <c r="B187" i="5"/>
  <c r="MY2" i="14" l="1"/>
  <c r="MX4" i="14"/>
  <c r="AAX6" i="14"/>
  <c r="AAY2" i="14"/>
  <c r="AAX4" i="14"/>
  <c r="AAX5" i="14"/>
  <c r="MX6" i="14"/>
  <c r="MY6" i="14" s="1"/>
  <c r="B188" i="5"/>
  <c r="MY4" i="14" l="1"/>
  <c r="MZ2" i="14"/>
  <c r="MY5" i="14"/>
  <c r="MZ5" i="14" s="1"/>
  <c r="AAY4" i="14"/>
  <c r="AAY5" i="14"/>
  <c r="AAY6" i="14"/>
  <c r="AAZ2" i="14"/>
  <c r="B189" i="5"/>
  <c r="AAZ5" i="14" l="1"/>
  <c r="AAZ6" i="14"/>
  <c r="ABA2" i="14"/>
  <c r="AAZ4" i="14"/>
  <c r="MZ4" i="14"/>
  <c r="NA2" i="14"/>
  <c r="NA5" i="14" s="1"/>
  <c r="MZ6" i="14"/>
  <c r="NA6" i="14" s="1"/>
  <c r="B190" i="5"/>
  <c r="NB2" i="14" l="1"/>
  <c r="NB6" i="14" s="1"/>
  <c r="NA4" i="14"/>
  <c r="ABA6" i="14"/>
  <c r="ABB2" i="14"/>
  <c r="ABA5" i="14"/>
  <c r="ABA4" i="14"/>
  <c r="B191" i="5"/>
  <c r="ABB6" i="14" l="1"/>
  <c r="ABC2" i="14"/>
  <c r="ABB4" i="14"/>
  <c r="ABB5" i="14"/>
  <c r="NB4" i="14"/>
  <c r="NC2" i="14"/>
  <c r="NC6" i="14" s="1"/>
  <c r="NB5" i="14"/>
  <c r="NC5" i="14" s="1"/>
  <c r="B192" i="5"/>
  <c r="NC4" i="14" l="1"/>
  <c r="ND2" i="14"/>
  <c r="ABC4" i="14"/>
  <c r="ABC6" i="14"/>
  <c r="ABC5" i="14"/>
  <c r="ABD2" i="14"/>
  <c r="B193" i="5"/>
  <c r="ND4" i="14" l="1"/>
  <c r="NE2" i="14"/>
  <c r="ABD6" i="14"/>
  <c r="ABD5" i="14"/>
  <c r="ABD4" i="14"/>
  <c r="ABE2" i="14"/>
  <c r="ND5" i="14"/>
  <c r="NE5" i="14" s="1"/>
  <c r="ND6" i="14"/>
  <c r="NE6" i="14" s="1"/>
  <c r="B194" i="5"/>
  <c r="NF2" i="14" l="1"/>
  <c r="NE4" i="14"/>
  <c r="ABE6" i="14"/>
  <c r="ABF2" i="14"/>
  <c r="ABE4" i="14"/>
  <c r="ABE5" i="14"/>
  <c r="NF6" i="14"/>
  <c r="B195" i="5"/>
  <c r="NF4" i="14" l="1"/>
  <c r="NG2" i="14"/>
  <c r="NG6" i="14" s="1"/>
  <c r="ABF6" i="14"/>
  <c r="ABG2" i="14"/>
  <c r="ABF4" i="14"/>
  <c r="ABF5" i="14"/>
  <c r="NF5" i="14"/>
  <c r="H9" i="4"/>
  <c r="NG5" i="14" l="1"/>
  <c r="ABG4" i="14"/>
  <c r="ABG5" i="14"/>
  <c r="ABG6" i="14"/>
  <c r="ABH2" i="14"/>
  <c r="NG4" i="14"/>
  <c r="NH2" i="14"/>
  <c r="Y2" i="10"/>
  <c r="AZ2" i="10"/>
  <c r="K7" i="4"/>
  <c r="J8" i="16" s="1"/>
  <c r="C16" i="16" s="1"/>
  <c r="K6" i="4"/>
  <c r="E5" i="4"/>
  <c r="N6" i="15" s="1"/>
  <c r="J7" i="16" l="1"/>
  <c r="J6" i="16"/>
  <c r="C14" i="16" s="1"/>
  <c r="J7" i="15"/>
  <c r="J6" i="15"/>
  <c r="C14" i="15" s="1"/>
  <c r="J8" i="5"/>
  <c r="C16" i="5" s="1"/>
  <c r="J8" i="15"/>
  <c r="C16" i="15" s="1"/>
  <c r="NH6" i="14"/>
  <c r="ABH5" i="14"/>
  <c r="ABH6" i="14"/>
  <c r="ABH4" i="14"/>
  <c r="ABI2" i="14"/>
  <c r="NH4" i="14"/>
  <c r="NI2" i="14"/>
  <c r="NH5" i="14"/>
  <c r="J6" i="5"/>
  <c r="C14" i="5" s="1"/>
  <c r="J7" i="5"/>
  <c r="BAK2" i="10"/>
  <c r="NI5" i="14" l="1"/>
  <c r="C15" i="16"/>
  <c r="C15" i="15"/>
  <c r="NI6" i="14"/>
  <c r="NJ2" i="14"/>
  <c r="NI4" i="14"/>
  <c r="ABI6" i="14"/>
  <c r="ABJ2" i="14"/>
  <c r="ABI5" i="14"/>
  <c r="ABI4" i="14"/>
  <c r="C15" i="5"/>
  <c r="L13" i="4"/>
  <c r="NJ5" i="14" l="1"/>
  <c r="NJ6" i="14"/>
  <c r="ABJ6" i="14"/>
  <c r="ABK2" i="14"/>
  <c r="ABJ4" i="14"/>
  <c r="ABJ5" i="14"/>
  <c r="NJ4" i="14"/>
  <c r="NK2" i="14"/>
  <c r="E6" i="4"/>
  <c r="NK4" i="14" l="1"/>
  <c r="NL2" i="14"/>
  <c r="ABK4" i="14"/>
  <c r="ABK6" i="14"/>
  <c r="ABK5" i="14"/>
  <c r="ABL2" i="14"/>
  <c r="NK6" i="14"/>
  <c r="NL6" i="14" s="1"/>
  <c r="NK5" i="14"/>
  <c r="NL5" i="14" s="1"/>
  <c r="BAQ2" i="10"/>
  <c r="BAP2" i="10"/>
  <c r="BAO2" i="10"/>
  <c r="BAN2" i="10"/>
  <c r="BAM2" i="10"/>
  <c r="BAL2" i="10"/>
  <c r="NL4" i="14" l="1"/>
  <c r="NM2" i="14"/>
  <c r="NM6" i="14" s="1"/>
  <c r="ABL6" i="14"/>
  <c r="ABL5" i="14"/>
  <c r="ABL4" i="14"/>
  <c r="ABM2" i="14"/>
  <c r="NM5" i="14"/>
  <c r="EP2" i="10"/>
  <c r="EO2" i="10"/>
  <c r="ABM6" i="14" l="1"/>
  <c r="ABN2" i="14"/>
  <c r="ABM4" i="14"/>
  <c r="ABM5" i="14"/>
  <c r="NN2" i="14"/>
  <c r="NN5" i="14" s="1"/>
  <c r="NM4" i="14"/>
  <c r="ABP2" i="10"/>
  <c r="ABL2" i="10"/>
  <c r="NO2" i="14" l="1"/>
  <c r="NO5" i="14" s="1"/>
  <c r="NN4" i="14"/>
  <c r="ABN6" i="14"/>
  <c r="ABO2" i="14"/>
  <c r="ABN4" i="14"/>
  <c r="ABN5" i="14"/>
  <c r="NN6" i="14"/>
  <c r="NO6" i="14" s="1"/>
  <c r="C6" i="10"/>
  <c r="ABO4" i="14" l="1"/>
  <c r="ABO5" i="14"/>
  <c r="ABO6" i="14"/>
  <c r="ABP2" i="14"/>
  <c r="NO4" i="14"/>
  <c r="NP2" i="14"/>
  <c r="BAH2" i="10"/>
  <c r="BAG2" i="10"/>
  <c r="BAF2" i="10"/>
  <c r="BAE2" i="10"/>
  <c r="BAD2" i="10"/>
  <c r="BAC2" i="10"/>
  <c r="BAB2" i="10"/>
  <c r="BAA2" i="10"/>
  <c r="AYL2" i="10"/>
  <c r="AYK2" i="10"/>
  <c r="AYJ2" i="10"/>
  <c r="AYI2" i="10"/>
  <c r="AYH2" i="10"/>
  <c r="AYG2" i="10"/>
  <c r="AYF2" i="10"/>
  <c r="AYE2" i="10"/>
  <c r="AWP2" i="10"/>
  <c r="AWO2" i="10"/>
  <c r="AWN2" i="10"/>
  <c r="AWM2" i="10"/>
  <c r="AWL2" i="10"/>
  <c r="AWK2" i="10"/>
  <c r="AWJ2" i="10"/>
  <c r="AWI2" i="10"/>
  <c r="AUT2" i="10"/>
  <c r="AUS2" i="10"/>
  <c r="AUR2" i="10"/>
  <c r="AUQ2" i="10"/>
  <c r="AUP2" i="10"/>
  <c r="AUO2" i="10"/>
  <c r="AUN2" i="10"/>
  <c r="AUM2" i="10"/>
  <c r="ASX2" i="10"/>
  <c r="ASW2" i="10"/>
  <c r="ASV2" i="10"/>
  <c r="ASU2" i="10"/>
  <c r="AST2" i="10"/>
  <c r="ASS2" i="10"/>
  <c r="ASR2" i="10"/>
  <c r="ASQ2" i="10"/>
  <c r="ARB2" i="10"/>
  <c r="ARA2" i="10"/>
  <c r="AQZ2" i="10"/>
  <c r="AQY2" i="10"/>
  <c r="AQX2" i="10"/>
  <c r="AQW2" i="10"/>
  <c r="AQV2" i="10"/>
  <c r="AQU2" i="10"/>
  <c r="APF2" i="10"/>
  <c r="APE2" i="10"/>
  <c r="APD2" i="10"/>
  <c r="APC2" i="10"/>
  <c r="APB2" i="10"/>
  <c r="APA2" i="10"/>
  <c r="AOZ2" i="10"/>
  <c r="AOY2" i="10"/>
  <c r="ANJ2" i="10"/>
  <c r="ANI2" i="10"/>
  <c r="ANH2" i="10"/>
  <c r="ANG2" i="10"/>
  <c r="ANF2" i="10"/>
  <c r="ANE2" i="10"/>
  <c r="AND2" i="10"/>
  <c r="ANC2" i="10"/>
  <c r="ALN2" i="10"/>
  <c r="ALM2" i="10"/>
  <c r="ALL2" i="10"/>
  <c r="ALK2" i="10"/>
  <c r="ALJ2" i="10"/>
  <c r="ALI2" i="10"/>
  <c r="ALH2" i="10"/>
  <c r="ALG2" i="10"/>
  <c r="AJR2" i="10"/>
  <c r="AJQ2" i="10"/>
  <c r="AJP2" i="10"/>
  <c r="AJO2" i="10"/>
  <c r="AJN2" i="10"/>
  <c r="AJM2" i="10"/>
  <c r="AJL2" i="10"/>
  <c r="AJK2" i="10"/>
  <c r="AHV2" i="10"/>
  <c r="AHU2" i="10"/>
  <c r="AHT2" i="10"/>
  <c r="AHS2" i="10"/>
  <c r="AHR2" i="10"/>
  <c r="AHQ2" i="10"/>
  <c r="AHP2" i="10"/>
  <c r="AHO2" i="10"/>
  <c r="AFZ2" i="10"/>
  <c r="AFY2" i="10"/>
  <c r="AFX2" i="10"/>
  <c r="AFW2" i="10"/>
  <c r="AFV2" i="10"/>
  <c r="AFU2" i="10"/>
  <c r="AFT2" i="10"/>
  <c r="AFS2" i="10"/>
  <c r="AED2" i="10"/>
  <c r="AEC2" i="10"/>
  <c r="AEB2" i="10"/>
  <c r="AEA2" i="10"/>
  <c r="ADZ2" i="10"/>
  <c r="ADY2" i="10"/>
  <c r="ADX2" i="10"/>
  <c r="ADW2" i="10"/>
  <c r="ACH2" i="10"/>
  <c r="ACG2" i="10"/>
  <c r="ACF2" i="10"/>
  <c r="ACE2" i="10"/>
  <c r="ACD2" i="10"/>
  <c r="ACC2" i="10"/>
  <c r="ACB2" i="10"/>
  <c r="ACA2" i="10"/>
  <c r="AAL2" i="10"/>
  <c r="AAK2" i="10"/>
  <c r="AAJ2" i="10"/>
  <c r="AAI2" i="10"/>
  <c r="AAH2" i="10"/>
  <c r="AAG2" i="10"/>
  <c r="AAF2" i="10"/>
  <c r="AAE2" i="10"/>
  <c r="YP2" i="10"/>
  <c r="YO2" i="10"/>
  <c r="YN2" i="10"/>
  <c r="YM2" i="10"/>
  <c r="YL2" i="10"/>
  <c r="YK2" i="10"/>
  <c r="YJ2" i="10"/>
  <c r="YI2" i="10"/>
  <c r="WT2" i="10"/>
  <c r="WS2" i="10"/>
  <c r="WR2" i="10"/>
  <c r="WQ2" i="10"/>
  <c r="WP2" i="10"/>
  <c r="WO2" i="10"/>
  <c r="WN2" i="10"/>
  <c r="WM2" i="10"/>
  <c r="UX2" i="10"/>
  <c r="UW2" i="10"/>
  <c r="UV2" i="10"/>
  <c r="UU2" i="10"/>
  <c r="UT2" i="10"/>
  <c r="US2" i="10"/>
  <c r="UR2" i="10"/>
  <c r="UQ2" i="10"/>
  <c r="TB2" i="10"/>
  <c r="TA2" i="10"/>
  <c r="SZ2" i="10"/>
  <c r="SY2" i="10"/>
  <c r="SX2" i="10"/>
  <c r="SW2" i="10"/>
  <c r="SV2" i="10"/>
  <c r="SU2" i="10"/>
  <c r="RF2" i="10"/>
  <c r="RE2" i="10"/>
  <c r="RD2" i="10"/>
  <c r="RC2" i="10"/>
  <c r="RB2" i="10"/>
  <c r="RA2" i="10"/>
  <c r="QZ2" i="10"/>
  <c r="QY2" i="10"/>
  <c r="PJ2" i="10"/>
  <c r="PI2" i="10"/>
  <c r="PH2" i="10"/>
  <c r="PG2" i="10"/>
  <c r="PF2" i="10"/>
  <c r="PE2" i="10"/>
  <c r="PD2" i="10"/>
  <c r="PC2" i="10"/>
  <c r="NN2" i="10"/>
  <c r="NM2" i="10"/>
  <c r="NL2" i="10"/>
  <c r="NK2" i="10"/>
  <c r="NJ2" i="10"/>
  <c r="NI2" i="10"/>
  <c r="NH2" i="10"/>
  <c r="NG2" i="10"/>
  <c r="LS2" i="10"/>
  <c r="LR2" i="10"/>
  <c r="LQ2" i="10"/>
  <c r="LP2" i="10"/>
  <c r="LO2" i="10"/>
  <c r="LN2" i="10"/>
  <c r="LM2" i="10"/>
  <c r="LL2" i="10"/>
  <c r="JV2" i="10"/>
  <c r="JU2" i="10"/>
  <c r="JT2" i="10"/>
  <c r="JS2" i="10"/>
  <c r="JR2" i="10"/>
  <c r="JQ2" i="10"/>
  <c r="JP2" i="10"/>
  <c r="JO2" i="10"/>
  <c r="ABP5" i="14" l="1"/>
  <c r="ABP6" i="14"/>
  <c r="ABP4" i="14"/>
  <c r="ABQ2" i="14"/>
  <c r="NP4" i="14"/>
  <c r="NQ2" i="14"/>
  <c r="NP6" i="14"/>
  <c r="NQ6" i="14" s="1"/>
  <c r="NP5" i="14"/>
  <c r="NQ5" i="14" s="1"/>
  <c r="HB2" i="10"/>
  <c r="HA2" i="10"/>
  <c r="GZ2" i="10"/>
  <c r="GY2" i="10"/>
  <c r="ABQ6" i="14" l="1"/>
  <c r="ABR2" i="14"/>
  <c r="ABQ5" i="14"/>
  <c r="ABQ4" i="14"/>
  <c r="NR2" i="14"/>
  <c r="NQ4" i="14"/>
  <c r="HN2" i="10"/>
  <c r="HM2" i="10"/>
  <c r="HL2" i="10"/>
  <c r="HK2" i="10"/>
  <c r="NR4" i="14" l="1"/>
  <c r="NS2" i="14"/>
  <c r="NR6" i="14"/>
  <c r="NS6" i="14" s="1"/>
  <c r="NR5" i="14"/>
  <c r="NS5" i="14" s="1"/>
  <c r="ABR6" i="14"/>
  <c r="ABS2" i="14"/>
  <c r="ABR4" i="14"/>
  <c r="ABR5" i="14"/>
  <c r="AZG2" i="10"/>
  <c r="AXK2" i="10"/>
  <c r="AVO2" i="10"/>
  <c r="ATS2" i="10"/>
  <c r="ARW2" i="10"/>
  <c r="AQA2" i="10"/>
  <c r="AOE2" i="10"/>
  <c r="AMI2" i="10"/>
  <c r="AKM2" i="10"/>
  <c r="AIQ2" i="10"/>
  <c r="AGU2" i="10"/>
  <c r="AEY2" i="10"/>
  <c r="ADC2" i="10"/>
  <c r="ABG2" i="10"/>
  <c r="ZK2" i="10"/>
  <c r="XO2" i="10"/>
  <c r="VS2" i="10"/>
  <c r="TW2" i="10"/>
  <c r="SA2" i="10"/>
  <c r="QE2" i="10"/>
  <c r="OI2" i="10"/>
  <c r="MM2" i="10"/>
  <c r="KQ2" i="10"/>
  <c r="IU2" i="10"/>
  <c r="HC2" i="10"/>
  <c r="NS4" i="14" l="1"/>
  <c r="NT2" i="14"/>
  <c r="NT6" i="14"/>
  <c r="ABS4" i="14"/>
  <c r="ABS6" i="14"/>
  <c r="ABS5" i="14"/>
  <c r="ABT2" i="14"/>
  <c r="G2" i="10"/>
  <c r="F2" i="10"/>
  <c r="E2" i="10"/>
  <c r="ABT6" i="14" l="1"/>
  <c r="ABT5" i="14"/>
  <c r="ABT4" i="14"/>
  <c r="ABU2" i="14"/>
  <c r="NT4" i="14"/>
  <c r="NU2" i="14"/>
  <c r="NT5" i="14"/>
  <c r="NU5" i="14" s="1"/>
  <c r="EN2" i="10"/>
  <c r="EM2" i="10"/>
  <c r="EL2" i="10"/>
  <c r="EK2" i="10"/>
  <c r="DN2" i="10"/>
  <c r="DM2" i="10"/>
  <c r="DL2" i="10"/>
  <c r="DK2" i="10"/>
  <c r="CN2" i="10"/>
  <c r="CM2" i="10"/>
  <c r="CL2" i="10"/>
  <c r="CK2" i="10"/>
  <c r="NU6" i="14" l="1"/>
  <c r="NV2" i="14"/>
  <c r="NU4" i="14"/>
  <c r="NV5" i="14"/>
  <c r="ABU6" i="14"/>
  <c r="ABV2" i="14"/>
  <c r="ABU4" i="14"/>
  <c r="ABU5" i="14"/>
  <c r="E4" i="4"/>
  <c r="N5" i="15" s="1"/>
  <c r="NV6" i="14" l="1"/>
  <c r="ABV6" i="14"/>
  <c r="ABW2" i="14"/>
  <c r="ABV4" i="14"/>
  <c r="ABV5" i="14"/>
  <c r="NV4" i="14"/>
  <c r="NW2" i="14"/>
  <c r="HO2" i="10"/>
  <c r="NW6" i="14" l="1"/>
  <c r="NW5" i="14"/>
  <c r="ABW4" i="14"/>
  <c r="ABW5" i="14"/>
  <c r="ABW6" i="14"/>
  <c r="ABX2" i="14"/>
  <c r="NW4" i="14"/>
  <c r="NX2" i="14"/>
  <c r="A2" i="10"/>
  <c r="NX6" i="14" l="1"/>
  <c r="NX5" i="14"/>
  <c r="NX4" i="14"/>
  <c r="NY2" i="14"/>
  <c r="ABX5" i="14"/>
  <c r="ABX6" i="14"/>
  <c r="ABY2" i="14"/>
  <c r="ABX4" i="14"/>
  <c r="ALO2" i="10"/>
  <c r="ALF2" i="10"/>
  <c r="ALE2" i="10"/>
  <c r="ALD2" i="10"/>
  <c r="ALC2" i="10"/>
  <c r="ALB2" i="10"/>
  <c r="ALA2" i="10"/>
  <c r="AKZ2" i="10"/>
  <c r="AKY2" i="10"/>
  <c r="AKX2" i="10"/>
  <c r="AKW2" i="10"/>
  <c r="AKV2" i="10"/>
  <c r="AKT2" i="10"/>
  <c r="AKS2" i="10"/>
  <c r="AKQ2" i="10"/>
  <c r="AKP2" i="10"/>
  <c r="AKO2" i="10"/>
  <c r="AKN2" i="10"/>
  <c r="AKL2" i="10"/>
  <c r="AKK2" i="10"/>
  <c r="AKJ2" i="10"/>
  <c r="AKI2" i="10"/>
  <c r="AKH2" i="10"/>
  <c r="AKG2" i="10"/>
  <c r="AKF2" i="10"/>
  <c r="AKE2" i="10"/>
  <c r="AKD2" i="10"/>
  <c r="BAI2" i="10"/>
  <c r="AZZ2" i="10"/>
  <c r="AZY2" i="10"/>
  <c r="AZX2" i="10"/>
  <c r="AZW2" i="10"/>
  <c r="AZV2" i="10"/>
  <c r="AZU2" i="10"/>
  <c r="AZT2" i="10"/>
  <c r="AZS2" i="10"/>
  <c r="AZR2" i="10"/>
  <c r="AZQ2" i="10"/>
  <c r="AZP2" i="10"/>
  <c r="AZN2" i="10"/>
  <c r="AZM2" i="10"/>
  <c r="AZK2" i="10"/>
  <c r="AZJ2" i="10"/>
  <c r="AZI2" i="10"/>
  <c r="AZH2" i="10"/>
  <c r="AZF2" i="10"/>
  <c r="AZE2" i="10"/>
  <c r="AZD2" i="10"/>
  <c r="AZC2" i="10"/>
  <c r="AZB2" i="10"/>
  <c r="AZA2" i="10"/>
  <c r="AYZ2" i="10"/>
  <c r="AYY2" i="10"/>
  <c r="AYX2" i="10"/>
  <c r="AYM2" i="10"/>
  <c r="AYD2" i="10"/>
  <c r="AYC2" i="10"/>
  <c r="AYB2" i="10"/>
  <c r="AYA2" i="10"/>
  <c r="AXZ2" i="10"/>
  <c r="AXY2" i="10"/>
  <c r="AXX2" i="10"/>
  <c r="AXW2" i="10"/>
  <c r="AXV2" i="10"/>
  <c r="AXU2" i="10"/>
  <c r="AXT2" i="10"/>
  <c r="AXR2" i="10"/>
  <c r="AXQ2" i="10"/>
  <c r="AXO2" i="10"/>
  <c r="AXN2" i="10"/>
  <c r="AXM2" i="10"/>
  <c r="AXL2" i="10"/>
  <c r="AXJ2" i="10"/>
  <c r="AXI2" i="10"/>
  <c r="AXH2" i="10"/>
  <c r="AXG2" i="10"/>
  <c r="AXF2" i="10"/>
  <c r="AXE2" i="10"/>
  <c r="AXD2" i="10"/>
  <c r="AXC2" i="10"/>
  <c r="AXB2" i="10"/>
  <c r="AWQ2" i="10"/>
  <c r="AWH2" i="10"/>
  <c r="AWG2" i="10"/>
  <c r="AWF2" i="10"/>
  <c r="AWE2" i="10"/>
  <c r="AWD2" i="10"/>
  <c r="AWC2" i="10"/>
  <c r="AWB2" i="10"/>
  <c r="AWA2" i="10"/>
  <c r="AVZ2" i="10"/>
  <c r="AVY2" i="10"/>
  <c r="AVX2" i="10"/>
  <c r="AVV2" i="10"/>
  <c r="AVU2" i="10"/>
  <c r="AVS2" i="10"/>
  <c r="AVR2" i="10"/>
  <c r="AVQ2" i="10"/>
  <c r="AVP2" i="10"/>
  <c r="AVN2" i="10"/>
  <c r="AVM2" i="10"/>
  <c r="AVL2" i="10"/>
  <c r="AVK2" i="10"/>
  <c r="AVJ2" i="10"/>
  <c r="AVI2" i="10"/>
  <c r="AVH2" i="10"/>
  <c r="AVG2" i="10"/>
  <c r="AVF2" i="10"/>
  <c r="AUU2" i="10"/>
  <c r="AUL2" i="10"/>
  <c r="AUK2" i="10"/>
  <c r="AUJ2" i="10"/>
  <c r="AUI2" i="10"/>
  <c r="AUH2" i="10"/>
  <c r="AUG2" i="10"/>
  <c r="AUF2" i="10"/>
  <c r="AUE2" i="10"/>
  <c r="AUD2" i="10"/>
  <c r="AUC2" i="10"/>
  <c r="AUB2" i="10"/>
  <c r="ATZ2" i="10"/>
  <c r="ATY2" i="10"/>
  <c r="ATW2" i="10"/>
  <c r="ATV2" i="10"/>
  <c r="ATU2" i="10"/>
  <c r="ATT2" i="10"/>
  <c r="ATR2" i="10"/>
  <c r="ATQ2" i="10"/>
  <c r="ATP2" i="10"/>
  <c r="ATO2" i="10"/>
  <c r="ATN2" i="10"/>
  <c r="ATM2" i="10"/>
  <c r="ATL2" i="10"/>
  <c r="ATK2" i="10"/>
  <c r="ATJ2" i="10"/>
  <c r="ASY2" i="10"/>
  <c r="ASP2" i="10"/>
  <c r="ASO2" i="10"/>
  <c r="ASN2" i="10"/>
  <c r="ASM2" i="10"/>
  <c r="ASL2" i="10"/>
  <c r="ASK2" i="10"/>
  <c r="ASJ2" i="10"/>
  <c r="ASI2" i="10"/>
  <c r="ASH2" i="10"/>
  <c r="ASG2" i="10"/>
  <c r="ASF2" i="10"/>
  <c r="ASD2" i="10"/>
  <c r="ASC2" i="10"/>
  <c r="ASA2" i="10"/>
  <c r="ARZ2" i="10"/>
  <c r="ARY2" i="10"/>
  <c r="ARX2" i="10"/>
  <c r="ARV2" i="10"/>
  <c r="ARU2" i="10"/>
  <c r="ART2" i="10"/>
  <c r="ARS2" i="10"/>
  <c r="ARR2" i="10"/>
  <c r="ARQ2" i="10"/>
  <c r="ARP2" i="10"/>
  <c r="ARO2" i="10"/>
  <c r="ARN2" i="10"/>
  <c r="ARC2" i="10"/>
  <c r="AQT2" i="10"/>
  <c r="AQS2" i="10"/>
  <c r="AQR2" i="10"/>
  <c r="AQQ2" i="10"/>
  <c r="AQP2" i="10"/>
  <c r="AQO2" i="10"/>
  <c r="AQN2" i="10"/>
  <c r="AQM2" i="10"/>
  <c r="AQL2" i="10"/>
  <c r="AQK2" i="10"/>
  <c r="AQJ2" i="10"/>
  <c r="AQH2" i="10"/>
  <c r="AQG2" i="10"/>
  <c r="AQE2" i="10"/>
  <c r="AQD2" i="10"/>
  <c r="AQC2" i="10"/>
  <c r="AQB2" i="10"/>
  <c r="APZ2" i="10"/>
  <c r="APY2" i="10"/>
  <c r="APX2" i="10"/>
  <c r="APW2" i="10"/>
  <c r="APV2" i="10"/>
  <c r="APU2" i="10"/>
  <c r="APT2" i="10"/>
  <c r="APS2" i="10"/>
  <c r="APR2" i="10"/>
  <c r="APG2" i="10"/>
  <c r="AOX2" i="10"/>
  <c r="AOW2" i="10"/>
  <c r="AOV2" i="10"/>
  <c r="AOU2" i="10"/>
  <c r="AOT2" i="10"/>
  <c r="AOS2" i="10"/>
  <c r="AOR2" i="10"/>
  <c r="AOQ2" i="10"/>
  <c r="AOP2" i="10"/>
  <c r="AOO2" i="10"/>
  <c r="AON2" i="10"/>
  <c r="AOL2" i="10"/>
  <c r="AOK2" i="10"/>
  <c r="AOI2" i="10"/>
  <c r="AOH2" i="10"/>
  <c r="AOG2" i="10"/>
  <c r="AOF2" i="10"/>
  <c r="AOD2" i="10"/>
  <c r="AOC2" i="10"/>
  <c r="AOB2" i="10"/>
  <c r="AOA2" i="10"/>
  <c r="ANZ2" i="10"/>
  <c r="ANY2" i="10"/>
  <c r="ANX2" i="10"/>
  <c r="ANW2" i="10"/>
  <c r="ANV2" i="10"/>
  <c r="ANK2" i="10"/>
  <c r="ANB2" i="10"/>
  <c r="ANA2" i="10"/>
  <c r="AMZ2" i="10"/>
  <c r="AMY2" i="10"/>
  <c r="AMX2" i="10"/>
  <c r="AMW2" i="10"/>
  <c r="AMV2" i="10"/>
  <c r="AMU2" i="10"/>
  <c r="AMT2" i="10"/>
  <c r="AMS2" i="10"/>
  <c r="AMR2" i="10"/>
  <c r="AMP2" i="10"/>
  <c r="AMO2" i="10"/>
  <c r="AMM2" i="10"/>
  <c r="AML2" i="10"/>
  <c r="AMK2" i="10"/>
  <c r="AMJ2" i="10"/>
  <c r="AMH2" i="10"/>
  <c r="AMG2" i="10"/>
  <c r="AMF2" i="10"/>
  <c r="AME2" i="10"/>
  <c r="AMD2" i="10"/>
  <c r="AMC2" i="10"/>
  <c r="AMB2" i="10"/>
  <c r="AMA2" i="10"/>
  <c r="ALZ2" i="10"/>
  <c r="AJS2" i="10"/>
  <c r="AJJ2" i="10"/>
  <c r="AJI2" i="10"/>
  <c r="AJH2" i="10"/>
  <c r="AJG2" i="10"/>
  <c r="AJF2" i="10"/>
  <c r="AJE2" i="10"/>
  <c r="AJD2" i="10"/>
  <c r="AJC2" i="10"/>
  <c r="AJB2" i="10"/>
  <c r="AJA2" i="10"/>
  <c r="AIZ2" i="10"/>
  <c r="AIX2" i="10"/>
  <c r="AIW2" i="10"/>
  <c r="AIU2" i="10"/>
  <c r="AIT2" i="10"/>
  <c r="AIS2" i="10"/>
  <c r="AIR2" i="10"/>
  <c r="AIP2" i="10"/>
  <c r="AIO2" i="10"/>
  <c r="AIN2" i="10"/>
  <c r="AIM2" i="10"/>
  <c r="AIL2" i="10"/>
  <c r="AIK2" i="10"/>
  <c r="AIJ2" i="10"/>
  <c r="AII2" i="10"/>
  <c r="AIH2" i="10"/>
  <c r="AHW2" i="10"/>
  <c r="AHN2" i="10"/>
  <c r="AHM2" i="10"/>
  <c r="AHL2" i="10"/>
  <c r="AHK2" i="10"/>
  <c r="AHJ2" i="10"/>
  <c r="AHI2" i="10"/>
  <c r="AHH2" i="10"/>
  <c r="AHG2" i="10"/>
  <c r="AHF2" i="10"/>
  <c r="AHE2" i="10"/>
  <c r="AHD2" i="10"/>
  <c r="AHB2" i="10"/>
  <c r="AHA2" i="10"/>
  <c r="AGY2" i="10"/>
  <c r="AGX2" i="10"/>
  <c r="AGW2" i="10"/>
  <c r="AGV2" i="10"/>
  <c r="AGT2" i="10"/>
  <c r="AGS2" i="10"/>
  <c r="AGR2" i="10"/>
  <c r="AGQ2" i="10"/>
  <c r="AGP2" i="10"/>
  <c r="AGO2" i="10"/>
  <c r="AGN2" i="10"/>
  <c r="AGM2" i="10"/>
  <c r="AGL2" i="10"/>
  <c r="AGA2" i="10"/>
  <c r="AFR2" i="10"/>
  <c r="AFQ2" i="10"/>
  <c r="AFP2" i="10"/>
  <c r="AFO2" i="10"/>
  <c r="AFN2" i="10"/>
  <c r="AFM2" i="10"/>
  <c r="AFL2" i="10"/>
  <c r="AFK2" i="10"/>
  <c r="AFJ2" i="10"/>
  <c r="AFI2" i="10"/>
  <c r="AFH2" i="10"/>
  <c r="AFF2" i="10"/>
  <c r="AFE2" i="10"/>
  <c r="AFC2" i="10"/>
  <c r="AFB2" i="10"/>
  <c r="AFA2" i="10"/>
  <c r="AEZ2" i="10"/>
  <c r="AEX2" i="10"/>
  <c r="AEW2" i="10"/>
  <c r="AEV2" i="10"/>
  <c r="AEU2" i="10"/>
  <c r="AET2" i="10"/>
  <c r="AES2" i="10"/>
  <c r="AER2" i="10"/>
  <c r="AEQ2" i="10"/>
  <c r="AEP2" i="10"/>
  <c r="AEE2" i="10"/>
  <c r="ADV2" i="10"/>
  <c r="ADU2" i="10"/>
  <c r="ADT2" i="10"/>
  <c r="ADS2" i="10"/>
  <c r="ADR2" i="10"/>
  <c r="ADQ2" i="10"/>
  <c r="ADP2" i="10"/>
  <c r="ADO2" i="10"/>
  <c r="ADN2" i="10"/>
  <c r="ADM2" i="10"/>
  <c r="ADL2" i="10"/>
  <c r="ADJ2" i="10"/>
  <c r="ADI2" i="10"/>
  <c r="ADG2" i="10"/>
  <c r="ADF2" i="10"/>
  <c r="ADE2" i="10"/>
  <c r="ADD2" i="10"/>
  <c r="ADB2" i="10"/>
  <c r="ADA2" i="10"/>
  <c r="ACZ2" i="10"/>
  <c r="ACY2" i="10"/>
  <c r="ACX2" i="10"/>
  <c r="ACW2" i="10"/>
  <c r="ACV2" i="10"/>
  <c r="ACU2" i="10"/>
  <c r="ACT2" i="10"/>
  <c r="ACI2" i="10"/>
  <c r="ABZ2" i="10"/>
  <c r="ABY2" i="10"/>
  <c r="ABX2" i="10"/>
  <c r="ABW2" i="10"/>
  <c r="ABV2" i="10"/>
  <c r="ABU2" i="10"/>
  <c r="ABT2" i="10"/>
  <c r="ABS2" i="10"/>
  <c r="ABR2" i="10"/>
  <c r="ABQ2" i="10"/>
  <c r="ABN2" i="10"/>
  <c r="ABM2" i="10"/>
  <c r="ABK2" i="10"/>
  <c r="ABJ2" i="10"/>
  <c r="ABI2" i="10"/>
  <c r="ABH2" i="10"/>
  <c r="ABF2" i="10"/>
  <c r="ABE2" i="10"/>
  <c r="ABD2" i="10"/>
  <c r="ABC2" i="10"/>
  <c r="ABB2" i="10"/>
  <c r="ABA2" i="10"/>
  <c r="AAZ2" i="10"/>
  <c r="AAY2" i="10"/>
  <c r="AAX2" i="10"/>
  <c r="AAM2" i="10"/>
  <c r="AAD2" i="10"/>
  <c r="AAC2" i="10"/>
  <c r="AAB2" i="10"/>
  <c r="AAA2" i="10"/>
  <c r="ZZ2" i="10"/>
  <c r="ZY2" i="10"/>
  <c r="ZX2" i="10"/>
  <c r="ZW2" i="10"/>
  <c r="ZV2" i="10"/>
  <c r="ZU2" i="10"/>
  <c r="ZT2" i="10"/>
  <c r="ZR2" i="10"/>
  <c r="ZQ2" i="10"/>
  <c r="ZO2" i="10"/>
  <c r="ZN2" i="10"/>
  <c r="ZM2" i="10"/>
  <c r="ZL2" i="10"/>
  <c r="ZJ2" i="10"/>
  <c r="ZI2" i="10"/>
  <c r="ZH2" i="10"/>
  <c r="ZG2" i="10"/>
  <c r="ZF2" i="10"/>
  <c r="ZE2" i="10"/>
  <c r="ZD2" i="10"/>
  <c r="ZC2" i="10"/>
  <c r="ZB2" i="10"/>
  <c r="YQ2" i="10"/>
  <c r="YH2" i="10"/>
  <c r="YG2" i="10"/>
  <c r="YF2" i="10"/>
  <c r="YE2" i="10"/>
  <c r="YD2" i="10"/>
  <c r="YC2" i="10"/>
  <c r="YB2" i="10"/>
  <c r="YA2" i="10"/>
  <c r="XZ2" i="10"/>
  <c r="XY2" i="10"/>
  <c r="XX2" i="10"/>
  <c r="XV2" i="10"/>
  <c r="XU2" i="10"/>
  <c r="XS2" i="10"/>
  <c r="XR2" i="10"/>
  <c r="XQ2" i="10"/>
  <c r="XP2" i="10"/>
  <c r="XN2" i="10"/>
  <c r="XM2" i="10"/>
  <c r="XL2" i="10"/>
  <c r="XK2" i="10"/>
  <c r="XJ2" i="10"/>
  <c r="XI2" i="10"/>
  <c r="XH2" i="10"/>
  <c r="XG2" i="10"/>
  <c r="XF2" i="10"/>
  <c r="WU2" i="10"/>
  <c r="WL2" i="10"/>
  <c r="WK2" i="10"/>
  <c r="WJ2" i="10"/>
  <c r="WI2" i="10"/>
  <c r="WH2" i="10"/>
  <c r="WG2" i="10"/>
  <c r="WF2" i="10"/>
  <c r="WE2" i="10"/>
  <c r="WD2" i="10"/>
  <c r="WC2" i="10"/>
  <c r="WB2" i="10"/>
  <c r="VZ2" i="10"/>
  <c r="VY2" i="10"/>
  <c r="VW2" i="10"/>
  <c r="VV2" i="10"/>
  <c r="VU2" i="10"/>
  <c r="VT2" i="10"/>
  <c r="VR2" i="10"/>
  <c r="VQ2" i="10"/>
  <c r="VP2" i="10"/>
  <c r="VO2" i="10"/>
  <c r="VN2" i="10"/>
  <c r="VM2" i="10"/>
  <c r="VL2" i="10"/>
  <c r="VK2" i="10"/>
  <c r="VJ2" i="10"/>
  <c r="UY2" i="10"/>
  <c r="UP2" i="10"/>
  <c r="UO2" i="10"/>
  <c r="UN2" i="10"/>
  <c r="UM2" i="10"/>
  <c r="UL2" i="10"/>
  <c r="UK2" i="10"/>
  <c r="UJ2" i="10"/>
  <c r="UI2" i="10"/>
  <c r="UH2" i="10"/>
  <c r="UG2" i="10"/>
  <c r="UF2" i="10"/>
  <c r="UD2" i="10"/>
  <c r="UC2" i="10"/>
  <c r="UA2" i="10"/>
  <c r="TZ2" i="10"/>
  <c r="TY2" i="10"/>
  <c r="TX2" i="10"/>
  <c r="TV2" i="10"/>
  <c r="TU2" i="10"/>
  <c r="TT2" i="10"/>
  <c r="TS2" i="10"/>
  <c r="TR2" i="10"/>
  <c r="TQ2" i="10"/>
  <c r="TP2" i="10"/>
  <c r="TO2" i="10"/>
  <c r="TN2" i="10"/>
  <c r="TC2" i="10"/>
  <c r="ST2" i="10"/>
  <c r="SS2" i="10"/>
  <c r="SR2" i="10"/>
  <c r="SQ2" i="10"/>
  <c r="SP2" i="10"/>
  <c r="SO2" i="10"/>
  <c r="SN2" i="10"/>
  <c r="SM2" i="10"/>
  <c r="SL2" i="10"/>
  <c r="SK2" i="10"/>
  <c r="SJ2" i="10"/>
  <c r="SH2" i="10"/>
  <c r="SG2" i="10"/>
  <c r="SE2" i="10"/>
  <c r="SD2" i="10"/>
  <c r="SC2" i="10"/>
  <c r="SB2" i="10"/>
  <c r="RZ2" i="10"/>
  <c r="RY2" i="10"/>
  <c r="RX2" i="10"/>
  <c r="RW2" i="10"/>
  <c r="RV2" i="10"/>
  <c r="RU2" i="10"/>
  <c r="RT2" i="10"/>
  <c r="RS2" i="10"/>
  <c r="RR2" i="10"/>
  <c r="QT2" i="10"/>
  <c r="OK2" i="10"/>
  <c r="OX2" i="10"/>
  <c r="QG2" i="10"/>
  <c r="RG2" i="10"/>
  <c r="QX2" i="10"/>
  <c r="QW2" i="10"/>
  <c r="QV2" i="10"/>
  <c r="QU2" i="10"/>
  <c r="QS2" i="10"/>
  <c r="QR2" i="10"/>
  <c r="QQ2" i="10"/>
  <c r="QP2" i="10"/>
  <c r="QO2" i="10"/>
  <c r="QN2" i="10"/>
  <c r="QL2" i="10"/>
  <c r="QK2" i="10"/>
  <c r="QI2" i="10"/>
  <c r="QH2" i="10"/>
  <c r="QF2" i="10"/>
  <c r="QD2" i="10"/>
  <c r="QC2" i="10"/>
  <c r="QB2" i="10"/>
  <c r="QA2" i="10"/>
  <c r="PZ2" i="10"/>
  <c r="PY2" i="10"/>
  <c r="PX2" i="10"/>
  <c r="PW2" i="10"/>
  <c r="PV2" i="10"/>
  <c r="PK2" i="10"/>
  <c r="PB2" i="10"/>
  <c r="PA2" i="10"/>
  <c r="OZ2" i="10"/>
  <c r="OY2" i="10"/>
  <c r="OW2" i="10"/>
  <c r="OV2" i="10"/>
  <c r="OU2" i="10"/>
  <c r="OT2" i="10"/>
  <c r="OS2" i="10"/>
  <c r="OR2" i="10"/>
  <c r="OP2" i="10"/>
  <c r="OO2" i="10"/>
  <c r="OM2" i="10"/>
  <c r="OL2" i="10"/>
  <c r="OJ2" i="10"/>
  <c r="OH2" i="10"/>
  <c r="OG2" i="10"/>
  <c r="OF2" i="10"/>
  <c r="OE2" i="10"/>
  <c r="OD2" i="10"/>
  <c r="OC2" i="10"/>
  <c r="OB2" i="10"/>
  <c r="OA2" i="10"/>
  <c r="NZ2" i="10"/>
  <c r="MD2" i="10"/>
  <c r="ME2" i="10"/>
  <c r="MF2" i="10"/>
  <c r="MG2" i="10"/>
  <c r="MH2" i="10"/>
  <c r="MI2" i="10"/>
  <c r="MJ2" i="10"/>
  <c r="MK2" i="10"/>
  <c r="ML2" i="10"/>
  <c r="MN2" i="10"/>
  <c r="MO2" i="10"/>
  <c r="MP2" i="10"/>
  <c r="MQ2" i="10"/>
  <c r="MS2" i="10"/>
  <c r="MT2" i="10"/>
  <c r="MV2" i="10"/>
  <c r="MW2" i="10"/>
  <c r="MX2" i="10"/>
  <c r="MY2" i="10"/>
  <c r="MZ2" i="10"/>
  <c r="NA2" i="10"/>
  <c r="NB2" i="10"/>
  <c r="NC2" i="10"/>
  <c r="ND2" i="10"/>
  <c r="NE2" i="10"/>
  <c r="NF2" i="10"/>
  <c r="NO2" i="10"/>
  <c r="LK2" i="10"/>
  <c r="LJ2" i="10"/>
  <c r="LI2" i="10"/>
  <c r="LH2" i="10"/>
  <c r="LG2" i="10"/>
  <c r="LF2" i="10"/>
  <c r="LE2" i="10"/>
  <c r="LD2" i="10"/>
  <c r="LC2" i="10"/>
  <c r="LB2" i="10"/>
  <c r="LA2" i="10"/>
  <c r="KZ2" i="10"/>
  <c r="KX2" i="10"/>
  <c r="KW2" i="10"/>
  <c r="KU2" i="10"/>
  <c r="KT2" i="10"/>
  <c r="KS2" i="10"/>
  <c r="KR2" i="10"/>
  <c r="KP2" i="10"/>
  <c r="KO2" i="10"/>
  <c r="KN2" i="10"/>
  <c r="KM2" i="10"/>
  <c r="KL2" i="10"/>
  <c r="KK2" i="10"/>
  <c r="KJ2" i="10"/>
  <c r="KI2" i="10"/>
  <c r="KH2" i="10"/>
  <c r="JW2" i="10"/>
  <c r="JN2" i="10"/>
  <c r="JM2" i="10"/>
  <c r="JL2" i="10"/>
  <c r="JK2" i="10"/>
  <c r="JJ2" i="10"/>
  <c r="JI2" i="10"/>
  <c r="JH2" i="10"/>
  <c r="JG2" i="10"/>
  <c r="JF2" i="10"/>
  <c r="JE2" i="10"/>
  <c r="JD2" i="10"/>
  <c r="JC2" i="10"/>
  <c r="JA2" i="10"/>
  <c r="IY2" i="10"/>
  <c r="IX2" i="10"/>
  <c r="IW2" i="10"/>
  <c r="IV2" i="10"/>
  <c r="IT2" i="10"/>
  <c r="IS2" i="10"/>
  <c r="IR2" i="10"/>
  <c r="IQ2" i="10"/>
  <c r="IP2" i="10"/>
  <c r="IO2" i="10"/>
  <c r="IN2" i="10"/>
  <c r="IM2" i="10"/>
  <c r="IL2" i="10"/>
  <c r="IA2" i="10"/>
  <c r="HZ2" i="10"/>
  <c r="HY2" i="10"/>
  <c r="HX2" i="10"/>
  <c r="HW2" i="10"/>
  <c r="HV2" i="10"/>
  <c r="HU2" i="10"/>
  <c r="HT2" i="10"/>
  <c r="HS2" i="10"/>
  <c r="HR2" i="10"/>
  <c r="HQ2" i="10"/>
  <c r="HP2" i="10"/>
  <c r="HI2" i="10"/>
  <c r="HG2" i="10"/>
  <c r="HF2" i="10"/>
  <c r="HE2" i="10"/>
  <c r="HD2" i="10"/>
  <c r="GX2" i="10"/>
  <c r="GW2" i="10"/>
  <c r="GV2" i="10"/>
  <c r="GU2" i="10"/>
  <c r="GT2" i="10"/>
  <c r="GS2" i="10"/>
  <c r="GR2" i="10"/>
  <c r="GQ2" i="10"/>
  <c r="GP2" i="10"/>
  <c r="ABY6" i="14" l="1"/>
  <c r="ABZ2" i="14"/>
  <c r="ABY4" i="14"/>
  <c r="ABY5" i="14"/>
  <c r="NZ2" i="14"/>
  <c r="NY4" i="14"/>
  <c r="NY6" i="14"/>
  <c r="NZ6" i="14" s="1"/>
  <c r="NY5" i="14"/>
  <c r="NZ5" i="14" s="1"/>
  <c r="EJ2" i="10"/>
  <c r="EI2" i="10"/>
  <c r="EH2" i="10"/>
  <c r="EG2" i="10"/>
  <c r="EF2" i="10"/>
  <c r="EE2" i="10"/>
  <c r="ED2" i="10"/>
  <c r="EC2" i="10"/>
  <c r="EA2" i="10"/>
  <c r="EB2" i="10"/>
  <c r="DZ2" i="10"/>
  <c r="DY2" i="10"/>
  <c r="DX2" i="10"/>
  <c r="DW2" i="10"/>
  <c r="DO2" i="10"/>
  <c r="DJ2" i="10"/>
  <c r="DI2" i="10"/>
  <c r="DH2" i="10"/>
  <c r="DG2" i="10"/>
  <c r="DF2" i="10"/>
  <c r="DE2" i="10"/>
  <c r="DD2" i="10"/>
  <c r="DC2" i="10"/>
  <c r="DB2" i="10"/>
  <c r="DA2" i="10"/>
  <c r="CZ2" i="10"/>
  <c r="CY2" i="10"/>
  <c r="CX2" i="10"/>
  <c r="CW2" i="10"/>
  <c r="CO2" i="10"/>
  <c r="CJ2" i="10"/>
  <c r="CI2" i="10"/>
  <c r="CH2" i="10"/>
  <c r="CF2" i="10"/>
  <c r="CE2" i="10"/>
  <c r="CD2" i="10"/>
  <c r="CC2" i="10"/>
  <c r="CB2" i="10"/>
  <c r="CA2" i="10"/>
  <c r="BZ2" i="10"/>
  <c r="BY2" i="10"/>
  <c r="BT2" i="10"/>
  <c r="BS2" i="10"/>
  <c r="BO2" i="10"/>
  <c r="BJ2" i="10"/>
  <c r="BI2" i="10"/>
  <c r="BH2" i="10"/>
  <c r="BG2" i="10"/>
  <c r="BF2" i="10"/>
  <c r="BE2" i="10"/>
  <c r="BC2" i="10"/>
  <c r="BB2" i="10"/>
  <c r="BA2" i="10"/>
  <c r="AY2" i="10"/>
  <c r="AX2" i="10"/>
  <c r="AV2" i="10"/>
  <c r="AU2" i="10"/>
  <c r="ABZ6" i="14" l="1"/>
  <c r="ACA2" i="14"/>
  <c r="ABZ4" i="14"/>
  <c r="ABZ5" i="14"/>
  <c r="NZ4" i="14"/>
  <c r="OA2" i="14"/>
  <c r="K5" i="4"/>
  <c r="N7" i="15" s="1"/>
  <c r="AM2" i="10"/>
  <c r="AL2" i="10"/>
  <c r="AK2" i="10"/>
  <c r="AI2" i="10"/>
  <c r="AH2" i="10"/>
  <c r="AG2" i="10"/>
  <c r="AF2" i="10"/>
  <c r="AE2" i="10"/>
  <c r="AD2" i="10"/>
  <c r="AC2" i="10"/>
  <c r="AB2" i="10"/>
  <c r="AA2" i="10"/>
  <c r="Z2" i="10"/>
  <c r="X2" i="10"/>
  <c r="W2" i="10"/>
  <c r="D2" i="10"/>
  <c r="C2" i="10"/>
  <c r="HJ2" i="10"/>
  <c r="OA4" i="14" l="1"/>
  <c r="OB2" i="14"/>
  <c r="OA5" i="14"/>
  <c r="OB5" i="14" s="1"/>
  <c r="OA6" i="14"/>
  <c r="OB6" i="14" s="1"/>
  <c r="ACA4" i="14"/>
  <c r="ACA6" i="14"/>
  <c r="ACA5" i="14"/>
  <c r="ACB2" i="14"/>
  <c r="HH2" i="10"/>
  <c r="IB2" i="10"/>
  <c r="LT2" i="10"/>
  <c r="JX2" i="10"/>
  <c r="AZL2" i="10"/>
  <c r="KY2" i="10"/>
  <c r="BAJ2" i="10"/>
  <c r="AXS2" i="10"/>
  <c r="ATX2" i="10"/>
  <c r="ASZ2" i="10"/>
  <c r="AQI2" i="10"/>
  <c r="AMN2" i="10"/>
  <c r="ALP2" i="10"/>
  <c r="AIY2" i="10"/>
  <c r="AFD2" i="10"/>
  <c r="AEF2" i="10"/>
  <c r="ABO2" i="10"/>
  <c r="XT2" i="10"/>
  <c r="WV2" i="10"/>
  <c r="UE2" i="10"/>
  <c r="QJ2" i="10"/>
  <c r="PL2" i="10"/>
  <c r="MU2" i="10"/>
  <c r="AZO2" i="10"/>
  <c r="ASE2" i="10"/>
  <c r="AOJ2" i="10"/>
  <c r="ANL2" i="10"/>
  <c r="AKU2" i="10"/>
  <c r="AGZ2" i="10"/>
  <c r="AGB2" i="10"/>
  <c r="ADK2" i="10"/>
  <c r="ZP2" i="10"/>
  <c r="YR2" i="10"/>
  <c r="WA2" i="10"/>
  <c r="SF2" i="10"/>
  <c r="RH2" i="10"/>
  <c r="OQ2" i="10"/>
  <c r="AVT2" i="10"/>
  <c r="KV2" i="10"/>
  <c r="AXP2" i="10"/>
  <c r="AWR2" i="10"/>
  <c r="AUA2" i="10"/>
  <c r="AQF2" i="10"/>
  <c r="APH2" i="10"/>
  <c r="AMQ2" i="10"/>
  <c r="AIV2" i="10"/>
  <c r="AHX2" i="10"/>
  <c r="AFG2" i="10"/>
  <c r="AAN2" i="10"/>
  <c r="XW2" i="10"/>
  <c r="UB2" i="10"/>
  <c r="TD2" i="10"/>
  <c r="QM2" i="10"/>
  <c r="MR2" i="10"/>
  <c r="JB2" i="10"/>
  <c r="AUV2" i="10"/>
  <c r="IZ2" i="10"/>
  <c r="AYN2" i="10"/>
  <c r="AVW2" i="10"/>
  <c r="ASB2" i="10"/>
  <c r="ARD2" i="10"/>
  <c r="AOM2" i="10"/>
  <c r="AKR2" i="10"/>
  <c r="AJT2" i="10"/>
  <c r="AHC2" i="10"/>
  <c r="ADH2" i="10"/>
  <c r="ACJ2" i="10"/>
  <c r="ZS2" i="10"/>
  <c r="VX2" i="10"/>
  <c r="UZ2" i="10"/>
  <c r="SI2" i="10"/>
  <c r="ON2" i="10"/>
  <c r="NP2" i="10"/>
  <c r="H8" i="4"/>
  <c r="D7" i="16" s="1"/>
  <c r="D8" i="16" l="1"/>
  <c r="D195" i="16"/>
  <c r="G195" i="16"/>
  <c r="D7" i="5"/>
  <c r="D195" i="5" s="1"/>
  <c r="D7" i="15"/>
  <c r="OB4" i="14"/>
  <c r="OC2" i="14"/>
  <c r="ACB6" i="14"/>
  <c r="ACB5" i="14"/>
  <c r="ACB4" i="14"/>
  <c r="ACC2" i="14"/>
  <c r="BD2" i="10"/>
  <c r="G194" i="16" l="1"/>
  <c r="G178" i="16"/>
  <c r="G188" i="16"/>
  <c r="G187" i="16"/>
  <c r="G189" i="16"/>
  <c r="G173" i="16"/>
  <c r="G191" i="16"/>
  <c r="H17" i="16"/>
  <c r="G182" i="16"/>
  <c r="G172" i="16"/>
  <c r="G177" i="16"/>
  <c r="G167" i="16"/>
  <c r="G190" i="16"/>
  <c r="G174" i="16"/>
  <c r="G184" i="16"/>
  <c r="G179" i="16"/>
  <c r="G185" i="16"/>
  <c r="G169" i="16"/>
  <c r="G183" i="16"/>
  <c r="G186" i="16"/>
  <c r="G170" i="16"/>
  <c r="G180" i="16"/>
  <c r="G171" i="16"/>
  <c r="G181" i="16"/>
  <c r="G176" i="16"/>
  <c r="G175" i="16"/>
  <c r="G166" i="16"/>
  <c r="G192" i="16"/>
  <c r="G193" i="16"/>
  <c r="G168" i="16"/>
  <c r="H18" i="16"/>
  <c r="H19" i="16"/>
  <c r="H20" i="16"/>
  <c r="H21" i="16"/>
  <c r="H22" i="16"/>
  <c r="H23" i="16"/>
  <c r="H24" i="16"/>
  <c r="H25" i="16"/>
  <c r="H26" i="16"/>
  <c r="H27" i="16"/>
  <c r="H28" i="16"/>
  <c r="H29" i="16"/>
  <c r="H30" i="16"/>
  <c r="H31" i="16"/>
  <c r="H32"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H195" i="16"/>
  <c r="D8" i="5"/>
  <c r="G195" i="15"/>
  <c r="D195" i="15"/>
  <c r="D8" i="15"/>
  <c r="ACC6" i="14"/>
  <c r="ACD2" i="14"/>
  <c r="ACC4" i="14"/>
  <c r="ACC5" i="14"/>
  <c r="OD2" i="14"/>
  <c r="OC4" i="14"/>
  <c r="OC5" i="14"/>
  <c r="OC6" i="14"/>
  <c r="L15" i="4"/>
  <c r="L14" i="4"/>
  <c r="L19" i="4"/>
  <c r="L18" i="4"/>
  <c r="L16" i="4"/>
  <c r="G19" i="4"/>
  <c r="G18" i="4"/>
  <c r="G17" i="4"/>
  <c r="G16" i="4"/>
  <c r="G14" i="4"/>
  <c r="G13" i="4"/>
  <c r="K4" i="4"/>
  <c r="N8" i="15" s="1"/>
  <c r="H6" i="4"/>
  <c r="D6" i="16" s="1"/>
  <c r="G171" i="5" l="1"/>
  <c r="G23" i="4"/>
  <c r="E8" i="4" s="1"/>
  <c r="H186" i="5"/>
  <c r="H170" i="5"/>
  <c r="D152" i="5"/>
  <c r="D123" i="5"/>
  <c r="H194" i="5"/>
  <c r="D82" i="5"/>
  <c r="H178" i="5"/>
  <c r="D142" i="5"/>
  <c r="H190" i="5"/>
  <c r="H174" i="5"/>
  <c r="D46" i="5"/>
  <c r="H182" i="5"/>
  <c r="H166" i="5"/>
  <c r="D147" i="5"/>
  <c r="D106" i="5"/>
  <c r="H188" i="5"/>
  <c r="H180" i="5"/>
  <c r="H172" i="5"/>
  <c r="D155" i="5"/>
  <c r="D129" i="5"/>
  <c r="D95" i="5"/>
  <c r="D23" i="5"/>
  <c r="H192" i="5"/>
  <c r="H184" i="5"/>
  <c r="H176" i="5"/>
  <c r="H168" i="5"/>
  <c r="D150" i="5"/>
  <c r="D114" i="5"/>
  <c r="D65" i="5"/>
  <c r="K10" i="4"/>
  <c r="D193" i="5"/>
  <c r="D191" i="5"/>
  <c r="D189" i="5"/>
  <c r="D187" i="5"/>
  <c r="D185" i="5"/>
  <c r="D183" i="5"/>
  <c r="D181" i="5"/>
  <c r="D179" i="5"/>
  <c r="D177" i="5"/>
  <c r="D175" i="5"/>
  <c r="D173" i="5"/>
  <c r="D171" i="5"/>
  <c r="D169" i="5"/>
  <c r="D167" i="5"/>
  <c r="D163" i="5"/>
  <c r="D161" i="5"/>
  <c r="D159" i="5"/>
  <c r="D144" i="5"/>
  <c r="D134" i="5"/>
  <c r="D128" i="5"/>
  <c r="D121" i="5"/>
  <c r="D112" i="5"/>
  <c r="D104" i="5"/>
  <c r="D92" i="5"/>
  <c r="D74" i="5"/>
  <c r="D60" i="5"/>
  <c r="D42" i="5"/>
  <c r="H195" i="5"/>
  <c r="H193" i="5"/>
  <c r="H191" i="5"/>
  <c r="H189" i="5"/>
  <c r="H187" i="5"/>
  <c r="H185" i="5"/>
  <c r="H183" i="5"/>
  <c r="H181" i="5"/>
  <c r="H179" i="5"/>
  <c r="H177" i="5"/>
  <c r="H175" i="5"/>
  <c r="H173" i="5"/>
  <c r="H171" i="5"/>
  <c r="H169" i="5"/>
  <c r="H167" i="5"/>
  <c r="D156" i="5"/>
  <c r="D154" i="5"/>
  <c r="D151" i="5"/>
  <c r="D146" i="5"/>
  <c r="D143" i="5"/>
  <c r="D138" i="5"/>
  <c r="D132" i="5"/>
  <c r="D125" i="5"/>
  <c r="D119" i="5"/>
  <c r="D110" i="5"/>
  <c r="D100" i="5"/>
  <c r="D85" i="5"/>
  <c r="D71" i="5"/>
  <c r="D58" i="5"/>
  <c r="D38" i="5"/>
  <c r="G188" i="5"/>
  <c r="D194" i="5"/>
  <c r="D192" i="5"/>
  <c r="D190" i="5"/>
  <c r="D188" i="5"/>
  <c r="D186" i="5"/>
  <c r="D184" i="5"/>
  <c r="D182" i="5"/>
  <c r="D180" i="5"/>
  <c r="D178" i="5"/>
  <c r="D176" i="5"/>
  <c r="D174" i="5"/>
  <c r="D172" i="5"/>
  <c r="D170" i="5"/>
  <c r="D168" i="5"/>
  <c r="D166" i="5"/>
  <c r="D164" i="5"/>
  <c r="D162" i="5"/>
  <c r="D160" i="5"/>
  <c r="D158" i="5"/>
  <c r="D140" i="5"/>
  <c r="D131" i="5"/>
  <c r="D124" i="5"/>
  <c r="D115" i="5"/>
  <c r="D107" i="5"/>
  <c r="D96" i="5"/>
  <c r="D83" i="5"/>
  <c r="D70" i="5"/>
  <c r="D55" i="5"/>
  <c r="D26" i="5"/>
  <c r="G176" i="5"/>
  <c r="D20" i="5"/>
  <c r="G175" i="5"/>
  <c r="D148" i="5"/>
  <c r="D139" i="5"/>
  <c r="D130" i="5"/>
  <c r="D117" i="5"/>
  <c r="D102" i="5"/>
  <c r="D79" i="5"/>
  <c r="D50" i="5"/>
  <c r="G185" i="5"/>
  <c r="D81" i="5"/>
  <c r="D68" i="5"/>
  <c r="D54" i="5"/>
  <c r="D36" i="5"/>
  <c r="D18" i="5"/>
  <c r="G181" i="5"/>
  <c r="G172" i="5"/>
  <c r="G167" i="5"/>
  <c r="D122" i="5"/>
  <c r="D113" i="5"/>
  <c r="D103" i="5"/>
  <c r="D80" i="5"/>
  <c r="D51" i="5"/>
  <c r="D35" i="5"/>
  <c r="G194" i="5"/>
  <c r="G173" i="5"/>
  <c r="G168" i="5"/>
  <c r="D34" i="5"/>
  <c r="G190" i="5"/>
  <c r="D120" i="5"/>
  <c r="D111" i="5"/>
  <c r="D101" i="5"/>
  <c r="D91" i="5"/>
  <c r="D75" i="5"/>
  <c r="D62" i="5"/>
  <c r="D49" i="5"/>
  <c r="D28" i="5"/>
  <c r="D157" i="5"/>
  <c r="D153" i="5"/>
  <c r="D149" i="5"/>
  <c r="D145" i="5"/>
  <c r="D141" i="5"/>
  <c r="D137" i="5"/>
  <c r="D126" i="5"/>
  <c r="D118" i="5"/>
  <c r="D109" i="5"/>
  <c r="D98" i="5"/>
  <c r="D84" i="5"/>
  <c r="D72" i="5"/>
  <c r="D59" i="5"/>
  <c r="D43" i="5"/>
  <c r="D24" i="5"/>
  <c r="G183" i="5"/>
  <c r="D73" i="5"/>
  <c r="D63" i="5"/>
  <c r="D52" i="5"/>
  <c r="D41" i="5"/>
  <c r="D25" i="5"/>
  <c r="G174" i="5"/>
  <c r="G177" i="5"/>
  <c r="G180" i="5"/>
  <c r="G195" i="5"/>
  <c r="G178" i="5"/>
  <c r="G170" i="5"/>
  <c r="D116" i="5"/>
  <c r="D108" i="5"/>
  <c r="D99" i="5"/>
  <c r="D90" i="5"/>
  <c r="D76" i="5"/>
  <c r="D57" i="5"/>
  <c r="D44" i="5"/>
  <c r="D31" i="5"/>
  <c r="D17" i="5"/>
  <c r="G193" i="5"/>
  <c r="D64" i="5"/>
  <c r="D56" i="5"/>
  <c r="D48" i="5"/>
  <c r="D40" i="5"/>
  <c r="D30" i="5"/>
  <c r="D22" i="5"/>
  <c r="G186" i="5"/>
  <c r="G169" i="5"/>
  <c r="G191" i="5"/>
  <c r="D47" i="5"/>
  <c r="D39" i="5"/>
  <c r="D29" i="5"/>
  <c r="D21" i="5"/>
  <c r="G182" i="5"/>
  <c r="G192" i="5"/>
  <c r="G187" i="5"/>
  <c r="D105" i="5"/>
  <c r="D97" i="5"/>
  <c r="D89" i="5"/>
  <c r="D78" i="5"/>
  <c r="D69" i="5"/>
  <c r="D61" i="5"/>
  <c r="D53" i="5"/>
  <c r="D45" i="5"/>
  <c r="D37" i="5"/>
  <c r="D27" i="5"/>
  <c r="D19" i="5"/>
  <c r="G166" i="5"/>
  <c r="G189" i="5"/>
  <c r="G184" i="5"/>
  <c r="G179" i="5"/>
  <c r="OD6" i="14"/>
  <c r="D6" i="5"/>
  <c r="D6" i="15"/>
  <c r="H166" i="15"/>
  <c r="D166" i="15"/>
  <c r="G166" i="15"/>
  <c r="H167" i="15"/>
  <c r="G167" i="15"/>
  <c r="D167" i="15"/>
  <c r="G168" i="15"/>
  <c r="D168" i="15"/>
  <c r="H168" i="15"/>
  <c r="D169" i="15"/>
  <c r="H169" i="15"/>
  <c r="G169" i="15"/>
  <c r="H170" i="15"/>
  <c r="G170" i="15"/>
  <c r="D170" i="15"/>
  <c r="H171" i="15"/>
  <c r="G171" i="15"/>
  <c r="D171" i="15"/>
  <c r="G172" i="15"/>
  <c r="D172" i="15"/>
  <c r="H172" i="15"/>
  <c r="H173" i="15"/>
  <c r="G173" i="15"/>
  <c r="D173" i="15"/>
  <c r="D174" i="15"/>
  <c r="H174" i="15"/>
  <c r="G174" i="15"/>
  <c r="D175" i="15"/>
  <c r="H175" i="15"/>
  <c r="G175" i="15"/>
  <c r="D176" i="15"/>
  <c r="H176" i="15"/>
  <c r="G176" i="15"/>
  <c r="H177" i="15"/>
  <c r="D177" i="15"/>
  <c r="G177" i="15"/>
  <c r="D178" i="15"/>
  <c r="H178" i="15"/>
  <c r="G178" i="15"/>
  <c r="G179" i="15"/>
  <c r="H179" i="15"/>
  <c r="D179" i="15"/>
  <c r="H180" i="15"/>
  <c r="G180" i="15"/>
  <c r="D180" i="15"/>
  <c r="G181" i="15"/>
  <c r="D181" i="15"/>
  <c r="H181" i="15"/>
  <c r="G182" i="15"/>
  <c r="D182" i="15"/>
  <c r="H182" i="15"/>
  <c r="H183" i="15"/>
  <c r="G183" i="15"/>
  <c r="D183" i="15"/>
  <c r="D184" i="15"/>
  <c r="H184" i="15"/>
  <c r="G184" i="15"/>
  <c r="D185" i="15"/>
  <c r="H185" i="15"/>
  <c r="G185" i="15"/>
  <c r="D186" i="15"/>
  <c r="H186" i="15"/>
  <c r="G186" i="15"/>
  <c r="H187" i="15"/>
  <c r="G187" i="15"/>
  <c r="D187" i="15"/>
  <c r="H188" i="15"/>
  <c r="G188" i="15"/>
  <c r="D188" i="15"/>
  <c r="H189" i="15"/>
  <c r="G189" i="15"/>
  <c r="D189" i="15"/>
  <c r="D190" i="15"/>
  <c r="H190" i="15"/>
  <c r="G190" i="15"/>
  <c r="D191" i="15"/>
  <c r="H191" i="15"/>
  <c r="G191" i="15"/>
  <c r="D192" i="15"/>
  <c r="H192" i="15"/>
  <c r="G192" i="15"/>
  <c r="H193" i="15"/>
  <c r="G193" i="15"/>
  <c r="D193" i="15"/>
  <c r="D194" i="15"/>
  <c r="H194" i="15"/>
  <c r="G194" i="15"/>
  <c r="H195" i="15"/>
  <c r="OD5" i="14"/>
  <c r="OE2" i="14"/>
  <c r="OD4" i="14"/>
  <c r="ACD6" i="14"/>
  <c r="ACE2" i="14"/>
  <c r="ACD4" i="14"/>
  <c r="ACD5" i="14"/>
  <c r="L20" i="4"/>
  <c r="AS2" i="10"/>
  <c r="K8" i="4"/>
  <c r="OE4" i="14" l="1"/>
  <c r="OF2" i="14"/>
  <c r="OE5" i="14"/>
  <c r="OF5" i="14" s="1"/>
  <c r="ACE4" i="14"/>
  <c r="ACE5" i="14"/>
  <c r="ACE6" i="14"/>
  <c r="ACF2" i="14"/>
  <c r="OE6" i="14"/>
  <c r="OF6" i="14" s="1"/>
  <c r="AP2" i="10"/>
  <c r="OF4" i="14" l="1"/>
  <c r="OG2" i="14"/>
  <c r="OG5" i="14" s="1"/>
  <c r="ACF5" i="14"/>
  <c r="ACF6" i="14"/>
  <c r="ACG2" i="14"/>
  <c r="ACF4" i="14"/>
  <c r="H2" i="2"/>
  <c r="I2" i="2" s="1"/>
  <c r="OH2" i="14" l="1"/>
  <c r="OG4" i="14"/>
  <c r="OG6" i="14"/>
  <c r="OH6" i="14" s="1"/>
  <c r="ACG6" i="14"/>
  <c r="ACH2" i="14"/>
  <c r="ACG5" i="14"/>
  <c r="ACG4" i="14"/>
  <c r="K9" i="4"/>
  <c r="OH4" i="14" l="1"/>
  <c r="OI2" i="14"/>
  <c r="ACH6" i="14"/>
  <c r="ACI2" i="14"/>
  <c r="ACH4" i="14"/>
  <c r="ACH5" i="14"/>
  <c r="OH5" i="14"/>
  <c r="OI5" i="14" s="1"/>
  <c r="AN2" i="10"/>
  <c r="OI4" i="14" l="1"/>
  <c r="OJ2" i="14"/>
  <c r="ACI4" i="14"/>
  <c r="ACI6" i="14"/>
  <c r="ACI5" i="14"/>
  <c r="ACJ2" i="14"/>
  <c r="OJ5" i="14"/>
  <c r="OI6" i="14"/>
  <c r="OJ6" i="14" s="1"/>
  <c r="AT2" i="10"/>
  <c r="AR2" i="10"/>
  <c r="AO2" i="10"/>
  <c r="OJ4" i="14" l="1"/>
  <c r="OK2" i="14"/>
  <c r="OK6" i="14" s="1"/>
  <c r="ACJ6" i="14"/>
  <c r="ACJ5" i="14"/>
  <c r="ACJ4" i="14"/>
  <c r="ACK2" i="14"/>
  <c r="AQ2" i="10"/>
  <c r="C5" i="10" s="1"/>
  <c r="OK5" i="14" l="1"/>
  <c r="ACK6" i="14"/>
  <c r="ACL2" i="14"/>
  <c r="ACK4" i="14"/>
  <c r="ACK5" i="14"/>
  <c r="OL2" i="14"/>
  <c r="OK4" i="14"/>
  <c r="E9" i="4"/>
  <c r="OL5" i="14" l="1"/>
  <c r="E10" i="4"/>
  <c r="F27" i="4" s="1"/>
  <c r="D14" i="15"/>
  <c r="OL4" i="14"/>
  <c r="OM2" i="14"/>
  <c r="OL6" i="14"/>
  <c r="OM6" i="14" s="1"/>
  <c r="ACL6" i="14"/>
  <c r="ACM2" i="14"/>
  <c r="ACL4" i="14"/>
  <c r="ACL5" i="14"/>
  <c r="D14" i="5"/>
  <c r="D5" i="5" l="1"/>
  <c r="E15" i="5" s="1"/>
  <c r="L15" i="5" s="1"/>
  <c r="E16" i="5" s="1"/>
  <c r="G16" i="5" s="1"/>
  <c r="D5" i="16"/>
  <c r="D9" i="16" s="1"/>
  <c r="D5" i="15"/>
  <c r="ACM4" i="14"/>
  <c r="ACM5" i="14"/>
  <c r="ACM6" i="14"/>
  <c r="ACN2" i="14"/>
  <c r="OM4" i="14"/>
  <c r="ON2" i="14"/>
  <c r="OM5" i="14"/>
  <c r="D140" i="16" l="1"/>
  <c r="D144" i="16"/>
  <c r="D148" i="16"/>
  <c r="D152" i="16"/>
  <c r="D156" i="16"/>
  <c r="D160" i="16"/>
  <c r="D164" i="16"/>
  <c r="D147" i="16"/>
  <c r="D159" i="16"/>
  <c r="D137" i="16"/>
  <c r="D141" i="16"/>
  <c r="D145" i="16"/>
  <c r="D149" i="16"/>
  <c r="D153" i="16"/>
  <c r="D157" i="16"/>
  <c r="D161" i="16"/>
  <c r="D139" i="16"/>
  <c r="D151" i="16"/>
  <c r="D163" i="16"/>
  <c r="D138" i="16"/>
  <c r="D142" i="16"/>
  <c r="D146" i="16"/>
  <c r="D150" i="16"/>
  <c r="D154" i="16"/>
  <c r="D158" i="16"/>
  <c r="D162" i="16"/>
  <c r="D143" i="16"/>
  <c r="D155" i="16"/>
  <c r="E15" i="16"/>
  <c r="L15" i="16" s="1"/>
  <c r="E16" i="16" s="1"/>
  <c r="ON5" i="14"/>
  <c r="E15" i="15"/>
  <c r="L15" i="15" s="1"/>
  <c r="E16" i="15" s="1"/>
  <c r="D9" i="15"/>
  <c r="ON6" i="14"/>
  <c r="ACN5" i="14"/>
  <c r="ACN6" i="14"/>
  <c r="ACN4" i="14"/>
  <c r="ACO2" i="14"/>
  <c r="ON4" i="14"/>
  <c r="OO2" i="14"/>
  <c r="I15" i="5"/>
  <c r="OO6" i="14" l="1"/>
  <c r="R14" i="4"/>
  <c r="D139" i="15"/>
  <c r="D140" i="15"/>
  <c r="D143" i="15"/>
  <c r="D144" i="15"/>
  <c r="D147" i="15"/>
  <c r="D148" i="15"/>
  <c r="D151" i="15"/>
  <c r="D152" i="15"/>
  <c r="D155" i="15"/>
  <c r="D156" i="15"/>
  <c r="D159" i="15"/>
  <c r="D163" i="15"/>
  <c r="D160" i="15"/>
  <c r="D164" i="15"/>
  <c r="D142" i="15"/>
  <c r="D158" i="15"/>
  <c r="D162" i="15"/>
  <c r="D141" i="15"/>
  <c r="D137" i="15"/>
  <c r="D138" i="15"/>
  <c r="D145" i="15"/>
  <c r="D146" i="15"/>
  <c r="D149" i="15"/>
  <c r="D150" i="15"/>
  <c r="D153" i="15"/>
  <c r="D154" i="15"/>
  <c r="D157" i="15"/>
  <c r="D161" i="15"/>
  <c r="R19" i="4"/>
  <c r="D17" i="16"/>
  <c r="D18" i="16"/>
  <c r="D19" i="16"/>
  <c r="D20" i="16"/>
  <c r="D21" i="16"/>
  <c r="D22" i="16"/>
  <c r="D23" i="16"/>
  <c r="D24" i="16"/>
  <c r="D25" i="16"/>
  <c r="D26" i="16"/>
  <c r="D27" i="16"/>
  <c r="D28" i="16"/>
  <c r="D29" i="16"/>
  <c r="D30" i="16"/>
  <c r="D31" i="16"/>
  <c r="D32"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G16" i="16"/>
  <c r="I15" i="16"/>
  <c r="OO5" i="14"/>
  <c r="D29" i="15"/>
  <c r="D26" i="15"/>
  <c r="D18" i="15"/>
  <c r="D28" i="15"/>
  <c r="D23" i="15"/>
  <c r="D22" i="15"/>
  <c r="D30" i="15"/>
  <c r="D25" i="15"/>
  <c r="D24" i="15"/>
  <c r="D17" i="15"/>
  <c r="D27" i="15"/>
  <c r="D32" i="15"/>
  <c r="D20" i="15"/>
  <c r="D21" i="15"/>
  <c r="D19" i="15"/>
  <c r="D31"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G16" i="15"/>
  <c r="I15" i="15"/>
  <c r="ACO6" i="14"/>
  <c r="ACP2" i="14"/>
  <c r="ACO5" i="14"/>
  <c r="ACO4" i="14"/>
  <c r="OP2" i="14"/>
  <c r="OO4" i="14"/>
  <c r="D32" i="5"/>
  <c r="OP6" i="14" l="1"/>
  <c r="H16" i="16"/>
  <c r="Q16" i="16" s="1"/>
  <c r="OP4" i="14"/>
  <c r="OQ2" i="14"/>
  <c r="ACP6" i="14"/>
  <c r="ACQ2" i="14"/>
  <c r="ACP4" i="14"/>
  <c r="ACP5" i="14"/>
  <c r="OP5" i="14"/>
  <c r="OQ5" i="14" s="1"/>
  <c r="D16" i="16" l="1"/>
  <c r="F16" i="16" s="1"/>
  <c r="I16" i="16"/>
  <c r="I17" i="16" s="1"/>
  <c r="I18" i="16" s="1"/>
  <c r="I19" i="16" s="1"/>
  <c r="I20" i="16" s="1"/>
  <c r="I21" i="16" s="1"/>
  <c r="I22" i="16" s="1"/>
  <c r="I23" i="16" s="1"/>
  <c r="I24" i="16" s="1"/>
  <c r="I25" i="16" s="1"/>
  <c r="I26" i="16" s="1"/>
  <c r="I27" i="16" s="1"/>
  <c r="I28" i="16" s="1"/>
  <c r="I29" i="16" s="1"/>
  <c r="I30" i="16" s="1"/>
  <c r="I31" i="16" s="1"/>
  <c r="I32" i="16" s="1"/>
  <c r="OQ4" i="14"/>
  <c r="OR2" i="14"/>
  <c r="OQ6" i="14"/>
  <c r="ACQ4" i="14"/>
  <c r="ACQ6" i="14"/>
  <c r="ACQ5" i="14"/>
  <c r="ACR2" i="14"/>
  <c r="D127" i="5"/>
  <c r="D133" i="5"/>
  <c r="H33" i="16" l="1"/>
  <c r="I33" i="16" s="1"/>
  <c r="I34" i="16" s="1"/>
  <c r="I35" i="16" s="1"/>
  <c r="I36" i="16" s="1"/>
  <c r="I37" i="16" s="1"/>
  <c r="I38" i="16" s="1"/>
  <c r="I39" i="16" s="1"/>
  <c r="I40" i="16" s="1"/>
  <c r="I41" i="16" s="1"/>
  <c r="I42" i="16" s="1"/>
  <c r="I43" i="16" s="1"/>
  <c r="I44" i="16" s="1"/>
  <c r="I45" i="16" s="1"/>
  <c r="I46" i="16" s="1"/>
  <c r="I47" i="16" s="1"/>
  <c r="I48" i="16" s="1"/>
  <c r="I49" i="16" s="1"/>
  <c r="I50" i="16" s="1"/>
  <c r="I51" i="16" s="1"/>
  <c r="I52" i="16" s="1"/>
  <c r="I53" i="16" s="1"/>
  <c r="I54" i="16" s="1"/>
  <c r="I55" i="16" s="1"/>
  <c r="I56" i="16" s="1"/>
  <c r="I57" i="16" s="1"/>
  <c r="I58" i="16" s="1"/>
  <c r="I59" i="16" s="1"/>
  <c r="I60" i="16" s="1"/>
  <c r="I61" i="16" s="1"/>
  <c r="I62" i="16" s="1"/>
  <c r="I63" i="16" s="1"/>
  <c r="I64" i="16" s="1"/>
  <c r="I65" i="16" s="1"/>
  <c r="H94" i="16"/>
  <c r="N16" i="16"/>
  <c r="P16" i="16"/>
  <c r="L16" i="16"/>
  <c r="C17" i="16" s="1"/>
  <c r="ACR6" i="14"/>
  <c r="ACR5" i="14"/>
  <c r="ACR4" i="14"/>
  <c r="ACS2" i="14"/>
  <c r="OR4" i="14"/>
  <c r="OS2" i="14"/>
  <c r="OR6" i="14"/>
  <c r="OS6" i="14" s="1"/>
  <c r="OR5" i="14"/>
  <c r="OS5" i="14" s="1"/>
  <c r="D88" i="5"/>
  <c r="H66" i="16" l="1"/>
  <c r="I66" i="16" s="1"/>
  <c r="H67" i="16"/>
  <c r="E17" i="16"/>
  <c r="G17" i="16" s="1"/>
  <c r="P17" i="16"/>
  <c r="Q17" i="16"/>
  <c r="OT2" i="14"/>
  <c r="OS4" i="14"/>
  <c r="ACS6" i="14"/>
  <c r="ACT2" i="14"/>
  <c r="ACS4" i="14"/>
  <c r="ACS5" i="14"/>
  <c r="D77" i="5"/>
  <c r="I67" i="16" l="1"/>
  <c r="I68" i="16" s="1"/>
  <c r="I69" i="16" s="1"/>
  <c r="I70" i="16" s="1"/>
  <c r="I71" i="16" s="1"/>
  <c r="I72" i="16" s="1"/>
  <c r="I73" i="16" s="1"/>
  <c r="I74" i="16" s="1"/>
  <c r="I75" i="16" s="1"/>
  <c r="I76" i="16" s="1"/>
  <c r="I77" i="16" s="1"/>
  <c r="I78" i="16" s="1"/>
  <c r="I79" i="16" s="1"/>
  <c r="I80" i="16" s="1"/>
  <c r="I81" i="16" s="1"/>
  <c r="I82" i="16" s="1"/>
  <c r="I83" i="16" s="1"/>
  <c r="I84" i="16" s="1"/>
  <c r="I85" i="16" s="1"/>
  <c r="I86" i="16" s="1"/>
  <c r="I87" i="16" s="1"/>
  <c r="I88" i="16" s="1"/>
  <c r="I89" i="16" s="1"/>
  <c r="I90" i="16" s="1"/>
  <c r="I91" i="16" s="1"/>
  <c r="I92" i="16" s="1"/>
  <c r="H93" i="16"/>
  <c r="H197" i="16" s="1"/>
  <c r="F17" i="16"/>
  <c r="OU2" i="14"/>
  <c r="OT4" i="14"/>
  <c r="ACT6" i="14"/>
  <c r="ACU2" i="14"/>
  <c r="ACT4" i="14"/>
  <c r="ACT5" i="14"/>
  <c r="OT5" i="14"/>
  <c r="OU5" i="14" s="1"/>
  <c r="OT6" i="14"/>
  <c r="OU6" i="14" s="1"/>
  <c r="D87" i="5"/>
  <c r="I93" i="16" l="1"/>
  <c r="I94" i="16" s="1"/>
  <c r="I95" i="16" s="1"/>
  <c r="I96" i="16" s="1"/>
  <c r="I97" i="16" s="1"/>
  <c r="I98" i="16" s="1"/>
  <c r="I99" i="16" s="1"/>
  <c r="I100" i="16" s="1"/>
  <c r="I101" i="16" s="1"/>
  <c r="I102" i="16" s="1"/>
  <c r="I103" i="16" s="1"/>
  <c r="I104" i="16" s="1"/>
  <c r="I105" i="16" s="1"/>
  <c r="I106" i="16" s="1"/>
  <c r="I107" i="16" s="1"/>
  <c r="I108" i="16" s="1"/>
  <c r="I109" i="16" s="1"/>
  <c r="I110" i="16" s="1"/>
  <c r="I111" i="16" s="1"/>
  <c r="I112" i="16" s="1"/>
  <c r="I113" i="16" s="1"/>
  <c r="I114" i="16" s="1"/>
  <c r="I115" i="16" s="1"/>
  <c r="I116" i="16" s="1"/>
  <c r="I117" i="16" s="1"/>
  <c r="I118" i="16" s="1"/>
  <c r="I119" i="16" s="1"/>
  <c r="I120" i="16" s="1"/>
  <c r="I121" i="16" s="1"/>
  <c r="I122" i="16" s="1"/>
  <c r="I123" i="16" s="1"/>
  <c r="I124" i="16" s="1"/>
  <c r="I125" i="16" s="1"/>
  <c r="I126" i="16" s="1"/>
  <c r="I127" i="16" s="1"/>
  <c r="I128" i="16" s="1"/>
  <c r="I129" i="16" s="1"/>
  <c r="I130" i="16" s="1"/>
  <c r="I131" i="16" s="1"/>
  <c r="I132" i="16" s="1"/>
  <c r="I133" i="16" s="1"/>
  <c r="I134" i="16" s="1"/>
  <c r="I135" i="16" s="1"/>
  <c r="I136" i="16" s="1"/>
  <c r="I137" i="16" s="1"/>
  <c r="I138" i="16" s="1"/>
  <c r="I139" i="16" s="1"/>
  <c r="I140" i="16" s="1"/>
  <c r="I141" i="16" s="1"/>
  <c r="I142" i="16" s="1"/>
  <c r="I143" i="16" s="1"/>
  <c r="I144" i="16" s="1"/>
  <c r="I145" i="16" s="1"/>
  <c r="I146" i="16" s="1"/>
  <c r="I147" i="16" s="1"/>
  <c r="I148" i="16" s="1"/>
  <c r="I149" i="16" s="1"/>
  <c r="I150" i="16" s="1"/>
  <c r="I151" i="16" s="1"/>
  <c r="I152" i="16" s="1"/>
  <c r="I153" i="16" s="1"/>
  <c r="I154" i="16" s="1"/>
  <c r="I155" i="16" s="1"/>
  <c r="I156" i="16" s="1"/>
  <c r="I157" i="16" s="1"/>
  <c r="I158" i="16" s="1"/>
  <c r="I159" i="16" s="1"/>
  <c r="I160" i="16" s="1"/>
  <c r="I161" i="16" s="1"/>
  <c r="I162" i="16" s="1"/>
  <c r="I163" i="16" s="1"/>
  <c r="I164" i="16" s="1"/>
  <c r="I165" i="16" s="1"/>
  <c r="I166" i="16" s="1"/>
  <c r="I167" i="16" s="1"/>
  <c r="I168" i="16" s="1"/>
  <c r="I169" i="16" s="1"/>
  <c r="I170" i="16" s="1"/>
  <c r="I171" i="16" s="1"/>
  <c r="I172" i="16" s="1"/>
  <c r="I173" i="16" s="1"/>
  <c r="I174" i="16" s="1"/>
  <c r="I175" i="16" s="1"/>
  <c r="I176" i="16" s="1"/>
  <c r="I177" i="16" s="1"/>
  <c r="I178" i="16" s="1"/>
  <c r="I179" i="16" s="1"/>
  <c r="I180" i="16" s="1"/>
  <c r="I181" i="16" s="1"/>
  <c r="I182" i="16" s="1"/>
  <c r="I183" i="16" s="1"/>
  <c r="I184" i="16" s="1"/>
  <c r="I185" i="16" s="1"/>
  <c r="I186" i="16" s="1"/>
  <c r="I187" i="16" s="1"/>
  <c r="I188" i="16" s="1"/>
  <c r="I189" i="16" s="1"/>
  <c r="I190" i="16" s="1"/>
  <c r="I191" i="16" s="1"/>
  <c r="I192" i="16" s="1"/>
  <c r="I193" i="16" s="1"/>
  <c r="I194" i="16" s="1"/>
  <c r="I195" i="16" s="1"/>
  <c r="N17" i="16"/>
  <c r="L17" i="16"/>
  <c r="ACU4" i="14"/>
  <c r="ACU5" i="14"/>
  <c r="ACV2" i="14"/>
  <c r="ACU6" i="14"/>
  <c r="OU4" i="14"/>
  <c r="OV2" i="14"/>
  <c r="D86" i="5"/>
  <c r="C18" i="16" l="1"/>
  <c r="E18" i="16"/>
  <c r="ACV5" i="14"/>
  <c r="ACV6" i="14"/>
  <c r="ACV4" i="14"/>
  <c r="ACW2" i="14"/>
  <c r="OV4" i="14"/>
  <c r="OW2" i="14"/>
  <c r="OV5" i="14"/>
  <c r="OV6" i="14"/>
  <c r="OW6" i="14" l="1"/>
  <c r="G18" i="16"/>
  <c r="P18" i="16"/>
  <c r="Q18" i="16"/>
  <c r="OX2" i="14"/>
  <c r="OW4" i="14"/>
  <c r="ACW6" i="14"/>
  <c r="ACX2" i="14"/>
  <c r="ACW5" i="14"/>
  <c r="ACW4" i="14"/>
  <c r="OW5" i="14"/>
  <c r="OX5" i="14" s="1"/>
  <c r="F18" i="16" l="1"/>
  <c r="ACX6" i="14"/>
  <c r="ACY2" i="14"/>
  <c r="ACX4" i="14"/>
  <c r="ACX5" i="14"/>
  <c r="OX4" i="14"/>
  <c r="OY2" i="14"/>
  <c r="OY5" i="14" s="1"/>
  <c r="OX6" i="14"/>
  <c r="OY6" i="14" s="1"/>
  <c r="N18" i="16" l="1"/>
  <c r="L18" i="16"/>
  <c r="ACY4" i="14"/>
  <c r="ACY6" i="14"/>
  <c r="ACY5" i="14"/>
  <c r="ACZ2" i="14"/>
  <c r="OY4" i="14"/>
  <c r="OZ2" i="14"/>
  <c r="C19" i="16" l="1"/>
  <c r="E19" i="16"/>
  <c r="OZ5" i="14"/>
  <c r="OZ4" i="14"/>
  <c r="PA2" i="14"/>
  <c r="OZ6" i="14"/>
  <c r="ACZ6" i="14"/>
  <c r="ACZ5" i="14"/>
  <c r="ACZ4" i="14"/>
  <c r="ADA2" i="14"/>
  <c r="G19" i="16" l="1"/>
  <c r="P19" i="16"/>
  <c r="Q19" i="16"/>
  <c r="ADA6" i="14"/>
  <c r="ADB2" i="14"/>
  <c r="ADA4" i="14"/>
  <c r="ADA5" i="14"/>
  <c r="PB2" i="14"/>
  <c r="PA4" i="14"/>
  <c r="PA5" i="14"/>
  <c r="PA6" i="14"/>
  <c r="PB6" i="14" l="1"/>
  <c r="PB5" i="14"/>
  <c r="F19" i="16"/>
  <c r="ADB6" i="14"/>
  <c r="ADC2" i="14"/>
  <c r="ADB4" i="14"/>
  <c r="ADB5" i="14"/>
  <c r="PB4" i="14"/>
  <c r="PC2" i="14"/>
  <c r="PC6" i="14" l="1"/>
  <c r="N19" i="16"/>
  <c r="L19" i="16"/>
  <c r="PC5" i="14"/>
  <c r="ADC4" i="14"/>
  <c r="ADC5" i="14"/>
  <c r="ADC6" i="14"/>
  <c r="ADD2" i="14"/>
  <c r="PC4" i="14"/>
  <c r="PD2" i="14"/>
  <c r="C20" i="16" l="1"/>
  <c r="E20" i="16"/>
  <c r="G20" i="16" s="1"/>
  <c r="F20" i="16" s="1"/>
  <c r="PD4" i="14"/>
  <c r="PE2" i="14"/>
  <c r="PD5" i="14"/>
  <c r="ADD5" i="14"/>
  <c r="ADD6" i="14"/>
  <c r="ADE2" i="14"/>
  <c r="ADD4" i="14"/>
  <c r="PD6" i="14"/>
  <c r="PE6" i="14" l="1"/>
  <c r="PE5" i="14"/>
  <c r="L20" i="16"/>
  <c r="N20" i="16"/>
  <c r="P20" i="16"/>
  <c r="Q20" i="16"/>
  <c r="PF2" i="14"/>
  <c r="PE4" i="14"/>
  <c r="ADE6" i="14"/>
  <c r="ADF2" i="14"/>
  <c r="ADE4" i="14"/>
  <c r="ADE5" i="14"/>
  <c r="PF5" i="14" l="1"/>
  <c r="C21" i="16"/>
  <c r="E21" i="16"/>
  <c r="ADF6" i="14"/>
  <c r="ADG2" i="14"/>
  <c r="ADF4" i="14"/>
  <c r="ADF5" i="14"/>
  <c r="PF4" i="14"/>
  <c r="PG2" i="14"/>
  <c r="PF6" i="14"/>
  <c r="PG6" i="14" l="1"/>
  <c r="G21" i="16"/>
  <c r="F21" i="16" s="1"/>
  <c r="N21" i="16" s="1"/>
  <c r="P21" i="16"/>
  <c r="Q21" i="16"/>
  <c r="PG4" i="14"/>
  <c r="PH2" i="14"/>
  <c r="PG5" i="14"/>
  <c r="PH5" i="14" s="1"/>
  <c r="ADG4" i="14"/>
  <c r="ADG6" i="14"/>
  <c r="ADG5" i="14"/>
  <c r="ADH2" i="14"/>
  <c r="PH6" i="14" l="1"/>
  <c r="L21" i="16"/>
  <c r="ADH6" i="14"/>
  <c r="ADH5" i="14"/>
  <c r="ADH4" i="14"/>
  <c r="ADI2" i="14"/>
  <c r="PH4" i="14"/>
  <c r="PI2" i="14"/>
  <c r="E22" i="16" l="1"/>
  <c r="C22" i="16"/>
  <c r="PJ2" i="14"/>
  <c r="PI4" i="14"/>
  <c r="PI5" i="14"/>
  <c r="PI6" i="14"/>
  <c r="PJ6" i="14" s="1"/>
  <c r="ADI6" i="14"/>
  <c r="ADJ2" i="14"/>
  <c r="ADI4" i="14"/>
  <c r="ADI5" i="14"/>
  <c r="PJ5" i="14" l="1"/>
  <c r="P22" i="16"/>
  <c r="Q22" i="16"/>
  <c r="G22" i="16"/>
  <c r="F22" i="16" s="1"/>
  <c r="N22" i="16" s="1"/>
  <c r="PK2" i="14"/>
  <c r="PJ4" i="14"/>
  <c r="ADJ6" i="14"/>
  <c r="ADK2" i="14"/>
  <c r="ADJ4" i="14"/>
  <c r="ADJ5" i="14"/>
  <c r="L22" i="16" l="1"/>
  <c r="ADK4" i="14"/>
  <c r="ADK5" i="14"/>
  <c r="ADK6" i="14"/>
  <c r="ADL2" i="14"/>
  <c r="PK4" i="14"/>
  <c r="PL2" i="14"/>
  <c r="PK6" i="14"/>
  <c r="PL6" i="14" s="1"/>
  <c r="PK5" i="14"/>
  <c r="PL5" i="14" s="1"/>
  <c r="C23" i="16" l="1"/>
  <c r="E23" i="16"/>
  <c r="ADL5" i="14"/>
  <c r="ADL6" i="14"/>
  <c r="ADM2" i="14"/>
  <c r="ADL4" i="14"/>
  <c r="PL4" i="14"/>
  <c r="PM2" i="14"/>
  <c r="PM5" i="14" s="1"/>
  <c r="G23" i="16" l="1"/>
  <c r="F23" i="16" s="1"/>
  <c r="N23" i="16" s="1"/>
  <c r="P23" i="16"/>
  <c r="Q23" i="16"/>
  <c r="ADM6" i="14"/>
  <c r="ADN2" i="14"/>
  <c r="ADM5" i="14"/>
  <c r="ADM4" i="14"/>
  <c r="PM6" i="14"/>
  <c r="PN2" i="14"/>
  <c r="PM4" i="14"/>
  <c r="L23" i="16" l="1"/>
  <c r="PN6" i="14"/>
  <c r="PN4" i="14"/>
  <c r="PO2" i="14"/>
  <c r="ADN6" i="14"/>
  <c r="ADO2" i="14"/>
  <c r="ADN4" i="14"/>
  <c r="ADN5" i="14"/>
  <c r="PN5" i="14"/>
  <c r="PO5" i="14" l="1"/>
  <c r="C24" i="16"/>
  <c r="E24" i="16"/>
  <c r="PO6" i="14"/>
  <c r="ADO4" i="14"/>
  <c r="ADO6" i="14"/>
  <c r="ADO5" i="14"/>
  <c r="ADP2" i="14"/>
  <c r="PO4" i="14"/>
  <c r="PP2" i="14"/>
  <c r="G24" i="16" l="1"/>
  <c r="F24" i="16" s="1"/>
  <c r="N24" i="16" s="1"/>
  <c r="P24" i="16"/>
  <c r="Q24" i="16"/>
  <c r="PP6" i="14"/>
  <c r="ADP5" i="14"/>
  <c r="ADP6" i="14"/>
  <c r="ADP4" i="14"/>
  <c r="ADQ2" i="14"/>
  <c r="PP4" i="14"/>
  <c r="PQ2" i="14"/>
  <c r="PP5" i="14"/>
  <c r="PQ5" i="14" l="1"/>
  <c r="L24" i="16"/>
  <c r="PR2" i="14"/>
  <c r="PQ4" i="14"/>
  <c r="ADQ6" i="14"/>
  <c r="ADQ5" i="14"/>
  <c r="ADR2" i="14"/>
  <c r="ADQ4" i="14"/>
  <c r="PQ6" i="14"/>
  <c r="PR6" i="14" s="1"/>
  <c r="C25" i="16" l="1"/>
  <c r="E25" i="16"/>
  <c r="PR4" i="14"/>
  <c r="PS2" i="14"/>
  <c r="PS6" i="14" s="1"/>
  <c r="PR5" i="14"/>
  <c r="ADR6" i="14"/>
  <c r="ADS2" i="14"/>
  <c r="ADR4" i="14"/>
  <c r="ADR5" i="14"/>
  <c r="PS5" i="14" l="1"/>
  <c r="G25" i="16"/>
  <c r="F25" i="16" s="1"/>
  <c r="N25" i="16" s="1"/>
  <c r="Q25" i="16"/>
  <c r="P25" i="16"/>
  <c r="ADS4" i="14"/>
  <c r="ADS6" i="14"/>
  <c r="ADS5" i="14"/>
  <c r="ADT2" i="14"/>
  <c r="PS4" i="14"/>
  <c r="PT2" i="14"/>
  <c r="PT6" i="14" s="1"/>
  <c r="L25" i="16" l="1"/>
  <c r="PT4" i="14"/>
  <c r="PU2" i="14"/>
  <c r="ADT5" i="14"/>
  <c r="ADT6" i="14"/>
  <c r="ADT4" i="14"/>
  <c r="ADU2" i="14"/>
  <c r="PT5" i="14"/>
  <c r="PU5" i="14" s="1"/>
  <c r="C26" i="16" l="1"/>
  <c r="E26" i="16"/>
  <c r="PV2" i="14"/>
  <c r="PU4" i="14"/>
  <c r="PU6" i="14"/>
  <c r="ADU6" i="14"/>
  <c r="ADU5" i="14"/>
  <c r="ADV2" i="14"/>
  <c r="ADU4" i="14"/>
  <c r="PV6" i="14" l="1"/>
  <c r="G26" i="16"/>
  <c r="F26" i="16" s="1"/>
  <c r="N26" i="16" s="1"/>
  <c r="P26" i="16"/>
  <c r="Q26" i="16"/>
  <c r="ADV6" i="14"/>
  <c r="ADV5" i="14"/>
  <c r="ADW2" i="14"/>
  <c r="ADV4" i="14"/>
  <c r="PV4" i="14"/>
  <c r="PW2" i="14"/>
  <c r="PV5" i="14"/>
  <c r="PW5" i="14" l="1"/>
  <c r="L26" i="16"/>
  <c r="PW4" i="14"/>
  <c r="PX2" i="14"/>
  <c r="PW6" i="14"/>
  <c r="ADW4" i="14"/>
  <c r="ADW6" i="14"/>
  <c r="ADW5" i="14"/>
  <c r="ADX2" i="14"/>
  <c r="PX6" i="14" l="1"/>
  <c r="PX5" i="14"/>
  <c r="C27" i="16"/>
  <c r="E27" i="16"/>
  <c r="PX4" i="14"/>
  <c r="PY2" i="14"/>
  <c r="ADX5" i="14"/>
  <c r="ADX6" i="14"/>
  <c r="ADX4" i="14"/>
  <c r="ADY2" i="14"/>
  <c r="PY6" i="14" l="1"/>
  <c r="G27" i="16"/>
  <c r="F27" i="16" s="1"/>
  <c r="N27" i="16" s="1"/>
  <c r="Q27" i="16"/>
  <c r="ADY6" i="14"/>
  <c r="ADZ2" i="14"/>
  <c r="ADY4" i="14"/>
  <c r="ADY5" i="14"/>
  <c r="PZ2" i="14"/>
  <c r="PY4" i="14"/>
  <c r="PY5" i="14"/>
  <c r="PZ6" i="14" l="1"/>
  <c r="PZ5" i="14"/>
  <c r="P27" i="16"/>
  <c r="L27" i="16"/>
  <c r="QA2" i="14"/>
  <c r="PZ4" i="14"/>
  <c r="ADZ6" i="14"/>
  <c r="AEA2" i="14"/>
  <c r="ADZ5" i="14"/>
  <c r="ADZ4" i="14"/>
  <c r="QA5" i="14" l="1"/>
  <c r="C28" i="16"/>
  <c r="E28" i="16"/>
  <c r="AEA5" i="14"/>
  <c r="AEA4" i="14"/>
  <c r="AEA6" i="14"/>
  <c r="AEB2" i="14"/>
  <c r="QA4" i="14"/>
  <c r="QB2" i="14"/>
  <c r="QA6" i="14"/>
  <c r="QB6" i="14" l="1"/>
  <c r="G28" i="16"/>
  <c r="F28" i="16" s="1"/>
  <c r="N28" i="16" s="1"/>
  <c r="Q28" i="16"/>
  <c r="AEB5" i="14"/>
  <c r="AEB6" i="14"/>
  <c r="AEB4" i="14"/>
  <c r="AEC2" i="14"/>
  <c r="QB4" i="14"/>
  <c r="QC2" i="14"/>
  <c r="QB5" i="14"/>
  <c r="QC5" i="14" s="1"/>
  <c r="P28" i="16" l="1"/>
  <c r="L28" i="16"/>
  <c r="AEC6" i="14"/>
  <c r="AED2" i="14"/>
  <c r="AEC5" i="14"/>
  <c r="AEC4" i="14"/>
  <c r="QD2" i="14"/>
  <c r="QC4" i="14"/>
  <c r="QC6" i="14"/>
  <c r="QD6" i="14" l="1"/>
  <c r="C29" i="16"/>
  <c r="E29" i="16"/>
  <c r="QD4" i="14"/>
  <c r="QE2" i="14"/>
  <c r="AED6" i="14"/>
  <c r="AEE2" i="14"/>
  <c r="AED4" i="14"/>
  <c r="AED5" i="14"/>
  <c r="QD5" i="14"/>
  <c r="QE5" i="14" s="1"/>
  <c r="QE6" i="14" l="1"/>
  <c r="G29" i="16"/>
  <c r="F29" i="16" s="1"/>
  <c r="N29" i="16" s="1"/>
  <c r="AEE4" i="14"/>
  <c r="AEE6" i="14"/>
  <c r="AEE5" i="14"/>
  <c r="AEF2" i="14"/>
  <c r="QE4" i="14"/>
  <c r="QF2" i="14"/>
  <c r="QF6" i="14" l="1"/>
  <c r="Q29" i="16"/>
  <c r="P29" i="16"/>
  <c r="QF5" i="14"/>
  <c r="L29" i="16"/>
  <c r="AEF5" i="14"/>
  <c r="AEF6" i="14"/>
  <c r="AEF4" i="14"/>
  <c r="AEG2" i="14"/>
  <c r="QF4" i="14"/>
  <c r="QG2" i="14"/>
  <c r="QG6" i="14" l="1"/>
  <c r="E30" i="16"/>
  <c r="C30" i="16"/>
  <c r="QG5" i="14"/>
  <c r="QH2" i="14"/>
  <c r="QG4" i="14"/>
  <c r="AEG6" i="14"/>
  <c r="AEG5" i="14"/>
  <c r="AEH2" i="14"/>
  <c r="AEG4" i="14"/>
  <c r="QH5" i="14" l="1"/>
  <c r="P30" i="16"/>
  <c r="Q30" i="16"/>
  <c r="G30" i="16"/>
  <c r="F30" i="16" s="1"/>
  <c r="N30" i="16" s="1"/>
  <c r="QI2" i="14"/>
  <c r="QH4" i="14"/>
  <c r="AEH6" i="14"/>
  <c r="AEI2" i="14"/>
  <c r="AEH4" i="14"/>
  <c r="AEH5" i="14"/>
  <c r="QH6" i="14"/>
  <c r="QI6" i="14" l="1"/>
  <c r="L30" i="16"/>
  <c r="QI4" i="14"/>
  <c r="QJ2" i="14"/>
  <c r="AEI4" i="14"/>
  <c r="AEI6" i="14"/>
  <c r="AEI5" i="14"/>
  <c r="AEJ2" i="14"/>
  <c r="QI5" i="14"/>
  <c r="QJ5" i="14" l="1"/>
  <c r="QK5" i="14" s="1"/>
  <c r="C31" i="16"/>
  <c r="E31" i="16"/>
  <c r="QJ4" i="14"/>
  <c r="QK2" i="14"/>
  <c r="AEJ5" i="14"/>
  <c r="AEJ6" i="14"/>
  <c r="AEK2" i="14"/>
  <c r="AEJ4" i="14"/>
  <c r="QJ6" i="14"/>
  <c r="QK6" i="14" s="1"/>
  <c r="G31" i="16" l="1"/>
  <c r="F31" i="16" s="1"/>
  <c r="N31" i="16" s="1"/>
  <c r="P31" i="16"/>
  <c r="Q31" i="16"/>
  <c r="QL2" i="14"/>
  <c r="QL5" i="14" s="1"/>
  <c r="QK4" i="14"/>
  <c r="AEK6" i="14"/>
  <c r="AEK5" i="14"/>
  <c r="AEL2" i="14"/>
  <c r="AEK4" i="14"/>
  <c r="L31" i="16" l="1"/>
  <c r="AEL6" i="14"/>
  <c r="AEL5" i="14"/>
  <c r="AEM2" i="14"/>
  <c r="AEL4" i="14"/>
  <c r="QL4" i="14"/>
  <c r="QM2" i="14"/>
  <c r="QM5" i="14" s="1"/>
  <c r="QL6" i="14"/>
  <c r="QM6" i="14" s="1"/>
  <c r="C32" i="16" l="1"/>
  <c r="E32" i="16"/>
  <c r="AEM4" i="14"/>
  <c r="AEM6" i="14"/>
  <c r="AEM5" i="14"/>
  <c r="AEN2" i="14"/>
  <c r="QM4" i="14"/>
  <c r="QN2" i="14"/>
  <c r="G32" i="16" l="1"/>
  <c r="F32" i="16" s="1"/>
  <c r="N32" i="16" s="1"/>
  <c r="P32" i="16"/>
  <c r="Q32" i="16"/>
  <c r="AEN5" i="14"/>
  <c r="AEN6" i="14"/>
  <c r="AEN4" i="14"/>
  <c r="AEO2" i="14"/>
  <c r="QN4" i="14"/>
  <c r="QO2" i="14"/>
  <c r="QN5" i="14"/>
  <c r="QN6" i="14"/>
  <c r="QO6" i="14" s="1"/>
  <c r="L32" i="16" l="1"/>
  <c r="QP2" i="14"/>
  <c r="QO4" i="14"/>
  <c r="AEO6" i="14"/>
  <c r="AEP2" i="14"/>
  <c r="AEO5" i="14"/>
  <c r="AEO4" i="14"/>
  <c r="QO5" i="14"/>
  <c r="QP5" i="14" s="1"/>
  <c r="E33" i="16" l="1"/>
  <c r="C33" i="16"/>
  <c r="AEP6" i="14"/>
  <c r="AEQ2" i="14"/>
  <c r="AEP5" i="14"/>
  <c r="AEP4" i="14"/>
  <c r="QP4" i="14"/>
  <c r="QQ2" i="14"/>
  <c r="QP6" i="14"/>
  <c r="QQ6" i="14" l="1"/>
  <c r="P33" i="16"/>
  <c r="Q33" i="16"/>
  <c r="G33" i="16"/>
  <c r="AEQ5" i="14"/>
  <c r="AEQ4" i="14"/>
  <c r="AEQ6" i="14"/>
  <c r="AER2" i="14"/>
  <c r="QQ5" i="14"/>
  <c r="QQ4" i="14"/>
  <c r="QR2" i="14"/>
  <c r="D33" i="16" l="1"/>
  <c r="F33" i="16" s="1"/>
  <c r="QR5" i="14"/>
  <c r="QR4" i="14"/>
  <c r="QS2" i="14"/>
  <c r="QR6" i="14"/>
  <c r="AER5" i="14"/>
  <c r="AER6" i="14"/>
  <c r="AES2" i="14"/>
  <c r="AER4" i="14"/>
  <c r="QS6" i="14" l="1"/>
  <c r="N33" i="16"/>
  <c r="L33" i="16"/>
  <c r="E34" i="16" s="1"/>
  <c r="QT2" i="14"/>
  <c r="QS4" i="14"/>
  <c r="AES6" i="14"/>
  <c r="AET2" i="14"/>
  <c r="AES5" i="14"/>
  <c r="AES4" i="14"/>
  <c r="QS5" i="14"/>
  <c r="QT6" i="14" l="1"/>
  <c r="QT5" i="14"/>
  <c r="C34" i="16"/>
  <c r="P34" i="16" s="1"/>
  <c r="G34" i="16"/>
  <c r="F34" i="16" s="1"/>
  <c r="N34" i="16" s="1"/>
  <c r="AET6" i="14"/>
  <c r="AEU2" i="14"/>
  <c r="AET4" i="14"/>
  <c r="AET5" i="14"/>
  <c r="QU2" i="14"/>
  <c r="QT4" i="14"/>
  <c r="QU6" i="14" l="1"/>
  <c r="QU5" i="14"/>
  <c r="QV5" i="14" s="1"/>
  <c r="Q34" i="16"/>
  <c r="L34" i="16"/>
  <c r="QU4" i="14"/>
  <c r="QV2" i="14"/>
  <c r="AEU4" i="14"/>
  <c r="AEU6" i="14"/>
  <c r="AEU5" i="14"/>
  <c r="AEV2" i="14"/>
  <c r="C35" i="16" l="1"/>
  <c r="E35" i="16"/>
  <c r="QV4" i="14"/>
  <c r="QW2" i="14"/>
  <c r="AEV5" i="14"/>
  <c r="AEV6" i="14"/>
  <c r="AEV4" i="14"/>
  <c r="AEW2" i="14"/>
  <c r="QV6" i="14"/>
  <c r="QW6" i="14" l="1"/>
  <c r="G35" i="16"/>
  <c r="F35" i="16" s="1"/>
  <c r="N35" i="16" s="1"/>
  <c r="QX2" i="14"/>
  <c r="QW4" i="14"/>
  <c r="QW5" i="14"/>
  <c r="AEW6" i="14"/>
  <c r="AEW5" i="14"/>
  <c r="AEX2" i="14"/>
  <c r="AEW4" i="14"/>
  <c r="QX5" i="14" l="1"/>
  <c r="Q35" i="16"/>
  <c r="P35" i="16"/>
  <c r="L35" i="16"/>
  <c r="AEX6" i="14"/>
  <c r="AEY2" i="14"/>
  <c r="AEX4" i="14"/>
  <c r="AEX5" i="14"/>
  <c r="QX4" i="14"/>
  <c r="QY2" i="14"/>
  <c r="QX6" i="14"/>
  <c r="QY6" i="14" s="1"/>
  <c r="QY5" i="14" l="1"/>
  <c r="C36" i="16"/>
  <c r="E36" i="16"/>
  <c r="AEY4" i="14"/>
  <c r="AEY6" i="14"/>
  <c r="AEY5" i="14"/>
  <c r="AEZ2" i="14"/>
  <c r="QY4" i="14"/>
  <c r="QZ2" i="14"/>
  <c r="G36" i="16" l="1"/>
  <c r="F36" i="16" s="1"/>
  <c r="N36" i="16" s="1"/>
  <c r="P36" i="16"/>
  <c r="Q36" i="16"/>
  <c r="QZ4" i="14"/>
  <c r="RA2" i="14"/>
  <c r="QZ6" i="14"/>
  <c r="RA6" i="14" s="1"/>
  <c r="QZ5" i="14"/>
  <c r="RA5" i="14" s="1"/>
  <c r="AEZ5" i="14"/>
  <c r="AEZ6" i="14"/>
  <c r="AEZ4" i="14"/>
  <c r="AFA2" i="14"/>
  <c r="L36" i="16" l="1"/>
  <c r="AFA6" i="14"/>
  <c r="AFA5" i="14"/>
  <c r="AFB2" i="14"/>
  <c r="AFA4" i="14"/>
  <c r="RB2" i="14"/>
  <c r="RA4" i="14"/>
  <c r="E37" i="16" l="1"/>
  <c r="C37" i="16"/>
  <c r="RB4" i="14"/>
  <c r="RC2" i="14"/>
  <c r="AFB6" i="14"/>
  <c r="AFB5" i="14"/>
  <c r="AFC2" i="14"/>
  <c r="AFB4" i="14"/>
  <c r="RB5" i="14"/>
  <c r="RB6" i="14"/>
  <c r="RC6" i="14" l="1"/>
  <c r="RC5" i="14"/>
  <c r="P37" i="16"/>
  <c r="Q37" i="16"/>
  <c r="G37" i="16"/>
  <c r="F37" i="16" s="1"/>
  <c r="N37" i="16" s="1"/>
  <c r="AFC4" i="14"/>
  <c r="AFC6" i="14"/>
  <c r="AFD2" i="14"/>
  <c r="AFC5" i="14"/>
  <c r="RC4" i="14"/>
  <c r="RD2" i="14"/>
  <c r="RD5" i="14" l="1"/>
  <c r="L37" i="16"/>
  <c r="RD6" i="14"/>
  <c r="AFD5" i="14"/>
  <c r="AFD6" i="14"/>
  <c r="AFD4" i="14"/>
  <c r="AFE2" i="14"/>
  <c r="RD4" i="14"/>
  <c r="RE2" i="14"/>
  <c r="E38" i="16" l="1"/>
  <c r="C38" i="16"/>
  <c r="RE6" i="14"/>
  <c r="RE5" i="14"/>
  <c r="AFE6" i="14"/>
  <c r="AFF2" i="14"/>
  <c r="AFE5" i="14"/>
  <c r="AFE4" i="14"/>
  <c r="RF2" i="14"/>
  <c r="RE4" i="14"/>
  <c r="Q38" i="16" l="1"/>
  <c r="G38" i="16"/>
  <c r="F38" i="16" s="1"/>
  <c r="N38" i="16" s="1"/>
  <c r="RF6" i="14"/>
  <c r="RG2" i="14"/>
  <c r="RF4" i="14"/>
  <c r="AFF6" i="14"/>
  <c r="AFG2" i="14"/>
  <c r="AFF5" i="14"/>
  <c r="AFF4" i="14"/>
  <c r="RF5" i="14"/>
  <c r="RG5" i="14" l="1"/>
  <c r="P38" i="16"/>
  <c r="L38" i="16"/>
  <c r="RG6" i="14"/>
  <c r="AFG5" i="14"/>
  <c r="AFG4" i="14"/>
  <c r="AFG6" i="14"/>
  <c r="AFH2" i="14"/>
  <c r="RG4" i="14"/>
  <c r="RH2" i="14"/>
  <c r="C39" i="16" l="1"/>
  <c r="E39" i="16"/>
  <c r="RH4" i="14"/>
  <c r="RI2" i="14"/>
  <c r="AFH5" i="14"/>
  <c r="AFH6" i="14"/>
  <c r="AFH4" i="14"/>
  <c r="AFI2" i="14"/>
  <c r="RH6" i="14"/>
  <c r="RH5" i="14"/>
  <c r="RI5" i="14" l="1"/>
  <c r="RI6" i="14"/>
  <c r="G39" i="16"/>
  <c r="F39" i="16" s="1"/>
  <c r="N39" i="16" s="1"/>
  <c r="Q39" i="16"/>
  <c r="AFI6" i="14"/>
  <c r="AFJ2" i="14"/>
  <c r="AFI4" i="14"/>
  <c r="AFI5" i="14"/>
  <c r="RJ2" i="14"/>
  <c r="RI4" i="14"/>
  <c r="P39" i="16" l="1"/>
  <c r="L39" i="16"/>
  <c r="RJ5" i="14"/>
  <c r="AFJ6" i="14"/>
  <c r="AFK2" i="14"/>
  <c r="AFJ4" i="14"/>
  <c r="AFJ5" i="14"/>
  <c r="RJ4" i="14"/>
  <c r="RK2" i="14"/>
  <c r="RJ6" i="14"/>
  <c r="RK6" i="14" s="1"/>
  <c r="C40" i="16" l="1"/>
  <c r="E40" i="16"/>
  <c r="RK4" i="14"/>
  <c r="RL2" i="14"/>
  <c r="RL6" i="14" s="1"/>
  <c r="AFK4" i="14"/>
  <c r="AFK6" i="14"/>
  <c r="AFK5" i="14"/>
  <c r="AFL2" i="14"/>
  <c r="RK5" i="14"/>
  <c r="RL5" i="14" l="1"/>
  <c r="G40" i="16"/>
  <c r="F40" i="16" s="1"/>
  <c r="N40" i="16" s="1"/>
  <c r="P40" i="16"/>
  <c r="Q40" i="16"/>
  <c r="RL4" i="14"/>
  <c r="RM2" i="14"/>
  <c r="RM6" i="14" s="1"/>
  <c r="AFL5" i="14"/>
  <c r="AFL6" i="14"/>
  <c r="AFL4" i="14"/>
  <c r="AFM2" i="14"/>
  <c r="RM5" i="14" l="1"/>
  <c r="L40" i="16"/>
  <c r="AFM6" i="14"/>
  <c r="AFM5" i="14"/>
  <c r="AFN2" i="14"/>
  <c r="AFM4" i="14"/>
  <c r="RN2" i="14"/>
  <c r="RM4" i="14"/>
  <c r="C41" i="16" l="1"/>
  <c r="E41" i="16"/>
  <c r="RO2" i="14"/>
  <c r="RN4" i="14"/>
  <c r="AFN6" i="14"/>
  <c r="AFO2" i="14"/>
  <c r="AFN4" i="14"/>
  <c r="AFN5" i="14"/>
  <c r="RN6" i="14"/>
  <c r="RN5" i="14"/>
  <c r="RO5" i="14" l="1"/>
  <c r="RO6" i="14"/>
  <c r="G41" i="16"/>
  <c r="F41" i="16" s="1"/>
  <c r="N41" i="16" s="1"/>
  <c r="P41" i="16"/>
  <c r="Q41" i="16"/>
  <c r="AFO4" i="14"/>
  <c r="AFO6" i="14"/>
  <c r="AFO5" i="14"/>
  <c r="AFP2" i="14"/>
  <c r="RO4" i="14"/>
  <c r="RP2" i="14"/>
  <c r="L41" i="16" l="1"/>
  <c r="AFP5" i="14"/>
  <c r="AFP6" i="14"/>
  <c r="AFQ2" i="14"/>
  <c r="AFP4" i="14"/>
  <c r="RP4" i="14"/>
  <c r="RQ2" i="14"/>
  <c r="RP6" i="14"/>
  <c r="RP5" i="14"/>
  <c r="RQ5" i="14" l="1"/>
  <c r="C42" i="16"/>
  <c r="E42" i="16"/>
  <c r="RR2" i="14"/>
  <c r="RQ4" i="14"/>
  <c r="AFQ6" i="14"/>
  <c r="AFQ5" i="14"/>
  <c r="AFR2" i="14"/>
  <c r="AFQ4" i="14"/>
  <c r="RQ6" i="14"/>
  <c r="RR5" i="14" l="1"/>
  <c r="RR6" i="14"/>
  <c r="G42" i="16"/>
  <c r="F42" i="16" s="1"/>
  <c r="N42" i="16" s="1"/>
  <c r="P42" i="16"/>
  <c r="Q42" i="16"/>
  <c r="AFR6" i="14"/>
  <c r="AFR5" i="14"/>
  <c r="AFS2" i="14"/>
  <c r="AFR4" i="14"/>
  <c r="RR4" i="14"/>
  <c r="RS2" i="14"/>
  <c r="RS6" i="14" l="1"/>
  <c r="L42" i="16"/>
  <c r="RS4" i="14"/>
  <c r="RT2" i="14"/>
  <c r="RS5" i="14"/>
  <c r="RT5" i="14" s="1"/>
  <c r="AFS4" i="14"/>
  <c r="AFS6" i="14"/>
  <c r="AFS5" i="14"/>
  <c r="AFT2" i="14"/>
  <c r="C43" i="16" l="1"/>
  <c r="E43" i="16"/>
  <c r="AFT5" i="14"/>
  <c r="AFT6" i="14"/>
  <c r="AFT4" i="14"/>
  <c r="AFU2" i="14"/>
  <c r="RT4" i="14"/>
  <c r="RU2" i="14"/>
  <c r="RU5" i="14" s="1"/>
  <c r="RT6" i="14"/>
  <c r="RU6" i="14" l="1"/>
  <c r="G43" i="16"/>
  <c r="F43" i="16" s="1"/>
  <c r="N43" i="16" s="1"/>
  <c r="P43" i="16"/>
  <c r="Q43" i="16"/>
  <c r="RV2" i="14"/>
  <c r="RU4" i="14"/>
  <c r="AFU6" i="14"/>
  <c r="AFV2" i="14"/>
  <c r="AFU5" i="14"/>
  <c r="AFU4" i="14"/>
  <c r="L43" i="16" l="1"/>
  <c r="RV4" i="14"/>
  <c r="RW2" i="14"/>
  <c r="RV5" i="14"/>
  <c r="RW5" i="14" s="1"/>
  <c r="RV6" i="14"/>
  <c r="AFV6" i="14"/>
  <c r="AFW2" i="14"/>
  <c r="AFV5" i="14"/>
  <c r="AFV4" i="14"/>
  <c r="RW6" i="14" l="1"/>
  <c r="C44" i="16"/>
  <c r="E44" i="16"/>
  <c r="AFW5" i="14"/>
  <c r="AFW4" i="14"/>
  <c r="AFW6" i="14"/>
  <c r="AFX2" i="14"/>
  <c r="RW4" i="14"/>
  <c r="RX2" i="14"/>
  <c r="RX5" i="14"/>
  <c r="RX6" i="14" l="1"/>
  <c r="G44" i="16"/>
  <c r="F44" i="16" s="1"/>
  <c r="N44" i="16" s="1"/>
  <c r="P44" i="16"/>
  <c r="Q44" i="16"/>
  <c r="AFX5" i="14"/>
  <c r="AFY2" i="14"/>
  <c r="AFX6" i="14"/>
  <c r="AFX4" i="14"/>
  <c r="RX4" i="14"/>
  <c r="RY2" i="14"/>
  <c r="RY5" i="14" s="1"/>
  <c r="L44" i="16" l="1"/>
  <c r="AFY6" i="14"/>
  <c r="AFZ2" i="14"/>
  <c r="AFY4" i="14"/>
  <c r="AFY5" i="14"/>
  <c r="RZ2" i="14"/>
  <c r="RZ5" i="14" s="1"/>
  <c r="RY4" i="14"/>
  <c r="RY6" i="14"/>
  <c r="RZ6" i="14" l="1"/>
  <c r="C45" i="16"/>
  <c r="E45" i="16"/>
  <c r="AFZ6" i="14"/>
  <c r="AGA2" i="14"/>
  <c r="AFZ4" i="14"/>
  <c r="AFZ5" i="14"/>
  <c r="SA2" i="14"/>
  <c r="RZ4" i="14"/>
  <c r="SA6" i="14" l="1"/>
  <c r="G45" i="16"/>
  <c r="F45" i="16" s="1"/>
  <c r="N45" i="16" s="1"/>
  <c r="P45" i="16"/>
  <c r="Q45" i="16"/>
  <c r="SA4" i="14"/>
  <c r="SB2" i="14"/>
  <c r="SA5" i="14"/>
  <c r="SB5" i="14" s="1"/>
  <c r="AGA4" i="14"/>
  <c r="AGA6" i="14"/>
  <c r="AGA5" i="14"/>
  <c r="AGB2" i="14"/>
  <c r="L45" i="16" l="1"/>
  <c r="AGB5" i="14"/>
  <c r="AGB6" i="14"/>
  <c r="AGB4" i="14"/>
  <c r="AGC2" i="14"/>
  <c r="SB4" i="14"/>
  <c r="SC2" i="14"/>
  <c r="SC5" i="14" s="1"/>
  <c r="SB6" i="14"/>
  <c r="SC6" i="14" s="1"/>
  <c r="C46" i="16" l="1"/>
  <c r="E46" i="16"/>
  <c r="SD2" i="14"/>
  <c r="SC4" i="14"/>
  <c r="AGC6" i="14"/>
  <c r="AGC5" i="14"/>
  <c r="AGD2" i="14"/>
  <c r="AGC4" i="14"/>
  <c r="G46" i="16" l="1"/>
  <c r="F46" i="16" s="1"/>
  <c r="N46" i="16" s="1"/>
  <c r="P46" i="16"/>
  <c r="Q46" i="16"/>
  <c r="SD4" i="14"/>
  <c r="SE2" i="14"/>
  <c r="AGD6" i="14"/>
  <c r="AGE2" i="14"/>
  <c r="AGD4" i="14"/>
  <c r="AGD5" i="14"/>
  <c r="SD6" i="14"/>
  <c r="SE6" i="14" s="1"/>
  <c r="SD5" i="14"/>
  <c r="SE5" i="14" s="1"/>
  <c r="L46" i="16" l="1"/>
  <c r="SE4" i="14"/>
  <c r="SF2" i="14"/>
  <c r="SF6" i="14"/>
  <c r="AGE4" i="14"/>
  <c r="AGE6" i="14"/>
  <c r="AGE5" i="14"/>
  <c r="AGF2" i="14"/>
  <c r="C47" i="16" l="1"/>
  <c r="E47" i="16"/>
  <c r="AGF5" i="14"/>
  <c r="AGF6" i="14"/>
  <c r="AGF4" i="14"/>
  <c r="AGG2" i="14"/>
  <c r="SF4" i="14"/>
  <c r="SG2" i="14"/>
  <c r="SF5" i="14"/>
  <c r="SG5" i="14" l="1"/>
  <c r="G47" i="16"/>
  <c r="F47" i="16" s="1"/>
  <c r="N47" i="16" s="1"/>
  <c r="Q47" i="16"/>
  <c r="P47" i="16"/>
  <c r="SH2" i="14"/>
  <c r="SG4" i="14"/>
  <c r="AGG6" i="14"/>
  <c r="AGG5" i="14"/>
  <c r="AGH2" i="14"/>
  <c r="AGG4" i="14"/>
  <c r="SG6" i="14"/>
  <c r="SH6" i="14" s="1"/>
  <c r="L47" i="16" l="1"/>
  <c r="AGH6" i="14"/>
  <c r="AGH5" i="14"/>
  <c r="AGI2" i="14"/>
  <c r="AGH4" i="14"/>
  <c r="SH4" i="14"/>
  <c r="SI2" i="14"/>
  <c r="SH5" i="14"/>
  <c r="SI5" i="14" s="1"/>
  <c r="C48" i="16" l="1"/>
  <c r="E48" i="16"/>
  <c r="SI4" i="14"/>
  <c r="SJ2" i="14"/>
  <c r="SJ5" i="14" s="1"/>
  <c r="AGI4" i="14"/>
  <c r="AGI6" i="14"/>
  <c r="AGI5" i="14"/>
  <c r="AGJ2" i="14"/>
  <c r="SI6" i="14"/>
  <c r="SJ6" i="14" l="1"/>
  <c r="G48" i="16"/>
  <c r="F48" i="16" s="1"/>
  <c r="N48" i="16" s="1"/>
  <c r="Q48" i="16"/>
  <c r="P48" i="16"/>
  <c r="AGJ5" i="14"/>
  <c r="AGJ6" i="14"/>
  <c r="AGJ4" i="14"/>
  <c r="AGK2" i="14"/>
  <c r="SJ4" i="14"/>
  <c r="SK2" i="14"/>
  <c r="L48" i="16" l="1"/>
  <c r="SL2" i="14"/>
  <c r="SK4" i="14"/>
  <c r="AGK6" i="14"/>
  <c r="AGL2" i="14"/>
  <c r="AGK5" i="14"/>
  <c r="AGK4" i="14"/>
  <c r="SK6" i="14"/>
  <c r="SK5" i="14"/>
  <c r="SL5" i="14" s="1"/>
  <c r="SL6" i="14" l="1"/>
  <c r="E49" i="16"/>
  <c r="C49" i="16"/>
  <c r="AGL6" i="14"/>
  <c r="AGM2" i="14"/>
  <c r="AGL5" i="14"/>
  <c r="AGL4" i="14"/>
  <c r="SM2" i="14"/>
  <c r="SM5" i="14" s="1"/>
  <c r="SL4" i="14"/>
  <c r="SM6" i="14" l="1"/>
  <c r="P49" i="16"/>
  <c r="Q49" i="16"/>
  <c r="G49" i="16"/>
  <c r="F49" i="16" s="1"/>
  <c r="N49" i="16" s="1"/>
  <c r="AGM5" i="14"/>
  <c r="AGM4" i="14"/>
  <c r="AGM6" i="14"/>
  <c r="AGN2" i="14"/>
  <c r="SM4" i="14"/>
  <c r="SN2" i="14"/>
  <c r="L49" i="16" l="1"/>
  <c r="AGN5" i="14"/>
  <c r="AGN6" i="14"/>
  <c r="AGN4" i="14"/>
  <c r="AGO2" i="14"/>
  <c r="SN4" i="14"/>
  <c r="SO2" i="14"/>
  <c r="SN5" i="14"/>
  <c r="SO5" i="14" s="1"/>
  <c r="SN6" i="14"/>
  <c r="SO6" i="14" s="1"/>
  <c r="E50" i="16" l="1"/>
  <c r="C50" i="16"/>
  <c r="AGO6" i="14"/>
  <c r="AGP2" i="14"/>
  <c r="AGO4" i="14"/>
  <c r="AGO5" i="14"/>
  <c r="SP2" i="14"/>
  <c r="SP5" i="14" s="1"/>
  <c r="SO4" i="14"/>
  <c r="G50" i="16" l="1"/>
  <c r="F50" i="16" s="1"/>
  <c r="N50" i="16" s="1"/>
  <c r="SP4" i="14"/>
  <c r="SQ2" i="14"/>
  <c r="AGP6" i="14"/>
  <c r="AGQ2" i="14"/>
  <c r="AGP4" i="14"/>
  <c r="AGP5" i="14"/>
  <c r="SP6" i="14"/>
  <c r="SQ6" i="14" s="1"/>
  <c r="P50" i="16" l="1"/>
  <c r="Q50" i="16"/>
  <c r="L50" i="16"/>
  <c r="AGQ4" i="14"/>
  <c r="AGQ6" i="14"/>
  <c r="AGQ5" i="14"/>
  <c r="AGR2" i="14"/>
  <c r="SQ4" i="14"/>
  <c r="SR2" i="14"/>
  <c r="SQ5" i="14"/>
  <c r="SR5" i="14" s="1"/>
  <c r="C51" i="16" l="1"/>
  <c r="E51" i="16"/>
  <c r="SR4" i="14"/>
  <c r="SS2" i="14"/>
  <c r="SS5" i="14" s="1"/>
  <c r="AGR5" i="14"/>
  <c r="AGR6" i="14"/>
  <c r="AGR4" i="14"/>
  <c r="AGS2" i="14"/>
  <c r="SR6" i="14"/>
  <c r="SS6" i="14" l="1"/>
  <c r="G51" i="16"/>
  <c r="F51" i="16" s="1"/>
  <c r="N51" i="16" s="1"/>
  <c r="AGS6" i="14"/>
  <c r="AGS5" i="14"/>
  <c r="AGT2" i="14"/>
  <c r="AGS4" i="14"/>
  <c r="ST2" i="14"/>
  <c r="SS4" i="14"/>
  <c r="P51" i="16" l="1"/>
  <c r="Q51" i="16"/>
  <c r="L51" i="16"/>
  <c r="AGT6" i="14"/>
  <c r="AGU2" i="14"/>
  <c r="AGT4" i="14"/>
  <c r="AGT5" i="14"/>
  <c r="SU2" i="14"/>
  <c r="ST4" i="14"/>
  <c r="ST5" i="14"/>
  <c r="ST6" i="14"/>
  <c r="SU5" i="14" l="1"/>
  <c r="SU6" i="14"/>
  <c r="C52" i="16"/>
  <c r="E52" i="16"/>
  <c r="AGU4" i="14"/>
  <c r="AGU6" i="14"/>
  <c r="AGU5" i="14"/>
  <c r="AGV2" i="14"/>
  <c r="SU4" i="14"/>
  <c r="SV2" i="14"/>
  <c r="G52" i="16" l="1"/>
  <c r="F52" i="16" s="1"/>
  <c r="N52" i="16" s="1"/>
  <c r="Q52" i="16"/>
  <c r="P52" i="16"/>
  <c r="SV4" i="14"/>
  <c r="SW2" i="14"/>
  <c r="AGV5" i="14"/>
  <c r="AGV6" i="14"/>
  <c r="AGW2" i="14"/>
  <c r="AGV4" i="14"/>
  <c r="SV5" i="14"/>
  <c r="SW5" i="14" s="1"/>
  <c r="SV6" i="14"/>
  <c r="SW6" i="14" s="1"/>
  <c r="L52" i="16" l="1"/>
  <c r="AGW6" i="14"/>
  <c r="AGW5" i="14"/>
  <c r="AGX2" i="14"/>
  <c r="AGW4" i="14"/>
  <c r="SX2" i="14"/>
  <c r="SW4" i="14"/>
  <c r="E53" i="16" l="1"/>
  <c r="C53" i="16"/>
  <c r="SX5" i="14"/>
  <c r="AGX6" i="14"/>
  <c r="AGX5" i="14"/>
  <c r="AGY2" i="14"/>
  <c r="AGX4" i="14"/>
  <c r="SX4" i="14"/>
  <c r="SY2" i="14"/>
  <c r="SX6" i="14"/>
  <c r="SY6" i="14" s="1"/>
  <c r="P53" i="16" l="1"/>
  <c r="Q53" i="16"/>
  <c r="G53" i="16"/>
  <c r="F53" i="16" s="1"/>
  <c r="N53" i="16" s="1"/>
  <c r="SY5" i="14"/>
  <c r="AGY4" i="14"/>
  <c r="AGY6" i="14"/>
  <c r="AGY5" i="14"/>
  <c r="AGZ2" i="14"/>
  <c r="SY4" i="14"/>
  <c r="SZ2" i="14"/>
  <c r="L53" i="16" l="1"/>
  <c r="SZ4" i="14"/>
  <c r="TA2" i="14"/>
  <c r="SZ5" i="14"/>
  <c r="TA5" i="14" s="1"/>
  <c r="AGZ5" i="14"/>
  <c r="AGZ6" i="14"/>
  <c r="AGZ4" i="14"/>
  <c r="AHA2" i="14"/>
  <c r="SZ6" i="14"/>
  <c r="TA6" i="14" s="1"/>
  <c r="E54" i="16" l="1"/>
  <c r="C54" i="16"/>
  <c r="AHA6" i="14"/>
  <c r="AHA5" i="14"/>
  <c r="AHA4" i="14"/>
  <c r="TB2" i="14"/>
  <c r="TB4" i="14" s="1"/>
  <c r="TA4" i="14"/>
  <c r="Q54" i="16" l="1"/>
  <c r="P54" i="16"/>
  <c r="G54" i="16"/>
  <c r="F54" i="16" s="1"/>
  <c r="N54" i="16" s="1"/>
  <c r="TB5" i="14"/>
  <c r="TB6" i="14"/>
  <c r="L54" i="16" l="1"/>
  <c r="C55" i="16" l="1"/>
  <c r="E55" i="16"/>
  <c r="G55" i="16" l="1"/>
  <c r="F55" i="16" s="1"/>
  <c r="N55" i="16" s="1"/>
  <c r="P55" i="16"/>
  <c r="Q55" i="16"/>
  <c r="L55" i="16" l="1"/>
  <c r="C56" i="16" l="1"/>
  <c r="E56" i="16"/>
  <c r="G56" i="16" l="1"/>
  <c r="F56" i="16" s="1"/>
  <c r="N56" i="16" s="1"/>
  <c r="Q56" i="16"/>
  <c r="P56" i="16"/>
  <c r="L56" i="16" l="1"/>
  <c r="E57" i="16" l="1"/>
  <c r="C57" i="16"/>
  <c r="P57" i="16" l="1"/>
  <c r="Q57" i="16"/>
  <c r="G57" i="16"/>
  <c r="F57" i="16" s="1"/>
  <c r="N57" i="16" s="1"/>
  <c r="L57" i="16" l="1"/>
  <c r="E58" i="16" l="1"/>
  <c r="C58" i="16"/>
  <c r="Q58" i="16" l="1"/>
  <c r="P58" i="16"/>
  <c r="G58" i="16"/>
  <c r="F58" i="16" s="1"/>
  <c r="N58" i="16" s="1"/>
  <c r="L58" i="16" l="1"/>
  <c r="E59" i="16" l="1"/>
  <c r="C59" i="16"/>
  <c r="Q59" i="16" l="1"/>
  <c r="P59" i="16"/>
  <c r="G59" i="16"/>
  <c r="F59" i="16" s="1"/>
  <c r="N59" i="16" s="1"/>
  <c r="L59" i="16" l="1"/>
  <c r="E60" i="16" l="1"/>
  <c r="C60" i="16"/>
  <c r="Q60" i="16" l="1"/>
  <c r="P60" i="16"/>
  <c r="G60" i="16"/>
  <c r="F60" i="16" s="1"/>
  <c r="N60" i="16" s="1"/>
  <c r="L60" i="16" l="1"/>
  <c r="E61" i="16" l="1"/>
  <c r="C61" i="16"/>
  <c r="P61" i="16" l="1"/>
  <c r="Q61" i="16"/>
  <c r="G61" i="16"/>
  <c r="F61" i="16" s="1"/>
  <c r="N61" i="16" s="1"/>
  <c r="L61" i="16" l="1"/>
  <c r="E62" i="16" l="1"/>
  <c r="C62" i="16"/>
  <c r="G62" i="16" l="1"/>
  <c r="F62" i="16" s="1"/>
  <c r="N62" i="16" s="1"/>
  <c r="P62" i="16" l="1"/>
  <c r="Q62" i="16"/>
  <c r="L62" i="16"/>
  <c r="C63" i="16" l="1"/>
  <c r="E63" i="16"/>
  <c r="G63" i="16" l="1"/>
  <c r="F63" i="16" s="1"/>
  <c r="N63" i="16" s="1"/>
  <c r="Q63" i="16" l="1"/>
  <c r="P63" i="16"/>
  <c r="L63" i="16"/>
  <c r="C64" i="16" l="1"/>
  <c r="E64" i="16"/>
  <c r="G64" i="16" l="1"/>
  <c r="F64" i="16" s="1"/>
  <c r="N64" i="16" s="1"/>
  <c r="P64" i="16"/>
  <c r="Q64" i="16"/>
  <c r="L64" i="16" l="1"/>
  <c r="E65" i="16" l="1"/>
  <c r="C65" i="16"/>
  <c r="P65" i="16" l="1"/>
  <c r="Q65" i="16"/>
  <c r="G65" i="16"/>
  <c r="F65" i="16" s="1"/>
  <c r="N65" i="16" s="1"/>
  <c r="L65" i="16" l="1"/>
  <c r="E66" i="16" l="1"/>
  <c r="C66" i="16"/>
  <c r="P66" i="16" l="1"/>
  <c r="Q66" i="16"/>
  <c r="G66" i="16"/>
  <c r="D66" i="16" l="1"/>
  <c r="F66" i="16" s="1"/>
  <c r="N66" i="16" l="1"/>
  <c r="L66" i="16"/>
  <c r="C67" i="16" s="1"/>
  <c r="E67" i="16" l="1"/>
  <c r="G67" i="16" s="1"/>
  <c r="P67" i="16"/>
  <c r="Q67" i="16"/>
  <c r="D67" i="16" l="1"/>
  <c r="F67" i="16" s="1"/>
  <c r="N67" i="16" l="1"/>
  <c r="L67" i="16"/>
  <c r="C68" i="16" s="1"/>
  <c r="E68" i="16" l="1"/>
  <c r="G68" i="16" s="1"/>
  <c r="F68" i="16" s="1"/>
  <c r="N68" i="16" s="1"/>
  <c r="P68" i="16"/>
  <c r="Q68" i="16"/>
  <c r="L68" i="16" l="1"/>
  <c r="E69" i="16" l="1"/>
  <c r="C69" i="16"/>
  <c r="P69" i="16" l="1"/>
  <c r="Q69" i="16"/>
  <c r="G69" i="16"/>
  <c r="F69" i="16" s="1"/>
  <c r="N69" i="16" s="1"/>
  <c r="L69" i="16" l="1"/>
  <c r="E70" i="16" l="1"/>
  <c r="C70" i="16"/>
  <c r="Q70" i="16" l="1"/>
  <c r="P70" i="16"/>
  <c r="G70" i="16"/>
  <c r="F70" i="16" s="1"/>
  <c r="N70" i="16" s="1"/>
  <c r="L70" i="16" l="1"/>
  <c r="C71" i="16" l="1"/>
  <c r="E71" i="16"/>
  <c r="G71" i="16" l="1"/>
  <c r="F71" i="16" s="1"/>
  <c r="N71" i="16" s="1"/>
  <c r="Q71" i="16"/>
  <c r="P71" i="16"/>
  <c r="L71" i="16" l="1"/>
  <c r="C72" i="16" l="1"/>
  <c r="E72" i="16"/>
  <c r="G72" i="16" l="1"/>
  <c r="F72" i="16" s="1"/>
  <c r="N72" i="16" s="1"/>
  <c r="Q72" i="16"/>
  <c r="P72" i="16"/>
  <c r="L72" i="16" l="1"/>
  <c r="E73" i="16" l="1"/>
  <c r="C73" i="16"/>
  <c r="P73" i="16" l="1"/>
  <c r="Q73" i="16"/>
  <c r="G73" i="16"/>
  <c r="F73" i="16" s="1"/>
  <c r="N73" i="16" s="1"/>
  <c r="L73" i="16" l="1"/>
  <c r="E74" i="16" l="1"/>
  <c r="C74" i="16"/>
  <c r="G74" i="16" l="1"/>
  <c r="F74" i="16" s="1"/>
  <c r="N74" i="16" s="1"/>
  <c r="P74" i="16" l="1"/>
  <c r="Q74" i="16"/>
  <c r="L74" i="16"/>
  <c r="C75" i="16" l="1"/>
  <c r="E75" i="16"/>
  <c r="G75" i="16" l="1"/>
  <c r="F75" i="16" s="1"/>
  <c r="N75" i="16" s="1"/>
  <c r="P75" i="16" l="1"/>
  <c r="Q75" i="16"/>
  <c r="L75" i="16"/>
  <c r="C76" i="16" l="1"/>
  <c r="E76" i="16"/>
  <c r="G76" i="16" l="1"/>
  <c r="F76" i="16" s="1"/>
  <c r="N76" i="16" s="1"/>
  <c r="P76" i="16"/>
  <c r="Q76" i="16"/>
  <c r="L76" i="16" l="1"/>
  <c r="E77" i="16" l="1"/>
  <c r="C77" i="16"/>
  <c r="Q77" i="16" l="1"/>
  <c r="P77" i="16"/>
  <c r="G77" i="16"/>
  <c r="F77" i="16" s="1"/>
  <c r="N77" i="16" s="1"/>
  <c r="L77" i="16" l="1"/>
  <c r="E78" i="16" l="1"/>
  <c r="C78" i="16"/>
  <c r="P78" i="16" l="1"/>
  <c r="Q78" i="16"/>
  <c r="G78" i="16"/>
  <c r="F78" i="16" s="1"/>
  <c r="N78" i="16" s="1"/>
  <c r="L78" i="16" l="1"/>
  <c r="C79" i="16" l="1"/>
  <c r="E79" i="16"/>
  <c r="G79" i="16" l="1"/>
  <c r="F79" i="16" s="1"/>
  <c r="N79" i="16" s="1"/>
  <c r="Q79" i="16"/>
  <c r="P79" i="16"/>
  <c r="L79" i="16" l="1"/>
  <c r="C80" i="16" l="1"/>
  <c r="E80" i="16"/>
  <c r="G80" i="16" l="1"/>
  <c r="F80" i="16" s="1"/>
  <c r="N80" i="16" s="1"/>
  <c r="P80" i="16"/>
  <c r="Q80" i="16"/>
  <c r="L80" i="16" l="1"/>
  <c r="C81" i="16" l="1"/>
  <c r="E81" i="16"/>
  <c r="G81" i="16" l="1"/>
  <c r="F81" i="16" s="1"/>
  <c r="N81" i="16" s="1"/>
  <c r="P81" i="16"/>
  <c r="Q81" i="16"/>
  <c r="L81" i="16" l="1"/>
  <c r="E82" i="16" l="1"/>
  <c r="C82" i="16"/>
  <c r="Q82" i="16" l="1"/>
  <c r="P82" i="16"/>
  <c r="G82" i="16"/>
  <c r="F82" i="16" s="1"/>
  <c r="N82" i="16" s="1"/>
  <c r="L82" i="16" l="1"/>
  <c r="C83" i="16" l="1"/>
  <c r="E83" i="16"/>
  <c r="G83" i="16" l="1"/>
  <c r="F83" i="16" s="1"/>
  <c r="N83" i="16" s="1"/>
  <c r="Q83" i="16"/>
  <c r="P83" i="16"/>
  <c r="L83" i="16" l="1"/>
  <c r="C84" i="16" l="1"/>
  <c r="E84" i="16"/>
  <c r="G84" i="16" l="1"/>
  <c r="F84" i="16" s="1"/>
  <c r="N84" i="16" s="1"/>
  <c r="Q84" i="16"/>
  <c r="P84" i="16"/>
  <c r="L84" i="16" l="1"/>
  <c r="E85" i="16" l="1"/>
  <c r="C85" i="16"/>
  <c r="P85" i="16" l="1"/>
  <c r="Q85" i="16"/>
  <c r="G85" i="16"/>
  <c r="F85" i="16" s="1"/>
  <c r="N85" i="16" s="1"/>
  <c r="L85" i="16" l="1"/>
  <c r="E86" i="16" l="1"/>
  <c r="C86" i="16"/>
  <c r="Q86" i="16" l="1"/>
  <c r="G86" i="16"/>
  <c r="F86" i="16" s="1"/>
  <c r="N86" i="16" s="1"/>
  <c r="P86" i="16" l="1"/>
  <c r="L86" i="16"/>
  <c r="C87" i="16" l="1"/>
  <c r="E87" i="16"/>
  <c r="G87" i="16" l="1"/>
  <c r="F87" i="16" s="1"/>
  <c r="N87" i="16" s="1"/>
  <c r="Q87" i="16"/>
  <c r="P87" i="16" l="1"/>
  <c r="L87" i="16"/>
  <c r="C88" i="16" l="1"/>
  <c r="E88" i="16"/>
  <c r="G88" i="16" l="1"/>
  <c r="F88" i="16" s="1"/>
  <c r="N88" i="16" s="1"/>
  <c r="P88" i="16"/>
  <c r="Q88" i="16"/>
  <c r="L88" i="16" l="1"/>
  <c r="C89" i="16" l="1"/>
  <c r="E89" i="16"/>
  <c r="G89" i="16" l="1"/>
  <c r="F89" i="16" s="1"/>
  <c r="N89" i="16" s="1"/>
  <c r="P89" i="16" l="1"/>
  <c r="Q89" i="16"/>
  <c r="L89" i="16"/>
  <c r="C90" i="16" l="1"/>
  <c r="E90" i="16"/>
  <c r="G90" i="16" l="1"/>
  <c r="F90" i="16" s="1"/>
  <c r="N90" i="16" s="1"/>
  <c r="Q90" i="16"/>
  <c r="P90" i="16"/>
  <c r="L90" i="16" l="1"/>
  <c r="C91" i="16" l="1"/>
  <c r="E91" i="16"/>
  <c r="G91" i="16" l="1"/>
  <c r="F91" i="16" s="1"/>
  <c r="N91" i="16" s="1"/>
  <c r="Q91" i="16"/>
  <c r="P91" i="16"/>
  <c r="L91" i="16" l="1"/>
  <c r="C92" i="16" l="1"/>
  <c r="E92" i="16"/>
  <c r="G92" i="16" l="1"/>
  <c r="F92" i="16" s="1"/>
  <c r="N92" i="16" s="1"/>
  <c r="P92" i="16"/>
  <c r="Q92" i="16"/>
  <c r="L92" i="16" l="1"/>
  <c r="C93" i="16" l="1"/>
  <c r="E93" i="16"/>
  <c r="G93" i="16" l="1"/>
  <c r="Q93" i="16"/>
  <c r="P93" i="16"/>
  <c r="D93" i="16" l="1"/>
  <c r="F93" i="16" s="1"/>
  <c r="N93" i="16" l="1"/>
  <c r="L93" i="16"/>
  <c r="C94" i="16" s="1"/>
  <c r="E94" i="16" l="1"/>
  <c r="G94" i="16" s="1"/>
  <c r="Q94" i="16"/>
  <c r="D94" i="16" l="1"/>
  <c r="F94" i="16" s="1"/>
  <c r="P94" i="16" s="1"/>
  <c r="N94" i="16" l="1"/>
  <c r="L94" i="16"/>
  <c r="C95" i="16" s="1"/>
  <c r="E95" i="16" l="1"/>
  <c r="G95" i="16" s="1"/>
  <c r="F95" i="16" s="1"/>
  <c r="N95" i="16" s="1"/>
  <c r="Q95" i="16"/>
  <c r="P95" i="16"/>
  <c r="L95" i="16" l="1"/>
  <c r="C96" i="16" l="1"/>
  <c r="E96" i="16"/>
  <c r="G96" i="16" l="1"/>
  <c r="F96" i="16" s="1"/>
  <c r="N96" i="16" s="1"/>
  <c r="P96" i="16"/>
  <c r="Q96" i="16"/>
  <c r="L96" i="16" l="1"/>
  <c r="C97" i="16" l="1"/>
  <c r="E97" i="16"/>
  <c r="G97" i="16" l="1"/>
  <c r="F97" i="16" s="1"/>
  <c r="N97" i="16" s="1"/>
  <c r="Q97" i="16"/>
  <c r="P97" i="16"/>
  <c r="L97" i="16" l="1"/>
  <c r="C98" i="16" l="1"/>
  <c r="E98" i="16"/>
  <c r="G98" i="16" l="1"/>
  <c r="F98" i="16" s="1"/>
  <c r="N98" i="16" s="1"/>
  <c r="Q98" i="16"/>
  <c r="P98" i="16"/>
  <c r="L98" i="16" l="1"/>
  <c r="C99" i="16" l="1"/>
  <c r="E99" i="16"/>
  <c r="G99" i="16" l="1"/>
  <c r="F99" i="16" s="1"/>
  <c r="N99" i="16" s="1"/>
  <c r="Q99" i="16"/>
  <c r="P99" i="16"/>
  <c r="L99" i="16" l="1"/>
  <c r="C100" i="16" l="1"/>
  <c r="E100" i="16"/>
  <c r="G100" i="16" l="1"/>
  <c r="F100" i="16" s="1"/>
  <c r="N100" i="16" s="1"/>
  <c r="Q100" i="16"/>
  <c r="P100" i="16"/>
  <c r="L100" i="16" l="1"/>
  <c r="C101" i="16" l="1"/>
  <c r="E101" i="16"/>
  <c r="G101" i="16" l="1"/>
  <c r="F101" i="16" s="1"/>
  <c r="N101" i="16" s="1"/>
  <c r="Q101" i="16"/>
  <c r="P101" i="16"/>
  <c r="L101" i="16" l="1"/>
  <c r="C102" i="16" l="1"/>
  <c r="E102" i="16"/>
  <c r="G102" i="16" l="1"/>
  <c r="F102" i="16" s="1"/>
  <c r="N102" i="16" s="1"/>
  <c r="Q102" i="16"/>
  <c r="P102" i="16"/>
  <c r="L102" i="16" l="1"/>
  <c r="C103" i="16" l="1"/>
  <c r="E103" i="16"/>
  <c r="G103" i="16" l="1"/>
  <c r="F103" i="16" s="1"/>
  <c r="N103" i="16" s="1"/>
  <c r="Q103" i="16"/>
  <c r="P103" i="16"/>
  <c r="L103" i="16" l="1"/>
  <c r="C104" i="16" l="1"/>
  <c r="E104" i="16"/>
  <c r="G104" i="16" l="1"/>
  <c r="F104" i="16" s="1"/>
  <c r="N104" i="16" s="1"/>
  <c r="Q104" i="16"/>
  <c r="P104" i="16"/>
  <c r="L104" i="16" l="1"/>
  <c r="C105" i="16" l="1"/>
  <c r="E105" i="16"/>
  <c r="G105" i="16" l="1"/>
  <c r="F105" i="16" s="1"/>
  <c r="N105" i="16" s="1"/>
  <c r="Q105" i="16"/>
  <c r="P105" i="16"/>
  <c r="L105" i="16" l="1"/>
  <c r="C106" i="16" l="1"/>
  <c r="E106" i="16"/>
  <c r="G106" i="16" l="1"/>
  <c r="F106" i="16" s="1"/>
  <c r="N106" i="16" s="1"/>
  <c r="Q106" i="16"/>
  <c r="P106" i="16"/>
  <c r="L106" i="16" l="1"/>
  <c r="E107" i="16" l="1"/>
  <c r="C107" i="16"/>
  <c r="G107" i="16" l="1"/>
  <c r="F107" i="16" s="1"/>
  <c r="N107" i="16" s="1"/>
  <c r="P107" i="16" l="1"/>
  <c r="Q107" i="16"/>
  <c r="L107" i="16"/>
  <c r="E108" i="16" l="1"/>
  <c r="C108" i="16"/>
  <c r="Q108" i="16" l="1"/>
  <c r="P108" i="16"/>
  <c r="G108" i="16"/>
  <c r="F108" i="16" s="1"/>
  <c r="N108" i="16" s="1"/>
  <c r="L108" i="16" l="1"/>
  <c r="E109" i="16" l="1"/>
  <c r="C109" i="16"/>
  <c r="Q109" i="16" l="1"/>
  <c r="P109" i="16"/>
  <c r="G109" i="16"/>
  <c r="F109" i="16" s="1"/>
  <c r="N109" i="16" s="1"/>
  <c r="L109" i="16" l="1"/>
  <c r="E110" i="16" l="1"/>
  <c r="C110" i="16"/>
  <c r="P110" i="16" l="1"/>
  <c r="Q110" i="16"/>
  <c r="G110" i="16"/>
  <c r="F110" i="16" s="1"/>
  <c r="N110" i="16" s="1"/>
  <c r="L110" i="16" l="1"/>
  <c r="E111" i="16" l="1"/>
  <c r="C111" i="16"/>
  <c r="G111" i="16" l="1"/>
  <c r="F111" i="16" s="1"/>
  <c r="N111" i="16" s="1"/>
  <c r="P111" i="16" l="1"/>
  <c r="Q111" i="16"/>
  <c r="L111" i="16"/>
  <c r="E112" i="16" l="1"/>
  <c r="C112" i="16"/>
  <c r="G112" i="16" l="1"/>
  <c r="F112" i="16" s="1"/>
  <c r="N112" i="16" s="1"/>
  <c r="P112" i="16" l="1"/>
  <c r="Q112" i="16"/>
  <c r="L112" i="16"/>
  <c r="E113" i="16" l="1"/>
  <c r="C113" i="16"/>
  <c r="Q113" i="16" l="1"/>
  <c r="P113" i="16"/>
  <c r="G113" i="16"/>
  <c r="F113" i="16" s="1"/>
  <c r="N113" i="16" s="1"/>
  <c r="L113" i="16" l="1"/>
  <c r="E114" i="16" l="1"/>
  <c r="C114" i="16"/>
  <c r="Q114" i="16" l="1"/>
  <c r="P114" i="16"/>
  <c r="G114" i="16"/>
  <c r="F114" i="16" s="1"/>
  <c r="N114" i="16" s="1"/>
  <c r="L114" i="16" l="1"/>
  <c r="E115" i="16" l="1"/>
  <c r="C115" i="16"/>
  <c r="Q115" i="16" l="1"/>
  <c r="P115" i="16"/>
  <c r="G115" i="16"/>
  <c r="F115" i="16" s="1"/>
  <c r="N115" i="16" s="1"/>
  <c r="L115" i="16" l="1"/>
  <c r="E116" i="16" l="1"/>
  <c r="C116" i="16"/>
  <c r="Q116" i="16" l="1"/>
  <c r="P116" i="16"/>
  <c r="G116" i="16"/>
  <c r="F116" i="16" s="1"/>
  <c r="N116" i="16" s="1"/>
  <c r="L116" i="16" l="1"/>
  <c r="E117" i="16" l="1"/>
  <c r="C117" i="16"/>
  <c r="Q117" i="16" l="1"/>
  <c r="P117" i="16"/>
  <c r="G117" i="16"/>
  <c r="F117" i="16" s="1"/>
  <c r="N117" i="16" s="1"/>
  <c r="L117" i="16" l="1"/>
  <c r="E118" i="16" l="1"/>
  <c r="C118" i="16"/>
  <c r="Q118" i="16" l="1"/>
  <c r="P118" i="16"/>
  <c r="G118" i="16"/>
  <c r="F118" i="16" s="1"/>
  <c r="N118" i="16" s="1"/>
  <c r="L118" i="16" l="1"/>
  <c r="E119" i="16" l="1"/>
  <c r="C119" i="16"/>
  <c r="Q119" i="16" l="1"/>
  <c r="P119" i="16"/>
  <c r="G119" i="16"/>
  <c r="F119" i="16" s="1"/>
  <c r="N119" i="16" s="1"/>
  <c r="L119" i="16" l="1"/>
  <c r="E120" i="16" l="1"/>
  <c r="C120" i="16"/>
  <c r="Q120" i="16" l="1"/>
  <c r="P120" i="16"/>
  <c r="G120" i="16"/>
  <c r="F120" i="16" s="1"/>
  <c r="N120" i="16" s="1"/>
  <c r="L120" i="16" l="1"/>
  <c r="E121" i="16" l="1"/>
  <c r="C121" i="16"/>
  <c r="Q121" i="16" l="1"/>
  <c r="P121" i="16"/>
  <c r="G121" i="16"/>
  <c r="F121" i="16" s="1"/>
  <c r="N121" i="16" s="1"/>
  <c r="L121" i="16" l="1"/>
  <c r="E122" i="16" l="1"/>
  <c r="C122" i="16"/>
  <c r="P122" i="16" l="1"/>
  <c r="Q122" i="16"/>
  <c r="G122" i="16"/>
  <c r="F122" i="16" s="1"/>
  <c r="N122" i="16" s="1"/>
  <c r="L122" i="16" l="1"/>
  <c r="E123" i="16" l="1"/>
  <c r="C123" i="16"/>
  <c r="G123" i="16" l="1"/>
  <c r="F123" i="16" s="1"/>
  <c r="N123" i="16" s="1"/>
  <c r="P123" i="16" l="1"/>
  <c r="Q123" i="16"/>
  <c r="L123" i="16"/>
  <c r="E124" i="16" l="1"/>
  <c r="C124" i="16"/>
  <c r="Q124" i="16" l="1"/>
  <c r="P124" i="16"/>
  <c r="G124" i="16"/>
  <c r="F124" i="16" s="1"/>
  <c r="N124" i="16" s="1"/>
  <c r="L124" i="16" l="1"/>
  <c r="E125" i="16" l="1"/>
  <c r="C125" i="16"/>
  <c r="Q125" i="16" l="1"/>
  <c r="P125" i="16"/>
  <c r="G125" i="16"/>
  <c r="F125" i="16" s="1"/>
  <c r="N125" i="16" s="1"/>
  <c r="L125" i="16" l="1"/>
  <c r="E126" i="16" l="1"/>
  <c r="C126" i="16"/>
  <c r="Q126" i="16" l="1"/>
  <c r="P126" i="16"/>
  <c r="G126" i="16"/>
  <c r="F126" i="16" s="1"/>
  <c r="N126" i="16" s="1"/>
  <c r="L126" i="16" l="1"/>
  <c r="E127" i="16" l="1"/>
  <c r="C127" i="16"/>
  <c r="Q127" i="16" l="1"/>
  <c r="P127" i="16"/>
  <c r="G127" i="16"/>
  <c r="F127" i="16" s="1"/>
  <c r="N127" i="16" s="1"/>
  <c r="L127" i="16" l="1"/>
  <c r="E128" i="16" l="1"/>
  <c r="C128" i="16"/>
  <c r="Q128" i="16" l="1"/>
  <c r="P128" i="16"/>
  <c r="G128" i="16"/>
  <c r="F128" i="16" s="1"/>
  <c r="N128" i="16" s="1"/>
  <c r="L128" i="16" l="1"/>
  <c r="E129" i="16" l="1"/>
  <c r="C129" i="16"/>
  <c r="Q129" i="16" l="1"/>
  <c r="P129" i="16"/>
  <c r="G129" i="16"/>
  <c r="F129" i="16" s="1"/>
  <c r="N129" i="16" s="1"/>
  <c r="L129" i="16" l="1"/>
  <c r="E130" i="16" l="1"/>
  <c r="C130" i="16"/>
  <c r="Q130" i="16" l="1"/>
  <c r="P130" i="16"/>
  <c r="G130" i="16"/>
  <c r="F130" i="16" s="1"/>
  <c r="N130" i="16" s="1"/>
  <c r="L130" i="16" l="1"/>
  <c r="E131" i="16" l="1"/>
  <c r="C131" i="16"/>
  <c r="Q131" i="16" l="1"/>
  <c r="P131" i="16"/>
  <c r="G131" i="16"/>
  <c r="F131" i="16" s="1"/>
  <c r="N131" i="16" s="1"/>
  <c r="L131" i="16" l="1"/>
  <c r="E132" i="16" l="1"/>
  <c r="C132" i="16"/>
  <c r="Q132" i="16" l="1"/>
  <c r="P132" i="16"/>
  <c r="G132" i="16"/>
  <c r="F132" i="16" s="1"/>
  <c r="N132" i="16" s="1"/>
  <c r="L132" i="16" l="1"/>
  <c r="E133" i="16" l="1"/>
  <c r="C133" i="16"/>
  <c r="Q133" i="16" l="1"/>
  <c r="P133" i="16"/>
  <c r="G133" i="16"/>
  <c r="F133" i="16" s="1"/>
  <c r="N133" i="16" s="1"/>
  <c r="L133" i="16" l="1"/>
  <c r="E134" i="16" l="1"/>
  <c r="C134" i="16"/>
  <c r="G134" i="16" l="1"/>
  <c r="F134" i="16" s="1"/>
  <c r="N134" i="16" s="1"/>
  <c r="Q134" i="16" l="1"/>
  <c r="P134" i="16"/>
  <c r="L134" i="16"/>
  <c r="E135" i="16" l="1"/>
  <c r="C135" i="16"/>
  <c r="G135" i="16" l="1"/>
  <c r="Q135" i="16" s="1"/>
  <c r="D135" i="16" l="1"/>
  <c r="F135" i="16" l="1"/>
  <c r="P135" i="16" s="1"/>
  <c r="N135" i="16" l="1"/>
  <c r="N197" i="16" s="1"/>
  <c r="L135" i="16"/>
  <c r="E136" i="16" l="1"/>
  <c r="G136" i="16" s="1"/>
  <c r="C136" i="16"/>
  <c r="D136" i="16" l="1"/>
  <c r="Q136" i="16"/>
  <c r="F136" i="16" l="1"/>
  <c r="P136" i="16" s="1"/>
  <c r="N136" i="16" l="1"/>
  <c r="L136" i="16"/>
  <c r="E137" i="16" l="1"/>
  <c r="G137" i="16" s="1"/>
  <c r="F137" i="16" s="1"/>
  <c r="N137" i="16" s="1"/>
  <c r="C137" i="16"/>
  <c r="P137" i="16" l="1"/>
  <c r="Q137" i="16"/>
  <c r="L137" i="16"/>
  <c r="C138" i="16" l="1"/>
  <c r="E138" i="16"/>
  <c r="G138" i="16" s="1"/>
  <c r="F138" i="16" l="1"/>
  <c r="N138" i="16" s="1"/>
  <c r="Q138" i="16"/>
  <c r="P138" i="16"/>
  <c r="L138" i="16" l="1"/>
  <c r="C139" i="16" s="1"/>
  <c r="Q139" i="16" s="1"/>
  <c r="E139" i="16" l="1"/>
  <c r="G139" i="16" s="1"/>
  <c r="F139" i="16" s="1"/>
  <c r="N139" i="16" s="1"/>
  <c r="P139" i="16"/>
  <c r="L139" i="16" l="1"/>
  <c r="E140" i="16" s="1"/>
  <c r="G140" i="16" s="1"/>
  <c r="F140" i="16" s="1"/>
  <c r="N140" i="16" s="1"/>
  <c r="C140" i="16" l="1"/>
  <c r="Q140" i="16" s="1"/>
  <c r="L140" i="16"/>
  <c r="E141" i="16" s="1"/>
  <c r="G141" i="16" s="1"/>
  <c r="P140" i="16" l="1"/>
  <c r="C141" i="16"/>
  <c r="F141" i="16"/>
  <c r="N141" i="16" s="1"/>
  <c r="P141" i="16" l="1"/>
  <c r="Q141" i="16"/>
  <c r="L141" i="16"/>
  <c r="E142" i="16" l="1"/>
  <c r="G142" i="16" s="1"/>
  <c r="F142" i="16" s="1"/>
  <c r="N142" i="16" s="1"/>
  <c r="C142" i="16"/>
  <c r="Q142" i="16" l="1"/>
  <c r="P142" i="16"/>
  <c r="L142" i="16"/>
  <c r="C143" i="16" l="1"/>
  <c r="E143" i="16"/>
  <c r="G143" i="16" s="1"/>
  <c r="F143" i="16" s="1"/>
  <c r="N143" i="16" s="1"/>
  <c r="L143" i="16" l="1"/>
  <c r="Q143" i="16"/>
  <c r="P143" i="16"/>
  <c r="E144" i="16" l="1"/>
  <c r="G144" i="16" s="1"/>
  <c r="F144" i="16" s="1"/>
  <c r="N144" i="16" s="1"/>
  <c r="C144" i="16"/>
  <c r="Q144" i="16" l="1"/>
  <c r="P144" i="16"/>
  <c r="L144" i="16"/>
  <c r="E145" i="16" l="1"/>
  <c r="G145" i="16" s="1"/>
  <c r="F145" i="16" s="1"/>
  <c r="N145" i="16" s="1"/>
  <c r="C145" i="16"/>
  <c r="P145" i="16" l="1"/>
  <c r="Q145" i="16"/>
  <c r="L145" i="16"/>
  <c r="C146" i="16" l="1"/>
  <c r="E146" i="16"/>
  <c r="G146" i="16" s="1"/>
  <c r="F146" i="16" s="1"/>
  <c r="N146" i="16" s="1"/>
  <c r="L146" i="16" l="1"/>
  <c r="C147" i="16" s="1"/>
  <c r="P146" i="16"/>
  <c r="Q146" i="16"/>
  <c r="Q147" i="16" l="1"/>
  <c r="E147" i="16"/>
  <c r="G147" i="16" s="1"/>
  <c r="F147" i="16" s="1"/>
  <c r="N147" i="16" l="1"/>
  <c r="P147" i="16"/>
  <c r="L147" i="16"/>
  <c r="C148" i="16" s="1"/>
  <c r="P148" i="16" s="1"/>
  <c r="Q148" i="16" l="1"/>
  <c r="E148" i="16"/>
  <c r="G148" i="16" s="1"/>
  <c r="F148" i="16" s="1"/>
  <c r="N148" i="16" s="1"/>
  <c r="L148" i="16" l="1"/>
  <c r="C149" i="16" l="1"/>
  <c r="E149" i="16"/>
  <c r="G149" i="16" s="1"/>
  <c r="F149" i="16" s="1"/>
  <c r="N149" i="16" s="1"/>
  <c r="L149" i="16" l="1"/>
  <c r="C150" i="16" s="1"/>
  <c r="Q150" i="16" s="1"/>
  <c r="P149" i="16"/>
  <c r="Q149" i="16"/>
  <c r="E150" i="16" l="1"/>
  <c r="G150" i="16" s="1"/>
  <c r="F150" i="16" s="1"/>
  <c r="N150" i="16" s="1"/>
  <c r="P150" i="16"/>
  <c r="L150" i="16" l="1"/>
  <c r="E151" i="16" s="1"/>
  <c r="G151" i="16" s="1"/>
  <c r="F151" i="16" l="1"/>
  <c r="N151" i="16" s="1"/>
  <c r="C151" i="16"/>
  <c r="Q151" i="16" s="1"/>
  <c r="L151" i="16" l="1"/>
  <c r="C152" i="16" s="1"/>
  <c r="P151" i="16"/>
  <c r="P152" i="16" l="1"/>
  <c r="E152" i="16"/>
  <c r="G152" i="16" s="1"/>
  <c r="F152" i="16" s="1"/>
  <c r="N152" i="16" s="1"/>
  <c r="Q152" i="16"/>
  <c r="L152" i="16" l="1"/>
  <c r="C153" i="16" s="1"/>
  <c r="Q153" i="16" s="1"/>
  <c r="E153" i="16" l="1"/>
  <c r="G153" i="16" s="1"/>
  <c r="F153" i="16" s="1"/>
  <c r="N153" i="16" s="1"/>
  <c r="P153" i="16"/>
  <c r="L153" i="16" l="1"/>
  <c r="E154" i="16" s="1"/>
  <c r="G154" i="16" s="1"/>
  <c r="C154" i="16" l="1"/>
  <c r="Q154" i="16" s="1"/>
  <c r="F154" i="16"/>
  <c r="N154" i="16" s="1"/>
  <c r="L154" i="16" l="1"/>
  <c r="C155" i="16" s="1"/>
  <c r="P154" i="16"/>
  <c r="E155" i="16" l="1"/>
  <c r="G155" i="16" s="1"/>
  <c r="F155" i="16" s="1"/>
  <c r="N155" i="16" s="1"/>
  <c r="P155" i="16" l="1"/>
  <c r="Q155" i="16"/>
  <c r="L155" i="16"/>
  <c r="C156" i="16" s="1"/>
  <c r="P156" i="16" s="1"/>
  <c r="E156" i="16" l="1"/>
  <c r="G156" i="16" s="1"/>
  <c r="F156" i="16" s="1"/>
  <c r="N156" i="16" s="1"/>
  <c r="Q156" i="16"/>
  <c r="L156" i="16" l="1"/>
  <c r="C157" i="16" s="1"/>
  <c r="P157" i="16" s="1"/>
  <c r="Q157" i="16" l="1"/>
  <c r="E157" i="16"/>
  <c r="G157" i="16" s="1"/>
  <c r="F157" i="16" s="1"/>
  <c r="N157" i="16" s="1"/>
  <c r="L157" i="16" l="1"/>
  <c r="C158" i="16" s="1"/>
  <c r="P158" i="16" s="1"/>
  <c r="Q158" i="16" l="1"/>
  <c r="E158" i="16"/>
  <c r="G158" i="16" s="1"/>
  <c r="F158" i="16" s="1"/>
  <c r="N158" i="16" s="1"/>
  <c r="L158" i="16" l="1"/>
  <c r="E159" i="16" s="1"/>
  <c r="G159" i="16" s="1"/>
  <c r="C159" i="16" l="1"/>
  <c r="P159" i="16" s="1"/>
  <c r="F159" i="16"/>
  <c r="N159" i="16" s="1"/>
  <c r="Q159" i="16" l="1"/>
  <c r="L159" i="16"/>
  <c r="C160" i="16" s="1"/>
  <c r="P160" i="16" s="1"/>
  <c r="Q160" i="16" l="1"/>
  <c r="E160" i="16"/>
  <c r="G160" i="16" s="1"/>
  <c r="F160" i="16" s="1"/>
  <c r="N160" i="16" s="1"/>
  <c r="L160" i="16" l="1"/>
  <c r="E161" i="16" s="1"/>
  <c r="G161" i="16" s="1"/>
  <c r="C161" i="16" l="1"/>
  <c r="P161" i="16" s="1"/>
  <c r="F161" i="16"/>
  <c r="N161" i="16" s="1"/>
  <c r="Q161" i="16" l="1"/>
  <c r="L161" i="16"/>
  <c r="E162" i="16" s="1"/>
  <c r="G162" i="16" s="1"/>
  <c r="C162" i="16" l="1"/>
  <c r="Q162" i="16" s="1"/>
  <c r="F162" i="16"/>
  <c r="N162" i="16" s="1"/>
  <c r="P162" i="16" l="1"/>
  <c r="L162" i="16"/>
  <c r="E163" i="16" s="1"/>
  <c r="G163" i="16" s="1"/>
  <c r="C163" i="16" l="1"/>
  <c r="F163" i="16"/>
  <c r="N163" i="16" s="1"/>
  <c r="Q163" i="16" l="1"/>
  <c r="P163" i="16"/>
  <c r="L163" i="16"/>
  <c r="E164" i="16" l="1"/>
  <c r="G164" i="16" s="1"/>
  <c r="F164" i="16" s="1"/>
  <c r="N164" i="16" s="1"/>
  <c r="C164" i="16"/>
  <c r="Q164" i="16" l="1"/>
  <c r="P164" i="16"/>
  <c r="L164" i="16"/>
  <c r="C165" i="16" l="1"/>
  <c r="E165" i="16"/>
  <c r="G165" i="16" s="1"/>
  <c r="G197" i="16" s="1"/>
  <c r="D165" i="16" l="1"/>
  <c r="F165" i="16" s="1"/>
  <c r="R20" i="4"/>
  <c r="D197" i="16"/>
  <c r="R21" i="4" s="1"/>
  <c r="R22" i="4" s="1"/>
  <c r="D10" i="16"/>
  <c r="P165" i="16"/>
  <c r="Q165" i="16"/>
  <c r="N165" i="16" l="1"/>
  <c r="R9" i="16"/>
  <c r="L165" i="16"/>
  <c r="C166" i="16" s="1"/>
  <c r="F166" i="16" l="1"/>
  <c r="N166" i="16" s="1"/>
  <c r="E166" i="16"/>
  <c r="P166" i="16"/>
  <c r="Q166" i="16"/>
  <c r="L166" i="16" l="1"/>
  <c r="E167" i="16" s="1"/>
  <c r="C167" i="16" l="1"/>
  <c r="F167" i="16"/>
  <c r="N167" i="16" s="1"/>
  <c r="P167" i="16" l="1"/>
  <c r="Q167" i="16"/>
  <c r="L167" i="16"/>
  <c r="C168" i="16" s="1"/>
  <c r="Q168" i="16" s="1"/>
  <c r="F168" i="16" l="1"/>
  <c r="N168" i="16" s="1"/>
  <c r="P168" i="16"/>
  <c r="E168" i="16"/>
  <c r="L168" i="16" l="1"/>
  <c r="E169" i="16" s="1"/>
  <c r="C169" i="16" l="1"/>
  <c r="Q169" i="16" s="1"/>
  <c r="F169" i="16"/>
  <c r="N169" i="16" s="1"/>
  <c r="P169" i="16" l="1"/>
  <c r="L169" i="16"/>
  <c r="E170" i="16" s="1"/>
  <c r="F170" i="16" l="1"/>
  <c r="N170" i="16" s="1"/>
  <c r="C170" i="16"/>
  <c r="P170" i="16" s="1"/>
  <c r="L170" i="16" l="1"/>
  <c r="E171" i="16" s="1"/>
  <c r="Q170" i="16"/>
  <c r="F171" i="16"/>
  <c r="N171" i="16" s="1"/>
  <c r="C171" i="16"/>
  <c r="P171" i="16" s="1"/>
  <c r="L171" i="16" l="1"/>
  <c r="C172" i="16" s="1"/>
  <c r="Q171" i="16"/>
  <c r="F172" i="16" l="1"/>
  <c r="N172" i="16" s="1"/>
  <c r="E172" i="16"/>
  <c r="P172" i="16"/>
  <c r="Q172" i="16"/>
  <c r="L172" i="16" l="1"/>
  <c r="E173" i="16" s="1"/>
  <c r="F173" i="16" l="1"/>
  <c r="N173" i="16" s="1"/>
  <c r="C173" i="16"/>
  <c r="Q173" i="16" s="1"/>
  <c r="L173" i="16" l="1"/>
  <c r="C174" i="16" s="1"/>
  <c r="P173" i="16"/>
  <c r="F174" i="16" l="1"/>
  <c r="N174" i="16" s="1"/>
  <c r="E174" i="16"/>
  <c r="Q174" i="16"/>
  <c r="P174" i="16"/>
  <c r="L174" i="16" l="1"/>
  <c r="E175" i="16" s="1"/>
  <c r="F175" i="16" l="1"/>
  <c r="N175" i="16" s="1"/>
  <c r="C175" i="16"/>
  <c r="Q175" i="16" s="1"/>
  <c r="L175" i="16" l="1"/>
  <c r="E176" i="16" s="1"/>
  <c r="P175" i="16"/>
  <c r="C176" i="16" l="1"/>
  <c r="P176" i="16" s="1"/>
  <c r="F176" i="16"/>
  <c r="N176" i="16" s="1"/>
  <c r="L176" i="16" l="1"/>
  <c r="C177" i="16" s="1"/>
  <c r="Q176" i="16"/>
  <c r="F177" i="16" l="1"/>
  <c r="N177" i="16" s="1"/>
  <c r="E177" i="16"/>
  <c r="Q177" i="16"/>
  <c r="P177" i="16"/>
  <c r="L177" i="16" l="1"/>
  <c r="C178" i="16" s="1"/>
  <c r="F178" i="16" l="1"/>
  <c r="N178" i="16" s="1"/>
  <c r="E178" i="16"/>
  <c r="Q178" i="16"/>
  <c r="P178" i="16"/>
  <c r="L178" i="16" l="1"/>
  <c r="C179" i="16" s="1"/>
  <c r="F179" i="16" l="1"/>
  <c r="N179" i="16" s="1"/>
  <c r="E179" i="16"/>
  <c r="P179" i="16"/>
  <c r="Q179" i="16"/>
  <c r="L179" i="16" l="1"/>
  <c r="C180" i="16" s="1"/>
  <c r="E180" i="16" l="1"/>
  <c r="F180" i="16"/>
  <c r="N180" i="16" s="1"/>
  <c r="P180" i="16"/>
  <c r="Q180" i="16"/>
  <c r="L180" i="16" l="1"/>
  <c r="C181" i="16" s="1"/>
  <c r="Q181" i="16" s="1"/>
  <c r="P181" i="16" l="1"/>
  <c r="E181" i="16"/>
  <c r="F181" i="16"/>
  <c r="N181" i="16" s="1"/>
  <c r="L181" i="16" l="1"/>
  <c r="C182" i="16" s="1"/>
  <c r="P182" i="16" s="1"/>
  <c r="E182" i="16" l="1"/>
  <c r="Q182" i="16"/>
  <c r="F182" i="16"/>
  <c r="N182" i="16" s="1"/>
  <c r="L182" i="16" l="1"/>
  <c r="E183" i="16" s="1"/>
  <c r="C183" i="16" l="1"/>
  <c r="Q183" i="16" s="1"/>
  <c r="F183" i="16"/>
  <c r="N183" i="16" s="1"/>
  <c r="P183" i="16" l="1"/>
  <c r="L183" i="16"/>
  <c r="E184" i="16" s="1"/>
  <c r="F184" i="16" l="1"/>
  <c r="N184" i="16" s="1"/>
  <c r="C184" i="16"/>
  <c r="Q184" i="16" s="1"/>
  <c r="L184" i="16" l="1"/>
  <c r="E185" i="16" s="1"/>
  <c r="P184" i="16"/>
  <c r="C185" i="16" l="1"/>
  <c r="Q185" i="16" s="1"/>
  <c r="F185" i="16"/>
  <c r="N185" i="16" s="1"/>
  <c r="P185" i="16" l="1"/>
  <c r="L185" i="16"/>
  <c r="C186" i="16" s="1"/>
  <c r="Q186" i="16" s="1"/>
  <c r="F186" i="16" l="1"/>
  <c r="N186" i="16" s="1"/>
  <c r="E186" i="16"/>
  <c r="P186" i="16"/>
  <c r="L186" i="16" l="1"/>
  <c r="C187" i="16" s="1"/>
  <c r="Q187" i="16" s="1"/>
  <c r="F187" i="16" l="1"/>
  <c r="N187" i="16" s="1"/>
  <c r="P187" i="16"/>
  <c r="E187" i="16"/>
  <c r="L187" i="16" l="1"/>
  <c r="E188" i="16" s="1"/>
  <c r="F188" i="16" l="1"/>
  <c r="N188" i="16" s="1"/>
  <c r="C188" i="16"/>
  <c r="P188" i="16" s="1"/>
  <c r="L188" i="16" l="1"/>
  <c r="E189" i="16" s="1"/>
  <c r="Q188" i="16"/>
  <c r="F189" i="16"/>
  <c r="N189" i="16" s="1"/>
  <c r="C189" i="16"/>
  <c r="Q189" i="16" s="1"/>
  <c r="L189" i="16" l="1"/>
  <c r="E190" i="16" s="1"/>
  <c r="P189" i="16"/>
  <c r="F190" i="16" l="1"/>
  <c r="N190" i="16" s="1"/>
  <c r="C190" i="16"/>
  <c r="P190" i="16" s="1"/>
  <c r="L190" i="16" l="1"/>
  <c r="C191" i="16" s="1"/>
  <c r="Q190" i="16"/>
  <c r="F191" i="16" l="1"/>
  <c r="N191" i="16" s="1"/>
  <c r="E191" i="16"/>
  <c r="Q191" i="16"/>
  <c r="P191" i="16"/>
  <c r="L191" i="16" l="1"/>
  <c r="E192" i="16" s="1"/>
  <c r="F192" i="16" l="1"/>
  <c r="N192" i="16" s="1"/>
  <c r="C192" i="16"/>
  <c r="P192" i="16" s="1"/>
  <c r="L192" i="16" l="1"/>
  <c r="C193" i="16" s="1"/>
  <c r="Q193" i="16" s="1"/>
  <c r="Q192" i="16"/>
  <c r="F193" i="16" l="1"/>
  <c r="N193" i="16" s="1"/>
  <c r="E193" i="16"/>
  <c r="P193" i="16"/>
  <c r="L193" i="16" l="1"/>
  <c r="E194" i="16" s="1"/>
  <c r="F194" i="16" l="1"/>
  <c r="N194" i="16" s="1"/>
  <c r="C194" i="16"/>
  <c r="Q194" i="16" s="1"/>
  <c r="L194" i="16" l="1"/>
  <c r="C195" i="16" s="1"/>
  <c r="P195" i="16" s="1"/>
  <c r="P194" i="16"/>
  <c r="F195" i="16"/>
  <c r="F197" i="16" s="1"/>
  <c r="E195" i="16"/>
  <c r="P197" i="16" l="1"/>
  <c r="Q195" i="16"/>
  <c r="Q197" i="16" s="1"/>
  <c r="N195" i="16"/>
  <c r="L195" i="16"/>
  <c r="D94" i="15"/>
  <c r="D94" i="5"/>
  <c r="D93" i="5" l="1"/>
  <c r="D93" i="15" l="1"/>
  <c r="D33" i="5" l="1"/>
  <c r="D33" i="15" l="1"/>
  <c r="H137" i="5" l="1"/>
  <c r="G138" i="5" l="1"/>
  <c r="H138" i="5" l="1"/>
  <c r="G139" i="5" l="1"/>
  <c r="H139" i="5" l="1"/>
  <c r="G140" i="5" l="1"/>
  <c r="H140" i="5" l="1"/>
  <c r="G141" i="5" l="1"/>
  <c r="H141" i="5" l="1"/>
  <c r="G142" i="5" l="1"/>
  <c r="H142" i="5" s="1"/>
  <c r="G143" i="5" l="1"/>
  <c r="H143" i="5" s="1"/>
  <c r="G144" i="5" l="1"/>
  <c r="H144" i="5" s="1"/>
  <c r="G145" i="5" l="1"/>
  <c r="H145" i="5" s="1"/>
  <c r="G146" i="5" l="1"/>
  <c r="H146" i="5" s="1"/>
  <c r="G147" i="5" l="1"/>
  <c r="H147" i="5" s="1"/>
  <c r="G148" i="5" l="1"/>
  <c r="H148" i="5" s="1"/>
  <c r="G149" i="5" l="1"/>
  <c r="H149" i="5" s="1"/>
  <c r="G150" i="5" l="1"/>
  <c r="H150" i="5" s="1"/>
  <c r="G151" i="5" l="1"/>
  <c r="H151" i="5" s="1"/>
  <c r="G152" i="5" l="1"/>
  <c r="H152" i="5" s="1"/>
  <c r="G153" i="5" l="1"/>
  <c r="H153" i="5" s="1"/>
  <c r="G154" i="5" l="1"/>
  <c r="H154" i="5" s="1"/>
  <c r="G155" i="5" l="1"/>
  <c r="H155" i="5" s="1"/>
  <c r="G156" i="5" l="1"/>
  <c r="H156" i="5" s="1"/>
  <c r="G157" i="5" l="1"/>
  <c r="H157" i="5" s="1"/>
  <c r="G158" i="5" l="1"/>
  <c r="H158" i="5" s="1"/>
  <c r="G159" i="5" l="1"/>
  <c r="H159" i="5" s="1"/>
  <c r="G160" i="5" l="1"/>
  <c r="H160" i="5" s="1"/>
  <c r="G161" i="5" l="1"/>
  <c r="H161" i="5" s="1"/>
  <c r="G162" i="5" l="1"/>
  <c r="H162" i="5" s="1"/>
  <c r="G163" i="5" l="1"/>
  <c r="H163" i="5" s="1"/>
  <c r="G164" i="5" l="1"/>
  <c r="H164" i="5" s="1"/>
  <c r="H165" i="5" l="1"/>
  <c r="G165" i="5" l="1"/>
  <c r="D165" i="5" l="1"/>
  <c r="G137" i="15" l="1"/>
  <c r="H137" i="15" l="1"/>
  <c r="G138" i="15" l="1"/>
  <c r="H138" i="15" l="1"/>
  <c r="G139" i="15" l="1"/>
  <c r="H139" i="15" l="1"/>
  <c r="G140" i="15" l="1"/>
  <c r="H140" i="15" l="1"/>
  <c r="G141" i="15" l="1"/>
  <c r="H141" i="15" s="1"/>
  <c r="G142" i="15" l="1"/>
  <c r="H142" i="15" s="1"/>
  <c r="G143" i="15" l="1"/>
  <c r="H143" i="15" s="1"/>
  <c r="G144" i="15" l="1"/>
  <c r="H144" i="15" s="1"/>
  <c r="G145" i="15" l="1"/>
  <c r="H145" i="15" s="1"/>
  <c r="G146" i="15" l="1"/>
  <c r="H146" i="15" s="1"/>
  <c r="G147" i="15" l="1"/>
  <c r="H147" i="15" s="1"/>
  <c r="G148" i="15" l="1"/>
  <c r="H148" i="15" s="1"/>
  <c r="G149" i="15" l="1"/>
  <c r="H149" i="15" s="1"/>
  <c r="G150" i="15" l="1"/>
  <c r="H150" i="15" s="1"/>
  <c r="G151" i="15" l="1"/>
  <c r="H151" i="15" s="1"/>
  <c r="G152" i="15" l="1"/>
  <c r="H152" i="15" s="1"/>
  <c r="G153" i="15" l="1"/>
  <c r="H153" i="15" s="1"/>
  <c r="G154" i="15" l="1"/>
  <c r="H154" i="15" s="1"/>
  <c r="G155" i="15" l="1"/>
  <c r="H155" i="15" s="1"/>
  <c r="G156" i="15" l="1"/>
  <c r="H156" i="15" s="1"/>
  <c r="G157" i="15" l="1"/>
  <c r="H157" i="15" s="1"/>
  <c r="G158" i="15" l="1"/>
  <c r="H158" i="15" s="1"/>
  <c r="G159" i="15" l="1"/>
  <c r="H159" i="15" s="1"/>
  <c r="G160" i="15" l="1"/>
  <c r="H160" i="15" s="1"/>
  <c r="G161" i="15" l="1"/>
  <c r="H161" i="15" s="1"/>
  <c r="G162" i="15" l="1"/>
  <c r="H162" i="15" s="1"/>
  <c r="G163" i="15" l="1"/>
  <c r="H163" i="15" s="1"/>
  <c r="G164" i="15" l="1"/>
  <c r="H164" i="15" s="1"/>
  <c r="H165" i="15" l="1"/>
  <c r="G165" i="15" l="1"/>
  <c r="D165" i="15" l="1"/>
  <c r="G137" i="5" l="1"/>
  <c r="Q16" i="15" l="1"/>
  <c r="P16" i="15" l="1"/>
  <c r="Q16" i="5" l="1"/>
  <c r="P16" i="5" l="1"/>
  <c r="G136" i="5" l="1"/>
  <c r="H136" i="5"/>
  <c r="D136" i="5"/>
  <c r="G136" i="15"/>
  <c r="H136" i="15"/>
  <c r="D136" i="15"/>
  <c r="D67" i="5" l="1"/>
  <c r="D67" i="15" l="1"/>
  <c r="H16" i="15" l="1"/>
  <c r="D16" i="15" s="1"/>
  <c r="I16" i="15" l="1"/>
  <c r="F16" i="15"/>
  <c r="N16" i="15" l="1"/>
  <c r="L16" i="15"/>
  <c r="E17" i="15" l="1"/>
  <c r="G17" i="15" s="1"/>
  <c r="H17" i="15" s="1"/>
  <c r="C17" i="15"/>
  <c r="I17" i="15" l="1"/>
  <c r="P17" i="15"/>
  <c r="Q17" i="15"/>
  <c r="F17" i="15"/>
  <c r="N17" i="15" l="1"/>
  <c r="L17" i="15"/>
  <c r="E18" i="15" l="1"/>
  <c r="C18" i="15"/>
  <c r="Q18" i="15" l="1"/>
  <c r="P18" i="15"/>
  <c r="G18" i="15"/>
  <c r="H18" i="15" s="1"/>
  <c r="F18" i="15" l="1"/>
  <c r="I18" i="15"/>
  <c r="N18" i="15" l="1"/>
  <c r="L18" i="15"/>
  <c r="E19" i="15" l="1"/>
  <c r="G19" i="15" s="1"/>
  <c r="H19" i="15" s="1"/>
  <c r="C19" i="15"/>
  <c r="Q19" i="15" l="1"/>
  <c r="P19" i="15"/>
  <c r="F19" i="15"/>
  <c r="I19" i="15"/>
  <c r="N19" i="15" l="1"/>
  <c r="L19" i="15"/>
  <c r="C20" i="15" l="1"/>
  <c r="E20" i="15"/>
  <c r="G20" i="15" s="1"/>
  <c r="H20" i="15" s="1"/>
  <c r="Q20" i="15" l="1"/>
  <c r="P20" i="15"/>
  <c r="F20" i="15"/>
  <c r="I20" i="15"/>
  <c r="N20" i="15" l="1"/>
  <c r="L20" i="15"/>
  <c r="C21" i="15" l="1"/>
  <c r="E21" i="15"/>
  <c r="G21" i="15" l="1"/>
  <c r="P21" i="15"/>
  <c r="Q21" i="15"/>
  <c r="H21" i="15" l="1"/>
  <c r="F21" i="15" l="1"/>
  <c r="I21" i="15"/>
  <c r="N21" i="15" l="1"/>
  <c r="L21" i="15"/>
  <c r="E22" i="15" l="1"/>
  <c r="C22" i="15"/>
  <c r="P22" i="15" l="1"/>
  <c r="Q22" i="15"/>
  <c r="G22" i="15"/>
  <c r="H22" i="15" s="1"/>
  <c r="F22" i="15" l="1"/>
  <c r="I22" i="15"/>
  <c r="N22" i="15" l="1"/>
  <c r="L22" i="15"/>
  <c r="C23" i="15" l="1"/>
  <c r="E23" i="15"/>
  <c r="G23" i="15" l="1"/>
  <c r="H23" i="15" s="1"/>
  <c r="Q23" i="15"/>
  <c r="P23" i="15"/>
  <c r="F23" i="15" l="1"/>
  <c r="I23" i="15"/>
  <c r="N23" i="15" l="1"/>
  <c r="L23" i="15"/>
  <c r="E24" i="15" l="1"/>
  <c r="C24" i="15"/>
  <c r="Q24" i="15" l="1"/>
  <c r="P24" i="15"/>
  <c r="G24" i="15"/>
  <c r="H24" i="15" s="1"/>
  <c r="F24" i="15" l="1"/>
  <c r="I24" i="15"/>
  <c r="N24" i="15" l="1"/>
  <c r="L24" i="15"/>
  <c r="E25" i="15" l="1"/>
  <c r="C25" i="15"/>
  <c r="Q25" i="15" l="1"/>
  <c r="P25" i="15"/>
  <c r="G25" i="15"/>
  <c r="H25" i="15" s="1"/>
  <c r="F25" i="15" l="1"/>
  <c r="I25" i="15"/>
  <c r="N25" i="15" l="1"/>
  <c r="L25" i="15"/>
  <c r="E26" i="15" l="1"/>
  <c r="C26" i="15"/>
  <c r="P26" i="15" l="1"/>
  <c r="Q26" i="15"/>
  <c r="G26" i="15"/>
  <c r="H26" i="15" s="1"/>
  <c r="F26" i="15" l="1"/>
  <c r="I26" i="15"/>
  <c r="N26" i="15" l="1"/>
  <c r="L26" i="15"/>
  <c r="E27" i="15" l="1"/>
  <c r="C27" i="15"/>
  <c r="Q27" i="15" l="1"/>
  <c r="G27" i="15"/>
  <c r="H27" i="15" s="1"/>
  <c r="F27" i="15" l="1"/>
  <c r="I27" i="15"/>
  <c r="N27" i="15" l="1"/>
  <c r="L27" i="15"/>
  <c r="P27" i="15"/>
  <c r="E28" i="15" l="1"/>
  <c r="C28" i="15"/>
  <c r="P28" i="15" l="1"/>
  <c r="Q28" i="15"/>
  <c r="G28" i="15"/>
  <c r="H28" i="15" s="1"/>
  <c r="F28" i="15" l="1"/>
  <c r="I28" i="15"/>
  <c r="N28" i="15" l="1"/>
  <c r="L28" i="15"/>
  <c r="E29" i="15" l="1"/>
  <c r="C29" i="15"/>
  <c r="Q29" i="15" l="1"/>
  <c r="P29" i="15"/>
  <c r="G29" i="15"/>
  <c r="H29" i="15" s="1"/>
  <c r="F29" i="15" l="1"/>
  <c r="I29" i="15"/>
  <c r="N29" i="15" l="1"/>
  <c r="L29" i="15"/>
  <c r="E30" i="15" l="1"/>
  <c r="C30" i="15"/>
  <c r="Q30" i="15" l="1"/>
  <c r="P30" i="15"/>
  <c r="G30" i="15"/>
  <c r="H30" i="15" s="1"/>
  <c r="F30" i="15" l="1"/>
  <c r="I30" i="15"/>
  <c r="N30" i="15" l="1"/>
  <c r="L30" i="15"/>
  <c r="E31" i="15" l="1"/>
  <c r="C31" i="15"/>
  <c r="P31" i="15" l="1"/>
  <c r="Q31" i="15"/>
  <c r="G31" i="15"/>
  <c r="H31" i="15" s="1"/>
  <c r="F31" i="15" l="1"/>
  <c r="I31" i="15"/>
  <c r="N31" i="15" l="1"/>
  <c r="L31" i="15"/>
  <c r="E32" i="15" l="1"/>
  <c r="C32" i="15"/>
  <c r="Q32" i="15" l="1"/>
  <c r="P32" i="15"/>
  <c r="G32" i="15"/>
  <c r="H32" i="15" s="1"/>
  <c r="F32" i="15" l="1"/>
  <c r="I32" i="15"/>
  <c r="N32" i="15" l="1"/>
  <c r="L32" i="15"/>
  <c r="E33" i="15" l="1"/>
  <c r="C33" i="15"/>
  <c r="P33" i="15" l="1"/>
  <c r="Q33" i="15"/>
  <c r="G33" i="15"/>
  <c r="H33" i="15" s="1"/>
  <c r="F33" i="15" l="1"/>
  <c r="I33" i="15"/>
  <c r="N33" i="15" l="1"/>
  <c r="L33" i="15"/>
  <c r="E34" i="15" l="1"/>
  <c r="C34" i="15"/>
  <c r="P34" i="15" l="1"/>
  <c r="Q34" i="15"/>
  <c r="G34" i="15"/>
  <c r="H34" i="15" s="1"/>
  <c r="F34" i="15" l="1"/>
  <c r="I34" i="15"/>
  <c r="N34" i="15" l="1"/>
  <c r="L34" i="15"/>
  <c r="C35" i="15" l="1"/>
  <c r="E35" i="15"/>
  <c r="G35" i="15" l="1"/>
  <c r="H35" i="15" s="1"/>
  <c r="Q35" i="15"/>
  <c r="P35" i="15"/>
  <c r="F35" i="15" l="1"/>
  <c r="I35" i="15"/>
  <c r="N35" i="15" l="1"/>
  <c r="L35" i="15"/>
  <c r="E36" i="15" l="1"/>
  <c r="C36" i="15"/>
  <c r="P36" i="15" l="1"/>
  <c r="Q36" i="15"/>
  <c r="G36" i="15"/>
  <c r="H36" i="15" s="1"/>
  <c r="F36" i="15" l="1"/>
  <c r="I36" i="15"/>
  <c r="N36" i="15" l="1"/>
  <c r="L36" i="15"/>
  <c r="E37" i="15" l="1"/>
  <c r="C37" i="15"/>
  <c r="Q37" i="15" l="1"/>
  <c r="P37" i="15"/>
  <c r="G37" i="15"/>
  <c r="H37" i="15" s="1"/>
  <c r="F37" i="15" l="1"/>
  <c r="I37" i="15"/>
  <c r="N37" i="15" l="1"/>
  <c r="L37" i="15"/>
  <c r="E38" i="15" l="1"/>
  <c r="C38" i="15"/>
  <c r="P38" i="15" l="1"/>
  <c r="Q38" i="15"/>
  <c r="G38" i="15"/>
  <c r="H38" i="15" s="1"/>
  <c r="F38" i="15" l="1"/>
  <c r="I38" i="15"/>
  <c r="N38" i="15" l="1"/>
  <c r="L38" i="15"/>
  <c r="E39" i="15" l="1"/>
  <c r="C39" i="15"/>
  <c r="Q39" i="15" l="1"/>
  <c r="G39" i="15"/>
  <c r="H39" i="15" s="1"/>
  <c r="F39" i="15" l="1"/>
  <c r="I39" i="15"/>
  <c r="N39" i="15" l="1"/>
  <c r="P39" i="15"/>
  <c r="L39" i="15"/>
  <c r="C40" i="15" l="1"/>
  <c r="E40" i="15"/>
  <c r="G40" i="15" l="1"/>
  <c r="H40" i="15" s="1"/>
  <c r="Q40" i="15"/>
  <c r="P40" i="15"/>
  <c r="F40" i="15" l="1"/>
  <c r="I40" i="15"/>
  <c r="N40" i="15" l="1"/>
  <c r="L40" i="15"/>
  <c r="C41" i="15" l="1"/>
  <c r="E41" i="15"/>
  <c r="G41" i="15" l="1"/>
  <c r="H41" i="15" s="1"/>
  <c r="Q41" i="15"/>
  <c r="P41" i="15"/>
  <c r="F41" i="15" l="1"/>
  <c r="I41" i="15"/>
  <c r="N41" i="15" l="1"/>
  <c r="L41" i="15"/>
  <c r="E42" i="15" l="1"/>
  <c r="C42" i="15"/>
  <c r="Q42" i="15" l="1"/>
  <c r="P42" i="15"/>
  <c r="G42" i="15"/>
  <c r="H42" i="15" s="1"/>
  <c r="F42" i="15" l="1"/>
  <c r="I42" i="15"/>
  <c r="N42" i="15" l="1"/>
  <c r="L42" i="15"/>
  <c r="C43" i="15" l="1"/>
  <c r="E43" i="15"/>
  <c r="G43" i="15" l="1"/>
  <c r="H43" i="15" s="1"/>
  <c r="P43" i="15"/>
  <c r="Q43" i="15"/>
  <c r="F43" i="15" l="1"/>
  <c r="I43" i="15"/>
  <c r="N43" i="15" l="1"/>
  <c r="L43" i="15"/>
  <c r="C44" i="15" l="1"/>
  <c r="E44" i="15"/>
  <c r="G44" i="15" l="1"/>
  <c r="H44" i="15" s="1"/>
  <c r="P44" i="15"/>
  <c r="Q44" i="15"/>
  <c r="F44" i="15" l="1"/>
  <c r="I44" i="15"/>
  <c r="N44" i="15" l="1"/>
  <c r="L44" i="15"/>
  <c r="E45" i="15" l="1"/>
  <c r="C45" i="15"/>
  <c r="Q45" i="15" l="1"/>
  <c r="P45" i="15"/>
  <c r="G45" i="15"/>
  <c r="H45" i="15" s="1"/>
  <c r="F45" i="15" l="1"/>
  <c r="I45" i="15"/>
  <c r="N45" i="15" l="1"/>
  <c r="L45" i="15"/>
  <c r="C46" i="15" l="1"/>
  <c r="E46" i="15"/>
  <c r="G46" i="15" l="1"/>
  <c r="H46" i="15" s="1"/>
  <c r="Q46" i="15"/>
  <c r="P46" i="15"/>
  <c r="F46" i="15" l="1"/>
  <c r="I46" i="15"/>
  <c r="N46" i="15" l="1"/>
  <c r="L46" i="15"/>
  <c r="E47" i="15" l="1"/>
  <c r="C47" i="15"/>
  <c r="Q47" i="15" l="1"/>
  <c r="P47" i="15"/>
  <c r="G47" i="15"/>
  <c r="H47" i="15" s="1"/>
  <c r="F47" i="15" l="1"/>
  <c r="I47" i="15"/>
  <c r="N47" i="15" l="1"/>
  <c r="L47" i="15"/>
  <c r="E48" i="15" l="1"/>
  <c r="C48" i="15"/>
  <c r="P48" i="15" l="1"/>
  <c r="Q48" i="15"/>
  <c r="G48" i="15"/>
  <c r="H48" i="15" s="1"/>
  <c r="F48" i="15" l="1"/>
  <c r="I48" i="15"/>
  <c r="N48" i="15" l="1"/>
  <c r="L48" i="15"/>
  <c r="E49" i="15" l="1"/>
  <c r="C49" i="15"/>
  <c r="P49" i="15" l="1"/>
  <c r="Q49" i="15"/>
  <c r="G49" i="15"/>
  <c r="H49" i="15" s="1"/>
  <c r="F49" i="15" l="1"/>
  <c r="I49" i="15"/>
  <c r="N49" i="15" l="1"/>
  <c r="L49" i="15"/>
  <c r="E50" i="15" l="1"/>
  <c r="C50" i="15"/>
  <c r="Q50" i="15" l="1"/>
  <c r="P50" i="15"/>
  <c r="G50" i="15"/>
  <c r="H50" i="15" s="1"/>
  <c r="F50" i="15" l="1"/>
  <c r="I50" i="15"/>
  <c r="N50" i="15" l="1"/>
  <c r="L50" i="15"/>
  <c r="E51" i="15" l="1"/>
  <c r="C51" i="15"/>
  <c r="Q51" i="15" l="1"/>
  <c r="G51" i="15"/>
  <c r="H51" i="15" s="1"/>
  <c r="F51" i="15" l="1"/>
  <c r="I51" i="15"/>
  <c r="N51" i="15" l="1"/>
  <c r="P51" i="15"/>
  <c r="L51" i="15"/>
  <c r="C52" i="15" l="1"/>
  <c r="E52" i="15"/>
  <c r="G52" i="15" l="1"/>
  <c r="H52" i="15" s="1"/>
  <c r="Q52" i="15"/>
  <c r="P52" i="15"/>
  <c r="F52" i="15" l="1"/>
  <c r="I52" i="15"/>
  <c r="N52" i="15" l="1"/>
  <c r="L52" i="15"/>
  <c r="E53" i="15" l="1"/>
  <c r="C53" i="15"/>
  <c r="P53" i="15" l="1"/>
  <c r="Q53" i="15"/>
  <c r="G53" i="15"/>
  <c r="H53" i="15" s="1"/>
  <c r="F53" i="15" l="1"/>
  <c r="I53" i="15"/>
  <c r="N53" i="15" l="1"/>
  <c r="L53" i="15"/>
  <c r="E54" i="15" l="1"/>
  <c r="C54" i="15"/>
  <c r="Q54" i="15" l="1"/>
  <c r="P54" i="15"/>
  <c r="G54" i="15"/>
  <c r="H54" i="15" s="1"/>
  <c r="F54" i="15" l="1"/>
  <c r="I54" i="15"/>
  <c r="N54" i="15" l="1"/>
  <c r="L54" i="15"/>
  <c r="C55" i="15" l="1"/>
  <c r="E55" i="15"/>
  <c r="G55" i="15" l="1"/>
  <c r="H55" i="15" s="1"/>
  <c r="Q55" i="15"/>
  <c r="P55" i="15"/>
  <c r="F55" i="15" l="1"/>
  <c r="I55" i="15"/>
  <c r="N55" i="15" l="1"/>
  <c r="L55" i="15"/>
  <c r="E56" i="15" l="1"/>
  <c r="C56" i="15"/>
  <c r="P56" i="15" l="1"/>
  <c r="Q56" i="15"/>
  <c r="G56" i="15"/>
  <c r="H56" i="15" s="1"/>
  <c r="F56" i="15" l="1"/>
  <c r="I56" i="15"/>
  <c r="N56" i="15" l="1"/>
  <c r="L56" i="15"/>
  <c r="E57" i="15" l="1"/>
  <c r="C57" i="15"/>
  <c r="Q57" i="15" l="1"/>
  <c r="P57" i="15"/>
  <c r="G57" i="15"/>
  <c r="H57" i="15" s="1"/>
  <c r="F57" i="15" l="1"/>
  <c r="I57" i="15"/>
  <c r="N57" i="15" l="1"/>
  <c r="L57" i="15"/>
  <c r="E58" i="15" l="1"/>
  <c r="C58" i="15"/>
  <c r="Q58" i="15" l="1"/>
  <c r="P58" i="15"/>
  <c r="G58" i="15"/>
  <c r="H58" i="15" s="1"/>
  <c r="F58" i="15" l="1"/>
  <c r="I58" i="15"/>
  <c r="N58" i="15" l="1"/>
  <c r="L58" i="15"/>
  <c r="E59" i="15" l="1"/>
  <c r="C59" i="15"/>
  <c r="P59" i="15" l="1"/>
  <c r="Q59" i="15"/>
  <c r="G59" i="15"/>
  <c r="H59" i="15" s="1"/>
  <c r="F59" i="15" l="1"/>
  <c r="I59" i="15"/>
  <c r="N59" i="15" l="1"/>
  <c r="L59" i="15"/>
  <c r="E60" i="15" l="1"/>
  <c r="C60" i="15"/>
  <c r="P60" i="15" l="1"/>
  <c r="Q60" i="15"/>
  <c r="G60" i="15"/>
  <c r="H60" i="15" s="1"/>
  <c r="F60" i="15" l="1"/>
  <c r="I60" i="15"/>
  <c r="N60" i="15" l="1"/>
  <c r="L60" i="15"/>
  <c r="E61" i="15" l="1"/>
  <c r="C61" i="15"/>
  <c r="P61" i="15" l="1"/>
  <c r="Q61" i="15"/>
  <c r="G61" i="15"/>
  <c r="H61" i="15" s="1"/>
  <c r="F61" i="15" l="1"/>
  <c r="I61" i="15"/>
  <c r="N61" i="15" l="1"/>
  <c r="L61" i="15"/>
  <c r="C62" i="15" l="1"/>
  <c r="E62" i="15"/>
  <c r="G62" i="15" l="1"/>
  <c r="H62" i="15" s="1"/>
  <c r="Q62" i="15"/>
  <c r="P62" i="15"/>
  <c r="F62" i="15" l="1"/>
  <c r="I62" i="15"/>
  <c r="N62" i="15" l="1"/>
  <c r="L62" i="15"/>
  <c r="E63" i="15" l="1"/>
  <c r="C63" i="15"/>
  <c r="Q63" i="15" l="1"/>
  <c r="G63" i="15"/>
  <c r="H63" i="15" s="1"/>
  <c r="F63" i="15" l="1"/>
  <c r="I63" i="15"/>
  <c r="N63" i="15" l="1"/>
  <c r="P63" i="15"/>
  <c r="L63" i="15"/>
  <c r="E64" i="15" l="1"/>
  <c r="C64" i="15"/>
  <c r="Q64" i="15" l="1"/>
  <c r="P64" i="15"/>
  <c r="G64" i="15"/>
  <c r="H64" i="15" s="1"/>
  <c r="F64" i="15" l="1"/>
  <c r="I64" i="15"/>
  <c r="N64" i="15" l="1"/>
  <c r="L64" i="15"/>
  <c r="C65" i="15" l="1"/>
  <c r="E65" i="15"/>
  <c r="G65" i="15" l="1"/>
  <c r="H65" i="15" s="1"/>
  <c r="P65" i="15"/>
  <c r="Q65" i="15"/>
  <c r="F65" i="15" l="1"/>
  <c r="I65" i="15"/>
  <c r="N65" i="15" l="1"/>
  <c r="L65" i="15"/>
  <c r="E66" i="15" l="1"/>
  <c r="C66" i="15"/>
  <c r="G66" i="15" l="1"/>
  <c r="Q66" i="15"/>
  <c r="P66" i="15"/>
  <c r="D66" i="15" l="1"/>
  <c r="H66" i="15" s="1"/>
  <c r="I66" i="15" l="1"/>
  <c r="F66" i="15"/>
  <c r="N66" i="15" l="1"/>
  <c r="L66" i="15"/>
  <c r="E67" i="15" l="1"/>
  <c r="G67" i="15" s="1"/>
  <c r="C67" i="15"/>
  <c r="H67" i="15" l="1"/>
  <c r="Q67" i="15"/>
  <c r="P67" i="15"/>
  <c r="I67" i="15" l="1"/>
  <c r="F67" i="15"/>
  <c r="N67" i="15" l="1"/>
  <c r="L67" i="15"/>
  <c r="C68" i="15" l="1"/>
  <c r="E68" i="15"/>
  <c r="G68" i="15" l="1"/>
  <c r="Q68" i="15"/>
  <c r="P68" i="15"/>
  <c r="H68" i="15" l="1"/>
  <c r="F68" i="15" l="1"/>
  <c r="I68" i="15"/>
  <c r="N68" i="15" l="1"/>
  <c r="L68" i="15"/>
  <c r="E69" i="15" l="1"/>
  <c r="C69" i="15"/>
  <c r="P69" i="15" l="1"/>
  <c r="Q69" i="15"/>
  <c r="G69" i="15"/>
  <c r="H69" i="15" l="1"/>
  <c r="F69" i="15" l="1"/>
  <c r="I69" i="15"/>
  <c r="N69" i="15" l="1"/>
  <c r="L69" i="15"/>
  <c r="C70" i="15" l="1"/>
  <c r="E70" i="15"/>
  <c r="G70" i="15" l="1"/>
  <c r="P70" i="15"/>
  <c r="Q70" i="15"/>
  <c r="H70" i="15" l="1"/>
  <c r="F70" i="15" l="1"/>
  <c r="I70" i="15"/>
  <c r="N70" i="15" l="1"/>
  <c r="L70" i="15"/>
  <c r="C71" i="15" l="1"/>
  <c r="E71" i="15"/>
  <c r="G71" i="15" l="1"/>
  <c r="Q71" i="15"/>
  <c r="P71" i="15"/>
  <c r="H71" i="15" l="1"/>
  <c r="F71" i="15" l="1"/>
  <c r="I71" i="15"/>
  <c r="N71" i="15" l="1"/>
  <c r="L71" i="15"/>
  <c r="E72" i="15" l="1"/>
  <c r="C72" i="15"/>
  <c r="Q72" i="15" l="1"/>
  <c r="P72" i="15"/>
  <c r="G72" i="15"/>
  <c r="H72" i="15" s="1"/>
  <c r="F72" i="15" l="1"/>
  <c r="I72" i="15"/>
  <c r="N72" i="15" l="1"/>
  <c r="L72" i="15"/>
  <c r="E73" i="15" l="1"/>
  <c r="C73" i="15"/>
  <c r="Q73" i="15" l="1"/>
  <c r="P73" i="15"/>
  <c r="G73" i="15"/>
  <c r="H73" i="15" s="1"/>
  <c r="F73" i="15" l="1"/>
  <c r="I73" i="15"/>
  <c r="N73" i="15" l="1"/>
  <c r="L73" i="15"/>
  <c r="C74" i="15" l="1"/>
  <c r="E74" i="15"/>
  <c r="G74" i="15" l="1"/>
  <c r="H74" i="15" s="1"/>
  <c r="Q74" i="15"/>
  <c r="P74" i="15"/>
  <c r="F74" i="15" l="1"/>
  <c r="I74" i="15"/>
  <c r="N74" i="15" l="1"/>
  <c r="L74" i="15"/>
  <c r="E75" i="15" l="1"/>
  <c r="C75" i="15"/>
  <c r="Q75" i="15" l="1"/>
  <c r="G75" i="15"/>
  <c r="H75" i="15" s="1"/>
  <c r="F75" i="15" l="1"/>
  <c r="I75" i="15"/>
  <c r="N75" i="15" l="1"/>
  <c r="P75" i="15"/>
  <c r="L75" i="15"/>
  <c r="C76" i="15" l="1"/>
  <c r="E76" i="15"/>
  <c r="G76" i="15" l="1"/>
  <c r="H76" i="15" s="1"/>
  <c r="P76" i="15"/>
  <c r="Q76" i="15"/>
  <c r="F76" i="15" l="1"/>
  <c r="I76" i="15"/>
  <c r="N76" i="15" l="1"/>
  <c r="L76" i="15"/>
  <c r="C77" i="15" l="1"/>
  <c r="E77" i="15"/>
  <c r="G77" i="15" l="1"/>
  <c r="H77" i="15" s="1"/>
  <c r="P77" i="15"/>
  <c r="Q77" i="15"/>
  <c r="F77" i="15" l="1"/>
  <c r="I77" i="15"/>
  <c r="N77" i="15" l="1"/>
  <c r="L77" i="15"/>
  <c r="E78" i="15" l="1"/>
  <c r="C78" i="15"/>
  <c r="P78" i="15" l="1"/>
  <c r="Q78" i="15"/>
  <c r="G78" i="15"/>
  <c r="H78" i="15" s="1"/>
  <c r="F78" i="15" l="1"/>
  <c r="I78" i="15"/>
  <c r="N78" i="15" l="1"/>
  <c r="L78" i="15"/>
  <c r="E79" i="15" l="1"/>
  <c r="C79" i="15"/>
  <c r="P79" i="15" l="1"/>
  <c r="Q79" i="15"/>
  <c r="G79" i="15"/>
  <c r="H79" i="15" s="1"/>
  <c r="F79" i="15" l="1"/>
  <c r="I79" i="15"/>
  <c r="N79" i="15" l="1"/>
  <c r="L79" i="15"/>
  <c r="E80" i="15" l="1"/>
  <c r="C80" i="15"/>
  <c r="Q80" i="15" l="1"/>
  <c r="P80" i="15"/>
  <c r="G80" i="15"/>
  <c r="H80" i="15" s="1"/>
  <c r="F80" i="15" l="1"/>
  <c r="I80" i="15"/>
  <c r="N80" i="15" l="1"/>
  <c r="L80" i="15"/>
  <c r="C81" i="15" l="1"/>
  <c r="E81" i="15"/>
  <c r="G81" i="15" l="1"/>
  <c r="H81" i="15" s="1"/>
  <c r="P81" i="15"/>
  <c r="Q81" i="15"/>
  <c r="F81" i="15" l="1"/>
  <c r="I81" i="15"/>
  <c r="N81" i="15" l="1"/>
  <c r="L81" i="15"/>
  <c r="C82" i="15" l="1"/>
  <c r="E82" i="15"/>
  <c r="G82" i="15" l="1"/>
  <c r="H82" i="15" s="1"/>
  <c r="P82" i="15"/>
  <c r="Q82" i="15"/>
  <c r="F82" i="15" l="1"/>
  <c r="I82" i="15"/>
  <c r="N82" i="15" l="1"/>
  <c r="L82" i="15"/>
  <c r="C83" i="15" l="1"/>
  <c r="E83" i="15"/>
  <c r="G83" i="15" l="1"/>
  <c r="H83" i="15" s="1"/>
  <c r="P83" i="15"/>
  <c r="Q83" i="15"/>
  <c r="F83" i="15" l="1"/>
  <c r="I83" i="15"/>
  <c r="N83" i="15" l="1"/>
  <c r="L83" i="15"/>
  <c r="C84" i="15" l="1"/>
  <c r="E84" i="15"/>
  <c r="G84" i="15" l="1"/>
  <c r="H84" i="15" s="1"/>
  <c r="Q84" i="15"/>
  <c r="P84" i="15"/>
  <c r="F84" i="15" l="1"/>
  <c r="I84" i="15"/>
  <c r="N84" i="15" l="1"/>
  <c r="L84" i="15"/>
  <c r="E85" i="15" l="1"/>
  <c r="C85" i="15"/>
  <c r="P85" i="15" l="1"/>
  <c r="Q85" i="15"/>
  <c r="G85" i="15"/>
  <c r="H85" i="15" s="1"/>
  <c r="F85" i="15" l="1"/>
  <c r="I85" i="15"/>
  <c r="N85" i="15" l="1"/>
  <c r="L85" i="15"/>
  <c r="C86" i="15" l="1"/>
  <c r="E86" i="15"/>
  <c r="G86" i="15" l="1"/>
  <c r="H86" i="15" s="1"/>
  <c r="Q86" i="15"/>
  <c r="P86" i="15"/>
  <c r="F86" i="15" l="1"/>
  <c r="I86" i="15"/>
  <c r="N86" i="15" l="1"/>
  <c r="L86" i="15"/>
  <c r="C87" i="15" l="1"/>
  <c r="E87" i="15"/>
  <c r="G87" i="15" l="1"/>
  <c r="H87" i="15" s="1"/>
  <c r="Q87" i="15"/>
  <c r="F87" i="15" l="1"/>
  <c r="I87" i="15"/>
  <c r="N87" i="15" l="1"/>
  <c r="L87" i="15"/>
  <c r="P87" i="15"/>
  <c r="E88" i="15" l="1"/>
  <c r="C88" i="15"/>
  <c r="P88" i="15" l="1"/>
  <c r="Q88" i="15"/>
  <c r="G88" i="15"/>
  <c r="H88" i="15" s="1"/>
  <c r="F88" i="15" l="1"/>
  <c r="I88" i="15"/>
  <c r="N88" i="15" l="1"/>
  <c r="L88" i="15"/>
  <c r="E89" i="15" l="1"/>
  <c r="C89" i="15"/>
  <c r="P89" i="15" l="1"/>
  <c r="Q89" i="15"/>
  <c r="G89" i="15"/>
  <c r="H89" i="15" s="1"/>
  <c r="F89" i="15" l="1"/>
  <c r="I89" i="15"/>
  <c r="N89" i="15" l="1"/>
  <c r="L89" i="15"/>
  <c r="C90" i="15" l="1"/>
  <c r="E90" i="15"/>
  <c r="G90" i="15" l="1"/>
  <c r="H90" i="15" s="1"/>
  <c r="Q90" i="15"/>
  <c r="P90" i="15"/>
  <c r="F90" i="15" l="1"/>
  <c r="I90" i="15"/>
  <c r="N90" i="15" l="1"/>
  <c r="L90" i="15"/>
  <c r="C91" i="15" l="1"/>
  <c r="E91" i="15"/>
  <c r="G91" i="15" l="1"/>
  <c r="H91" i="15" s="1"/>
  <c r="Q91" i="15"/>
  <c r="P91" i="15"/>
  <c r="F91" i="15" l="1"/>
  <c r="I91" i="15"/>
  <c r="N91" i="15" l="1"/>
  <c r="L91" i="15"/>
  <c r="C92" i="15" l="1"/>
  <c r="E92" i="15"/>
  <c r="G92" i="15" l="1"/>
  <c r="H92" i="15" s="1"/>
  <c r="P92" i="15"/>
  <c r="Q92" i="15"/>
  <c r="F92" i="15" l="1"/>
  <c r="I92" i="15"/>
  <c r="N92" i="15" l="1"/>
  <c r="L92" i="15"/>
  <c r="E93" i="15" l="1"/>
  <c r="C93" i="15"/>
  <c r="P93" i="15" l="1"/>
  <c r="Q93" i="15"/>
  <c r="G93" i="15"/>
  <c r="H93" i="15" s="1"/>
  <c r="F93" i="15" l="1"/>
  <c r="I93" i="15"/>
  <c r="N93" i="15" l="1"/>
  <c r="L93" i="15"/>
  <c r="C94" i="15" l="1"/>
  <c r="E94" i="15"/>
  <c r="G94" i="15" l="1"/>
  <c r="H94" i="15" s="1"/>
  <c r="P94" i="15"/>
  <c r="Q94" i="15"/>
  <c r="F94" i="15" l="1"/>
  <c r="I94" i="15"/>
  <c r="N94" i="15" l="1"/>
  <c r="L94" i="15"/>
  <c r="C95" i="15" l="1"/>
  <c r="E95" i="15"/>
  <c r="G95" i="15" l="1"/>
  <c r="H95" i="15" s="1"/>
  <c r="Q95" i="15"/>
  <c r="P95" i="15"/>
  <c r="F95" i="15" l="1"/>
  <c r="I95" i="15"/>
  <c r="N95" i="15" l="1"/>
  <c r="L95" i="15"/>
  <c r="E96" i="15" l="1"/>
  <c r="C96" i="15"/>
  <c r="Q96" i="15" l="1"/>
  <c r="P96" i="15"/>
  <c r="G96" i="15"/>
  <c r="H96" i="15" s="1"/>
  <c r="F96" i="15" l="1"/>
  <c r="I96" i="15"/>
  <c r="N96" i="15" l="1"/>
  <c r="L96" i="15"/>
  <c r="C97" i="15" l="1"/>
  <c r="E97" i="15"/>
  <c r="G97" i="15" l="1"/>
  <c r="H97" i="15" s="1"/>
  <c r="P97" i="15"/>
  <c r="Q97" i="15"/>
  <c r="F97" i="15" l="1"/>
  <c r="I97" i="15"/>
  <c r="N97" i="15" l="1"/>
  <c r="L97" i="15"/>
  <c r="E98" i="15" l="1"/>
  <c r="C98" i="15"/>
  <c r="P98" i="15" l="1"/>
  <c r="Q98" i="15"/>
  <c r="G98" i="15"/>
  <c r="H98" i="15" s="1"/>
  <c r="F98" i="15" l="1"/>
  <c r="I98" i="15"/>
  <c r="N98" i="15" l="1"/>
  <c r="L98" i="15"/>
  <c r="C99" i="15" l="1"/>
  <c r="E99" i="15"/>
  <c r="G99" i="15" l="1"/>
  <c r="H99" i="15" s="1"/>
  <c r="Q99" i="15"/>
  <c r="F99" i="15" l="1"/>
  <c r="I99" i="15"/>
  <c r="N99" i="15" l="1"/>
  <c r="L99" i="15"/>
  <c r="P99" i="15"/>
  <c r="C100" i="15" l="1"/>
  <c r="E100" i="15"/>
  <c r="G100" i="15" l="1"/>
  <c r="H100" i="15" s="1"/>
  <c r="P100" i="15"/>
  <c r="Q100" i="15"/>
  <c r="F100" i="15" l="1"/>
  <c r="I100" i="15"/>
  <c r="N100" i="15" l="1"/>
  <c r="L100" i="15"/>
  <c r="E101" i="15" l="1"/>
  <c r="C101" i="15"/>
  <c r="Q101" i="15" l="1"/>
  <c r="P101" i="15"/>
  <c r="G101" i="15"/>
  <c r="H101" i="15" s="1"/>
  <c r="F101" i="15" l="1"/>
  <c r="I101" i="15"/>
  <c r="N101" i="15" l="1"/>
  <c r="L101" i="15"/>
  <c r="C102" i="15" l="1"/>
  <c r="E102" i="15"/>
  <c r="G102" i="15" l="1"/>
  <c r="H102" i="15" s="1"/>
  <c r="Q102" i="15"/>
  <c r="P102" i="15"/>
  <c r="F102" i="15" l="1"/>
  <c r="I102" i="15"/>
  <c r="N102" i="15" l="1"/>
  <c r="L102" i="15"/>
  <c r="C103" i="15" l="1"/>
  <c r="E103" i="15"/>
  <c r="G103" i="15" l="1"/>
  <c r="H103" i="15" s="1"/>
  <c r="P103" i="15"/>
  <c r="Q103" i="15"/>
  <c r="F103" i="15" l="1"/>
  <c r="I103" i="15"/>
  <c r="N103" i="15" l="1"/>
  <c r="L103" i="15"/>
  <c r="C104" i="15" l="1"/>
  <c r="E104" i="15"/>
  <c r="G104" i="15" l="1"/>
  <c r="H104" i="15" s="1"/>
  <c r="Q104" i="15"/>
  <c r="P104" i="15"/>
  <c r="F104" i="15" l="1"/>
  <c r="I104" i="15"/>
  <c r="N104" i="15" l="1"/>
  <c r="L104" i="15"/>
  <c r="E105" i="15" l="1"/>
  <c r="C105" i="15"/>
  <c r="Q105" i="15" l="1"/>
  <c r="P105" i="15"/>
  <c r="G105" i="15"/>
  <c r="H105" i="15" s="1"/>
  <c r="F105" i="15" l="1"/>
  <c r="I105" i="15"/>
  <c r="N105" i="15" l="1"/>
  <c r="L105" i="15"/>
  <c r="C106" i="15" l="1"/>
  <c r="E106" i="15"/>
  <c r="G106" i="15" l="1"/>
  <c r="H106" i="15" s="1"/>
  <c r="P106" i="15"/>
  <c r="Q106" i="15"/>
  <c r="F106" i="15" l="1"/>
  <c r="I106" i="15"/>
  <c r="N106" i="15" l="1"/>
  <c r="L106" i="15"/>
  <c r="E107" i="15" l="1"/>
  <c r="C107" i="15"/>
  <c r="P107" i="15" l="1"/>
  <c r="Q107" i="15"/>
  <c r="G107" i="15"/>
  <c r="H107" i="15" s="1"/>
  <c r="F107" i="15" l="1"/>
  <c r="I107" i="15"/>
  <c r="N107" i="15" l="1"/>
  <c r="L107" i="15"/>
  <c r="E108" i="15" l="1"/>
  <c r="C108" i="15"/>
  <c r="Q108" i="15" l="1"/>
  <c r="P108" i="15"/>
  <c r="G108" i="15"/>
  <c r="H108" i="15" s="1"/>
  <c r="F108" i="15" l="1"/>
  <c r="I108" i="15"/>
  <c r="N108" i="15" l="1"/>
  <c r="L108" i="15"/>
  <c r="E109" i="15" l="1"/>
  <c r="C109" i="15"/>
  <c r="P109" i="15" l="1"/>
  <c r="Q109" i="15"/>
  <c r="G109" i="15"/>
  <c r="H109" i="15" s="1"/>
  <c r="F109" i="15" l="1"/>
  <c r="I109" i="15"/>
  <c r="N109" i="15" l="1"/>
  <c r="L109" i="15"/>
  <c r="E110" i="15" l="1"/>
  <c r="C110" i="15"/>
  <c r="Q110" i="15" l="1"/>
  <c r="P110" i="15"/>
  <c r="G110" i="15"/>
  <c r="H110" i="15" s="1"/>
  <c r="F110" i="15" l="1"/>
  <c r="I110" i="15"/>
  <c r="N110" i="15" l="1"/>
  <c r="L110" i="15"/>
  <c r="C111" i="15" l="1"/>
  <c r="E111" i="15"/>
  <c r="G111" i="15" l="1"/>
  <c r="H111" i="15" s="1"/>
  <c r="Q111" i="15"/>
  <c r="F111" i="15" l="1"/>
  <c r="I111" i="15"/>
  <c r="N111" i="15" l="1"/>
  <c r="L111" i="15"/>
  <c r="P111" i="15"/>
  <c r="C112" i="15" l="1"/>
  <c r="E112" i="15"/>
  <c r="G112" i="15" l="1"/>
  <c r="H112" i="15" s="1"/>
  <c r="P112" i="15"/>
  <c r="Q112" i="15"/>
  <c r="F112" i="15" l="1"/>
  <c r="I112" i="15"/>
  <c r="N112" i="15" l="1"/>
  <c r="L112" i="15"/>
  <c r="E113" i="15" l="1"/>
  <c r="C113" i="15"/>
  <c r="P113" i="15" l="1"/>
  <c r="Q113" i="15"/>
  <c r="G113" i="15"/>
  <c r="H113" i="15" s="1"/>
  <c r="F113" i="15" l="1"/>
  <c r="I113" i="15"/>
  <c r="N113" i="15" l="1"/>
  <c r="L113" i="15"/>
  <c r="C114" i="15" l="1"/>
  <c r="E114" i="15"/>
  <c r="G114" i="15" l="1"/>
  <c r="H114" i="15" s="1"/>
  <c r="P114" i="15"/>
  <c r="Q114" i="15"/>
  <c r="F114" i="15" l="1"/>
  <c r="I114" i="15"/>
  <c r="N114" i="15" l="1"/>
  <c r="L114" i="15"/>
  <c r="C115" i="15" l="1"/>
  <c r="E115" i="15"/>
  <c r="G115" i="15" l="1"/>
  <c r="H115" i="15" s="1"/>
  <c r="Q115" i="15"/>
  <c r="P115" i="15"/>
  <c r="F115" i="15" l="1"/>
  <c r="I115" i="15"/>
  <c r="N115" i="15" l="1"/>
  <c r="L115" i="15"/>
  <c r="C116" i="15" l="1"/>
  <c r="E116" i="15"/>
  <c r="G116" i="15" l="1"/>
  <c r="H116" i="15" s="1"/>
  <c r="P116" i="15"/>
  <c r="Q116" i="15"/>
  <c r="F116" i="15" l="1"/>
  <c r="I116" i="15"/>
  <c r="N116" i="15" l="1"/>
  <c r="L116" i="15"/>
  <c r="C117" i="15" l="1"/>
  <c r="E117" i="15"/>
  <c r="G117" i="15" l="1"/>
  <c r="H117" i="15" s="1"/>
  <c r="P117" i="15"/>
  <c r="Q117" i="15"/>
  <c r="F117" i="15" l="1"/>
  <c r="I117" i="15"/>
  <c r="N117" i="15" l="1"/>
  <c r="L117" i="15"/>
  <c r="E118" i="15" l="1"/>
  <c r="C118" i="15"/>
  <c r="Q118" i="15" l="1"/>
  <c r="P118" i="15"/>
  <c r="G118" i="15"/>
  <c r="H118" i="15" s="1"/>
  <c r="F118" i="15" l="1"/>
  <c r="I118" i="15"/>
  <c r="N118" i="15" l="1"/>
  <c r="L118" i="15"/>
  <c r="C119" i="15" l="1"/>
  <c r="E119" i="15"/>
  <c r="G119" i="15" l="1"/>
  <c r="H119" i="15" s="1"/>
  <c r="P119" i="15"/>
  <c r="Q119" i="15"/>
  <c r="F119" i="15" l="1"/>
  <c r="I119" i="15"/>
  <c r="N119" i="15" l="1"/>
  <c r="L119" i="15"/>
  <c r="C120" i="15" l="1"/>
  <c r="E120" i="15"/>
  <c r="G120" i="15" l="1"/>
  <c r="H120" i="15" s="1"/>
  <c r="Q120" i="15"/>
  <c r="P120" i="15"/>
  <c r="F120" i="15" l="1"/>
  <c r="I120" i="15"/>
  <c r="N120" i="15" l="1"/>
  <c r="L120" i="15"/>
  <c r="E121" i="15" l="1"/>
  <c r="C121" i="15"/>
  <c r="P121" i="15" l="1"/>
  <c r="Q121" i="15"/>
  <c r="G121" i="15"/>
  <c r="H121" i="15" s="1"/>
  <c r="F121" i="15" l="1"/>
  <c r="I121" i="15"/>
  <c r="N121" i="15" l="1"/>
  <c r="L121" i="15"/>
  <c r="E122" i="15" l="1"/>
  <c r="C122" i="15"/>
  <c r="P122" i="15" l="1"/>
  <c r="Q122" i="15"/>
  <c r="G122" i="15"/>
  <c r="H122" i="15" s="1"/>
  <c r="F122" i="15" l="1"/>
  <c r="I122" i="15"/>
  <c r="N122" i="15" l="1"/>
  <c r="L122" i="15"/>
  <c r="C123" i="15" l="1"/>
  <c r="E123" i="15"/>
  <c r="G123" i="15" l="1"/>
  <c r="H123" i="15" s="1"/>
  <c r="Q123" i="15"/>
  <c r="F123" i="15" l="1"/>
  <c r="I123" i="15"/>
  <c r="N123" i="15" l="1"/>
  <c r="L123" i="15"/>
  <c r="P123" i="15"/>
  <c r="C124" i="15" l="1"/>
  <c r="E124" i="15"/>
  <c r="G124" i="15" l="1"/>
  <c r="H124" i="15" s="1"/>
  <c r="P124" i="15"/>
  <c r="Q124" i="15"/>
  <c r="F124" i="15" l="1"/>
  <c r="I124" i="15"/>
  <c r="N124" i="15" l="1"/>
  <c r="L124" i="15"/>
  <c r="C125" i="15" l="1"/>
  <c r="E125" i="15"/>
  <c r="G125" i="15" l="1"/>
  <c r="H125" i="15" s="1"/>
  <c r="Q125" i="15"/>
  <c r="P125" i="15"/>
  <c r="F125" i="15" l="1"/>
  <c r="I125" i="15"/>
  <c r="N125" i="15" l="1"/>
  <c r="L125" i="15"/>
  <c r="C126" i="15" l="1"/>
  <c r="E126" i="15"/>
  <c r="G126" i="15" l="1"/>
  <c r="H126" i="15" s="1"/>
  <c r="P126" i="15"/>
  <c r="Q126" i="15"/>
  <c r="F126" i="15" l="1"/>
  <c r="I126" i="15"/>
  <c r="N126" i="15" l="1"/>
  <c r="L126" i="15"/>
  <c r="E127" i="15" l="1"/>
  <c r="C127" i="15"/>
  <c r="P127" i="15" l="1"/>
  <c r="Q127" i="15"/>
  <c r="G127" i="15"/>
  <c r="H127" i="15" s="1"/>
  <c r="F127" i="15" l="1"/>
  <c r="I127" i="15"/>
  <c r="N127" i="15" l="1"/>
  <c r="L127" i="15"/>
  <c r="C128" i="15" l="1"/>
  <c r="E128" i="15"/>
  <c r="G128" i="15" l="1"/>
  <c r="H128" i="15" s="1"/>
  <c r="Q128" i="15"/>
  <c r="P128" i="15"/>
  <c r="F128" i="15" l="1"/>
  <c r="I128" i="15"/>
  <c r="N128" i="15" l="1"/>
  <c r="L128" i="15"/>
  <c r="C129" i="15" l="1"/>
  <c r="E129" i="15"/>
  <c r="G129" i="15" l="1"/>
  <c r="H129" i="15" s="1"/>
  <c r="Q129" i="15"/>
  <c r="P129" i="15"/>
  <c r="F129" i="15" l="1"/>
  <c r="I129" i="15"/>
  <c r="N129" i="15" l="1"/>
  <c r="L129" i="15"/>
  <c r="E130" i="15" l="1"/>
  <c r="C130" i="15"/>
  <c r="Q130" i="15" l="1"/>
  <c r="P130" i="15"/>
  <c r="G130" i="15"/>
  <c r="H130" i="15" s="1"/>
  <c r="F130" i="15" l="1"/>
  <c r="I130" i="15"/>
  <c r="N130" i="15" l="1"/>
  <c r="L130" i="15"/>
  <c r="E131" i="15" l="1"/>
  <c r="C131" i="15"/>
  <c r="Q131" i="15" l="1"/>
  <c r="P131" i="15"/>
  <c r="G131" i="15"/>
  <c r="H131" i="15" s="1"/>
  <c r="F131" i="15" l="1"/>
  <c r="I131" i="15"/>
  <c r="N131" i="15" l="1"/>
  <c r="L131" i="15"/>
  <c r="E132" i="15" l="1"/>
  <c r="C132" i="15"/>
  <c r="Q132" i="15" l="1"/>
  <c r="P132" i="15"/>
  <c r="G132" i="15"/>
  <c r="H132" i="15" s="1"/>
  <c r="F132" i="15" l="1"/>
  <c r="I132" i="15"/>
  <c r="N132" i="15" l="1"/>
  <c r="L132" i="15"/>
  <c r="E133" i="15" l="1"/>
  <c r="C133" i="15"/>
  <c r="P133" i="15" l="1"/>
  <c r="Q133" i="15"/>
  <c r="G133" i="15"/>
  <c r="H133" i="15" s="1"/>
  <c r="F133" i="15" l="1"/>
  <c r="I133" i="15"/>
  <c r="N133" i="15" l="1"/>
  <c r="L133" i="15"/>
  <c r="E134" i="15" l="1"/>
  <c r="C134" i="15"/>
  <c r="P134" i="15" l="1"/>
  <c r="Q134" i="15"/>
  <c r="G134" i="15"/>
  <c r="H134" i="15" s="1"/>
  <c r="H135" i="15" l="1"/>
  <c r="H197" i="15" s="1"/>
  <c r="F134" i="15"/>
  <c r="I134" i="15"/>
  <c r="I135" i="15" l="1"/>
  <c r="I136" i="15" s="1"/>
  <c r="I137" i="15" s="1"/>
  <c r="I138" i="15" s="1"/>
  <c r="I139" i="15" s="1"/>
  <c r="I140" i="15" s="1"/>
  <c r="I141" i="15" s="1"/>
  <c r="I142" i="15" s="1"/>
  <c r="I143" i="15" s="1"/>
  <c r="I144" i="15" s="1"/>
  <c r="I145" i="15" s="1"/>
  <c r="I146" i="15" s="1"/>
  <c r="I147" i="15" s="1"/>
  <c r="I148" i="15" s="1"/>
  <c r="I149" i="15" s="1"/>
  <c r="I150" i="15" s="1"/>
  <c r="I151" i="15" s="1"/>
  <c r="I152" i="15" s="1"/>
  <c r="I153" i="15" s="1"/>
  <c r="I154" i="15" s="1"/>
  <c r="I155" i="15" s="1"/>
  <c r="I156" i="15" s="1"/>
  <c r="I157" i="15" s="1"/>
  <c r="I158" i="15" s="1"/>
  <c r="I159" i="15" s="1"/>
  <c r="I160" i="15" s="1"/>
  <c r="I161" i="15" s="1"/>
  <c r="I162" i="15" s="1"/>
  <c r="I163" i="15" s="1"/>
  <c r="I164" i="15" s="1"/>
  <c r="I165" i="15" s="1"/>
  <c r="I166" i="15" s="1"/>
  <c r="I167" i="15" s="1"/>
  <c r="I168" i="15" s="1"/>
  <c r="I169" i="15" s="1"/>
  <c r="I170" i="15" s="1"/>
  <c r="I171" i="15" s="1"/>
  <c r="I172" i="15" s="1"/>
  <c r="I173" i="15" s="1"/>
  <c r="I174" i="15" s="1"/>
  <c r="I175" i="15" s="1"/>
  <c r="I176" i="15" s="1"/>
  <c r="I177" i="15" s="1"/>
  <c r="I178" i="15" s="1"/>
  <c r="I179" i="15" s="1"/>
  <c r="I180" i="15" s="1"/>
  <c r="I181" i="15" s="1"/>
  <c r="I182" i="15" s="1"/>
  <c r="I183" i="15" s="1"/>
  <c r="I184" i="15" s="1"/>
  <c r="I185" i="15" s="1"/>
  <c r="I186" i="15" s="1"/>
  <c r="I187" i="15" s="1"/>
  <c r="I188" i="15" s="1"/>
  <c r="I189" i="15" s="1"/>
  <c r="I190" i="15" s="1"/>
  <c r="I191" i="15" s="1"/>
  <c r="I192" i="15" s="1"/>
  <c r="I193" i="15" s="1"/>
  <c r="I194" i="15" s="1"/>
  <c r="I195" i="15" s="1"/>
  <c r="N134" i="15"/>
  <c r="L134" i="15"/>
  <c r="E135" i="15" l="1"/>
  <c r="C135" i="15"/>
  <c r="Q135" i="15" l="1"/>
  <c r="G135" i="15"/>
  <c r="G197" i="15" l="1"/>
  <c r="D135" i="15"/>
  <c r="D197" i="15" l="1"/>
  <c r="R16" i="4" s="1"/>
  <c r="R17" i="4" s="1"/>
  <c r="R15" i="4"/>
  <c r="F135" i="15"/>
  <c r="D10" i="15"/>
  <c r="N135" i="15" l="1"/>
  <c r="N197" i="15" s="1"/>
  <c r="R9" i="15"/>
  <c r="P135" i="15"/>
  <c r="L135" i="15"/>
  <c r="F136" i="15" l="1"/>
  <c r="N136" i="15" s="1"/>
  <c r="E136" i="15"/>
  <c r="C136" i="15"/>
  <c r="P136" i="15" l="1"/>
  <c r="Q136" i="15"/>
  <c r="L136" i="15"/>
  <c r="E137" i="15" l="1"/>
  <c r="F137" i="15"/>
  <c r="N137" i="15" s="1"/>
  <c r="C137" i="15"/>
  <c r="P137" i="15" l="1"/>
  <c r="Q137" i="15"/>
  <c r="L137" i="15"/>
  <c r="E138" i="15" l="1"/>
  <c r="F138" i="15"/>
  <c r="N138" i="15" s="1"/>
  <c r="C138" i="15"/>
  <c r="Q138" i="15" l="1"/>
  <c r="P138" i="15"/>
  <c r="L138" i="15"/>
  <c r="E139" i="15" l="1"/>
  <c r="F139" i="15"/>
  <c r="N139" i="15" s="1"/>
  <c r="C139" i="15"/>
  <c r="P139" i="15" l="1"/>
  <c r="Q139" i="15"/>
  <c r="L139" i="15"/>
  <c r="E140" i="15" l="1"/>
  <c r="F140" i="15"/>
  <c r="N140" i="15" s="1"/>
  <c r="C140" i="15"/>
  <c r="P140" i="15" l="1"/>
  <c r="Q140" i="15"/>
  <c r="L140" i="15"/>
  <c r="E141" i="15" l="1"/>
  <c r="C141" i="15"/>
  <c r="F141" i="15"/>
  <c r="N141" i="15" s="1"/>
  <c r="Q141" i="15" l="1"/>
  <c r="P141" i="15"/>
  <c r="L141" i="15"/>
  <c r="E142" i="15" l="1"/>
  <c r="C142" i="15"/>
  <c r="F142" i="15"/>
  <c r="N142" i="15" s="1"/>
  <c r="P142" i="15" l="1"/>
  <c r="Q142" i="15"/>
  <c r="L142" i="15"/>
  <c r="F143" i="15" l="1"/>
  <c r="N143" i="15" s="1"/>
  <c r="E143" i="15"/>
  <c r="C143" i="15"/>
  <c r="L143" i="15" l="1"/>
  <c r="P143" i="15"/>
  <c r="Q143" i="15"/>
  <c r="C144" i="15"/>
  <c r="E144" i="15"/>
  <c r="F144" i="15"/>
  <c r="N144" i="15" s="1"/>
  <c r="L144" i="15" l="1"/>
  <c r="P144" i="15"/>
  <c r="Q144" i="15"/>
  <c r="E145" i="15" l="1"/>
  <c r="C145" i="15"/>
  <c r="F145" i="15"/>
  <c r="N145" i="15" s="1"/>
  <c r="Q145" i="15" l="1"/>
  <c r="P145" i="15"/>
  <c r="L145" i="15"/>
  <c r="E146" i="15" l="1"/>
  <c r="C146" i="15"/>
  <c r="F146" i="15"/>
  <c r="N146" i="15" s="1"/>
  <c r="Q146" i="15" l="1"/>
  <c r="P146" i="15"/>
  <c r="L146" i="15"/>
  <c r="C147" i="15" l="1"/>
  <c r="E147" i="15"/>
  <c r="F147" i="15"/>
  <c r="N147" i="15" s="1"/>
  <c r="L147" i="15" l="1"/>
  <c r="Q147" i="15"/>
  <c r="P147" i="15"/>
  <c r="E148" i="15" l="1"/>
  <c r="F148" i="15"/>
  <c r="N148" i="15" s="1"/>
  <c r="C148" i="15"/>
  <c r="P148" i="15" l="1"/>
  <c r="Q148" i="15"/>
  <c r="L148" i="15"/>
  <c r="C149" i="15" l="1"/>
  <c r="F149" i="15"/>
  <c r="N149" i="15" s="1"/>
  <c r="E149" i="15"/>
  <c r="L149" i="15" l="1"/>
  <c r="Q149" i="15"/>
  <c r="P149" i="15"/>
  <c r="E150" i="15" l="1"/>
  <c r="C150" i="15"/>
  <c r="F150" i="15"/>
  <c r="N150" i="15" s="1"/>
  <c r="Q150" i="15" l="1"/>
  <c r="P150" i="15"/>
  <c r="L150" i="15"/>
  <c r="E151" i="15" l="1"/>
  <c r="F151" i="15"/>
  <c r="N151" i="15" s="1"/>
  <c r="C151" i="15"/>
  <c r="Q151" i="15" l="1"/>
  <c r="P151" i="15"/>
  <c r="L151" i="15"/>
  <c r="C152" i="15" l="1"/>
  <c r="E152" i="15"/>
  <c r="F152" i="15"/>
  <c r="N152" i="15" s="1"/>
  <c r="L152" i="15" l="1"/>
  <c r="P152" i="15"/>
  <c r="Q152" i="15"/>
  <c r="C153" i="15" l="1"/>
  <c r="F153" i="15"/>
  <c r="N153" i="15" s="1"/>
  <c r="E153" i="15"/>
  <c r="L153" i="15" l="1"/>
  <c r="P153" i="15"/>
  <c r="Q153" i="15"/>
  <c r="F154" i="15" l="1"/>
  <c r="N154" i="15" s="1"/>
  <c r="C154" i="15"/>
  <c r="E154" i="15"/>
  <c r="L154" i="15" l="1"/>
  <c r="Q154" i="15"/>
  <c r="P154" i="15"/>
  <c r="E155" i="15" l="1"/>
  <c r="C155" i="15"/>
  <c r="F155" i="15"/>
  <c r="N155" i="15" s="1"/>
  <c r="P155" i="15" l="1"/>
  <c r="Q155" i="15"/>
  <c r="L155" i="15"/>
  <c r="C156" i="15" l="1"/>
  <c r="F156" i="15"/>
  <c r="N156" i="15" s="1"/>
  <c r="E156" i="15"/>
  <c r="L156" i="15" l="1"/>
  <c r="P156" i="15"/>
  <c r="Q156" i="15"/>
  <c r="F157" i="15" l="1"/>
  <c r="N157" i="15" s="1"/>
  <c r="C157" i="15"/>
  <c r="E157" i="15"/>
  <c r="L157" i="15" l="1"/>
  <c r="E158" i="15" s="1"/>
  <c r="F158" i="15"/>
  <c r="N158" i="15" s="1"/>
  <c r="Q157" i="15"/>
  <c r="P157" i="15"/>
  <c r="C158" i="15" l="1"/>
  <c r="Q158" i="15" s="1"/>
  <c r="P158" i="15"/>
  <c r="L158" i="15"/>
  <c r="F159" i="15" l="1"/>
  <c r="N159" i="15" s="1"/>
  <c r="C159" i="15"/>
  <c r="E159" i="15"/>
  <c r="L159" i="15" l="1"/>
  <c r="C160" i="15" s="1"/>
  <c r="E160" i="15"/>
  <c r="F160" i="15"/>
  <c r="N160" i="15" s="1"/>
  <c r="Q159" i="15"/>
  <c r="P159" i="15"/>
  <c r="L160" i="15" l="1"/>
  <c r="P160" i="15"/>
  <c r="Q160" i="15"/>
  <c r="F161" i="15" l="1"/>
  <c r="N161" i="15" s="1"/>
  <c r="C161" i="15"/>
  <c r="E161" i="15"/>
  <c r="L161" i="15" l="1"/>
  <c r="E162" i="15" s="1"/>
  <c r="F162" i="15"/>
  <c r="N162" i="15" s="1"/>
  <c r="C162" i="15"/>
  <c r="P161" i="15"/>
  <c r="Q161" i="15"/>
  <c r="Q162" i="15" l="1"/>
  <c r="P162" i="15"/>
  <c r="L162" i="15"/>
  <c r="E163" i="15" l="1"/>
  <c r="C163" i="15"/>
  <c r="F163" i="15"/>
  <c r="N163" i="15" s="1"/>
  <c r="Q163" i="15" l="1"/>
  <c r="P163" i="15"/>
  <c r="L163" i="15"/>
  <c r="C164" i="15" l="1"/>
  <c r="F164" i="15"/>
  <c r="N164" i="15" s="1"/>
  <c r="E164" i="15"/>
  <c r="L164" i="15" l="1"/>
  <c r="Q164" i="15"/>
  <c r="P164" i="15"/>
  <c r="E165" i="15" l="1"/>
  <c r="F165" i="15"/>
  <c r="N165" i="15" s="1"/>
  <c r="C165" i="15"/>
  <c r="Q165" i="15" l="1"/>
  <c r="P165" i="15"/>
  <c r="L165" i="15"/>
  <c r="C166" i="15" l="1"/>
  <c r="F166" i="15"/>
  <c r="N166" i="15" s="1"/>
  <c r="E166" i="15"/>
  <c r="L166" i="15" l="1"/>
  <c r="Q166" i="15"/>
  <c r="P166" i="15"/>
  <c r="E167" i="15" l="1"/>
  <c r="C167" i="15"/>
  <c r="F167" i="15"/>
  <c r="N167" i="15" s="1"/>
  <c r="Q167" i="15" l="1"/>
  <c r="P167" i="15"/>
  <c r="L167" i="15"/>
  <c r="E168" i="15" l="1"/>
  <c r="F168" i="15"/>
  <c r="N168" i="15" s="1"/>
  <c r="C168" i="15"/>
  <c r="Q168" i="15" l="1"/>
  <c r="P168" i="15"/>
  <c r="L168" i="15"/>
  <c r="E169" i="15" l="1"/>
  <c r="F169" i="15"/>
  <c r="N169" i="15" s="1"/>
  <c r="C169" i="15"/>
  <c r="Q169" i="15" l="1"/>
  <c r="P169" i="15"/>
  <c r="L169" i="15"/>
  <c r="C170" i="15" l="1"/>
  <c r="F170" i="15"/>
  <c r="N170" i="15" s="1"/>
  <c r="E170" i="15"/>
  <c r="L170" i="15" l="1"/>
  <c r="P170" i="15"/>
  <c r="Q170" i="15"/>
  <c r="E171" i="15" l="1"/>
  <c r="C171" i="15"/>
  <c r="F171" i="15"/>
  <c r="N171" i="15" s="1"/>
  <c r="Q171" i="15" l="1"/>
  <c r="P171" i="15"/>
  <c r="L171" i="15"/>
  <c r="E172" i="15" l="1"/>
  <c r="F172" i="15"/>
  <c r="N172" i="15" s="1"/>
  <c r="C172" i="15"/>
  <c r="Q172" i="15" l="1"/>
  <c r="P172" i="15"/>
  <c r="L172" i="15"/>
  <c r="E173" i="15" l="1"/>
  <c r="C173" i="15"/>
  <c r="F173" i="15"/>
  <c r="N173" i="15" s="1"/>
  <c r="P173" i="15" l="1"/>
  <c r="Q173" i="15"/>
  <c r="L173" i="15"/>
  <c r="C174" i="15" l="1"/>
  <c r="E174" i="15"/>
  <c r="F174" i="15"/>
  <c r="N174" i="15" s="1"/>
  <c r="L174" i="15" l="1"/>
  <c r="Q174" i="15"/>
  <c r="P174" i="15"/>
  <c r="C175" i="15" l="1"/>
  <c r="F175" i="15"/>
  <c r="N175" i="15" s="1"/>
  <c r="E175" i="15"/>
  <c r="L175" i="15" l="1"/>
  <c r="P175" i="15"/>
  <c r="Q175" i="15"/>
  <c r="C176" i="15" l="1"/>
  <c r="F176" i="15"/>
  <c r="N176" i="15" s="1"/>
  <c r="E176" i="15"/>
  <c r="L176" i="15" l="1"/>
  <c r="P176" i="15"/>
  <c r="Q176" i="15"/>
  <c r="E177" i="15" l="1"/>
  <c r="C177" i="15"/>
  <c r="F177" i="15"/>
  <c r="N177" i="15" s="1"/>
  <c r="Q177" i="15" l="1"/>
  <c r="P177" i="15"/>
  <c r="L177" i="15"/>
  <c r="C178" i="15" l="1"/>
  <c r="F178" i="15"/>
  <c r="N178" i="15" s="1"/>
  <c r="E178" i="15"/>
  <c r="L178" i="15" l="1"/>
  <c r="Q178" i="15"/>
  <c r="P178" i="15"/>
  <c r="F179" i="15" l="1"/>
  <c r="N179" i="15" s="1"/>
  <c r="E179" i="15"/>
  <c r="C179" i="15"/>
  <c r="Q179" i="15" l="1"/>
  <c r="P179" i="15"/>
  <c r="L179" i="15"/>
  <c r="F180" i="15" l="1"/>
  <c r="N180" i="15" s="1"/>
  <c r="E180" i="15"/>
  <c r="C180" i="15"/>
  <c r="P180" i="15" l="1"/>
  <c r="Q180" i="15"/>
  <c r="L180" i="15"/>
  <c r="F181" i="15" l="1"/>
  <c r="N181" i="15" s="1"/>
  <c r="E181" i="15"/>
  <c r="C181" i="15"/>
  <c r="Q181" i="15" l="1"/>
  <c r="P181" i="15"/>
  <c r="L181" i="15"/>
  <c r="E182" i="15" l="1"/>
  <c r="C182" i="15"/>
  <c r="F182" i="15"/>
  <c r="N182" i="15" s="1"/>
  <c r="Q182" i="15" l="1"/>
  <c r="P182" i="15"/>
  <c r="L182" i="15"/>
  <c r="C183" i="15" l="1"/>
  <c r="F183" i="15"/>
  <c r="N183" i="15" s="1"/>
  <c r="E183" i="15"/>
  <c r="L183" i="15" l="1"/>
  <c r="Q183" i="15"/>
  <c r="P183" i="15"/>
  <c r="C184" i="15" l="1"/>
  <c r="F184" i="15"/>
  <c r="N184" i="15" s="1"/>
  <c r="E184" i="15"/>
  <c r="L184" i="15" l="1"/>
  <c r="Q184" i="15"/>
  <c r="P184" i="15"/>
  <c r="C185" i="15" l="1"/>
  <c r="E185" i="15"/>
  <c r="F185" i="15"/>
  <c r="N185" i="15" s="1"/>
  <c r="L185" i="15" l="1"/>
  <c r="P185" i="15"/>
  <c r="Q185" i="15"/>
  <c r="C186" i="15" l="1"/>
  <c r="E186" i="15"/>
  <c r="F186" i="15"/>
  <c r="N186" i="15" s="1"/>
  <c r="L186" i="15" l="1"/>
  <c r="P186" i="15"/>
  <c r="Q186" i="15"/>
  <c r="E187" i="15" l="1"/>
  <c r="F187" i="15"/>
  <c r="N187" i="15" s="1"/>
  <c r="C187" i="15"/>
  <c r="Q187" i="15" l="1"/>
  <c r="P187" i="15"/>
  <c r="L187" i="15"/>
  <c r="E188" i="15" l="1"/>
  <c r="F188" i="15"/>
  <c r="N188" i="15" s="1"/>
  <c r="C188" i="15"/>
  <c r="Q188" i="15" l="1"/>
  <c r="P188" i="15"/>
  <c r="L188" i="15"/>
  <c r="E189" i="15" l="1"/>
  <c r="F189" i="15"/>
  <c r="N189" i="15" s="1"/>
  <c r="C189" i="15"/>
  <c r="P189" i="15" l="1"/>
  <c r="Q189" i="15"/>
  <c r="L189" i="15"/>
  <c r="C190" i="15" l="1"/>
  <c r="E190" i="15"/>
  <c r="F190" i="15"/>
  <c r="N190" i="15" s="1"/>
  <c r="L190" i="15" l="1"/>
  <c r="P190" i="15"/>
  <c r="Q190" i="15"/>
  <c r="E191" i="15" l="1"/>
  <c r="C191" i="15"/>
  <c r="F191" i="15"/>
  <c r="N191" i="15" s="1"/>
  <c r="P191" i="15" l="1"/>
  <c r="Q191" i="15"/>
  <c r="L191" i="15"/>
  <c r="C192" i="15" l="1"/>
  <c r="E192" i="15"/>
  <c r="F192" i="15"/>
  <c r="N192" i="15" s="1"/>
  <c r="L192" i="15" l="1"/>
  <c r="Q192" i="15"/>
  <c r="P192" i="15"/>
  <c r="E193" i="15" l="1"/>
  <c r="C193" i="15"/>
  <c r="F193" i="15"/>
  <c r="N193" i="15" s="1"/>
  <c r="P193" i="15" l="1"/>
  <c r="Q193" i="15"/>
  <c r="L193" i="15"/>
  <c r="F194" i="15" l="1"/>
  <c r="N194" i="15" s="1"/>
  <c r="E194" i="15"/>
  <c r="C194" i="15"/>
  <c r="Q194" i="15" l="1"/>
  <c r="P194" i="15"/>
  <c r="L194" i="15"/>
  <c r="C195" i="15" l="1"/>
  <c r="E195" i="15"/>
  <c r="F195" i="15"/>
  <c r="N195" i="15" l="1"/>
  <c r="F197" i="15"/>
  <c r="L195" i="15"/>
  <c r="P195" i="15"/>
  <c r="P197" i="15" s="1"/>
  <c r="Q195" i="15"/>
  <c r="Q197" i="15" s="1"/>
  <c r="D66" i="5" l="1"/>
  <c r="H16" i="5"/>
  <c r="I16" i="5" s="1"/>
  <c r="G17" i="5"/>
  <c r="H17" i="5"/>
  <c r="G18" i="5"/>
  <c r="H18" i="5"/>
  <c r="G19" i="5"/>
  <c r="H19" i="5"/>
  <c r="G20" i="5"/>
  <c r="H20" i="5"/>
  <c r="G21" i="5"/>
  <c r="H21" i="5"/>
  <c r="G22" i="5"/>
  <c r="H22" i="5"/>
  <c r="G23" i="5"/>
  <c r="H23" i="5"/>
  <c r="G24" i="5"/>
  <c r="H24" i="5"/>
  <c r="G25" i="5"/>
  <c r="H25" i="5"/>
  <c r="G26" i="5"/>
  <c r="H26" i="5"/>
  <c r="G27" i="5"/>
  <c r="H27" i="5"/>
  <c r="G28" i="5"/>
  <c r="H28" i="5"/>
  <c r="G29" i="5"/>
  <c r="H29" i="5"/>
  <c r="G30" i="5"/>
  <c r="H30" i="5"/>
  <c r="G31" i="5"/>
  <c r="H31" i="5"/>
  <c r="G32" i="5"/>
  <c r="H32" i="5"/>
  <c r="G33" i="5"/>
  <c r="H33" i="5"/>
  <c r="G34" i="5"/>
  <c r="H34" i="5"/>
  <c r="G35" i="5"/>
  <c r="H35" i="5"/>
  <c r="G36" i="5"/>
  <c r="H36" i="5"/>
  <c r="G37" i="5"/>
  <c r="H37" i="5"/>
  <c r="G38" i="5"/>
  <c r="H38" i="5"/>
  <c r="G39" i="5"/>
  <c r="H39" i="5"/>
  <c r="G40" i="5"/>
  <c r="H40" i="5"/>
  <c r="G41" i="5"/>
  <c r="H41" i="5"/>
  <c r="G42" i="5"/>
  <c r="H42" i="5"/>
  <c r="G43" i="5"/>
  <c r="H43" i="5"/>
  <c r="G44" i="5"/>
  <c r="H44" i="5"/>
  <c r="G45" i="5"/>
  <c r="H45" i="5"/>
  <c r="G46" i="5"/>
  <c r="H46" i="5"/>
  <c r="G47" i="5"/>
  <c r="H47" i="5"/>
  <c r="G48" i="5"/>
  <c r="H48" i="5"/>
  <c r="G49" i="5"/>
  <c r="H49" i="5"/>
  <c r="G50" i="5"/>
  <c r="H50" i="5"/>
  <c r="G51" i="5"/>
  <c r="H51" i="5"/>
  <c r="G52" i="5"/>
  <c r="H52" i="5"/>
  <c r="G53" i="5"/>
  <c r="H53" i="5"/>
  <c r="G54" i="5"/>
  <c r="H54" i="5"/>
  <c r="G55" i="5"/>
  <c r="H55" i="5"/>
  <c r="G56" i="5"/>
  <c r="H56" i="5"/>
  <c r="G57" i="5"/>
  <c r="H57" i="5"/>
  <c r="G58" i="5"/>
  <c r="H58" i="5"/>
  <c r="G59" i="5"/>
  <c r="H59" i="5"/>
  <c r="G60" i="5"/>
  <c r="H60" i="5"/>
  <c r="G61" i="5"/>
  <c r="H61" i="5"/>
  <c r="G62" i="5"/>
  <c r="H62" i="5"/>
  <c r="G63" i="5"/>
  <c r="H63" i="5"/>
  <c r="G64" i="5"/>
  <c r="H64" i="5"/>
  <c r="G65" i="5"/>
  <c r="H65" i="5"/>
  <c r="G66" i="5"/>
  <c r="H66" i="5"/>
  <c r="G67" i="5"/>
  <c r="H67" i="5"/>
  <c r="G68" i="5"/>
  <c r="H68" i="5"/>
  <c r="G69" i="5"/>
  <c r="H69" i="5"/>
  <c r="G70" i="5"/>
  <c r="H70" i="5"/>
  <c r="G71" i="5"/>
  <c r="H71" i="5"/>
  <c r="G72" i="5"/>
  <c r="H72" i="5"/>
  <c r="G73" i="5"/>
  <c r="H73" i="5"/>
  <c r="G74" i="5"/>
  <c r="H74" i="5"/>
  <c r="G75" i="5"/>
  <c r="H75" i="5"/>
  <c r="G76" i="5"/>
  <c r="H76" i="5"/>
  <c r="G77" i="5"/>
  <c r="H77" i="5"/>
  <c r="G78" i="5"/>
  <c r="H78" i="5"/>
  <c r="G79" i="5"/>
  <c r="H79" i="5"/>
  <c r="G80" i="5"/>
  <c r="H80" i="5"/>
  <c r="G81" i="5"/>
  <c r="H81" i="5"/>
  <c r="G82" i="5"/>
  <c r="H82" i="5"/>
  <c r="G83" i="5"/>
  <c r="H83" i="5"/>
  <c r="G84" i="5"/>
  <c r="H84" i="5"/>
  <c r="G85" i="5"/>
  <c r="H85" i="5"/>
  <c r="G86" i="5"/>
  <c r="H86" i="5"/>
  <c r="G87" i="5"/>
  <c r="H87" i="5"/>
  <c r="G88" i="5"/>
  <c r="H88" i="5"/>
  <c r="G89" i="5"/>
  <c r="H89" i="5"/>
  <c r="G90" i="5"/>
  <c r="H90" i="5"/>
  <c r="G91" i="5"/>
  <c r="H91" i="5"/>
  <c r="G92" i="5"/>
  <c r="H92" i="5"/>
  <c r="G93" i="5"/>
  <c r="H93" i="5"/>
  <c r="G94" i="5"/>
  <c r="H94" i="5"/>
  <c r="G95" i="5"/>
  <c r="H95" i="5"/>
  <c r="G96" i="5"/>
  <c r="H96" i="5"/>
  <c r="G97" i="5"/>
  <c r="H97" i="5"/>
  <c r="G98" i="5"/>
  <c r="H98" i="5"/>
  <c r="G99" i="5"/>
  <c r="H99" i="5"/>
  <c r="G100" i="5"/>
  <c r="H100" i="5"/>
  <c r="G101" i="5"/>
  <c r="H101" i="5"/>
  <c r="G102" i="5"/>
  <c r="H102" i="5"/>
  <c r="G103" i="5"/>
  <c r="H103" i="5"/>
  <c r="G104" i="5"/>
  <c r="H104" i="5"/>
  <c r="G105" i="5"/>
  <c r="H105" i="5"/>
  <c r="G106" i="5"/>
  <c r="H106" i="5"/>
  <c r="G107" i="5"/>
  <c r="H107" i="5"/>
  <c r="G108" i="5"/>
  <c r="H108" i="5"/>
  <c r="G109" i="5"/>
  <c r="H109" i="5"/>
  <c r="G110" i="5"/>
  <c r="H110" i="5"/>
  <c r="G111" i="5"/>
  <c r="H111" i="5"/>
  <c r="G112" i="5"/>
  <c r="H112" i="5"/>
  <c r="G113" i="5"/>
  <c r="H113" i="5"/>
  <c r="G114" i="5"/>
  <c r="H114" i="5"/>
  <c r="G115" i="5"/>
  <c r="H115" i="5"/>
  <c r="G116" i="5"/>
  <c r="H116" i="5"/>
  <c r="G117" i="5"/>
  <c r="H117" i="5"/>
  <c r="G118" i="5"/>
  <c r="H118" i="5"/>
  <c r="G119" i="5"/>
  <c r="H119" i="5"/>
  <c r="G120" i="5"/>
  <c r="H120" i="5"/>
  <c r="G121" i="5"/>
  <c r="H121" i="5"/>
  <c r="G122" i="5"/>
  <c r="H122" i="5"/>
  <c r="G123" i="5"/>
  <c r="H123" i="5"/>
  <c r="G124" i="5"/>
  <c r="H124" i="5"/>
  <c r="G125" i="5"/>
  <c r="H125" i="5"/>
  <c r="G126" i="5"/>
  <c r="H126" i="5"/>
  <c r="G127" i="5"/>
  <c r="H127" i="5"/>
  <c r="G128" i="5"/>
  <c r="H128" i="5"/>
  <c r="G129" i="5"/>
  <c r="H129" i="5"/>
  <c r="G130" i="5"/>
  <c r="H130" i="5"/>
  <c r="G131" i="5"/>
  <c r="H131" i="5"/>
  <c r="G132" i="5"/>
  <c r="H132" i="5"/>
  <c r="G133" i="5"/>
  <c r="H133" i="5"/>
  <c r="G134" i="5"/>
  <c r="H134" i="5"/>
  <c r="G135" i="5"/>
  <c r="H135" i="5"/>
  <c r="D135" i="5"/>
  <c r="D10" i="5"/>
  <c r="D27" i="4"/>
  <c r="I17" i="5" l="1"/>
  <c r="I18" i="5" s="1"/>
  <c r="H197" i="5"/>
  <c r="I19" i="5"/>
  <c r="I20" i="5" s="1"/>
  <c r="I21" i="5" s="1"/>
  <c r="I22" i="5" s="1"/>
  <c r="I23" i="5" s="1"/>
  <c r="I24" i="5" s="1"/>
  <c r="I25" i="5" s="1"/>
  <c r="I26" i="5" s="1"/>
  <c r="I27" i="5" s="1"/>
  <c r="I28" i="5" s="1"/>
  <c r="I29" i="5" s="1"/>
  <c r="I30" i="5" s="1"/>
  <c r="I31" i="5" s="1"/>
  <c r="I32" i="5" s="1"/>
  <c r="I33" i="5" s="1"/>
  <c r="I34" i="5" s="1"/>
  <c r="I35" i="5" s="1"/>
  <c r="I36" i="5" s="1"/>
  <c r="I37" i="5" s="1"/>
  <c r="I38" i="5" s="1"/>
  <c r="I39" i="5" s="1"/>
  <c r="I40" i="5" s="1"/>
  <c r="I41" i="5" s="1"/>
  <c r="I42" i="5" s="1"/>
  <c r="I43" i="5" s="1"/>
  <c r="I44" i="5" s="1"/>
  <c r="I45" i="5" s="1"/>
  <c r="I46" i="5" s="1"/>
  <c r="I47" i="5" s="1"/>
  <c r="I48" i="5" s="1"/>
  <c r="I49" i="5" s="1"/>
  <c r="I50" i="5" s="1"/>
  <c r="I51" i="5" s="1"/>
  <c r="I52" i="5" s="1"/>
  <c r="I53" i="5" s="1"/>
  <c r="I54" i="5" s="1"/>
  <c r="I55" i="5" s="1"/>
  <c r="I56" i="5" s="1"/>
  <c r="I57" i="5" s="1"/>
  <c r="I58" i="5" s="1"/>
  <c r="I59" i="5" s="1"/>
  <c r="I60" i="5" s="1"/>
  <c r="I61" i="5" s="1"/>
  <c r="I62" i="5" s="1"/>
  <c r="I63" i="5" s="1"/>
  <c r="I64" i="5" s="1"/>
  <c r="I65" i="5" s="1"/>
  <c r="I66" i="5" s="1"/>
  <c r="I67" i="5" s="1"/>
  <c r="I68" i="5" s="1"/>
  <c r="I69" i="5" s="1"/>
  <c r="I70" i="5" s="1"/>
  <c r="I71" i="5" s="1"/>
  <c r="I72" i="5" s="1"/>
  <c r="I73" i="5" s="1"/>
  <c r="I74" i="5" s="1"/>
  <c r="I75" i="5" s="1"/>
  <c r="I76" i="5" s="1"/>
  <c r="I77" i="5" s="1"/>
  <c r="I78" i="5" s="1"/>
  <c r="I79" i="5" s="1"/>
  <c r="I80" i="5" s="1"/>
  <c r="I81" i="5" s="1"/>
  <c r="I82" i="5" s="1"/>
  <c r="I83" i="5" s="1"/>
  <c r="I84" i="5" s="1"/>
  <c r="I85" i="5" s="1"/>
  <c r="I86" i="5" s="1"/>
  <c r="I87" i="5" s="1"/>
  <c r="I88" i="5" s="1"/>
  <c r="I89" i="5" s="1"/>
  <c r="I90" i="5" s="1"/>
  <c r="I91" i="5" s="1"/>
  <c r="I92" i="5" s="1"/>
  <c r="I93" i="5" s="1"/>
  <c r="I94" i="5" s="1"/>
  <c r="I95" i="5" s="1"/>
  <c r="I96" i="5" s="1"/>
  <c r="I97" i="5" s="1"/>
  <c r="I98" i="5" s="1"/>
  <c r="I99" i="5" s="1"/>
  <c r="I100" i="5" s="1"/>
  <c r="I101" i="5" s="1"/>
  <c r="I102" i="5" s="1"/>
  <c r="I103" i="5" s="1"/>
  <c r="I104" i="5" s="1"/>
  <c r="I105" i="5" s="1"/>
  <c r="I106" i="5" s="1"/>
  <c r="I107" i="5" s="1"/>
  <c r="I108" i="5" s="1"/>
  <c r="I109" i="5" s="1"/>
  <c r="I110" i="5" s="1"/>
  <c r="I111" i="5" s="1"/>
  <c r="I112" i="5" s="1"/>
  <c r="I113" i="5" s="1"/>
  <c r="I114" i="5" s="1"/>
  <c r="I115" i="5" s="1"/>
  <c r="I116" i="5" s="1"/>
  <c r="I117" i="5" s="1"/>
  <c r="I118" i="5" s="1"/>
  <c r="I119" i="5" s="1"/>
  <c r="I120" i="5" s="1"/>
  <c r="I121" i="5" s="1"/>
  <c r="I122" i="5" s="1"/>
  <c r="I123" i="5" s="1"/>
  <c r="I124" i="5" s="1"/>
  <c r="I125" i="5" s="1"/>
  <c r="I126" i="5" s="1"/>
  <c r="I127" i="5" s="1"/>
  <c r="I128" i="5" s="1"/>
  <c r="I129" i="5" s="1"/>
  <c r="I130" i="5" s="1"/>
  <c r="I131" i="5" s="1"/>
  <c r="I132" i="5" s="1"/>
  <c r="I133" i="5" s="1"/>
  <c r="I134" i="5" s="1"/>
  <c r="I135" i="5" s="1"/>
  <c r="I136" i="5" s="1"/>
  <c r="I137" i="5" s="1"/>
  <c r="I138" i="5" s="1"/>
  <c r="I139" i="5" s="1"/>
  <c r="I140" i="5" s="1"/>
  <c r="I141" i="5" s="1"/>
  <c r="I142" i="5" s="1"/>
  <c r="I143" i="5" s="1"/>
  <c r="I144" i="5" s="1"/>
  <c r="I145" i="5" s="1"/>
  <c r="I146" i="5" s="1"/>
  <c r="I147" i="5" s="1"/>
  <c r="I148" i="5" s="1"/>
  <c r="I149" i="5" s="1"/>
  <c r="I150" i="5" s="1"/>
  <c r="I151" i="5" s="1"/>
  <c r="I152" i="5" s="1"/>
  <c r="I153" i="5" s="1"/>
  <c r="I154" i="5" s="1"/>
  <c r="I155" i="5" s="1"/>
  <c r="I156" i="5" s="1"/>
  <c r="I157" i="5" s="1"/>
  <c r="I158" i="5" s="1"/>
  <c r="I159" i="5" s="1"/>
  <c r="I160" i="5" s="1"/>
  <c r="I161" i="5" s="1"/>
  <c r="I162" i="5" s="1"/>
  <c r="I163" i="5" s="1"/>
  <c r="I164" i="5" s="1"/>
  <c r="I165" i="5" s="1"/>
  <c r="I166" i="5" s="1"/>
  <c r="I167" i="5" s="1"/>
  <c r="I168" i="5" s="1"/>
  <c r="I169" i="5" s="1"/>
  <c r="I170" i="5" s="1"/>
  <c r="I171" i="5" s="1"/>
  <c r="I172" i="5" s="1"/>
  <c r="I173" i="5" s="1"/>
  <c r="I174" i="5" s="1"/>
  <c r="I175" i="5" s="1"/>
  <c r="I176" i="5" s="1"/>
  <c r="I177" i="5" s="1"/>
  <c r="I178" i="5" s="1"/>
  <c r="I179" i="5" s="1"/>
  <c r="I180" i="5" s="1"/>
  <c r="I181" i="5" s="1"/>
  <c r="I182" i="5" s="1"/>
  <c r="I183" i="5" s="1"/>
  <c r="I184" i="5" s="1"/>
  <c r="I185" i="5" s="1"/>
  <c r="I186" i="5" s="1"/>
  <c r="I187" i="5" s="1"/>
  <c r="I188" i="5" s="1"/>
  <c r="I189" i="5" s="1"/>
  <c r="I190" i="5" s="1"/>
  <c r="I191" i="5" s="1"/>
  <c r="I192" i="5" s="1"/>
  <c r="I193" i="5" s="1"/>
  <c r="I194" i="5" s="1"/>
  <c r="I195" i="5" s="1"/>
  <c r="G197" i="5"/>
  <c r="D16" i="5"/>
  <c r="F16" i="5" l="1"/>
  <c r="H10" i="4"/>
  <c r="D197" i="5"/>
  <c r="J27" i="4" s="1"/>
  <c r="H27" i="4" s="1"/>
  <c r="L16" i="5" l="1"/>
  <c r="R9" i="5"/>
  <c r="N16" i="5"/>
  <c r="E17" i="5" l="1"/>
  <c r="C17" i="5"/>
  <c r="F17" i="5"/>
  <c r="N17" i="5" l="1"/>
  <c r="L17" i="5"/>
  <c r="Q17" i="5"/>
  <c r="P17" i="5"/>
  <c r="E18" i="5" l="1"/>
  <c r="C18" i="5"/>
  <c r="F18" i="5"/>
  <c r="N18" i="5" l="1"/>
  <c r="L18" i="5"/>
  <c r="Q18" i="5"/>
  <c r="P18" i="5"/>
  <c r="C19" i="5" l="1"/>
  <c r="E19" i="5"/>
  <c r="F19" i="5"/>
  <c r="L19" i="5" l="1"/>
  <c r="N19" i="5"/>
  <c r="Q19" i="5"/>
  <c r="P19" i="5"/>
  <c r="E20" i="5" l="1"/>
  <c r="C20" i="5"/>
  <c r="F20" i="5"/>
  <c r="L20" i="5" l="1"/>
  <c r="Q20" i="5"/>
  <c r="P20" i="5"/>
  <c r="N20" i="5"/>
  <c r="E21" i="5" l="1"/>
  <c r="C21" i="5"/>
  <c r="F21" i="5"/>
  <c r="N21" i="5" s="1"/>
  <c r="Q21" i="5" l="1"/>
  <c r="P21" i="5"/>
  <c r="L21" i="5"/>
  <c r="E22" i="5" l="1"/>
  <c r="C22" i="5"/>
  <c r="F22" i="5"/>
  <c r="N22" i="5" s="1"/>
  <c r="Q22" i="5" l="1"/>
  <c r="P22" i="5"/>
  <c r="L22" i="5"/>
  <c r="C23" i="5" l="1"/>
  <c r="E23" i="5"/>
  <c r="F23" i="5"/>
  <c r="N23" i="5" s="1"/>
  <c r="L23" i="5" l="1"/>
  <c r="Q23" i="5"/>
  <c r="P23" i="5"/>
  <c r="E24" i="5" l="1"/>
  <c r="F24" i="5"/>
  <c r="N24" i="5" s="1"/>
  <c r="C24" i="5"/>
  <c r="Q24" i="5" l="1"/>
  <c r="P24" i="5"/>
  <c r="L24" i="5"/>
  <c r="E25" i="5" l="1"/>
  <c r="C25" i="5"/>
  <c r="F25" i="5"/>
  <c r="N25" i="5" s="1"/>
  <c r="Q25" i="5" l="1"/>
  <c r="P25" i="5"/>
  <c r="L25" i="5"/>
  <c r="E26" i="5" l="1"/>
  <c r="C26" i="5"/>
  <c r="F26" i="5"/>
  <c r="N26" i="5" s="1"/>
  <c r="Q26" i="5" l="1"/>
  <c r="P26" i="5"/>
  <c r="L26" i="5"/>
  <c r="C27" i="5" l="1"/>
  <c r="E27" i="5"/>
  <c r="F27" i="5"/>
  <c r="N27" i="5" s="1"/>
  <c r="L27" i="5" l="1"/>
  <c r="Q27" i="5"/>
  <c r="P27" i="5"/>
  <c r="E28" i="5" l="1"/>
  <c r="F28" i="5"/>
  <c r="N28" i="5" s="1"/>
  <c r="C28" i="5"/>
  <c r="Q28" i="5" l="1"/>
  <c r="P28" i="5"/>
  <c r="L28" i="5"/>
  <c r="E29" i="5" l="1"/>
  <c r="C29" i="5"/>
  <c r="F29" i="5"/>
  <c r="N29" i="5" s="1"/>
  <c r="Q29" i="5" l="1"/>
  <c r="P29" i="5"/>
  <c r="L29" i="5"/>
  <c r="E30" i="5" l="1"/>
  <c r="C30" i="5"/>
  <c r="F30" i="5"/>
  <c r="N30" i="5" s="1"/>
  <c r="Q30" i="5" l="1"/>
  <c r="P30" i="5"/>
  <c r="L30" i="5"/>
  <c r="C31" i="5" l="1"/>
  <c r="E31" i="5"/>
  <c r="F31" i="5"/>
  <c r="N31" i="5" s="1"/>
  <c r="L31" i="5" l="1"/>
  <c r="P31" i="5"/>
  <c r="Q31" i="5"/>
  <c r="E32" i="5" l="1"/>
  <c r="F32" i="5"/>
  <c r="N32" i="5" s="1"/>
  <c r="C32" i="5"/>
  <c r="Q32" i="5" l="1"/>
  <c r="P32" i="5"/>
  <c r="L32" i="5"/>
  <c r="E33" i="5" l="1"/>
  <c r="C33" i="5"/>
  <c r="F33" i="5"/>
  <c r="N33" i="5" s="1"/>
  <c r="Q33" i="5" l="1"/>
  <c r="P33" i="5"/>
  <c r="L33" i="5"/>
  <c r="E34" i="5" l="1"/>
  <c r="C34" i="5"/>
  <c r="F34" i="5"/>
  <c r="N34" i="5" s="1"/>
  <c r="Q34" i="5" l="1"/>
  <c r="P34" i="5"/>
  <c r="L34" i="5"/>
  <c r="C35" i="5" l="1"/>
  <c r="E35" i="5"/>
  <c r="F35" i="5"/>
  <c r="N35" i="5" s="1"/>
  <c r="L35" i="5" l="1"/>
  <c r="Q35" i="5"/>
  <c r="P35" i="5"/>
  <c r="E36" i="5" l="1"/>
  <c r="C36" i="5"/>
  <c r="F36" i="5"/>
  <c r="N36" i="5" s="1"/>
  <c r="Q36" i="5" l="1"/>
  <c r="P36" i="5"/>
  <c r="L36" i="5"/>
  <c r="E37" i="5" l="1"/>
  <c r="C37" i="5"/>
  <c r="F37" i="5"/>
  <c r="N37" i="5" s="1"/>
  <c r="Q37" i="5" l="1"/>
  <c r="P37" i="5"/>
  <c r="L37" i="5"/>
  <c r="E38" i="5" l="1"/>
  <c r="C38" i="5"/>
  <c r="F38" i="5"/>
  <c r="N38" i="5" s="1"/>
  <c r="Q38" i="5" l="1"/>
  <c r="P38" i="5"/>
  <c r="L38" i="5"/>
  <c r="C39" i="5" l="1"/>
  <c r="E39" i="5"/>
  <c r="F39" i="5"/>
  <c r="N39" i="5" s="1"/>
  <c r="L39" i="5" l="1"/>
  <c r="Q39" i="5"/>
  <c r="P39" i="5"/>
  <c r="E40" i="5" l="1"/>
  <c r="F40" i="5"/>
  <c r="N40" i="5" s="1"/>
  <c r="C40" i="5"/>
  <c r="Q40" i="5" l="1"/>
  <c r="P40" i="5"/>
  <c r="L40" i="5"/>
  <c r="E41" i="5" l="1"/>
  <c r="C41" i="5"/>
  <c r="F41" i="5"/>
  <c r="N41" i="5" s="1"/>
  <c r="Q41" i="5" l="1"/>
  <c r="P41" i="5"/>
  <c r="L41" i="5"/>
  <c r="E42" i="5" l="1"/>
  <c r="C42" i="5"/>
  <c r="F42" i="5"/>
  <c r="N42" i="5" s="1"/>
  <c r="Q42" i="5" l="1"/>
  <c r="P42" i="5"/>
  <c r="L42" i="5"/>
  <c r="C43" i="5" l="1"/>
  <c r="E43" i="5"/>
  <c r="F43" i="5"/>
  <c r="N43" i="5" s="1"/>
  <c r="L43" i="5" l="1"/>
  <c r="Q43" i="5"/>
  <c r="P43" i="5"/>
  <c r="E44" i="5" l="1"/>
  <c r="F44" i="5"/>
  <c r="N44" i="5" s="1"/>
  <c r="C44" i="5"/>
  <c r="Q44" i="5" l="1"/>
  <c r="P44" i="5"/>
  <c r="L44" i="5"/>
  <c r="E45" i="5" l="1"/>
  <c r="C45" i="5"/>
  <c r="F45" i="5"/>
  <c r="N45" i="5" s="1"/>
  <c r="Q45" i="5" l="1"/>
  <c r="P45" i="5"/>
  <c r="L45" i="5"/>
  <c r="E46" i="5" l="1"/>
  <c r="C46" i="5"/>
  <c r="F46" i="5"/>
  <c r="N46" i="5" s="1"/>
  <c r="Q46" i="5" l="1"/>
  <c r="P46" i="5"/>
  <c r="L46" i="5"/>
  <c r="C47" i="5" l="1"/>
  <c r="E47" i="5"/>
  <c r="F47" i="5"/>
  <c r="N47" i="5" s="1"/>
  <c r="L47" i="5" l="1"/>
  <c r="Q47" i="5"/>
  <c r="P47" i="5"/>
  <c r="E48" i="5" l="1"/>
  <c r="F48" i="5"/>
  <c r="N48" i="5" s="1"/>
  <c r="C48" i="5"/>
  <c r="Q48" i="5" l="1"/>
  <c r="P48" i="5"/>
  <c r="L48" i="5"/>
  <c r="E49" i="5" l="1"/>
  <c r="C49" i="5"/>
  <c r="F49" i="5"/>
  <c r="N49" i="5" s="1"/>
  <c r="Q49" i="5" l="1"/>
  <c r="P49" i="5"/>
  <c r="L49" i="5"/>
  <c r="E50" i="5" l="1"/>
  <c r="C50" i="5"/>
  <c r="F50" i="5"/>
  <c r="N50" i="5" s="1"/>
  <c r="Q50" i="5" l="1"/>
  <c r="P50" i="5"/>
  <c r="L50" i="5"/>
  <c r="C51" i="5" l="1"/>
  <c r="E51" i="5"/>
  <c r="F51" i="5"/>
  <c r="N51" i="5" s="1"/>
  <c r="L51" i="5" l="1"/>
  <c r="Q51" i="5"/>
  <c r="P51" i="5"/>
  <c r="E52" i="5" l="1"/>
  <c r="C52" i="5"/>
  <c r="F52" i="5"/>
  <c r="N52" i="5" s="1"/>
  <c r="Q52" i="5" l="1"/>
  <c r="P52" i="5"/>
  <c r="L52" i="5"/>
  <c r="E53" i="5" l="1"/>
  <c r="C53" i="5"/>
  <c r="F53" i="5"/>
  <c r="N53" i="5" s="1"/>
  <c r="Q53" i="5" l="1"/>
  <c r="P53" i="5"/>
  <c r="L53" i="5"/>
  <c r="E54" i="5" l="1"/>
  <c r="C54" i="5"/>
  <c r="F54" i="5"/>
  <c r="N54" i="5" s="1"/>
  <c r="Q54" i="5" l="1"/>
  <c r="P54" i="5"/>
  <c r="L54" i="5"/>
  <c r="C55" i="5" l="1"/>
  <c r="E55" i="5"/>
  <c r="F55" i="5"/>
  <c r="N55" i="5" s="1"/>
  <c r="L55" i="5" l="1"/>
  <c r="Q55" i="5"/>
  <c r="P55" i="5"/>
  <c r="E56" i="5" l="1"/>
  <c r="F56" i="5"/>
  <c r="N56" i="5" s="1"/>
  <c r="C56" i="5"/>
  <c r="Q56" i="5" l="1"/>
  <c r="P56" i="5"/>
  <c r="L56" i="5"/>
  <c r="E57" i="5" l="1"/>
  <c r="C57" i="5"/>
  <c r="F57" i="5"/>
  <c r="N57" i="5" s="1"/>
  <c r="Q57" i="5" l="1"/>
  <c r="P57" i="5"/>
  <c r="L57" i="5"/>
  <c r="E58" i="5" l="1"/>
  <c r="C58" i="5"/>
  <c r="F58" i="5"/>
  <c r="N58" i="5" s="1"/>
  <c r="Q58" i="5" l="1"/>
  <c r="P58" i="5"/>
  <c r="L58" i="5"/>
  <c r="C59" i="5" l="1"/>
  <c r="E59" i="5"/>
  <c r="F59" i="5"/>
  <c r="N59" i="5" s="1"/>
  <c r="L59" i="5" l="1"/>
  <c r="Q59" i="5"/>
  <c r="P59" i="5"/>
  <c r="E60" i="5" l="1"/>
  <c r="F60" i="5"/>
  <c r="N60" i="5" s="1"/>
  <c r="C60" i="5"/>
  <c r="Q60" i="5" l="1"/>
  <c r="P60" i="5"/>
  <c r="L60" i="5"/>
  <c r="E61" i="5" l="1"/>
  <c r="C61" i="5"/>
  <c r="F61" i="5"/>
  <c r="N61" i="5" s="1"/>
  <c r="Q61" i="5" l="1"/>
  <c r="P61" i="5"/>
  <c r="L61" i="5"/>
  <c r="E62" i="5" l="1"/>
  <c r="C62" i="5"/>
  <c r="F62" i="5"/>
  <c r="N62" i="5" s="1"/>
  <c r="Q62" i="5" l="1"/>
  <c r="P62" i="5"/>
  <c r="L62" i="5"/>
  <c r="C63" i="5" l="1"/>
  <c r="E63" i="5"/>
  <c r="F63" i="5"/>
  <c r="N63" i="5" s="1"/>
  <c r="L63" i="5" l="1"/>
  <c r="Q63" i="5"/>
  <c r="P63" i="5"/>
  <c r="E64" i="5" l="1"/>
  <c r="F64" i="5"/>
  <c r="N64" i="5" s="1"/>
  <c r="C64" i="5"/>
  <c r="Q64" i="5" l="1"/>
  <c r="P64" i="5"/>
  <c r="L64" i="5"/>
  <c r="E65" i="5" l="1"/>
  <c r="C65" i="5"/>
  <c r="F65" i="5"/>
  <c r="N65" i="5" s="1"/>
  <c r="Q65" i="5" l="1"/>
  <c r="P65" i="5"/>
  <c r="L65" i="5"/>
  <c r="E66" i="5" l="1"/>
  <c r="C66" i="5"/>
  <c r="F66" i="5"/>
  <c r="N66" i="5" s="1"/>
  <c r="Q66" i="5" l="1"/>
  <c r="P66" i="5"/>
  <c r="L66" i="5"/>
  <c r="C67" i="5" l="1"/>
  <c r="E67" i="5"/>
  <c r="F67" i="5"/>
  <c r="N67" i="5" s="1"/>
  <c r="L67" i="5" l="1"/>
  <c r="Q67" i="5"/>
  <c r="P67" i="5"/>
  <c r="E68" i="5" l="1"/>
  <c r="C68" i="5"/>
  <c r="F68" i="5"/>
  <c r="N68" i="5" s="1"/>
  <c r="Q68" i="5" l="1"/>
  <c r="P68" i="5"/>
  <c r="L68" i="5"/>
  <c r="E69" i="5" l="1"/>
  <c r="C69" i="5"/>
  <c r="F69" i="5"/>
  <c r="N69" i="5" s="1"/>
  <c r="Q69" i="5" l="1"/>
  <c r="P69" i="5"/>
  <c r="L69" i="5"/>
  <c r="E70" i="5" l="1"/>
  <c r="C70" i="5"/>
  <c r="F70" i="5"/>
  <c r="N70" i="5" s="1"/>
  <c r="Q70" i="5" l="1"/>
  <c r="P70" i="5"/>
  <c r="L70" i="5"/>
  <c r="C71" i="5" l="1"/>
  <c r="E71" i="5"/>
  <c r="F71" i="5"/>
  <c r="N71" i="5" s="1"/>
  <c r="L71" i="5" l="1"/>
  <c r="Q71" i="5"/>
  <c r="P71" i="5"/>
  <c r="E72" i="5" l="1"/>
  <c r="F72" i="5"/>
  <c r="N72" i="5" s="1"/>
  <c r="C72" i="5"/>
  <c r="Q72" i="5" l="1"/>
  <c r="P72" i="5"/>
  <c r="L72" i="5"/>
  <c r="E73" i="5" l="1"/>
  <c r="C73" i="5"/>
  <c r="F73" i="5"/>
  <c r="N73" i="5" s="1"/>
  <c r="Q73" i="5" l="1"/>
  <c r="P73" i="5"/>
  <c r="L73" i="5"/>
  <c r="E74" i="5" l="1"/>
  <c r="C74" i="5"/>
  <c r="F74" i="5"/>
  <c r="N74" i="5" s="1"/>
  <c r="Q74" i="5" l="1"/>
  <c r="P74" i="5"/>
  <c r="L74" i="5"/>
  <c r="C75" i="5" l="1"/>
  <c r="E75" i="5"/>
  <c r="F75" i="5"/>
  <c r="N75" i="5" s="1"/>
  <c r="L75" i="5" l="1"/>
  <c r="Q75" i="5"/>
  <c r="P75" i="5"/>
  <c r="E76" i="5" l="1"/>
  <c r="F76" i="5"/>
  <c r="N76" i="5" s="1"/>
  <c r="C76" i="5"/>
  <c r="Q76" i="5" l="1"/>
  <c r="P76" i="5"/>
  <c r="L76" i="5"/>
  <c r="E77" i="5" l="1"/>
  <c r="C77" i="5"/>
  <c r="F77" i="5"/>
  <c r="N77" i="5" s="1"/>
  <c r="Q77" i="5" l="1"/>
  <c r="P77" i="5"/>
  <c r="L77" i="5"/>
  <c r="E78" i="5" l="1"/>
  <c r="C78" i="5"/>
  <c r="F78" i="5"/>
  <c r="N78" i="5" s="1"/>
  <c r="Q78" i="5" l="1"/>
  <c r="P78" i="5"/>
  <c r="L78" i="5"/>
  <c r="C79" i="5" l="1"/>
  <c r="E79" i="5"/>
  <c r="F79" i="5"/>
  <c r="N79" i="5" s="1"/>
  <c r="L79" i="5" l="1"/>
  <c r="Q79" i="5"/>
  <c r="P79" i="5"/>
  <c r="E80" i="5" l="1"/>
  <c r="F80" i="5"/>
  <c r="N80" i="5" s="1"/>
  <c r="C80" i="5"/>
  <c r="Q80" i="5" l="1"/>
  <c r="P80" i="5"/>
  <c r="L80" i="5"/>
  <c r="E81" i="5" l="1"/>
  <c r="C81" i="5"/>
  <c r="F81" i="5"/>
  <c r="N81" i="5" s="1"/>
  <c r="Q81" i="5" l="1"/>
  <c r="P81" i="5"/>
  <c r="L81" i="5"/>
  <c r="E82" i="5" l="1"/>
  <c r="C82" i="5"/>
  <c r="F82" i="5"/>
  <c r="N82" i="5" s="1"/>
  <c r="Q82" i="5" l="1"/>
  <c r="P82" i="5"/>
  <c r="L82" i="5"/>
  <c r="C83" i="5" l="1"/>
  <c r="E83" i="5"/>
  <c r="F83" i="5"/>
  <c r="N83" i="5" s="1"/>
  <c r="L83" i="5" l="1"/>
  <c r="Q83" i="5"/>
  <c r="P83" i="5"/>
  <c r="E84" i="5" l="1"/>
  <c r="C84" i="5"/>
  <c r="F84" i="5"/>
  <c r="N84" i="5" s="1"/>
  <c r="Q84" i="5" l="1"/>
  <c r="P84" i="5"/>
  <c r="L84" i="5"/>
  <c r="E85" i="5" l="1"/>
  <c r="C85" i="5"/>
  <c r="F85" i="5"/>
  <c r="N85" i="5" s="1"/>
  <c r="Q85" i="5" l="1"/>
  <c r="P85" i="5"/>
  <c r="L85" i="5"/>
  <c r="C86" i="5" l="1"/>
  <c r="E86" i="5"/>
  <c r="F86" i="5"/>
  <c r="N86" i="5" s="1"/>
  <c r="L86" i="5" l="1"/>
  <c r="Q86" i="5"/>
  <c r="P86" i="5"/>
  <c r="E87" i="5" l="1"/>
  <c r="F87" i="5"/>
  <c r="N87" i="5" s="1"/>
  <c r="C87" i="5"/>
  <c r="Q87" i="5" l="1"/>
  <c r="P87" i="5"/>
  <c r="L87" i="5"/>
  <c r="E88" i="5" l="1"/>
  <c r="C88" i="5"/>
  <c r="F88" i="5"/>
  <c r="N88" i="5" s="1"/>
  <c r="Q88" i="5" l="1"/>
  <c r="P88" i="5"/>
  <c r="L88" i="5"/>
  <c r="E89" i="5" l="1"/>
  <c r="C89" i="5"/>
  <c r="F89" i="5"/>
  <c r="N89" i="5" s="1"/>
  <c r="Q89" i="5" l="1"/>
  <c r="P89" i="5"/>
  <c r="L89" i="5"/>
  <c r="C90" i="5" l="1"/>
  <c r="E90" i="5"/>
  <c r="F90" i="5"/>
  <c r="N90" i="5" s="1"/>
  <c r="L90" i="5" l="1"/>
  <c r="Q90" i="5"/>
  <c r="P90" i="5"/>
  <c r="E91" i="5" l="1"/>
  <c r="F91" i="5"/>
  <c r="N91" i="5" s="1"/>
  <c r="C91" i="5"/>
  <c r="Q91" i="5" l="1"/>
  <c r="P91" i="5"/>
  <c r="L91" i="5"/>
  <c r="E92" i="5" l="1"/>
  <c r="C92" i="5"/>
  <c r="F92" i="5"/>
  <c r="N92" i="5" s="1"/>
  <c r="Q92" i="5" l="1"/>
  <c r="P92" i="5"/>
  <c r="L92" i="5"/>
  <c r="E93" i="5" l="1"/>
  <c r="C93" i="5"/>
  <c r="F93" i="5"/>
  <c r="N93" i="5" s="1"/>
  <c r="Q93" i="5" l="1"/>
  <c r="P93" i="5"/>
  <c r="L93" i="5"/>
  <c r="C94" i="5" l="1"/>
  <c r="E94" i="5"/>
  <c r="F94" i="5"/>
  <c r="N94" i="5" s="1"/>
  <c r="L94" i="5" l="1"/>
  <c r="Q94" i="5"/>
  <c r="P94" i="5"/>
  <c r="E95" i="5" l="1"/>
  <c r="C95" i="5"/>
  <c r="F95" i="5"/>
  <c r="N95" i="5" s="1"/>
  <c r="Q95" i="5" l="1"/>
  <c r="P95" i="5"/>
  <c r="L95" i="5"/>
  <c r="E96" i="5" l="1"/>
  <c r="C96" i="5"/>
  <c r="F96" i="5"/>
  <c r="N96" i="5" s="1"/>
  <c r="Q96" i="5" l="1"/>
  <c r="P96" i="5"/>
  <c r="L96" i="5"/>
  <c r="E97" i="5" l="1"/>
  <c r="C97" i="5"/>
  <c r="F97" i="5"/>
  <c r="N97" i="5" s="1"/>
  <c r="Q97" i="5" l="1"/>
  <c r="P97" i="5"/>
  <c r="L97" i="5"/>
  <c r="C98" i="5" l="1"/>
  <c r="E98" i="5"/>
  <c r="F98" i="5"/>
  <c r="N98" i="5" s="1"/>
  <c r="L98" i="5" l="1"/>
  <c r="Q98" i="5"/>
  <c r="P98" i="5"/>
  <c r="E99" i="5" l="1"/>
  <c r="F99" i="5"/>
  <c r="N99" i="5" s="1"/>
  <c r="C99" i="5"/>
  <c r="Q99" i="5" l="1"/>
  <c r="P99" i="5"/>
  <c r="L99" i="5"/>
  <c r="E100" i="5" l="1"/>
  <c r="C100" i="5"/>
  <c r="F100" i="5"/>
  <c r="N100" i="5" s="1"/>
  <c r="Q100" i="5" l="1"/>
  <c r="P100" i="5"/>
  <c r="L100" i="5"/>
  <c r="E101" i="5" l="1"/>
  <c r="C101" i="5"/>
  <c r="F101" i="5"/>
  <c r="N101" i="5" s="1"/>
  <c r="Q101" i="5" l="1"/>
  <c r="P101" i="5"/>
  <c r="L101" i="5"/>
  <c r="C102" i="5" l="1"/>
  <c r="E102" i="5"/>
  <c r="F102" i="5"/>
  <c r="N102" i="5" s="1"/>
  <c r="L102" i="5" l="1"/>
  <c r="Q102" i="5"/>
  <c r="P102" i="5"/>
  <c r="E103" i="5" l="1"/>
  <c r="F103" i="5"/>
  <c r="N103" i="5" s="1"/>
  <c r="C103" i="5"/>
  <c r="Q103" i="5" l="1"/>
  <c r="P103" i="5"/>
  <c r="L103" i="5"/>
  <c r="E104" i="5" l="1"/>
  <c r="C104" i="5"/>
  <c r="F104" i="5"/>
  <c r="N104" i="5" s="1"/>
  <c r="Q104" i="5" l="1"/>
  <c r="P104" i="5"/>
  <c r="L104" i="5"/>
  <c r="E105" i="5" l="1"/>
  <c r="C105" i="5"/>
  <c r="F105" i="5"/>
  <c r="N105" i="5" s="1"/>
  <c r="Q105" i="5" l="1"/>
  <c r="P105" i="5"/>
  <c r="L105" i="5"/>
  <c r="C106" i="5" l="1"/>
  <c r="E106" i="5"/>
  <c r="F106" i="5"/>
  <c r="N106" i="5" s="1"/>
  <c r="L106" i="5" l="1"/>
  <c r="Q106" i="5"/>
  <c r="P106" i="5"/>
  <c r="E107" i="5" l="1"/>
  <c r="F107" i="5"/>
  <c r="N107" i="5" s="1"/>
  <c r="C107" i="5"/>
  <c r="Q107" i="5" l="1"/>
  <c r="P107" i="5"/>
  <c r="L107" i="5"/>
  <c r="E108" i="5" l="1"/>
  <c r="C108" i="5"/>
  <c r="F108" i="5"/>
  <c r="N108" i="5" s="1"/>
  <c r="Q108" i="5" l="1"/>
  <c r="P108" i="5"/>
  <c r="L108" i="5"/>
  <c r="E109" i="5" l="1"/>
  <c r="C109" i="5"/>
  <c r="F109" i="5"/>
  <c r="N109" i="5" s="1"/>
  <c r="Q109" i="5" l="1"/>
  <c r="P109" i="5"/>
  <c r="L109" i="5"/>
  <c r="C110" i="5" l="1"/>
  <c r="E110" i="5"/>
  <c r="F110" i="5"/>
  <c r="N110" i="5" s="1"/>
  <c r="L110" i="5" l="1"/>
  <c r="Q110" i="5"/>
  <c r="P110" i="5"/>
  <c r="E111" i="5" l="1"/>
  <c r="C111" i="5"/>
  <c r="F111" i="5"/>
  <c r="N111" i="5" s="1"/>
  <c r="Q111" i="5" l="1"/>
  <c r="P111" i="5"/>
  <c r="L111" i="5"/>
  <c r="E112" i="5" l="1"/>
  <c r="C112" i="5"/>
  <c r="F112" i="5"/>
  <c r="N112" i="5" s="1"/>
  <c r="Q112" i="5" l="1"/>
  <c r="P112" i="5"/>
  <c r="L112" i="5"/>
  <c r="E113" i="5" l="1"/>
  <c r="C113" i="5"/>
  <c r="F113" i="5"/>
  <c r="N113" i="5" s="1"/>
  <c r="Q113" i="5" l="1"/>
  <c r="P113" i="5"/>
  <c r="L113" i="5"/>
  <c r="C114" i="5" l="1"/>
  <c r="E114" i="5"/>
  <c r="F114" i="5"/>
  <c r="N114" i="5" s="1"/>
  <c r="L114" i="5" l="1"/>
  <c r="Q114" i="5"/>
  <c r="P114" i="5"/>
  <c r="E115" i="5" l="1"/>
  <c r="F115" i="5"/>
  <c r="N115" i="5" s="1"/>
  <c r="C115" i="5"/>
  <c r="Q115" i="5" l="1"/>
  <c r="P115" i="5"/>
  <c r="L115" i="5"/>
  <c r="E116" i="5" l="1"/>
  <c r="C116" i="5"/>
  <c r="F116" i="5"/>
  <c r="N116" i="5" s="1"/>
  <c r="Q116" i="5" l="1"/>
  <c r="P116" i="5"/>
  <c r="L116" i="5"/>
  <c r="E117" i="5" l="1"/>
  <c r="C117" i="5"/>
  <c r="F117" i="5"/>
  <c r="N117" i="5" s="1"/>
  <c r="Q117" i="5" l="1"/>
  <c r="P117" i="5"/>
  <c r="L117" i="5"/>
  <c r="C118" i="5" l="1"/>
  <c r="E118" i="5"/>
  <c r="F118" i="5"/>
  <c r="N118" i="5" s="1"/>
  <c r="L118" i="5" l="1"/>
  <c r="Q118" i="5"/>
  <c r="P118" i="5"/>
  <c r="E119" i="5" l="1"/>
  <c r="F119" i="5"/>
  <c r="N119" i="5" s="1"/>
  <c r="C119" i="5"/>
  <c r="Q119" i="5" l="1"/>
  <c r="P119" i="5"/>
  <c r="L119" i="5"/>
  <c r="E120" i="5" l="1"/>
  <c r="C120" i="5"/>
  <c r="F120" i="5"/>
  <c r="N120" i="5" s="1"/>
  <c r="Q120" i="5" l="1"/>
  <c r="P120" i="5"/>
  <c r="L120" i="5"/>
  <c r="E121" i="5" l="1"/>
  <c r="C121" i="5"/>
  <c r="F121" i="5"/>
  <c r="N121" i="5" s="1"/>
  <c r="Q121" i="5" l="1"/>
  <c r="P121" i="5"/>
  <c r="L121" i="5"/>
  <c r="C122" i="5" l="1"/>
  <c r="E122" i="5"/>
  <c r="F122" i="5"/>
  <c r="N122" i="5" s="1"/>
  <c r="L122" i="5" l="1"/>
  <c r="Q122" i="5"/>
  <c r="P122" i="5"/>
  <c r="E123" i="5" l="1"/>
  <c r="C123" i="5"/>
  <c r="F123" i="5"/>
  <c r="N123" i="5" s="1"/>
  <c r="Q123" i="5" l="1"/>
  <c r="P123" i="5"/>
  <c r="L123" i="5"/>
  <c r="C124" i="5" l="1"/>
  <c r="E124" i="5"/>
  <c r="F124" i="5"/>
  <c r="N124" i="5" s="1"/>
  <c r="L124" i="5" l="1"/>
  <c r="Q124" i="5"/>
  <c r="P124" i="5"/>
  <c r="E125" i="5" l="1"/>
  <c r="C125" i="5"/>
  <c r="F125" i="5"/>
  <c r="N125" i="5" s="1"/>
  <c r="Q125" i="5" l="1"/>
  <c r="P125" i="5"/>
  <c r="L125" i="5"/>
  <c r="C126" i="5" l="1"/>
  <c r="E126" i="5"/>
  <c r="F126" i="5"/>
  <c r="N126" i="5" s="1"/>
  <c r="L126" i="5" l="1"/>
  <c r="Q126" i="5"/>
  <c r="P126" i="5"/>
  <c r="E127" i="5" l="1"/>
  <c r="C127" i="5"/>
  <c r="F127" i="5"/>
  <c r="N127" i="5" s="1"/>
  <c r="P127" i="5" l="1"/>
  <c r="Q127" i="5"/>
  <c r="L127" i="5"/>
  <c r="E128" i="5" l="1"/>
  <c r="C128" i="5"/>
  <c r="F128" i="5"/>
  <c r="N128" i="5" s="1"/>
  <c r="Q128" i="5" l="1"/>
  <c r="P128" i="5"/>
  <c r="L128" i="5"/>
  <c r="E129" i="5" l="1"/>
  <c r="C129" i="5"/>
  <c r="F129" i="5"/>
  <c r="N129" i="5" s="1"/>
  <c r="Q129" i="5" l="1"/>
  <c r="P129" i="5"/>
  <c r="L129" i="5"/>
  <c r="C130" i="5" l="1"/>
  <c r="E130" i="5"/>
  <c r="F130" i="5"/>
  <c r="N130" i="5" s="1"/>
  <c r="L130" i="5" l="1"/>
  <c r="Q130" i="5"/>
  <c r="P130" i="5"/>
  <c r="E131" i="5" l="1"/>
  <c r="F131" i="5"/>
  <c r="N131" i="5" s="1"/>
  <c r="C131" i="5"/>
  <c r="Q131" i="5" l="1"/>
  <c r="P131" i="5"/>
  <c r="L131" i="5"/>
  <c r="E132" i="5" l="1"/>
  <c r="C132" i="5"/>
  <c r="F132" i="5"/>
  <c r="N132" i="5" s="1"/>
  <c r="Q132" i="5" l="1"/>
  <c r="P132" i="5"/>
  <c r="L132" i="5"/>
  <c r="E133" i="5" l="1"/>
  <c r="C133" i="5"/>
  <c r="F133" i="5"/>
  <c r="N133" i="5" s="1"/>
  <c r="Q133" i="5" l="1"/>
  <c r="P133" i="5"/>
  <c r="L133" i="5"/>
  <c r="C134" i="5" l="1"/>
  <c r="E134" i="5"/>
  <c r="F134" i="5"/>
  <c r="N134" i="5" s="1"/>
  <c r="L134" i="5" l="1"/>
  <c r="Q134" i="5"/>
  <c r="P134" i="5"/>
  <c r="E135" i="5" l="1"/>
  <c r="C135" i="5"/>
  <c r="F135" i="5"/>
  <c r="N135" i="5" s="1"/>
  <c r="N197" i="5" s="1"/>
  <c r="Q135" i="5" l="1"/>
  <c r="P135" i="5"/>
  <c r="L135" i="5"/>
  <c r="E136" i="5" l="1"/>
  <c r="F136" i="5"/>
  <c r="N136" i="5" s="1"/>
  <c r="C136" i="5"/>
  <c r="P136" i="5" l="1"/>
  <c r="Q136" i="5"/>
  <c r="L136" i="5"/>
  <c r="E137" i="5" l="1"/>
  <c r="F137" i="5"/>
  <c r="N137" i="5" s="1"/>
  <c r="C137" i="5"/>
  <c r="P137" i="5" l="1"/>
  <c r="Q137" i="5"/>
  <c r="L137" i="5"/>
  <c r="F138" i="5" l="1"/>
  <c r="N138" i="5" s="1"/>
  <c r="E138" i="5"/>
  <c r="C138" i="5"/>
  <c r="Q138" i="5" l="1"/>
  <c r="P138" i="5"/>
  <c r="L138" i="5"/>
  <c r="E139" i="5" l="1"/>
  <c r="F139" i="5"/>
  <c r="N139" i="5" s="1"/>
  <c r="C139" i="5"/>
  <c r="Q139" i="5" l="1"/>
  <c r="P139" i="5"/>
  <c r="L139" i="5"/>
  <c r="E140" i="5" l="1"/>
  <c r="F140" i="5"/>
  <c r="N140" i="5" s="1"/>
  <c r="C140" i="5"/>
  <c r="P140" i="5" l="1"/>
  <c r="Q140" i="5"/>
  <c r="L140" i="5"/>
  <c r="E141" i="5" l="1"/>
  <c r="F141" i="5"/>
  <c r="N141" i="5" s="1"/>
  <c r="C141" i="5"/>
  <c r="P141" i="5" l="1"/>
  <c r="Q141" i="5"/>
  <c r="L141" i="5"/>
  <c r="F142" i="5" l="1"/>
  <c r="N142" i="5" s="1"/>
  <c r="C142" i="5"/>
  <c r="E142" i="5"/>
  <c r="L142" i="5" l="1"/>
  <c r="E143" i="5"/>
  <c r="F143" i="5"/>
  <c r="N143" i="5" s="1"/>
  <c r="C143" i="5"/>
  <c r="Q142" i="5"/>
  <c r="P142" i="5"/>
  <c r="Q143" i="5" l="1"/>
  <c r="P143" i="5"/>
  <c r="L143" i="5"/>
  <c r="E144" i="5" l="1"/>
  <c r="F144" i="5"/>
  <c r="N144" i="5" s="1"/>
  <c r="C144" i="5"/>
  <c r="P144" i="5" l="1"/>
  <c r="Q144" i="5"/>
  <c r="L144" i="5"/>
  <c r="E145" i="5" l="1"/>
  <c r="F145" i="5"/>
  <c r="N145" i="5" s="1"/>
  <c r="C145" i="5"/>
  <c r="P145" i="5" l="1"/>
  <c r="Q145" i="5"/>
  <c r="L145" i="5"/>
  <c r="F146" i="5" l="1"/>
  <c r="N146" i="5" s="1"/>
  <c r="C146" i="5"/>
  <c r="E146" i="5"/>
  <c r="L146" i="5" l="1"/>
  <c r="E147" i="5"/>
  <c r="C147" i="5"/>
  <c r="F147" i="5"/>
  <c r="N147" i="5" s="1"/>
  <c r="Q146" i="5"/>
  <c r="P146" i="5"/>
  <c r="P147" i="5" l="1"/>
  <c r="Q147" i="5"/>
  <c r="L147" i="5"/>
  <c r="E148" i="5" l="1"/>
  <c r="F148" i="5"/>
  <c r="N148" i="5" s="1"/>
  <c r="C148" i="5"/>
  <c r="P148" i="5" l="1"/>
  <c r="Q148" i="5"/>
  <c r="L148" i="5"/>
  <c r="E149" i="5" l="1"/>
  <c r="F149" i="5"/>
  <c r="N149" i="5" s="1"/>
  <c r="C149" i="5"/>
  <c r="P149" i="5" l="1"/>
  <c r="Q149" i="5"/>
  <c r="L149" i="5"/>
  <c r="F150" i="5" l="1"/>
  <c r="N150" i="5" s="1"/>
  <c r="C150" i="5"/>
  <c r="E150" i="5"/>
  <c r="L150" i="5" l="1"/>
  <c r="Q150" i="5"/>
  <c r="P150" i="5"/>
  <c r="E151" i="5" l="1"/>
  <c r="F151" i="5"/>
  <c r="N151" i="5" s="1"/>
  <c r="C151" i="5"/>
  <c r="Q151" i="5" l="1"/>
  <c r="P151" i="5"/>
  <c r="L151" i="5"/>
  <c r="E152" i="5" l="1"/>
  <c r="F152" i="5"/>
  <c r="N152" i="5" s="1"/>
  <c r="C152" i="5"/>
  <c r="P152" i="5" l="1"/>
  <c r="Q152" i="5"/>
  <c r="L152" i="5"/>
  <c r="E153" i="5" l="1"/>
  <c r="F153" i="5"/>
  <c r="N153" i="5" s="1"/>
  <c r="C153" i="5"/>
  <c r="P153" i="5" l="1"/>
  <c r="Q153" i="5"/>
  <c r="L153" i="5"/>
  <c r="F154" i="5" l="1"/>
  <c r="N154" i="5" s="1"/>
  <c r="E154" i="5"/>
  <c r="C154" i="5"/>
  <c r="Q154" i="5" l="1"/>
  <c r="P154" i="5"/>
  <c r="L154" i="5"/>
  <c r="E155" i="5" l="1"/>
  <c r="F155" i="5"/>
  <c r="N155" i="5" s="1"/>
  <c r="C155" i="5"/>
  <c r="Q155" i="5" l="1"/>
  <c r="P155" i="5"/>
  <c r="L155" i="5"/>
  <c r="E156" i="5" l="1"/>
  <c r="F156" i="5"/>
  <c r="N156" i="5" s="1"/>
  <c r="C156" i="5"/>
  <c r="P156" i="5" l="1"/>
  <c r="Q156" i="5"/>
  <c r="L156" i="5"/>
  <c r="E157" i="5" l="1"/>
  <c r="F157" i="5"/>
  <c r="N157" i="5" s="1"/>
  <c r="C157" i="5"/>
  <c r="P157" i="5" l="1"/>
  <c r="Q157" i="5"/>
  <c r="L157" i="5"/>
  <c r="F158" i="5" l="1"/>
  <c r="N158" i="5" s="1"/>
  <c r="C158" i="5"/>
  <c r="E158" i="5"/>
  <c r="L158" i="5" s="1"/>
  <c r="E159" i="5" l="1"/>
  <c r="F159" i="5"/>
  <c r="N159" i="5" s="1"/>
  <c r="C159" i="5"/>
  <c r="Q158" i="5"/>
  <c r="P158" i="5"/>
  <c r="Q159" i="5" l="1"/>
  <c r="P159" i="5"/>
  <c r="L159" i="5"/>
  <c r="E160" i="5" l="1"/>
  <c r="F160" i="5"/>
  <c r="N160" i="5" s="1"/>
  <c r="C160" i="5"/>
  <c r="P160" i="5" l="1"/>
  <c r="Q160" i="5"/>
  <c r="L160" i="5"/>
  <c r="E161" i="5" l="1"/>
  <c r="F161" i="5"/>
  <c r="N161" i="5" s="1"/>
  <c r="C161" i="5"/>
  <c r="P161" i="5" l="1"/>
  <c r="Q161" i="5"/>
  <c r="L161" i="5"/>
  <c r="F162" i="5" l="1"/>
  <c r="N162" i="5" s="1"/>
  <c r="C162" i="5"/>
  <c r="E162" i="5"/>
  <c r="L162" i="5" l="1"/>
  <c r="Q162" i="5"/>
  <c r="P162" i="5"/>
  <c r="E163" i="5" l="1"/>
  <c r="C163" i="5"/>
  <c r="F163" i="5"/>
  <c r="N163" i="5" s="1"/>
  <c r="P163" i="5" l="1"/>
  <c r="Q163" i="5"/>
  <c r="L163" i="5"/>
  <c r="E164" i="5" l="1"/>
  <c r="F164" i="5"/>
  <c r="N164" i="5" s="1"/>
  <c r="C164" i="5"/>
  <c r="P164" i="5" l="1"/>
  <c r="Q164" i="5"/>
  <c r="L164" i="5"/>
  <c r="E165" i="5" l="1"/>
  <c r="F165" i="5"/>
  <c r="N165" i="5" s="1"/>
  <c r="C165" i="5"/>
  <c r="P165" i="5" l="1"/>
  <c r="Q165" i="5"/>
  <c r="L165" i="5"/>
  <c r="F166" i="5" l="1"/>
  <c r="N166" i="5" s="1"/>
  <c r="C166" i="5"/>
  <c r="E166" i="5"/>
  <c r="L166" i="5" l="1"/>
  <c r="E167" i="5"/>
  <c r="F167" i="5"/>
  <c r="N167" i="5" s="1"/>
  <c r="C167" i="5"/>
  <c r="Q166" i="5"/>
  <c r="P166" i="5"/>
  <c r="Q167" i="5" l="1"/>
  <c r="P167" i="5"/>
  <c r="L167" i="5"/>
  <c r="E168" i="5" l="1"/>
  <c r="F168" i="5"/>
  <c r="N168" i="5" s="1"/>
  <c r="C168" i="5"/>
  <c r="P168" i="5" l="1"/>
  <c r="Q168" i="5"/>
  <c r="L168" i="5"/>
  <c r="E169" i="5" l="1"/>
  <c r="F169" i="5"/>
  <c r="N169" i="5" s="1"/>
  <c r="C169" i="5"/>
  <c r="P169" i="5" l="1"/>
  <c r="Q169" i="5"/>
  <c r="L169" i="5"/>
  <c r="F170" i="5" l="1"/>
  <c r="N170" i="5" s="1"/>
  <c r="E170" i="5"/>
  <c r="C170" i="5"/>
  <c r="Q170" i="5" l="1"/>
  <c r="P170" i="5"/>
  <c r="L170" i="5"/>
  <c r="E171" i="5" l="1"/>
  <c r="F171" i="5"/>
  <c r="N171" i="5" s="1"/>
  <c r="C171" i="5"/>
  <c r="Q171" i="5" l="1"/>
  <c r="P171" i="5"/>
  <c r="L171" i="5"/>
  <c r="E172" i="5" l="1"/>
  <c r="F172" i="5"/>
  <c r="N172" i="5" s="1"/>
  <c r="C172" i="5"/>
  <c r="P172" i="5" l="1"/>
  <c r="Q172" i="5"/>
  <c r="L172" i="5"/>
  <c r="E173" i="5" l="1"/>
  <c r="F173" i="5"/>
  <c r="N173" i="5" s="1"/>
  <c r="C173" i="5"/>
  <c r="P173" i="5" l="1"/>
  <c r="Q173" i="5"/>
  <c r="L173" i="5"/>
  <c r="F174" i="5" l="1"/>
  <c r="N174" i="5" s="1"/>
  <c r="C174" i="5"/>
  <c r="E174" i="5"/>
  <c r="L174" i="5" s="1"/>
  <c r="E175" i="5" l="1"/>
  <c r="F175" i="5"/>
  <c r="N175" i="5" s="1"/>
  <c r="C175" i="5"/>
  <c r="Q174" i="5"/>
  <c r="P174" i="5"/>
  <c r="P175" i="5" l="1"/>
  <c r="Q175" i="5"/>
  <c r="L175" i="5"/>
  <c r="E176" i="5" l="1"/>
  <c r="F176" i="5"/>
  <c r="N176" i="5" s="1"/>
  <c r="C176" i="5"/>
  <c r="P176" i="5" l="1"/>
  <c r="Q176" i="5"/>
  <c r="L176" i="5"/>
  <c r="E177" i="5" l="1"/>
  <c r="F177" i="5"/>
  <c r="N177" i="5" s="1"/>
  <c r="C177" i="5"/>
  <c r="P177" i="5" l="1"/>
  <c r="Q177" i="5"/>
  <c r="L177" i="5"/>
  <c r="F178" i="5" l="1"/>
  <c r="N178" i="5" s="1"/>
  <c r="C178" i="5"/>
  <c r="E178" i="5"/>
  <c r="L178" i="5" s="1"/>
  <c r="E179" i="5" l="1"/>
  <c r="C179" i="5"/>
  <c r="F179" i="5"/>
  <c r="N179" i="5" s="1"/>
  <c r="Q178" i="5"/>
  <c r="P178" i="5"/>
  <c r="P179" i="5" l="1"/>
  <c r="Q179" i="5"/>
  <c r="L179" i="5"/>
  <c r="E180" i="5" l="1"/>
  <c r="F180" i="5"/>
  <c r="N180" i="5" s="1"/>
  <c r="C180" i="5"/>
  <c r="P180" i="5" l="1"/>
  <c r="Q180" i="5"/>
  <c r="L180" i="5"/>
  <c r="E181" i="5" l="1"/>
  <c r="F181" i="5"/>
  <c r="N181" i="5" s="1"/>
  <c r="C181" i="5"/>
  <c r="P181" i="5" l="1"/>
  <c r="Q181" i="5"/>
  <c r="L181" i="5"/>
  <c r="F182" i="5" l="1"/>
  <c r="N182" i="5" s="1"/>
  <c r="C182" i="5"/>
  <c r="E182" i="5"/>
  <c r="L182" i="5" s="1"/>
  <c r="E183" i="5" l="1"/>
  <c r="F183" i="5"/>
  <c r="N183" i="5" s="1"/>
  <c r="C183" i="5"/>
  <c r="Q182" i="5"/>
  <c r="P182" i="5"/>
  <c r="Q183" i="5" l="1"/>
  <c r="P183" i="5"/>
  <c r="L183" i="5"/>
  <c r="E184" i="5" l="1"/>
  <c r="F184" i="5"/>
  <c r="N184" i="5" s="1"/>
  <c r="C184" i="5"/>
  <c r="P184" i="5" l="1"/>
  <c r="Q184" i="5"/>
  <c r="L184" i="5"/>
  <c r="E185" i="5" l="1"/>
  <c r="F185" i="5"/>
  <c r="N185" i="5" s="1"/>
  <c r="C185" i="5"/>
  <c r="P185" i="5" l="1"/>
  <c r="Q185" i="5"/>
  <c r="L185" i="5"/>
  <c r="F186" i="5" l="1"/>
  <c r="N186" i="5" s="1"/>
  <c r="E186" i="5"/>
  <c r="C186" i="5"/>
  <c r="Q186" i="5" l="1"/>
  <c r="P186" i="5"/>
  <c r="L186" i="5"/>
  <c r="E187" i="5" l="1"/>
  <c r="F187" i="5"/>
  <c r="N187" i="5" s="1"/>
  <c r="C187" i="5"/>
  <c r="P187" i="5" l="1"/>
  <c r="Q187" i="5"/>
  <c r="L187" i="5"/>
  <c r="E188" i="5" l="1"/>
  <c r="F188" i="5"/>
  <c r="N188" i="5" s="1"/>
  <c r="C188" i="5"/>
  <c r="P188" i="5" l="1"/>
  <c r="Q188" i="5"/>
  <c r="L188" i="5"/>
  <c r="E189" i="5" l="1"/>
  <c r="F189" i="5"/>
  <c r="N189" i="5" s="1"/>
  <c r="C189" i="5"/>
  <c r="P189" i="5" l="1"/>
  <c r="Q189" i="5"/>
  <c r="L189" i="5"/>
  <c r="F190" i="5" l="1"/>
  <c r="N190" i="5" s="1"/>
  <c r="C190" i="5"/>
  <c r="E190" i="5"/>
  <c r="L190" i="5" s="1"/>
  <c r="E191" i="5" l="1"/>
  <c r="F191" i="5"/>
  <c r="N191" i="5" s="1"/>
  <c r="C191" i="5"/>
  <c r="Q190" i="5"/>
  <c r="P190" i="5"/>
  <c r="Q191" i="5" l="1"/>
  <c r="P191" i="5"/>
  <c r="L191" i="5"/>
  <c r="E192" i="5" l="1"/>
  <c r="F192" i="5"/>
  <c r="N192" i="5" s="1"/>
  <c r="C192" i="5"/>
  <c r="P192" i="5" l="1"/>
  <c r="Q192" i="5"/>
  <c r="L192" i="5"/>
  <c r="E193" i="5" l="1"/>
  <c r="F193" i="5"/>
  <c r="N193" i="5" s="1"/>
  <c r="C193" i="5"/>
  <c r="P193" i="5" l="1"/>
  <c r="Q193" i="5"/>
  <c r="L193" i="5"/>
  <c r="F194" i="5" l="1"/>
  <c r="N194" i="5" s="1"/>
  <c r="C194" i="5"/>
  <c r="E194" i="5"/>
  <c r="L194" i="5" l="1"/>
  <c r="F195" i="5"/>
  <c r="E195" i="5"/>
  <c r="C195" i="5"/>
  <c r="Q194" i="5"/>
  <c r="P194" i="5"/>
  <c r="P195" i="5" l="1"/>
  <c r="P197" i="5" s="1"/>
  <c r="Q195" i="5"/>
  <c r="Q197" i="5" s="1"/>
  <c r="L195" i="5"/>
  <c r="N195" i="5"/>
  <c r="F19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Cahill</author>
  </authors>
  <commentList>
    <comment ref="W4" authorId="0" shapeId="0" xr:uid="{B4329576-5985-44C3-9C3F-1DDE9CE4CD50}">
      <text>
        <r>
          <rPr>
            <b/>
            <sz val="9"/>
            <color indexed="81"/>
            <rFont val="Tahoma"/>
            <family val="2"/>
          </rPr>
          <t>Andy Cahill:</t>
        </r>
        <r>
          <rPr>
            <sz val="9"/>
            <color indexed="81"/>
            <rFont val="Tahoma"/>
            <family val="2"/>
          </rPr>
          <t xml:space="preserve">
3M LIBOR loans supported using X%+LIBOR</t>
        </r>
      </text>
    </comment>
  </commentList>
</comments>
</file>

<file path=xl/sharedStrings.xml><?xml version="1.0" encoding="utf-8"?>
<sst xmlns="http://schemas.openxmlformats.org/spreadsheetml/2006/main" count="9503" uniqueCount="3480">
  <si>
    <t>Lending Entity w/ OCCC #</t>
  </si>
  <si>
    <t>Lending Entity:</t>
  </si>
  <si>
    <t>Loan Info</t>
  </si>
  <si>
    <t>Interest Rate:</t>
  </si>
  <si>
    <t>Term:</t>
  </si>
  <si>
    <t>First Payment Date:</t>
  </si>
  <si>
    <t>Anderson</t>
  </si>
  <si>
    <t>Andrews</t>
  </si>
  <si>
    <t>Angelina</t>
  </si>
  <si>
    <t>Aransas</t>
  </si>
  <si>
    <t>Archer</t>
  </si>
  <si>
    <t>Armstrong</t>
  </si>
  <si>
    <t>Atascosa</t>
  </si>
  <si>
    <t>Austin</t>
  </si>
  <si>
    <t>Bailey</t>
  </si>
  <si>
    <t>Bandera</t>
  </si>
  <si>
    <t>Bastrop</t>
  </si>
  <si>
    <t>Baylor</t>
  </si>
  <si>
    <t>Bee</t>
  </si>
  <si>
    <t>Bell</t>
  </si>
  <si>
    <t>Bexar</t>
  </si>
  <si>
    <t>Blanco</t>
  </si>
  <si>
    <t>Borden</t>
  </si>
  <si>
    <t>Bosque</t>
  </si>
  <si>
    <t>Bowie</t>
  </si>
  <si>
    <t>Brazoria</t>
  </si>
  <si>
    <t>Brazos</t>
  </si>
  <si>
    <t>Brewster</t>
  </si>
  <si>
    <t>Briscoe</t>
  </si>
  <si>
    <t>Brooks</t>
  </si>
  <si>
    <t>Brown</t>
  </si>
  <si>
    <t>Burleson</t>
  </si>
  <si>
    <t>Burnet</t>
  </si>
  <si>
    <t>Caldwell</t>
  </si>
  <si>
    <t>Calhoun</t>
  </si>
  <si>
    <t>Callahan</t>
  </si>
  <si>
    <t>Cameron</t>
  </si>
  <si>
    <t>Camp</t>
  </si>
  <si>
    <t>Carson</t>
  </si>
  <si>
    <t>Cass</t>
  </si>
  <si>
    <t>Castro</t>
  </si>
  <si>
    <t>Chambers</t>
  </si>
  <si>
    <t>Cherokee</t>
  </si>
  <si>
    <t>Childress</t>
  </si>
  <si>
    <t>Clay</t>
  </si>
  <si>
    <t>Cochran</t>
  </si>
  <si>
    <t>Coke</t>
  </si>
  <si>
    <t>Coleman</t>
  </si>
  <si>
    <t>Collin</t>
  </si>
  <si>
    <t>Collingsworth</t>
  </si>
  <si>
    <t>Colorado</t>
  </si>
  <si>
    <t>Comal</t>
  </si>
  <si>
    <t>Comanche</t>
  </si>
  <si>
    <t>Concho</t>
  </si>
  <si>
    <t>Cooke</t>
  </si>
  <si>
    <t>Coryell</t>
  </si>
  <si>
    <t>Cottle</t>
  </si>
  <si>
    <t>Crane</t>
  </si>
  <si>
    <t>Crockett</t>
  </si>
  <si>
    <t>Crosby</t>
  </si>
  <si>
    <t>Culberson</t>
  </si>
  <si>
    <t>Dallam</t>
  </si>
  <si>
    <t>Dallas</t>
  </si>
  <si>
    <t>Dawson</t>
  </si>
  <si>
    <t>Deaf Smith</t>
  </si>
  <si>
    <t>Delta</t>
  </si>
  <si>
    <t>Denton</t>
  </si>
  <si>
    <t>DeWitt</t>
  </si>
  <si>
    <t>Dickens</t>
  </si>
  <si>
    <t>Dimmit</t>
  </si>
  <si>
    <t>Donley</t>
  </si>
  <si>
    <t>Duval</t>
  </si>
  <si>
    <t>Eastland</t>
  </si>
  <si>
    <t>Ector</t>
  </si>
  <si>
    <t>Edwards</t>
  </si>
  <si>
    <t>Ellis</t>
  </si>
  <si>
    <t>El Paso</t>
  </si>
  <si>
    <t>Erath</t>
  </si>
  <si>
    <t>Falls</t>
  </si>
  <si>
    <t>Fannin</t>
  </si>
  <si>
    <t>Fayette</t>
  </si>
  <si>
    <t>Fisher</t>
  </si>
  <si>
    <t>Floyd</t>
  </si>
  <si>
    <t>Foard</t>
  </si>
  <si>
    <t>Fort Bend</t>
  </si>
  <si>
    <t>Franklin</t>
  </si>
  <si>
    <t>Freestone</t>
  </si>
  <si>
    <t>Frio</t>
  </si>
  <si>
    <t>Gaines</t>
  </si>
  <si>
    <t>Galveston</t>
  </si>
  <si>
    <t>Garza</t>
  </si>
  <si>
    <t>Gillespie</t>
  </si>
  <si>
    <t>Glasscock</t>
  </si>
  <si>
    <t>Goliad</t>
  </si>
  <si>
    <t>Gonzales</t>
  </si>
  <si>
    <t>Gray</t>
  </si>
  <si>
    <t>Grayson</t>
  </si>
  <si>
    <t>Gregg</t>
  </si>
  <si>
    <t>Grimes</t>
  </si>
  <si>
    <t>Guadalupe</t>
  </si>
  <si>
    <t>Hale</t>
  </si>
  <si>
    <t>Hall</t>
  </si>
  <si>
    <t>Hamilton</t>
  </si>
  <si>
    <t>Hansford</t>
  </si>
  <si>
    <t>Hardeman</t>
  </si>
  <si>
    <t>Hardin</t>
  </si>
  <si>
    <t>Harris</t>
  </si>
  <si>
    <t>Harrison</t>
  </si>
  <si>
    <t>Hartley</t>
  </si>
  <si>
    <t>Haskell</t>
  </si>
  <si>
    <t>Hays</t>
  </si>
  <si>
    <t>Hemphill</t>
  </si>
  <si>
    <t>Henderson</t>
  </si>
  <si>
    <t>Hidalgo</t>
  </si>
  <si>
    <t>Hill</t>
  </si>
  <si>
    <t>Hockley</t>
  </si>
  <si>
    <t>Hood</t>
  </si>
  <si>
    <t>Hopkins</t>
  </si>
  <si>
    <t>Houston</t>
  </si>
  <si>
    <t>Howard</t>
  </si>
  <si>
    <t>Hudspeth</t>
  </si>
  <si>
    <t>Hunt</t>
  </si>
  <si>
    <t>Hutchinson</t>
  </si>
  <si>
    <t>Irion</t>
  </si>
  <si>
    <t>Jack</t>
  </si>
  <si>
    <t>Jackson</t>
  </si>
  <si>
    <t>Jasper</t>
  </si>
  <si>
    <t>Jeff Davis</t>
  </si>
  <si>
    <t>Jefferson</t>
  </si>
  <si>
    <t>Jim Hogg</t>
  </si>
  <si>
    <t>Jim Wells</t>
  </si>
  <si>
    <t>Johnson</t>
  </si>
  <si>
    <t>Jones</t>
  </si>
  <si>
    <t>Karnes</t>
  </si>
  <si>
    <t>Kaufman</t>
  </si>
  <si>
    <t>Kendall</t>
  </si>
  <si>
    <t>Kenedy</t>
  </si>
  <si>
    <t>Kent</t>
  </si>
  <si>
    <t>Kerr</t>
  </si>
  <si>
    <t>Kimble</t>
  </si>
  <si>
    <t>King</t>
  </si>
  <si>
    <t>Kinney</t>
  </si>
  <si>
    <t>Kleberg</t>
  </si>
  <si>
    <t>Knox</t>
  </si>
  <si>
    <t>Lamar</t>
  </si>
  <si>
    <t>Lamb</t>
  </si>
  <si>
    <t>Lampasas</t>
  </si>
  <si>
    <t>La Salle</t>
  </si>
  <si>
    <t>Lavaca</t>
  </si>
  <si>
    <t>Lee</t>
  </si>
  <si>
    <t>Leon</t>
  </si>
  <si>
    <t>Liberty</t>
  </si>
  <si>
    <t>Limestone</t>
  </si>
  <si>
    <t>Lipscomb</t>
  </si>
  <si>
    <t>Live Oak</t>
  </si>
  <si>
    <t>Llano</t>
  </si>
  <si>
    <t>Loving</t>
  </si>
  <si>
    <t>Lubbock</t>
  </si>
  <si>
    <t>Lynn</t>
  </si>
  <si>
    <t>McCulloch</t>
  </si>
  <si>
    <t>McLennan</t>
  </si>
  <si>
    <t>McMullen</t>
  </si>
  <si>
    <t>Madison</t>
  </si>
  <si>
    <t>Marion</t>
  </si>
  <si>
    <t>Martin</t>
  </si>
  <si>
    <t>Mason</t>
  </si>
  <si>
    <t>Matagorda</t>
  </si>
  <si>
    <t>Maverick</t>
  </si>
  <si>
    <t>Medina</t>
  </si>
  <si>
    <t>Menard</t>
  </si>
  <si>
    <t>Midland</t>
  </si>
  <si>
    <t>Milam</t>
  </si>
  <si>
    <t>Mills</t>
  </si>
  <si>
    <t>Mitchell</t>
  </si>
  <si>
    <t>Montague</t>
  </si>
  <si>
    <t>Montgomery</t>
  </si>
  <si>
    <t>Moore</t>
  </si>
  <si>
    <t>Morris</t>
  </si>
  <si>
    <t>Motley</t>
  </si>
  <si>
    <t>Nacogdoches</t>
  </si>
  <si>
    <t>Navarro</t>
  </si>
  <si>
    <t>Newton</t>
  </si>
  <si>
    <t>Nolan</t>
  </si>
  <si>
    <t>Nueces</t>
  </si>
  <si>
    <t>Ochiltree</t>
  </si>
  <si>
    <t>Oldham</t>
  </si>
  <si>
    <t>Orange</t>
  </si>
  <si>
    <t>Palo Pinto</t>
  </si>
  <si>
    <t>Panola</t>
  </si>
  <si>
    <t>Parker</t>
  </si>
  <si>
    <t>Parmer</t>
  </si>
  <si>
    <t>Pecos</t>
  </si>
  <si>
    <t>Polk</t>
  </si>
  <si>
    <t>Potter</t>
  </si>
  <si>
    <t>Presidio</t>
  </si>
  <si>
    <t>Rains</t>
  </si>
  <si>
    <t>Randall</t>
  </si>
  <si>
    <t>Reagan</t>
  </si>
  <si>
    <t>Real</t>
  </si>
  <si>
    <t>Red River</t>
  </si>
  <si>
    <t>Reeves</t>
  </si>
  <si>
    <t>Refugio</t>
  </si>
  <si>
    <t>Roberts</t>
  </si>
  <si>
    <t>Robertson</t>
  </si>
  <si>
    <t>Rockwall</t>
  </si>
  <si>
    <t>Runnels</t>
  </si>
  <si>
    <t>Rusk</t>
  </si>
  <si>
    <t>Sabine</t>
  </si>
  <si>
    <t>San Augustine</t>
  </si>
  <si>
    <t>San Jacinto</t>
  </si>
  <si>
    <t>San Patricio</t>
  </si>
  <si>
    <t>San Saba</t>
  </si>
  <si>
    <t>Schleicher</t>
  </si>
  <si>
    <t>Scurry</t>
  </si>
  <si>
    <t>Shackelford</t>
  </si>
  <si>
    <t>Shelby</t>
  </si>
  <si>
    <t>Sherman</t>
  </si>
  <si>
    <t>Smith</t>
  </si>
  <si>
    <t>Somervell</t>
  </si>
  <si>
    <t>Starr</t>
  </si>
  <si>
    <t>Stephens</t>
  </si>
  <si>
    <t>Sterling</t>
  </si>
  <si>
    <t>Stonewall</t>
  </si>
  <si>
    <t>Sutton</t>
  </si>
  <si>
    <t>Swisher</t>
  </si>
  <si>
    <t>Tarrant</t>
  </si>
  <si>
    <t>Taylor</t>
  </si>
  <si>
    <t>Terrell</t>
  </si>
  <si>
    <t>Terry</t>
  </si>
  <si>
    <t>Throckmorton</t>
  </si>
  <si>
    <t>Titus</t>
  </si>
  <si>
    <t>Tom Green</t>
  </si>
  <si>
    <t>Travis</t>
  </si>
  <si>
    <t>Trinity</t>
  </si>
  <si>
    <t>Tyler</t>
  </si>
  <si>
    <t>Upshur</t>
  </si>
  <si>
    <t>Upton</t>
  </si>
  <si>
    <t>Uvalde</t>
  </si>
  <si>
    <t>Val Verde</t>
  </si>
  <si>
    <t>Van Zandt</t>
  </si>
  <si>
    <t>Victoria</t>
  </si>
  <si>
    <t>Walker</t>
  </si>
  <si>
    <t>Waller</t>
  </si>
  <si>
    <t>Ward</t>
  </si>
  <si>
    <t>Washington</t>
  </si>
  <si>
    <t>Webb</t>
  </si>
  <si>
    <t>Wharton</t>
  </si>
  <si>
    <t>Wheeler</t>
  </si>
  <si>
    <t>Wichita</t>
  </si>
  <si>
    <t>Wilbarger</t>
  </si>
  <si>
    <t>Willacy</t>
  </si>
  <si>
    <t>Williamson</t>
  </si>
  <si>
    <t>Wilson</t>
  </si>
  <si>
    <t>Winkler</t>
  </si>
  <si>
    <t>Wise</t>
  </si>
  <si>
    <t>Wood</t>
  </si>
  <si>
    <t>Yoakum</t>
  </si>
  <si>
    <t>Young</t>
  </si>
  <si>
    <t>Zapata</t>
  </si>
  <si>
    <t>Zavala</t>
  </si>
  <si>
    <t>County Verification</t>
  </si>
  <si>
    <t>Underwriting Fee:</t>
  </si>
  <si>
    <t>Flood Certification Fee:</t>
  </si>
  <si>
    <t>Assessment of Value:</t>
  </si>
  <si>
    <t>Number of Borrowers:</t>
  </si>
  <si>
    <t>Number of Borrowers</t>
  </si>
  <si>
    <t>SSN:</t>
  </si>
  <si>
    <t>OCCC Number:</t>
  </si>
  <si>
    <t>Borrower 2 Info</t>
  </si>
  <si>
    <t>Borrower 1 Info</t>
  </si>
  <si>
    <t>Borrower 3 Info</t>
  </si>
  <si>
    <t>No</t>
  </si>
  <si>
    <t>FNA DZ, LLC</t>
  </si>
  <si>
    <t>Hunter-Kelsey II, LLC</t>
  </si>
  <si>
    <t>Hunter-Kelsey I, LLC</t>
  </si>
  <si>
    <t>FNA 2018-1 Trust, LLC</t>
  </si>
  <si>
    <t>Entity Name</t>
  </si>
  <si>
    <t>Property Information</t>
  </si>
  <si>
    <t>Legal Description:</t>
  </si>
  <si>
    <t>HK Value:</t>
  </si>
  <si>
    <t>Number of Properties:</t>
  </si>
  <si>
    <t>Number of Properties</t>
  </si>
  <si>
    <t>Property 1 Information</t>
  </si>
  <si>
    <t>Property 2 Information</t>
  </si>
  <si>
    <t>Property 3 Information</t>
  </si>
  <si>
    <t>Property 4 Information</t>
  </si>
  <si>
    <t>Property 5 Information</t>
  </si>
  <si>
    <t>Property 6 Information</t>
  </si>
  <si>
    <t>Property 7 Information</t>
  </si>
  <si>
    <t>Property 8 Information</t>
  </si>
  <si>
    <t>Property 9 Information</t>
  </si>
  <si>
    <t>Property 10 Information</t>
  </si>
  <si>
    <t>Property 11 Information</t>
  </si>
  <si>
    <t>Property 12 Information</t>
  </si>
  <si>
    <t>Property 13 Information</t>
  </si>
  <si>
    <t>Property 14 Information</t>
  </si>
  <si>
    <t>Property 15 Information</t>
  </si>
  <si>
    <t>Property 16 Information</t>
  </si>
  <si>
    <t>Property 17 Information</t>
  </si>
  <si>
    <t>Property 18 Information</t>
  </si>
  <si>
    <t>Property 19 Information</t>
  </si>
  <si>
    <t>Property 20 Information</t>
  </si>
  <si>
    <t>Property 21 Information</t>
  </si>
  <si>
    <t>Property 22 Information</t>
  </si>
  <si>
    <t>Property 23 Information</t>
  </si>
  <si>
    <t>Property 24 Information</t>
  </si>
  <si>
    <t>Property 25 Information</t>
  </si>
  <si>
    <t>CAD Land Value:</t>
  </si>
  <si>
    <t>Borrower Type</t>
  </si>
  <si>
    <t>Individual(s)</t>
  </si>
  <si>
    <t>Corporation</t>
  </si>
  <si>
    <t>LLC</t>
  </si>
  <si>
    <t>Borrower Type:</t>
  </si>
  <si>
    <t>Loan Type:</t>
  </si>
  <si>
    <t>Loan Type</t>
  </si>
  <si>
    <t>Marital Status</t>
  </si>
  <si>
    <t>Married</t>
  </si>
  <si>
    <t>Origination/Processing Fee</t>
  </si>
  <si>
    <t>Internal Fees: (prepaid, affect APR)</t>
  </si>
  <si>
    <t>Internal Fees (prepaid finance charges - affects APR)</t>
  </si>
  <si>
    <t>Credit to Property Owner(s)</t>
  </si>
  <si>
    <t>Credit amount (enter as negative number)</t>
  </si>
  <si>
    <t>3rd Party Fees (do not affect APR)</t>
  </si>
  <si>
    <t>Notary Fee:</t>
  </si>
  <si>
    <t>Mailing Fee:</t>
  </si>
  <si>
    <t>Document Preparation Fee:</t>
  </si>
  <si>
    <t>Title Curative Fee:</t>
  </si>
  <si>
    <t>Recording Fee:</t>
  </si>
  <si>
    <t>Loan Number:</t>
  </si>
  <si>
    <t>Loan Officer:</t>
  </si>
  <si>
    <t>Internal Title Search:</t>
  </si>
  <si>
    <t>Internal Title Review:</t>
  </si>
  <si>
    <t>Version</t>
  </si>
  <si>
    <t>APR Calculator</t>
  </si>
  <si>
    <t>Tax Loan</t>
  </si>
  <si>
    <t xml:space="preserve">  Customer's Name</t>
  </si>
  <si>
    <t xml:space="preserve">  Loan Officer</t>
  </si>
  <si>
    <t>Homestead</t>
  </si>
  <si>
    <t xml:space="preserve">  Property County</t>
  </si>
  <si>
    <t xml:space="preserve">  Loan Type</t>
  </si>
  <si>
    <t>Investment - Residential</t>
  </si>
  <si>
    <t>Land</t>
  </si>
  <si>
    <t xml:space="preserve">  Total New Taxes</t>
  </si>
  <si>
    <t xml:space="preserve">  Loan Interest Rate</t>
  </si>
  <si>
    <t xml:space="preserve">  Target Closing Date</t>
  </si>
  <si>
    <t xml:space="preserve">  Total Refinanced</t>
  </si>
  <si>
    <t xml:space="preserve">  Interest Only?</t>
  </si>
  <si>
    <t xml:space="preserve">  First Payment Date</t>
  </si>
  <si>
    <t>Investment - Commercial</t>
  </si>
  <si>
    <t xml:space="preserve">  Prepaid Interest</t>
  </si>
  <si>
    <t xml:space="preserve">  Loan Term Months</t>
  </si>
  <si>
    <t xml:space="preserve">  Days Until First Payment</t>
  </si>
  <si>
    <t xml:space="preserve">  All other fees</t>
  </si>
  <si>
    <t xml:space="preserve">  Monthly Payment</t>
  </si>
  <si>
    <t xml:space="preserve">  Reg. Monthly Payments</t>
  </si>
  <si>
    <t xml:space="preserve">  New Loan Amount</t>
  </si>
  <si>
    <t xml:space="preserve">  Last Month Payment</t>
  </si>
  <si>
    <t xml:space="preserve">  Last Payment Date</t>
  </si>
  <si>
    <t>Underwriting Fee</t>
  </si>
  <si>
    <t>Flood Certification Fee</t>
  </si>
  <si>
    <t>Assessment of Value</t>
  </si>
  <si>
    <t>Bankrupcty Check/Review</t>
  </si>
  <si>
    <t>Internal Title Search</t>
  </si>
  <si>
    <t>Internal Title Review</t>
  </si>
  <si>
    <t>Annual</t>
  </si>
  <si>
    <t xml:space="preserve">Amount </t>
  </si>
  <si>
    <t>Finance</t>
  </si>
  <si>
    <t xml:space="preserve">Total of </t>
  </si>
  <si>
    <t>% Rate</t>
  </si>
  <si>
    <t>Financed</t>
  </si>
  <si>
    <t>Charge</t>
  </si>
  <si>
    <t>Payments</t>
  </si>
  <si>
    <t>Date</t>
  </si>
  <si>
    <t>Hunter-Kelsey of Texas LLC</t>
  </si>
  <si>
    <t>Loan Amortization</t>
  </si>
  <si>
    <t xml:space="preserve"> Loan $</t>
  </si>
  <si>
    <t xml:space="preserve">  Customer</t>
  </si>
  <si>
    <t xml:space="preserve"> Interest %</t>
  </si>
  <si>
    <t>Loan Funding Date</t>
  </si>
  <si>
    <t xml:space="preserve">  County</t>
  </si>
  <si>
    <t>Term</t>
  </si>
  <si>
    <t># of Months before 1st payment</t>
  </si>
  <si>
    <t>Effective Term</t>
  </si>
  <si>
    <t>1st Pay Date</t>
  </si>
  <si>
    <t>Payment</t>
  </si>
  <si>
    <t>APR</t>
  </si>
  <si>
    <t>Pmt</t>
  </si>
  <si>
    <t>Ending</t>
  </si>
  <si>
    <t>Princ as</t>
  </si>
  <si>
    <t>#</t>
  </si>
  <si>
    <t>Beginning</t>
  </si>
  <si>
    <t>Principal</t>
  </si>
  <si>
    <t>Regular Interest</t>
  </si>
  <si>
    <t>Deferred Int Payment</t>
  </si>
  <si>
    <t>Deferred Interest</t>
  </si>
  <si>
    <t>Balance</t>
  </si>
  <si>
    <t>% of loan</t>
  </si>
  <si>
    <t>Princ</t>
  </si>
  <si>
    <t>Interest</t>
  </si>
  <si>
    <t>External Title Search:</t>
  </si>
  <si>
    <t>External Title Review:</t>
  </si>
  <si>
    <t>Bankruptcy Search:</t>
  </si>
  <si>
    <t>General Costs/Other:</t>
  </si>
  <si>
    <t>Court Costs:</t>
  </si>
  <si>
    <t>Insurance:</t>
  </si>
  <si>
    <t>Marketing Info:</t>
  </si>
  <si>
    <t>Over 65?</t>
  </si>
  <si>
    <t>Disabled?</t>
  </si>
  <si>
    <t>Taxing Entities will be a drop down of approx 150 options</t>
  </si>
  <si>
    <t>Hunter-Kelsey of Texas, LLC</t>
  </si>
  <si>
    <t>13839-54499</t>
  </si>
  <si>
    <t>13837-54497</t>
  </si>
  <si>
    <t>13838-54498</t>
  </si>
  <si>
    <t>Hunter-Kelsey III, LLC</t>
  </si>
  <si>
    <t>1700058475-159330</t>
  </si>
  <si>
    <t>1600056350-156548</t>
  </si>
  <si>
    <t>1700060033-159399</t>
  </si>
  <si>
    <t>FNH Texas, LLC</t>
  </si>
  <si>
    <t>1400051139-151757</t>
  </si>
  <si>
    <t>Casey Lending, LLC</t>
  </si>
  <si>
    <t>13829-54481</t>
  </si>
  <si>
    <t>Lillian Wilson, LLC</t>
  </si>
  <si>
    <t>13849-54515</t>
  </si>
  <si>
    <t>Katenell LLC</t>
  </si>
  <si>
    <t>13842-54502</t>
  </si>
  <si>
    <t>Tarpon Hunters LLC</t>
  </si>
  <si>
    <t>13869-54548</t>
  </si>
  <si>
    <t>Mack Brooks LLC</t>
  </si>
  <si>
    <t>13850-54516</t>
  </si>
  <si>
    <t>Taxing Entities</t>
  </si>
  <si>
    <t>Aldine ISD</t>
  </si>
  <si>
    <t>Alief ISD</t>
  </si>
  <si>
    <t>Anderson Co</t>
  </si>
  <si>
    <t>Angelina Co</t>
  </si>
  <si>
    <t>Aransas Co</t>
  </si>
  <si>
    <t>Archer Co</t>
  </si>
  <si>
    <t>Atascosa Co</t>
  </si>
  <si>
    <t>Austin CAD</t>
  </si>
  <si>
    <t>Bandera County</t>
  </si>
  <si>
    <t>Barbers Hill ISD</t>
  </si>
  <si>
    <t>Bastrop Co</t>
  </si>
  <si>
    <t>Bee Co</t>
  </si>
  <si>
    <t>Bell CAD</t>
  </si>
  <si>
    <t>Bexar Co</t>
  </si>
  <si>
    <t>Blanco CAD</t>
  </si>
  <si>
    <t>Blue Ridge West MUD</t>
  </si>
  <si>
    <t>Bosque Co</t>
  </si>
  <si>
    <t>Bowie CAD</t>
  </si>
  <si>
    <t>Brazoria Co</t>
  </si>
  <si>
    <t>Brazoria CO MUD #19</t>
  </si>
  <si>
    <t>Brazoria CO MUD #26</t>
  </si>
  <si>
    <t>Brazoria CO MUD #29</t>
  </si>
  <si>
    <t>Brazoria CO MUD #6</t>
  </si>
  <si>
    <t>Brazoria-Ft. Bend Co MUD #1</t>
  </si>
  <si>
    <t>Brazos Co</t>
  </si>
  <si>
    <t>Bridgestone MUD</t>
  </si>
  <si>
    <t>Brooks County</t>
  </si>
  <si>
    <t>Brown CAD</t>
  </si>
  <si>
    <t>Brownsboro ISD</t>
  </si>
  <si>
    <t>Burkburnett ISD</t>
  </si>
  <si>
    <t>Burleson Co.</t>
  </si>
  <si>
    <t>Burnet CAD</t>
  </si>
  <si>
    <t>Caldwell CAD</t>
  </si>
  <si>
    <t>Calhoun CAD</t>
  </si>
  <si>
    <t>Callahan County</t>
  </si>
  <si>
    <t>Cameron Co</t>
  </si>
  <si>
    <t>Camp CAD</t>
  </si>
  <si>
    <t>Canadian ISD</t>
  </si>
  <si>
    <t>Carrollton-Farmers Branch ISD</t>
  </si>
  <si>
    <t>Cass Co</t>
  </si>
  <si>
    <t>Castro County</t>
  </si>
  <si>
    <t>Chambers Co</t>
  </si>
  <si>
    <t>Chambers Co MUD #1</t>
  </si>
  <si>
    <t>Channelview ISD</t>
  </si>
  <si>
    <t>Charlotte ISD</t>
  </si>
  <si>
    <t>Cherokee CAD</t>
  </si>
  <si>
    <t>Cherokee Co</t>
  </si>
  <si>
    <t>Cinco MUD #10</t>
  </si>
  <si>
    <t>Cinco MUD #14</t>
  </si>
  <si>
    <t>Cinco Southwest MUD#2</t>
  </si>
  <si>
    <t>Cisco ISD &amp; Cisco City</t>
  </si>
  <si>
    <t>City of Alamo</t>
  </si>
  <si>
    <t>City of Brookshire</t>
  </si>
  <si>
    <t>City of Coppell</t>
  </si>
  <si>
    <t>City of Deer Park</t>
  </si>
  <si>
    <t>City of Del Rio</t>
  </si>
  <si>
    <t>City of Donna</t>
  </si>
  <si>
    <t>City of Eagle Pass</t>
  </si>
  <si>
    <t>City of Edinburg</t>
  </si>
  <si>
    <t>City of Galena Park</t>
  </si>
  <si>
    <t>City of Garland</t>
  </si>
  <si>
    <t>City of Grapevine</t>
  </si>
  <si>
    <t>City of Harlingen</t>
  </si>
  <si>
    <t>City of Itasca</t>
  </si>
  <si>
    <t>City of Jourdanton</t>
  </si>
  <si>
    <t>City of Katy</t>
  </si>
  <si>
    <t>City of Laredo</t>
  </si>
  <si>
    <t>City of League City</t>
  </si>
  <si>
    <t>City of Lytle</t>
  </si>
  <si>
    <t>City of McAllen</t>
  </si>
  <si>
    <t>City of Mesquite</t>
  </si>
  <si>
    <t>City of Pleasanton</t>
  </si>
  <si>
    <t>City of Raymondville</t>
  </si>
  <si>
    <t>City of Richardson</t>
  </si>
  <si>
    <t>City of Roma</t>
  </si>
  <si>
    <t>City of Sulphur Springs</t>
  </si>
  <si>
    <t>City of Sunrise Beach</t>
  </si>
  <si>
    <t>City of Taft</t>
  </si>
  <si>
    <t>City View ISD</t>
  </si>
  <si>
    <t>Clay CAD</t>
  </si>
  <si>
    <t>Clear Brook City M.U.D.</t>
  </si>
  <si>
    <t>Clear Creek ISD</t>
  </si>
  <si>
    <t>Clear Lake Water Authority</t>
  </si>
  <si>
    <t>Coleman CAD</t>
  </si>
  <si>
    <t>Collin Co</t>
  </si>
  <si>
    <t>Collingsworth CAD</t>
  </si>
  <si>
    <t>Colorado CAD</t>
  </si>
  <si>
    <t>Colorado City</t>
  </si>
  <si>
    <t>Comal Co</t>
  </si>
  <si>
    <t>Comanche Co</t>
  </si>
  <si>
    <t>Cooke CAD</t>
  </si>
  <si>
    <t>Corsicana ISD</t>
  </si>
  <si>
    <t>Coryell Co</t>
  </si>
  <si>
    <t>Crane County</t>
  </si>
  <si>
    <t>Cypress Hill MUD #1</t>
  </si>
  <si>
    <t>Cypress Klein UD</t>
  </si>
  <si>
    <t>Cypress-Fairbanks ISD</t>
  </si>
  <si>
    <t>Dallas Co</t>
  </si>
  <si>
    <t>Dayton ISD</t>
  </si>
  <si>
    <t>DeLeon ISD</t>
  </si>
  <si>
    <t>Delta Lake Irrigation District</t>
  </si>
  <si>
    <t>Denton Co</t>
  </si>
  <si>
    <t>DeSoto Co</t>
  </si>
  <si>
    <t>DeWitt Co</t>
  </si>
  <si>
    <t>Dimmit County</t>
  </si>
  <si>
    <t>Donley County</t>
  </si>
  <si>
    <t>Donna Irrigation District</t>
  </si>
  <si>
    <t>Eagle Pass ISD</t>
  </si>
  <si>
    <t>Eastland CAD</t>
  </si>
  <si>
    <t>Eastland Co</t>
  </si>
  <si>
    <t>Ector CAD</t>
  </si>
  <si>
    <t>Edwards Co</t>
  </si>
  <si>
    <t>El Paso Co</t>
  </si>
  <si>
    <t>Ellis Co</t>
  </si>
  <si>
    <t>Erath Co</t>
  </si>
  <si>
    <t>Falls Co</t>
  </si>
  <si>
    <t>Fannin CAD</t>
  </si>
  <si>
    <t>Fayette CAD</t>
  </si>
  <si>
    <t>Floresville ISD</t>
  </si>
  <si>
    <t>Fort Bend Co</t>
  </si>
  <si>
    <t>Fort Bend Co M.U.D. #146</t>
  </si>
  <si>
    <t>Fort Bend Co. M.U.D. #118</t>
  </si>
  <si>
    <t>Fort Bend Co. M.U.D. #155</t>
  </si>
  <si>
    <t>Fort Bend County MUD #58</t>
  </si>
  <si>
    <t>Fort Bend LID #2</t>
  </si>
  <si>
    <t>Fort Bend MUD #142</t>
  </si>
  <si>
    <t>Fort Bend MUD #171</t>
  </si>
  <si>
    <t>Franklin County</t>
  </si>
  <si>
    <t>Franklin ISD</t>
  </si>
  <si>
    <t>Freestone Co</t>
  </si>
  <si>
    <t>Frio CAD</t>
  </si>
  <si>
    <t>Frio County</t>
  </si>
  <si>
    <t>Frisco ISD</t>
  </si>
  <si>
    <t>Gaines CAD</t>
  </si>
  <si>
    <t>Galena Park ISD</t>
  </si>
  <si>
    <t>Galveston Co MUD #43</t>
  </si>
  <si>
    <t>Garland ISD</t>
  </si>
  <si>
    <t>Gillespie Central Appraisal District</t>
  </si>
  <si>
    <t>Gladewater City/ISD</t>
  </si>
  <si>
    <t>Goliad Co</t>
  </si>
  <si>
    <t>Gonzales Co</t>
  </si>
  <si>
    <t>Goose Creek CISD</t>
  </si>
  <si>
    <t>Gorman ISD</t>
  </si>
  <si>
    <t xml:space="preserve">Gran Oaks M.U.D.
</t>
  </si>
  <si>
    <t>Grapevine-Colleyville ISD</t>
  </si>
  <si>
    <t>Gray Co</t>
  </si>
  <si>
    <t>Grayson Co</t>
  </si>
  <si>
    <t>Greater Northside Mgt. District</t>
  </si>
  <si>
    <t>Gregg Co</t>
  </si>
  <si>
    <t>Grimes CAD</t>
  </si>
  <si>
    <t>Guadalupe Co</t>
  </si>
  <si>
    <t>Hale CAD</t>
  </si>
  <si>
    <t>Hamilton CAD</t>
  </si>
  <si>
    <t>Hardin Co</t>
  </si>
  <si>
    <t>Harlingen Tax Office</t>
  </si>
  <si>
    <t>Harris Co</t>
  </si>
  <si>
    <t>Harris Co. F.W.S.D. #51</t>
  </si>
  <si>
    <t>Harris Co. M.U.D. #239</t>
  </si>
  <si>
    <t>Harris Co. M.U.D. #364</t>
  </si>
  <si>
    <t>Harris Co. M.U.D. #382</t>
  </si>
  <si>
    <t>Harris Co. M.U.D. #389</t>
  </si>
  <si>
    <t>Harris Co. MUD # 26</t>
  </si>
  <si>
    <t>Harris Co. MUD #109</t>
  </si>
  <si>
    <t>Harris Co. MUD #152</t>
  </si>
  <si>
    <t>Harris Co. MUD #153</t>
  </si>
  <si>
    <t>Harris Co. MUD #157</t>
  </si>
  <si>
    <t>Harris Co. MUD #167</t>
  </si>
  <si>
    <t>Harris Co. MUD #174</t>
  </si>
  <si>
    <t>Harris Co. MUD #287</t>
  </si>
  <si>
    <t>Harris Co. MUD #33</t>
  </si>
  <si>
    <t>Harris Co. MUD #344</t>
  </si>
  <si>
    <t>Harris Co. MUD #355</t>
  </si>
  <si>
    <t>Harris Co. MUD #373</t>
  </si>
  <si>
    <t>Harris Co. MUD #374</t>
  </si>
  <si>
    <t>Harris Co. MUD #390</t>
  </si>
  <si>
    <t>Harris Co. MUD #400</t>
  </si>
  <si>
    <t>Harris Co. MUD #411</t>
  </si>
  <si>
    <t>Harris Co. MUD #432</t>
  </si>
  <si>
    <t>Harris Co. MUD #50</t>
  </si>
  <si>
    <t>Harris Co. MUD NO. 43</t>
  </si>
  <si>
    <t>Harris Co. WCID 136</t>
  </si>
  <si>
    <t>Harris County M.U.D. #173</t>
  </si>
  <si>
    <t>Harris County M.U.D. #6</t>
  </si>
  <si>
    <t>Harris County MUD #64</t>
  </si>
  <si>
    <t>Harris County MUD #69</t>
  </si>
  <si>
    <t>Harris County W.C.I.D. #114</t>
  </si>
  <si>
    <t>Harris County W.C.I.D. #21</t>
  </si>
  <si>
    <t>Harris County WCID #1</t>
  </si>
  <si>
    <t>Harris-Ft. Bend Co. MUD #1</t>
  </si>
  <si>
    <t>Harrison CAD</t>
  </si>
  <si>
    <t>Harrison County</t>
  </si>
  <si>
    <t>Hays Co</t>
  </si>
  <si>
    <t>Hemphill County</t>
  </si>
  <si>
    <t>Henderson Co</t>
  </si>
  <si>
    <t>Hidalgo Co</t>
  </si>
  <si>
    <t>Hill CAD</t>
  </si>
  <si>
    <t>Hill Co</t>
  </si>
  <si>
    <t>Hockley Co</t>
  </si>
  <si>
    <t>Hood CAD</t>
  </si>
  <si>
    <t>Hopkins County</t>
  </si>
  <si>
    <t>Houston CAD</t>
  </si>
  <si>
    <t>Houston Co</t>
  </si>
  <si>
    <t>Howard CAD</t>
  </si>
  <si>
    <t>Howard County</t>
  </si>
  <si>
    <t>Humble ISD</t>
  </si>
  <si>
    <t>Hunt Co</t>
  </si>
  <si>
    <t>Hutchinson Co</t>
  </si>
  <si>
    <t>Irving ISD</t>
  </si>
  <si>
    <t>Itasca ISD</t>
  </si>
  <si>
    <t>Jack CAD</t>
  </si>
  <si>
    <t>Jack Co</t>
  </si>
  <si>
    <t>Jackson Co</t>
  </si>
  <si>
    <t>Jasper Co</t>
  </si>
  <si>
    <t>Jefferson Co</t>
  </si>
  <si>
    <t>Jim Wells CAD</t>
  </si>
  <si>
    <t>Johnson Co</t>
  </si>
  <si>
    <t>Jones CAD</t>
  </si>
  <si>
    <t>Judson ISD</t>
  </si>
  <si>
    <t>Karnes County</t>
  </si>
  <si>
    <t>Katy ISD</t>
  </si>
  <si>
    <t>Kaufman Co</t>
  </si>
  <si>
    <t>Kendall CAD</t>
  </si>
  <si>
    <t>Kerens ISD</t>
  </si>
  <si>
    <t>Kerr Co</t>
  </si>
  <si>
    <t>Kerrville ISD</t>
  </si>
  <si>
    <t xml:space="preserve">Kickapoo FWSD Of Waller County
</t>
  </si>
  <si>
    <t>Kimble County</t>
  </si>
  <si>
    <t>Kingsbridge MUD</t>
  </si>
  <si>
    <t>Kirkmont MUD</t>
  </si>
  <si>
    <t>Kleberg Co</t>
  </si>
  <si>
    <t>Klein ISD</t>
  </si>
  <si>
    <t>Klein PUD</t>
  </si>
  <si>
    <t>La Porte Tax Office</t>
  </si>
  <si>
    <t>La Pryor ISD</t>
  </si>
  <si>
    <t>Lake Forest Utility District</t>
  </si>
  <si>
    <t>Lake MUD</t>
  </si>
  <si>
    <t>Lamar CAD</t>
  </si>
  <si>
    <t>Lamb  CAD</t>
  </si>
  <si>
    <t>Lampasas CAD</t>
  </si>
  <si>
    <t>Laredo ISD</t>
  </si>
  <si>
    <t>Lavaca Co</t>
  </si>
  <si>
    <t>Leakey ISD</t>
  </si>
  <si>
    <t>Lee Co</t>
  </si>
  <si>
    <t>Leon County</t>
  </si>
  <si>
    <t>Liberty Co</t>
  </si>
  <si>
    <t>Limestone Co</t>
  </si>
  <si>
    <t>Live Oak CAD</t>
  </si>
  <si>
    <t>Llano Co</t>
  </si>
  <si>
    <t>Lubbock CAD</t>
  </si>
  <si>
    <t>Madison Co</t>
  </si>
  <si>
    <t>Marion Co</t>
  </si>
  <si>
    <t>Matagorda CAD</t>
  </si>
  <si>
    <t>Matagorda Co</t>
  </si>
  <si>
    <t>Mathis ISD</t>
  </si>
  <si>
    <t>Maverick Co</t>
  </si>
  <si>
    <t>McCulloch CAD</t>
  </si>
  <si>
    <t>McLennan Co</t>
  </si>
  <si>
    <t>Medina Co</t>
  </si>
  <si>
    <t>Midland CAD</t>
  </si>
  <si>
    <t>Milam Co</t>
  </si>
  <si>
    <t>Mills CAD</t>
  </si>
  <si>
    <t>Mineola ISD</t>
  </si>
  <si>
    <t>Mitchell CAD</t>
  </si>
  <si>
    <t>Mitchell Co</t>
  </si>
  <si>
    <t>Montgomery Co</t>
  </si>
  <si>
    <t>Montgomery County MUD #47</t>
  </si>
  <si>
    <t>Montgomery County U.D. #2</t>
  </si>
  <si>
    <t>Moore Co</t>
  </si>
  <si>
    <t>Morris CAD</t>
  </si>
  <si>
    <t>Nacogdoches CAD</t>
  </si>
  <si>
    <t>Navarro Co</t>
  </si>
  <si>
    <t>Nolan CAD</t>
  </si>
  <si>
    <t>North Green MUD</t>
  </si>
  <si>
    <t>Northwest Freeway MUD</t>
  </si>
  <si>
    <t>Northwest Park MUD</t>
  </si>
  <si>
    <t>Nueces Co</t>
  </si>
  <si>
    <t>Orange Co</t>
  </si>
  <si>
    <t>Palacios ISD</t>
  </si>
  <si>
    <t>Palo Pinto Co</t>
  </si>
  <si>
    <t>Panola Co</t>
  </si>
  <si>
    <t>Parker CAD</t>
  </si>
  <si>
    <t>Parmer Co</t>
  </si>
  <si>
    <t>Pasadena ISD</t>
  </si>
  <si>
    <t>Pine Tree ISD</t>
  </si>
  <si>
    <t>Pleasanton ISD</t>
  </si>
  <si>
    <t>Polk Co</t>
  </si>
  <si>
    <t>Potter Co</t>
  </si>
  <si>
    <t>Presidio Co</t>
  </si>
  <si>
    <t>Rains CAD</t>
  </si>
  <si>
    <t>Randall Co</t>
  </si>
  <si>
    <t>Raymondville ISD</t>
  </si>
  <si>
    <t>Real County</t>
  </si>
  <si>
    <t>Red River CAD</t>
  </si>
  <si>
    <t>Red River County</t>
  </si>
  <si>
    <t>Reeves CAD</t>
  </si>
  <si>
    <t>Reeves County</t>
  </si>
  <si>
    <t>Refugio Co</t>
  </si>
  <si>
    <t>Richardson ISD</t>
  </si>
  <si>
    <t>Rio Grande City CISD</t>
  </si>
  <si>
    <t>Robertson Co</t>
  </si>
  <si>
    <t>Rockwall CAD</t>
  </si>
  <si>
    <t>Roma ISD</t>
  </si>
  <si>
    <t>Round Rock ISD</t>
  </si>
  <si>
    <t>Runnels Co</t>
  </si>
  <si>
    <t>Rusk Co</t>
  </si>
  <si>
    <t>San Benito CISD</t>
  </si>
  <si>
    <t>San Isidro ISD</t>
  </si>
  <si>
    <t>San Jacinto Co</t>
  </si>
  <si>
    <t>San Patricio Co</t>
  </si>
  <si>
    <t>San Saba CAD</t>
  </si>
  <si>
    <t>Santa Cruz Irrigation District #15</t>
  </si>
  <si>
    <t>Santa Fe ISD</t>
  </si>
  <si>
    <t>Shackelford CAD</t>
  </si>
  <si>
    <t>Shelby Co</t>
  </si>
  <si>
    <t>Sheldon ISD</t>
  </si>
  <si>
    <t>Smith Co</t>
  </si>
  <si>
    <t>Somervell CAD</t>
  </si>
  <si>
    <t>Spring Branch ISD</t>
  </si>
  <si>
    <t>Spring ISD</t>
  </si>
  <si>
    <t>Spring Meadow MUD</t>
  </si>
  <si>
    <t>St. Augustine Co</t>
  </si>
  <si>
    <t>Starr County Annex</t>
  </si>
  <si>
    <t>Stephens CAD</t>
  </si>
  <si>
    <t>Sulphur Springs ISD</t>
  </si>
  <si>
    <t>Tarkington ISD</t>
  </si>
  <si>
    <t>Tarrant Co</t>
  </si>
  <si>
    <t>Taylor CAD</t>
  </si>
  <si>
    <t>Terry CAD</t>
  </si>
  <si>
    <t>Texas City ISD</t>
  </si>
  <si>
    <t>Titus CAD</t>
  </si>
  <si>
    <t>Titus Co</t>
  </si>
  <si>
    <t>Tom Green CAD</t>
  </si>
  <si>
    <t>Tomball ISD</t>
  </si>
  <si>
    <t>Travis Co</t>
  </si>
  <si>
    <t>Trinity Co</t>
  </si>
  <si>
    <t>Tyler Co</t>
  </si>
  <si>
    <t>United ISD</t>
  </si>
  <si>
    <t>Upshur Co</t>
  </si>
  <si>
    <t>Utopia ISD</t>
  </si>
  <si>
    <t>Uvalde CAD</t>
  </si>
  <si>
    <t>Val Verde Co</t>
  </si>
  <si>
    <t>Valley Ranch MUD #1</t>
  </si>
  <si>
    <t>Van Zandt CAD</t>
  </si>
  <si>
    <t>Victoria Co</t>
  </si>
  <si>
    <t>Walker CAD</t>
  </si>
  <si>
    <t>Waller Co</t>
  </si>
  <si>
    <t>Waller ISD</t>
  </si>
  <si>
    <t>Washington Co</t>
  </si>
  <si>
    <t>Webb Co</t>
  </si>
  <si>
    <t>West Keegans Bayou I.D.</t>
  </si>
  <si>
    <t>West Memorial M.U.D.</t>
  </si>
  <si>
    <t>Westador MUD</t>
  </si>
  <si>
    <t>Wharton Co</t>
  </si>
  <si>
    <t>Whitney ISD</t>
  </si>
  <si>
    <t>Wichita Co</t>
  </si>
  <si>
    <t>Williamson Co</t>
  </si>
  <si>
    <t>Wilson CAD</t>
  </si>
  <si>
    <t>Wilson Co  4" margin last pg</t>
  </si>
  <si>
    <t>Wise CAD</t>
  </si>
  <si>
    <t>Wise Co</t>
  </si>
  <si>
    <t>Wood Co</t>
  </si>
  <si>
    <t>Yoakum Co</t>
  </si>
  <si>
    <t>Yoakum ISD</t>
  </si>
  <si>
    <t>Young CAD</t>
  </si>
  <si>
    <t>Zapata County</t>
  </si>
  <si>
    <t>Zavala CAD</t>
  </si>
  <si>
    <t>Attached?</t>
  </si>
  <si>
    <t>AssessmentOfValue</t>
  </si>
  <si>
    <t>BankruptcySearch</t>
  </si>
  <si>
    <t>Borrower1AddressCity</t>
  </si>
  <si>
    <t>Borrower1AddressState</t>
  </si>
  <si>
    <t>Borrower1AddressZIP</t>
  </si>
  <si>
    <t>Borrower1AKA1</t>
  </si>
  <si>
    <t>Borrower1AKA4</t>
  </si>
  <si>
    <t>Borrower1AKA5</t>
  </si>
  <si>
    <t>Borrower1AKA6</t>
  </si>
  <si>
    <t>Borrower1DOB</t>
  </si>
  <si>
    <t>Borrower1FKA</t>
  </si>
  <si>
    <t>Borrower1Name</t>
  </si>
  <si>
    <t>Borrower1SSN</t>
  </si>
  <si>
    <t>Borrower2AddressCity</t>
  </si>
  <si>
    <t>Borrower2AddressState</t>
  </si>
  <si>
    <t>Borrower2AddressStreet</t>
  </si>
  <si>
    <t>Borrower2AddressZIP</t>
  </si>
  <si>
    <t>Borrower2AKA1</t>
  </si>
  <si>
    <t>Borrower2AKA2</t>
  </si>
  <si>
    <t>Borrower2AKA3</t>
  </si>
  <si>
    <t>Borrower2AKA4</t>
  </si>
  <si>
    <t>Borrower2AKA5</t>
  </si>
  <si>
    <t>Borrower2AKA6</t>
  </si>
  <si>
    <t>Borrower2DOB</t>
  </si>
  <si>
    <t>Borrower2FKA</t>
  </si>
  <si>
    <t>Borrower2Name</t>
  </si>
  <si>
    <t>Borrower2SSN</t>
  </si>
  <si>
    <t>Borrower3AddressCity</t>
  </si>
  <si>
    <t>Borrower3AddressState</t>
  </si>
  <si>
    <t>Borrower3AddressStreet</t>
  </si>
  <si>
    <t>Borrower3AddressZIP</t>
  </si>
  <si>
    <t>Borrower3AKA1</t>
  </si>
  <si>
    <t>Borrower3AKA2</t>
  </si>
  <si>
    <t>Borrower3AKA3</t>
  </si>
  <si>
    <t>Borrower3AKA4</t>
  </si>
  <si>
    <t>Borrower3AKA5</t>
  </si>
  <si>
    <t>Borrower3AKA6</t>
  </si>
  <si>
    <t>Borrower3DOB</t>
  </si>
  <si>
    <t>Borrower3FKA</t>
  </si>
  <si>
    <t>Borrower3Name</t>
  </si>
  <si>
    <t>Borrower3SSN</t>
  </si>
  <si>
    <t>BorrowerType</t>
  </si>
  <si>
    <t>ClosingCosts</t>
  </si>
  <si>
    <t>CourtCost</t>
  </si>
  <si>
    <t>CreditAmount</t>
  </si>
  <si>
    <t>DocumentPreparationFee</t>
  </si>
  <si>
    <t>Entity</t>
  </si>
  <si>
    <t>ExternalTitleReview</t>
  </si>
  <si>
    <t>ExternalTitleSearch</t>
  </si>
  <si>
    <t>FirstPaymentDate</t>
  </si>
  <si>
    <t>FloodFee</t>
  </si>
  <si>
    <t>HouseholdIncome</t>
  </si>
  <si>
    <t>Insurance</t>
  </si>
  <si>
    <t>InterestRate</t>
  </si>
  <si>
    <t>InternalTitleReview</t>
  </si>
  <si>
    <t>InternalTitleSearch</t>
  </si>
  <si>
    <t>LastPaymentDate</t>
  </si>
  <si>
    <t>LoanNumber</t>
  </si>
  <si>
    <t>LoanOfficer</t>
  </si>
  <si>
    <t>LoanType</t>
  </si>
  <si>
    <t>MailingFee</t>
  </si>
  <si>
    <t>NotaryFee</t>
  </si>
  <si>
    <t>NumberOfBorrowers</t>
  </si>
  <si>
    <t>NumberOfProperties</t>
  </si>
  <si>
    <t>OCCCNumber</t>
  </si>
  <si>
    <t>ProcessingFee</t>
  </si>
  <si>
    <t>Prop10AccountNumber1</t>
  </si>
  <si>
    <t>Prop10AccountNumber2</t>
  </si>
  <si>
    <t>Prop10AccountNumber3</t>
  </si>
  <si>
    <t>Prop10AccountNumber4</t>
  </si>
  <si>
    <t>Prop10Address</t>
  </si>
  <si>
    <t>Prop10AmountDue1</t>
  </si>
  <si>
    <t>Prop10AmountDue2</t>
  </si>
  <si>
    <t>Prop10AmountDue3</t>
  </si>
  <si>
    <t>Prop10AmountDue4</t>
  </si>
  <si>
    <t>Prop10CADImprovementValue</t>
  </si>
  <si>
    <t>Prop10CADLandValue</t>
  </si>
  <si>
    <t>Prop10City</t>
  </si>
  <si>
    <t>Prop10County</t>
  </si>
  <si>
    <t>Prop10Foreclosure</t>
  </si>
  <si>
    <t>Prop10HKValue</t>
  </si>
  <si>
    <t>Prop10Legal</t>
  </si>
  <si>
    <t>Prop10MobileHome</t>
  </si>
  <si>
    <t>Prop10MortgageHolder</t>
  </si>
  <si>
    <t>Prop10State</t>
  </si>
  <si>
    <t>Prop10TaxingEntity1</t>
  </si>
  <si>
    <t>Prop10TaxingEntity2</t>
  </si>
  <si>
    <t>Prop10TaxingEntity3</t>
  </si>
  <si>
    <t>Prop10TaxingEntity4</t>
  </si>
  <si>
    <t>Prop10TaxLiens</t>
  </si>
  <si>
    <t>Prop10Years1</t>
  </si>
  <si>
    <t>Prop10Years2</t>
  </si>
  <si>
    <t>Prop10Years3</t>
  </si>
  <si>
    <t>Prop10Years4</t>
  </si>
  <si>
    <t>Prop10ZIP</t>
  </si>
  <si>
    <t>Prop11AccountNumber1</t>
  </si>
  <si>
    <t>Prop11AccountNumber2</t>
  </si>
  <si>
    <t>Prop11AccountNumber3</t>
  </si>
  <si>
    <t>Prop11AccountNumber4</t>
  </si>
  <si>
    <t>Prop11Address</t>
  </si>
  <si>
    <t>Prop11AmountDue1</t>
  </si>
  <si>
    <t>Prop11AmountDue2</t>
  </si>
  <si>
    <t>Prop11AmountDue3</t>
  </si>
  <si>
    <t>Prop11AmountDue4</t>
  </si>
  <si>
    <t>Prop11CADImprovementValue</t>
  </si>
  <si>
    <t>Prop11CADLandValue</t>
  </si>
  <si>
    <t>Prop11City</t>
  </si>
  <si>
    <t>Prop11County</t>
  </si>
  <si>
    <t>Prop11Foreclosure</t>
  </si>
  <si>
    <t>Prop11HKValue</t>
  </si>
  <si>
    <t>Prop11Legal</t>
  </si>
  <si>
    <t>Prop11MobileHome</t>
  </si>
  <si>
    <t>Prop11MortgageHolder</t>
  </si>
  <si>
    <t>Prop11State</t>
  </si>
  <si>
    <t>Prop11TaxingEntity1</t>
  </si>
  <si>
    <t>Prop11TaxingEntity2</t>
  </si>
  <si>
    <t>Prop11TaxingEntity3</t>
  </si>
  <si>
    <t>Prop11TaxingEntity4</t>
  </si>
  <si>
    <t>Prop11TaxLiens</t>
  </si>
  <si>
    <t>Prop11Years1</t>
  </si>
  <si>
    <t>Prop11Years2</t>
  </si>
  <si>
    <t>Prop11Years3</t>
  </si>
  <si>
    <t>Prop11Years4</t>
  </si>
  <si>
    <t>Prop11ZIP</t>
  </si>
  <si>
    <t>Prop12AccountNumber1</t>
  </si>
  <si>
    <t>Prop12AccountNumber2</t>
  </si>
  <si>
    <t>Prop12AccountNumber3</t>
  </si>
  <si>
    <t>Prop12AccountNumber4</t>
  </si>
  <si>
    <t>Prop12Address</t>
  </si>
  <si>
    <t>Prop12AmountDue1</t>
  </si>
  <si>
    <t>Prop12AmountDue2</t>
  </si>
  <si>
    <t>Prop12AmountDue3</t>
  </si>
  <si>
    <t>Prop12AmountDue4</t>
  </si>
  <si>
    <t>Prop12CADImprovementValue</t>
  </si>
  <si>
    <t>Prop12CADLandValue</t>
  </si>
  <si>
    <t>Prop12City</t>
  </si>
  <si>
    <t>Prop12County</t>
  </si>
  <si>
    <t>Prop12Foreclosure</t>
  </si>
  <si>
    <t>Prop12HKValue</t>
  </si>
  <si>
    <t>Prop12Legal</t>
  </si>
  <si>
    <t>Prop12MobileHome</t>
  </si>
  <si>
    <t>Prop12MortgageHolder</t>
  </si>
  <si>
    <t>Prop12State</t>
  </si>
  <si>
    <t>Prop12TaxingEntity1</t>
  </si>
  <si>
    <t>Prop12TaxingEntity2</t>
  </si>
  <si>
    <t>Prop12TaxingEntity3</t>
  </si>
  <si>
    <t>Prop12TaxingEntity4</t>
  </si>
  <si>
    <t>Prop12TaxLiens</t>
  </si>
  <si>
    <t>Prop12Years1</t>
  </si>
  <si>
    <t>Prop12Years2</t>
  </si>
  <si>
    <t>Prop12Years3</t>
  </si>
  <si>
    <t>Prop12Years4</t>
  </si>
  <si>
    <t>Prop12ZIP</t>
  </si>
  <si>
    <t>Prop13AccountNumber1</t>
  </si>
  <si>
    <t>Prop13AccountNumber2</t>
  </si>
  <si>
    <t>Prop13AccountNumber3</t>
  </si>
  <si>
    <t>Prop13AccountNumber4</t>
  </si>
  <si>
    <t>Prop13Address</t>
  </si>
  <si>
    <t>Prop13AmountDue1</t>
  </si>
  <si>
    <t>Prop13AmountDue2</t>
  </si>
  <si>
    <t>Prop13AmountDue3</t>
  </si>
  <si>
    <t>Prop13AmountDue4</t>
  </si>
  <si>
    <t>Prop13CADImprovementValue</t>
  </si>
  <si>
    <t>Prop13CADLandValue</t>
  </si>
  <si>
    <t>Prop13City</t>
  </si>
  <si>
    <t>Prop13County</t>
  </si>
  <si>
    <t>Prop13Foreclosure</t>
  </si>
  <si>
    <t>Prop13HKValue</t>
  </si>
  <si>
    <t>Prop13Legal</t>
  </si>
  <si>
    <t>Prop13MobileHome</t>
  </si>
  <si>
    <t>Prop13MortgageHolder</t>
  </si>
  <si>
    <t>Prop13State</t>
  </si>
  <si>
    <t>Prop13TaxingEntity1</t>
  </si>
  <si>
    <t>Prop13TaxingEntity2</t>
  </si>
  <si>
    <t>Prop13TaxingEntity3</t>
  </si>
  <si>
    <t>Prop13TaxingEntity4</t>
  </si>
  <si>
    <t>Prop13TaxLiens</t>
  </si>
  <si>
    <t>Prop13Years1</t>
  </si>
  <si>
    <t>Prop13Years2</t>
  </si>
  <si>
    <t>Prop13Years3</t>
  </si>
  <si>
    <t>Prop13Years4</t>
  </si>
  <si>
    <t>Prop13ZIP</t>
  </si>
  <si>
    <t>Prop14AccountNumber1</t>
  </si>
  <si>
    <t>Prop14AccountNumber2</t>
  </si>
  <si>
    <t>Prop14AccountNumber3</t>
  </si>
  <si>
    <t>Prop14AccountNumber4</t>
  </si>
  <si>
    <t>Prop14Address</t>
  </si>
  <si>
    <t>Prop14AmountDue1</t>
  </si>
  <si>
    <t>Prop14AmountDue2</t>
  </si>
  <si>
    <t>Prop14AmountDue3</t>
  </si>
  <si>
    <t>Prop14AmountDue4</t>
  </si>
  <si>
    <t>Prop14CADImprovementValue</t>
  </si>
  <si>
    <t>Prop14CADLandValue</t>
  </si>
  <si>
    <t>Prop14City</t>
  </si>
  <si>
    <t>Prop14County</t>
  </si>
  <si>
    <t>Prop14Foreclosure</t>
  </si>
  <si>
    <t>Prop14HKValue</t>
  </si>
  <si>
    <t>Prop14Legal</t>
  </si>
  <si>
    <t>Prop14MobileHome</t>
  </si>
  <si>
    <t>Prop14MortgageHolder</t>
  </si>
  <si>
    <t>Prop14State</t>
  </si>
  <si>
    <t>Prop14TaxingEntity1</t>
  </si>
  <si>
    <t>Prop14TaxingEntity2</t>
  </si>
  <si>
    <t>Prop14TaxingEntity3</t>
  </si>
  <si>
    <t>Prop14TaxingEntity4</t>
  </si>
  <si>
    <t>Prop14TaxLiens</t>
  </si>
  <si>
    <t>Prop14Years1</t>
  </si>
  <si>
    <t>Prop14Years2</t>
  </si>
  <si>
    <t>Prop14Years3</t>
  </si>
  <si>
    <t>Prop14Years4</t>
  </si>
  <si>
    <t>Prop14ZIP</t>
  </si>
  <si>
    <t>Prop15AccountNumber1</t>
  </si>
  <si>
    <t>Prop15AccountNumber2</t>
  </si>
  <si>
    <t>Prop15AccountNumber3</t>
  </si>
  <si>
    <t>Prop15AccountNumber4</t>
  </si>
  <si>
    <t>Prop15Address</t>
  </si>
  <si>
    <t>Prop15AmountDue1</t>
  </si>
  <si>
    <t>Prop15AmountDue2</t>
  </si>
  <si>
    <t>Prop15AmountDue3</t>
  </si>
  <si>
    <t>Prop15AmountDue4</t>
  </si>
  <si>
    <t>Prop15CADImprovementValue</t>
  </si>
  <si>
    <t>Prop15CADLandValue</t>
  </si>
  <si>
    <t>Prop15City</t>
  </si>
  <si>
    <t>Prop15County</t>
  </si>
  <si>
    <t>Prop15Foreclosure</t>
  </si>
  <si>
    <t>Prop15HKValue</t>
  </si>
  <si>
    <t>Prop15Legal</t>
  </si>
  <si>
    <t>Prop15MobileHome</t>
  </si>
  <si>
    <t>Prop15MortgageHolder</t>
  </si>
  <si>
    <t>Prop15State</t>
  </si>
  <si>
    <t>Prop15TaxingEntity1</t>
  </si>
  <si>
    <t>Prop15TaxingEntity2</t>
  </si>
  <si>
    <t>Prop15TaxingEntity3</t>
  </si>
  <si>
    <t>Prop15TaxingEntity4</t>
  </si>
  <si>
    <t>Prop15TaxLiens</t>
  </si>
  <si>
    <t>Prop15Years1</t>
  </si>
  <si>
    <t>Prop15Years2</t>
  </si>
  <si>
    <t>Prop15Years3</t>
  </si>
  <si>
    <t>Prop15Years4</t>
  </si>
  <si>
    <t>Prop15ZIP</t>
  </si>
  <si>
    <t>Prop16AccountNumber1</t>
  </si>
  <si>
    <t>Prop16AccountNumber2</t>
  </si>
  <si>
    <t>Prop16AccountNumber3</t>
  </si>
  <si>
    <t>Prop16AccountNumber4</t>
  </si>
  <si>
    <t>Prop16Address</t>
  </si>
  <si>
    <t>Prop16AmountDue1</t>
  </si>
  <si>
    <t>Prop16AmountDue2</t>
  </si>
  <si>
    <t>Prop16AmountDue3</t>
  </si>
  <si>
    <t>Prop16AmountDue4</t>
  </si>
  <si>
    <t>Prop16CADImprovementValue</t>
  </si>
  <si>
    <t>Prop16CADLandValue</t>
  </si>
  <si>
    <t>Prop16City</t>
  </si>
  <si>
    <t>Prop16County</t>
  </si>
  <si>
    <t>Prop16Foreclosure</t>
  </si>
  <si>
    <t>Prop16HKValue</t>
  </si>
  <si>
    <t>Prop16Legal</t>
  </si>
  <si>
    <t>Prop16MobileHome</t>
  </si>
  <si>
    <t>Prop16MortgageHolder</t>
  </si>
  <si>
    <t>Prop16State</t>
  </si>
  <si>
    <t>Prop16TaxingEntity1</t>
  </si>
  <si>
    <t>Prop16TaxingEntity2</t>
  </si>
  <si>
    <t>Prop16TaxingEntity3</t>
  </si>
  <si>
    <t>Prop16TaxingEntity4</t>
  </si>
  <si>
    <t>Prop16TaxLiens</t>
  </si>
  <si>
    <t>Prop16Years1</t>
  </si>
  <si>
    <t>Prop16Years2</t>
  </si>
  <si>
    <t>Prop16Years3</t>
  </si>
  <si>
    <t>Prop16Years4</t>
  </si>
  <si>
    <t>Prop16ZIP</t>
  </si>
  <si>
    <t>Prop17AccountNumber1</t>
  </si>
  <si>
    <t>Prop17AccountNumber2</t>
  </si>
  <si>
    <t>Prop17AccountNumber3</t>
  </si>
  <si>
    <t>Prop17AccountNumber4</t>
  </si>
  <si>
    <t>Prop17Address</t>
  </si>
  <si>
    <t>Prop17AmountDue1</t>
  </si>
  <si>
    <t>Prop17AmountDue2</t>
  </si>
  <si>
    <t>Prop17AmountDue3</t>
  </si>
  <si>
    <t>Prop17AmountDue4</t>
  </si>
  <si>
    <t>Prop17CADImprovementValue</t>
  </si>
  <si>
    <t>Prop17CADLandValue</t>
  </si>
  <si>
    <t>Prop17City</t>
  </si>
  <si>
    <t>Prop17County</t>
  </si>
  <si>
    <t>Prop17Foreclosure</t>
  </si>
  <si>
    <t>Prop17HKValue</t>
  </si>
  <si>
    <t>Prop17Legal</t>
  </si>
  <si>
    <t>Prop17MobileHome</t>
  </si>
  <si>
    <t>Prop17MortgageHolder</t>
  </si>
  <si>
    <t>Prop17State</t>
  </si>
  <si>
    <t>Prop17TaxingEntity1</t>
  </si>
  <si>
    <t>Prop17TaxingEntity2</t>
  </si>
  <si>
    <t>Prop17TaxingEntity3</t>
  </si>
  <si>
    <t>Prop17TaxingEntity4</t>
  </si>
  <si>
    <t>Prop17TaxLiens</t>
  </si>
  <si>
    <t>Prop17Years1</t>
  </si>
  <si>
    <t>Prop17Years2</t>
  </si>
  <si>
    <t>Prop17Years3</t>
  </si>
  <si>
    <t>Prop17Years4</t>
  </si>
  <si>
    <t>Prop17ZIP</t>
  </si>
  <si>
    <t>Prop18AccountNumber1</t>
  </si>
  <si>
    <t>Prop18AccountNumber2</t>
  </si>
  <si>
    <t>Prop18AccountNumber3</t>
  </si>
  <si>
    <t>Prop18AccountNumber4</t>
  </si>
  <si>
    <t>Prop18Address</t>
  </si>
  <si>
    <t>Prop18AmountDue1</t>
  </si>
  <si>
    <t>Prop18AmountDue2</t>
  </si>
  <si>
    <t>Prop18AmountDue3</t>
  </si>
  <si>
    <t>Prop18AmountDue4</t>
  </si>
  <si>
    <t>Prop18CADImprovementValue</t>
  </si>
  <si>
    <t>Prop18CADLandValue</t>
  </si>
  <si>
    <t>Prop18City</t>
  </si>
  <si>
    <t>Prop18County</t>
  </si>
  <si>
    <t>Prop18Foreclosure</t>
  </si>
  <si>
    <t>Prop18HKValue</t>
  </si>
  <si>
    <t>Prop18Legal</t>
  </si>
  <si>
    <t>Prop18MobileHome</t>
  </si>
  <si>
    <t>Prop18MortgageHolder</t>
  </si>
  <si>
    <t>Prop18State</t>
  </si>
  <si>
    <t>Prop18TaxingEntity1</t>
  </si>
  <si>
    <t>Prop18TaxingEntity2</t>
  </si>
  <si>
    <t>Prop18TaxingEntity3</t>
  </si>
  <si>
    <t>Prop18TaxingEntity4</t>
  </si>
  <si>
    <t>Prop18TaxLiens</t>
  </si>
  <si>
    <t>Prop18Years1</t>
  </si>
  <si>
    <t>Prop18Years2</t>
  </si>
  <si>
    <t>Prop18Years3</t>
  </si>
  <si>
    <t>Prop18Years4</t>
  </si>
  <si>
    <t>Prop18ZIP</t>
  </si>
  <si>
    <t>Prop19AccountNumber1</t>
  </si>
  <si>
    <t>Prop19AccountNumber2</t>
  </si>
  <si>
    <t>Prop19AccountNumber3</t>
  </si>
  <si>
    <t>Prop19AccountNumber4</t>
  </si>
  <si>
    <t>Prop19Address</t>
  </si>
  <si>
    <t>Prop19AmountDue1</t>
  </si>
  <si>
    <t>Prop19AmountDue2</t>
  </si>
  <si>
    <t>Prop19AmountDue3</t>
  </si>
  <si>
    <t>Prop19AmountDue4</t>
  </si>
  <si>
    <t>Prop19CADImprovementValue</t>
  </si>
  <si>
    <t>Prop19CADLandValue</t>
  </si>
  <si>
    <t>Prop19City</t>
  </si>
  <si>
    <t>Prop19County</t>
  </si>
  <si>
    <t>Prop19Foreclosure</t>
  </si>
  <si>
    <t>Prop19HKValue</t>
  </si>
  <si>
    <t>Prop19Legal</t>
  </si>
  <si>
    <t>Prop19MobileHome</t>
  </si>
  <si>
    <t>Prop19MortgageHolder</t>
  </si>
  <si>
    <t>Prop19State</t>
  </si>
  <si>
    <t>Prop19TaxingEntity1</t>
  </si>
  <si>
    <t>Prop19TaxingEntity2</t>
  </si>
  <si>
    <t>Prop19TaxingEntity3</t>
  </si>
  <si>
    <t>Prop19TaxingEntity4</t>
  </si>
  <si>
    <t>Prop19TaxLiens</t>
  </si>
  <si>
    <t>Prop19Years1</t>
  </si>
  <si>
    <t>Prop19Years2</t>
  </si>
  <si>
    <t>Prop19Years3</t>
  </si>
  <si>
    <t>Prop19Years4</t>
  </si>
  <si>
    <t>Prop19ZIP</t>
  </si>
  <si>
    <t>Prop1AccountNumber1</t>
  </si>
  <si>
    <t>Prop1AccountNumber2</t>
  </si>
  <si>
    <t>Prop1AccountNumber3</t>
  </si>
  <si>
    <t>Prop1AccountNumber4</t>
  </si>
  <si>
    <t>Prop1Address</t>
  </si>
  <si>
    <t>Prop1AmountDue1</t>
  </si>
  <si>
    <t>Prop1AmountDue2</t>
  </si>
  <si>
    <t>Prop1AmountDue3</t>
  </si>
  <si>
    <t>Prop1AmountDue4</t>
  </si>
  <si>
    <t>Prop1CADLandValue</t>
  </si>
  <si>
    <t>Prop1City</t>
  </si>
  <si>
    <t>Prop1County</t>
  </si>
  <si>
    <t>Prop1Foreclosure</t>
  </si>
  <si>
    <t>Prop1HKValue</t>
  </si>
  <si>
    <t>Prop1Legal</t>
  </si>
  <si>
    <t>Prop1MortgageHolder</t>
  </si>
  <si>
    <t>Prop1State</t>
  </si>
  <si>
    <t>Prop1TaxingEntity1</t>
  </si>
  <si>
    <t>Prop1TaxingEntity2</t>
  </si>
  <si>
    <t>Prop1TaxingEntity3</t>
  </si>
  <si>
    <t>Prop1TaxingEntity4</t>
  </si>
  <si>
    <t>Prop1Years1</t>
  </si>
  <si>
    <t>Prop1Years2</t>
  </si>
  <si>
    <t>Prop1Years3</t>
  </si>
  <si>
    <t>Prop1Years4</t>
  </si>
  <si>
    <t>Prop1ZIP</t>
  </si>
  <si>
    <t>Prop20AccountNumber1</t>
  </si>
  <si>
    <t>Prop20AccountNumber2</t>
  </si>
  <si>
    <t>Prop20AccountNumber3</t>
  </si>
  <si>
    <t>Prop20AccountNumber4</t>
  </si>
  <si>
    <t>Prop20Address</t>
  </si>
  <si>
    <t>Prop20AmountDue1</t>
  </si>
  <si>
    <t>Prop20AmountDue2</t>
  </si>
  <si>
    <t>Prop20AmountDue3</t>
  </si>
  <si>
    <t>Prop20AmountDue4</t>
  </si>
  <si>
    <t>Prop20CADImprovementValue</t>
  </si>
  <si>
    <t>Prop20CADLandValue</t>
  </si>
  <si>
    <t>Prop20City</t>
  </si>
  <si>
    <t>Prop20County</t>
  </si>
  <si>
    <t>Prop20Foreclosure</t>
  </si>
  <si>
    <t>Prop20HKValue</t>
  </si>
  <si>
    <t>Prop20Legal</t>
  </si>
  <si>
    <t>Prop20MobileHome</t>
  </si>
  <si>
    <t>Prop20MortgageHolder</t>
  </si>
  <si>
    <t>Prop20State</t>
  </si>
  <si>
    <t>Prop20TaxingEntity1</t>
  </si>
  <si>
    <t>Prop20TaxingEntity2</t>
  </si>
  <si>
    <t>Prop20TaxingEntity3</t>
  </si>
  <si>
    <t>Prop20TaxingEntity4</t>
  </si>
  <si>
    <t>Prop20TaxLiens</t>
  </si>
  <si>
    <t>Prop20Years1</t>
  </si>
  <si>
    <t>Prop20Years2</t>
  </si>
  <si>
    <t>Prop20Years3</t>
  </si>
  <si>
    <t>Prop20Years4</t>
  </si>
  <si>
    <t>Prop20ZIP</t>
  </si>
  <si>
    <t>Prop21AccountNumber1</t>
  </si>
  <si>
    <t>Prop21AccountNumber2</t>
  </si>
  <si>
    <t>Prop21AccountNumber3</t>
  </si>
  <si>
    <t>Prop21AccountNumber4</t>
  </si>
  <si>
    <t>Prop21Address</t>
  </si>
  <si>
    <t>Prop21AmountDue1</t>
  </si>
  <si>
    <t>Prop21AmountDue2</t>
  </si>
  <si>
    <t>Prop21AmountDue3</t>
  </si>
  <si>
    <t>Prop21AmountDue4</t>
  </si>
  <si>
    <t>Prop21CADImprovementValue</t>
  </si>
  <si>
    <t>Prop21CADLandValue</t>
  </si>
  <si>
    <t>Prop21City</t>
  </si>
  <si>
    <t>Prop21County</t>
  </si>
  <si>
    <t>Prop21Foreclosure</t>
  </si>
  <si>
    <t>Prop21HKValue</t>
  </si>
  <si>
    <t>Prop21Legal</t>
  </si>
  <si>
    <t>Prop21MobileHome</t>
  </si>
  <si>
    <t>Prop21MortgageHolder</t>
  </si>
  <si>
    <t>Prop21State</t>
  </si>
  <si>
    <t>Prop21TaxingEntity1</t>
  </si>
  <si>
    <t>Prop21TaxingEntity2</t>
  </si>
  <si>
    <t>Prop21TaxingEntity3</t>
  </si>
  <si>
    <t>Prop21TaxingEntity4</t>
  </si>
  <si>
    <t>Prop21TaxLiens</t>
  </si>
  <si>
    <t>Prop21Years1</t>
  </si>
  <si>
    <t>Prop21Years2</t>
  </si>
  <si>
    <t>Prop21Years3</t>
  </si>
  <si>
    <t>Prop21Years4</t>
  </si>
  <si>
    <t>Prop21ZIP</t>
  </si>
  <si>
    <t>Prop22AccountNumber1</t>
  </si>
  <si>
    <t>Prop22AccountNumber2</t>
  </si>
  <si>
    <t>Prop22AccountNumber3</t>
  </si>
  <si>
    <t>Prop22AccountNumber4</t>
  </si>
  <si>
    <t>Prop22Address</t>
  </si>
  <si>
    <t>Prop22AmountDue1</t>
  </si>
  <si>
    <t>Prop22AmountDue2</t>
  </si>
  <si>
    <t>Prop22AmountDue3</t>
  </si>
  <si>
    <t>Prop22AmountDue4</t>
  </si>
  <si>
    <t>Prop22CADImprovementValue</t>
  </si>
  <si>
    <t>Prop22CADLandValue</t>
  </si>
  <si>
    <t>Prop22City</t>
  </si>
  <si>
    <t>Prop22County</t>
  </si>
  <si>
    <t>Prop22Foreclosure</t>
  </si>
  <si>
    <t>Prop22HKValue</t>
  </si>
  <si>
    <t>Prop22Legal</t>
  </si>
  <si>
    <t>Prop22MobileHome</t>
  </si>
  <si>
    <t>Prop22MortgageHolder</t>
  </si>
  <si>
    <t>Prop22State</t>
  </si>
  <si>
    <t>Prop22TaxingEntity1</t>
  </si>
  <si>
    <t>Prop22TaxingEntity2</t>
  </si>
  <si>
    <t>Prop22TaxingEntity3</t>
  </si>
  <si>
    <t>Prop22TaxingEntity4</t>
  </si>
  <si>
    <t>Prop22TaxLiens</t>
  </si>
  <si>
    <t>Prop22Years1</t>
  </si>
  <si>
    <t>Prop22Years2</t>
  </si>
  <si>
    <t>Prop22Years3</t>
  </si>
  <si>
    <t>Prop22Years4</t>
  </si>
  <si>
    <t>Prop22ZIP</t>
  </si>
  <si>
    <t>Prop23AccountNumber1</t>
  </si>
  <si>
    <t>Prop23AccountNumber2</t>
  </si>
  <si>
    <t>Prop23AccountNumber3</t>
  </si>
  <si>
    <t>Prop23AccountNumber4</t>
  </si>
  <si>
    <t>Prop23Address</t>
  </si>
  <si>
    <t>Prop23AmountDue1</t>
  </si>
  <si>
    <t>Prop23AmountDue2</t>
  </si>
  <si>
    <t>Prop23AmountDue3</t>
  </si>
  <si>
    <t>Prop23AmountDue4</t>
  </si>
  <si>
    <t>Prop23CADImprovementValue</t>
  </si>
  <si>
    <t>Prop23CADLandValue</t>
  </si>
  <si>
    <t>Prop23City</t>
  </si>
  <si>
    <t>Prop23County</t>
  </si>
  <si>
    <t>Prop23Foreclosure</t>
  </si>
  <si>
    <t>Prop23HKValue</t>
  </si>
  <si>
    <t>Prop23Legal</t>
  </si>
  <si>
    <t>Prop23MobileHome</t>
  </si>
  <si>
    <t>Prop23MortgageHolder</t>
  </si>
  <si>
    <t>Prop23State</t>
  </si>
  <si>
    <t>Prop23TaxingEntity1</t>
  </si>
  <si>
    <t>Prop23TaxingEntity2</t>
  </si>
  <si>
    <t>Prop23TaxingEntity3</t>
  </si>
  <si>
    <t>Prop23TaxingEntity4</t>
  </si>
  <si>
    <t>Prop23TaxLiens</t>
  </si>
  <si>
    <t>Prop23Years1</t>
  </si>
  <si>
    <t>Prop23Years2</t>
  </si>
  <si>
    <t>Prop23Years3</t>
  </si>
  <si>
    <t>Prop23Years4</t>
  </si>
  <si>
    <t>Prop23ZIP</t>
  </si>
  <si>
    <t>Prop24AccountNumber1</t>
  </si>
  <si>
    <t>Prop24AccountNumber2</t>
  </si>
  <si>
    <t>Prop24AccountNumber3</t>
  </si>
  <si>
    <t>Prop24AccountNumber4</t>
  </si>
  <si>
    <t>Prop24Address</t>
  </si>
  <si>
    <t>Prop24AmountDue1</t>
  </si>
  <si>
    <t>Prop24AmountDue2</t>
  </si>
  <si>
    <t>Prop24AmountDue3</t>
  </si>
  <si>
    <t>Prop24AmountDue4</t>
  </si>
  <si>
    <t>Prop24CADImprovementValue</t>
  </si>
  <si>
    <t>Prop24CADLandValue</t>
  </si>
  <si>
    <t>Prop24City</t>
  </si>
  <si>
    <t>Prop24County</t>
  </si>
  <si>
    <t>Prop24Foreclosure</t>
  </si>
  <si>
    <t>Prop24HKValue</t>
  </si>
  <si>
    <t>Prop24Legal</t>
  </si>
  <si>
    <t>Prop24MobileHome</t>
  </si>
  <si>
    <t>Prop24MortgageHolder</t>
  </si>
  <si>
    <t>Prop24State</t>
  </si>
  <si>
    <t>Prop24TaxingEntity1</t>
  </si>
  <si>
    <t>Prop24TaxingEntity2</t>
  </si>
  <si>
    <t>Prop24TaxingEntity3</t>
  </si>
  <si>
    <t>Prop24TaxingEntity4</t>
  </si>
  <si>
    <t>Prop24TaxLiens</t>
  </si>
  <si>
    <t>Prop24Years1</t>
  </si>
  <si>
    <t>Prop24Years2</t>
  </si>
  <si>
    <t>Prop24Years3</t>
  </si>
  <si>
    <t>Prop24Years4</t>
  </si>
  <si>
    <t>Prop24ZIP</t>
  </si>
  <si>
    <t>Prop25AccountNumber1</t>
  </si>
  <si>
    <t>Prop25AccountNumber2</t>
  </si>
  <si>
    <t>Prop25AccountNumber3</t>
  </si>
  <si>
    <t>Prop25AccountNumber4</t>
  </si>
  <si>
    <t>Prop25Address</t>
  </si>
  <si>
    <t>Prop25AmountDue1</t>
  </si>
  <si>
    <t>Prop25AmountDue2</t>
  </si>
  <si>
    <t>Prop25AmountDue3</t>
  </si>
  <si>
    <t>Prop25AmountDue4</t>
  </si>
  <si>
    <t>Prop25CADImprovementValue</t>
  </si>
  <si>
    <t>Prop25CADLandValue</t>
  </si>
  <si>
    <t>Prop25City</t>
  </si>
  <si>
    <t>Prop25County</t>
  </si>
  <si>
    <t>Prop25Foreclosure</t>
  </si>
  <si>
    <t>Prop25HKValue</t>
  </si>
  <si>
    <t>Prop25Legal</t>
  </si>
  <si>
    <t>Prop25MobileHome</t>
  </si>
  <si>
    <t>Prop25MortgageHolder</t>
  </si>
  <si>
    <t>Prop25State</t>
  </si>
  <si>
    <t>Prop25TaxingEntity1</t>
  </si>
  <si>
    <t>Prop25TaxingEntity2</t>
  </si>
  <si>
    <t>Prop25TaxingEntity3</t>
  </si>
  <si>
    <t>Prop25TaxingEntity4</t>
  </si>
  <si>
    <t>Prop25TaxLiens</t>
  </si>
  <si>
    <t>Prop25Years1</t>
  </si>
  <si>
    <t>Prop25Years2</t>
  </si>
  <si>
    <t>Prop25Years3</t>
  </si>
  <si>
    <t>Prop25Years4</t>
  </si>
  <si>
    <t>Prop25ZIP</t>
  </si>
  <si>
    <t>Prop2AccountNumber1</t>
  </si>
  <si>
    <t>Prop2AccountNumber2</t>
  </si>
  <si>
    <t>Prop2AccountNumber3</t>
  </si>
  <si>
    <t>Prop2AccountNumber4</t>
  </si>
  <si>
    <t>Prop2Address</t>
  </si>
  <si>
    <t>Prop2AmountDue1</t>
  </si>
  <si>
    <t>Prop2AmountDue2</t>
  </si>
  <si>
    <t>Prop2AmountDue3</t>
  </si>
  <si>
    <t>Prop2AmountDue4</t>
  </si>
  <si>
    <t>Prop2CADImprovementValue</t>
  </si>
  <si>
    <t>Prop2CADLandValue</t>
  </si>
  <si>
    <t>Prop2City</t>
  </si>
  <si>
    <t>Prop2County</t>
  </si>
  <si>
    <t>Prop2Foreclosure</t>
  </si>
  <si>
    <t>Prop2HKValue</t>
  </si>
  <si>
    <t>Prop2Legal</t>
  </si>
  <si>
    <t>Prop2MortgageHolder</t>
  </si>
  <si>
    <t>Prop2State</t>
  </si>
  <si>
    <t>Prop2TaxingEntity1</t>
  </si>
  <si>
    <t>Prop2TaxingEntity2</t>
  </si>
  <si>
    <t>Prop2TaxingEntity3</t>
  </si>
  <si>
    <t>Prop2TaxingEntity4</t>
  </si>
  <si>
    <t>Prop2Years1</t>
  </si>
  <si>
    <t>Prop2Years2</t>
  </si>
  <si>
    <t>Prop2Years3</t>
  </si>
  <si>
    <t>Prop2Years4</t>
  </si>
  <si>
    <t>Prop2ZIP</t>
  </si>
  <si>
    <t>Prop3AccountNumber1</t>
  </si>
  <si>
    <t>Prop3AccountNumber2</t>
  </si>
  <si>
    <t>Prop3AccountNumber3</t>
  </si>
  <si>
    <t>Prop3AccountNumber4</t>
  </si>
  <si>
    <t>Prop3Address</t>
  </si>
  <si>
    <t>Prop3AmountDue1</t>
  </si>
  <si>
    <t>Prop3AmountDue2</t>
  </si>
  <si>
    <t>Prop3AmountDue3</t>
  </si>
  <si>
    <t>Prop3AmountDue4</t>
  </si>
  <si>
    <t>Prop3CADImprvementValue</t>
  </si>
  <si>
    <t>Prop3CADLandValue</t>
  </si>
  <si>
    <t>Prop3City</t>
  </si>
  <si>
    <t>Prop3County</t>
  </si>
  <si>
    <t>Prop3Foreclosure</t>
  </si>
  <si>
    <t>Prop3HKValue</t>
  </si>
  <si>
    <t>Prop3Legal</t>
  </si>
  <si>
    <t>Prop3MobileHome</t>
  </si>
  <si>
    <t>Prop3MortgageHolder</t>
  </si>
  <si>
    <t>Prop3State</t>
  </si>
  <si>
    <t>Prop3TaxingEntity1</t>
  </si>
  <si>
    <t>Prop3TaxingEntity2</t>
  </si>
  <si>
    <t>Prop3TaxingEntity3</t>
  </si>
  <si>
    <t>Prop3TaxingEntity4</t>
  </si>
  <si>
    <t>Prop3TaxLiens</t>
  </si>
  <si>
    <t>Prop3Years1</t>
  </si>
  <si>
    <t>Prop3Years2</t>
  </si>
  <si>
    <t>Prop3Years3</t>
  </si>
  <si>
    <t>Prop3Years4</t>
  </si>
  <si>
    <t>Prop3ZIP</t>
  </si>
  <si>
    <t>Prop4AccountNumber1</t>
  </si>
  <si>
    <t>Prop4AccountNumber2</t>
  </si>
  <si>
    <t>Prop4AccountNumber3</t>
  </si>
  <si>
    <t>Prop4AccountNumber4</t>
  </si>
  <si>
    <t>Prop4Address</t>
  </si>
  <si>
    <t>Prop4AmountDue1</t>
  </si>
  <si>
    <t>Prop4AmountDue2</t>
  </si>
  <si>
    <t>Prop4AmountDue3</t>
  </si>
  <si>
    <t>Prop4AmountDue4</t>
  </si>
  <si>
    <t>Prop4CADImprovementValue</t>
  </si>
  <si>
    <t>Prop4CADLandValues</t>
  </si>
  <si>
    <t>Prop4City</t>
  </si>
  <si>
    <t>Prop4County</t>
  </si>
  <si>
    <t>Prop4Foreclosure</t>
  </si>
  <si>
    <t>Prop4HKValue</t>
  </si>
  <si>
    <t>Prop4Legal</t>
  </si>
  <si>
    <t>Prop4MobileHome</t>
  </si>
  <si>
    <t>Prop4MortgageHolder</t>
  </si>
  <si>
    <t>Prop4State</t>
  </si>
  <si>
    <t>Prop4TaxingEntity1</t>
  </si>
  <si>
    <t>Prop4TaxingEntity2</t>
  </si>
  <si>
    <t>Prop4TaxingEntity3</t>
  </si>
  <si>
    <t>Prop4TaxingEntity4</t>
  </si>
  <si>
    <t>Prop4Years1</t>
  </si>
  <si>
    <t>Prop4Years2</t>
  </si>
  <si>
    <t>Prop4Years3</t>
  </si>
  <si>
    <t>Prop4Years4</t>
  </si>
  <si>
    <t>Prop4ZIP</t>
  </si>
  <si>
    <t>Prop5AccountNumber1</t>
  </si>
  <si>
    <t>Prop5AccountNumber2</t>
  </si>
  <si>
    <t>Prop5AccountNumber3</t>
  </si>
  <si>
    <t>Prop5AccountNumber4</t>
  </si>
  <si>
    <t>Prop5Address</t>
  </si>
  <si>
    <t>Prop5AmountDue1</t>
  </si>
  <si>
    <t>Prop5AmountDue2</t>
  </si>
  <si>
    <t>Prop5AmountDue3</t>
  </si>
  <si>
    <t>Prop5AmountDue4</t>
  </si>
  <si>
    <t>Prop5CADImprovementValue</t>
  </si>
  <si>
    <t>Prop5CADLandValue</t>
  </si>
  <si>
    <t>Prop5City</t>
  </si>
  <si>
    <t>Prop5County</t>
  </si>
  <si>
    <t>Prop5Foreclosure</t>
  </si>
  <si>
    <t>Prop5HKValue</t>
  </si>
  <si>
    <t>Prop5Legal</t>
  </si>
  <si>
    <t>Prop5MobileHome</t>
  </si>
  <si>
    <t>Prop5MortgageHolder</t>
  </si>
  <si>
    <t>Prop5State</t>
  </si>
  <si>
    <t>Prop5TaxingEntity1</t>
  </si>
  <si>
    <t>Prop5TaxingEntity2</t>
  </si>
  <si>
    <t>Prop5TaxingEntity3</t>
  </si>
  <si>
    <t>Prop5TaxingEntity4</t>
  </si>
  <si>
    <t>Prop5TaxLiens</t>
  </si>
  <si>
    <t>Prop5Years1</t>
  </si>
  <si>
    <t>Prop5Years2</t>
  </si>
  <si>
    <t>Prop5Years3</t>
  </si>
  <si>
    <t>Prop5Years4</t>
  </si>
  <si>
    <t>Prop5ZIP</t>
  </si>
  <si>
    <t>Prop6AccountNumber1</t>
  </si>
  <si>
    <t>Prop6AccountNumber2</t>
  </si>
  <si>
    <t>Prop6AccountNumber3</t>
  </si>
  <si>
    <t>Prop6AccountNumber4</t>
  </si>
  <si>
    <t>Prop6Address</t>
  </si>
  <si>
    <t>Prop6AmountDue1</t>
  </si>
  <si>
    <t>Prop6AmountDue2</t>
  </si>
  <si>
    <t>Prop6AmountDue3</t>
  </si>
  <si>
    <t>Prop6AmountDue4</t>
  </si>
  <si>
    <t>Prop6CADImprovementValue</t>
  </si>
  <si>
    <t>Prop6CADLandValue</t>
  </si>
  <si>
    <t>Prop6City</t>
  </si>
  <si>
    <t>Prop6County</t>
  </si>
  <si>
    <t>Prop6Foreclosure</t>
  </si>
  <si>
    <t>Prop6HKValue</t>
  </si>
  <si>
    <t>Prop6Legal</t>
  </si>
  <si>
    <t>Prop6MobileHome</t>
  </si>
  <si>
    <t>Prop6MortgageHolder</t>
  </si>
  <si>
    <t>Prop6State</t>
  </si>
  <si>
    <t>Prop6TaxingEntity1</t>
  </si>
  <si>
    <t>Prop6TaxingEntity2</t>
  </si>
  <si>
    <t>Prop6TaxingEntity3</t>
  </si>
  <si>
    <t>Prop6TaxingEntity4</t>
  </si>
  <si>
    <t>Prop6TaxLiens</t>
  </si>
  <si>
    <t>Prop6Years1</t>
  </si>
  <si>
    <t>Prop6Years2</t>
  </si>
  <si>
    <t>Prop6Years3</t>
  </si>
  <si>
    <t>Prop6Years4</t>
  </si>
  <si>
    <t>Prop6ZIP</t>
  </si>
  <si>
    <t>Prop7AccountNumber1</t>
  </si>
  <si>
    <t>Prop7AccountNumber2</t>
  </si>
  <si>
    <t>Prop7AccountNumber3</t>
  </si>
  <si>
    <t>Prop7AccountNumber4</t>
  </si>
  <si>
    <t>Prop7Address</t>
  </si>
  <si>
    <t>Prop7AmountDue1</t>
  </si>
  <si>
    <t>Prop7AmountDue2</t>
  </si>
  <si>
    <t>Prop7AmountDue3</t>
  </si>
  <si>
    <t>Prop7AmountDue4</t>
  </si>
  <si>
    <t>Prop7CADImprovementValue</t>
  </si>
  <si>
    <t>Prop7CADLandValue</t>
  </si>
  <si>
    <t>Prop7City</t>
  </si>
  <si>
    <t>Prop7County</t>
  </si>
  <si>
    <t>Prop7Foreclosure</t>
  </si>
  <si>
    <t>Prop7HKValue</t>
  </si>
  <si>
    <t>Prop7Legal</t>
  </si>
  <si>
    <t>Prop7MobileHome</t>
  </si>
  <si>
    <t>Prop7MortgageHolder</t>
  </si>
  <si>
    <t>Prop7State</t>
  </si>
  <si>
    <t>Prop7TaxingEntity1</t>
  </si>
  <si>
    <t>Prop7TaxingEntity2</t>
  </si>
  <si>
    <t>Prop7TaxingEntity3</t>
  </si>
  <si>
    <t>Prop7TaxingEntity4</t>
  </si>
  <si>
    <t>Prop7TaxLiens</t>
  </si>
  <si>
    <t>Prop7Years1</t>
  </si>
  <si>
    <t>Prop7Years2</t>
  </si>
  <si>
    <t>Prop7Years3</t>
  </si>
  <si>
    <t>Prop7Years4</t>
  </si>
  <si>
    <t>Prop7ZIP</t>
  </si>
  <si>
    <t>Prop8AccountNumber1</t>
  </si>
  <si>
    <t>Prop8AccountNumber2</t>
  </si>
  <si>
    <t>Prop8AccountNumber3</t>
  </si>
  <si>
    <t>Prop8AccountNumber4</t>
  </si>
  <si>
    <t>Prop8Address</t>
  </si>
  <si>
    <t>Prop8AmountDue1</t>
  </si>
  <si>
    <t>Prop8AmountDue2</t>
  </si>
  <si>
    <t>Prop8AmountDue3</t>
  </si>
  <si>
    <t>Prop8AmountDue4</t>
  </si>
  <si>
    <t>Prop8CADImprovementValue</t>
  </si>
  <si>
    <t>Prop8CADLandValue</t>
  </si>
  <si>
    <t>Prop8City</t>
  </si>
  <si>
    <t>Prop8County</t>
  </si>
  <si>
    <t>Prop8Foreclosure</t>
  </si>
  <si>
    <t>Prop8HKValue</t>
  </si>
  <si>
    <t>Prop8Legal</t>
  </si>
  <si>
    <t>Prop8MobileHome</t>
  </si>
  <si>
    <t>Prop8MortgageHolder</t>
  </si>
  <si>
    <t>Prop8State</t>
  </si>
  <si>
    <t>Prop8TaxingEntity1</t>
  </si>
  <si>
    <t>Prop8TaxingEntity2</t>
  </si>
  <si>
    <t>Prop8TaxingEntity3</t>
  </si>
  <si>
    <t>Prop8TaxingEntity4</t>
  </si>
  <si>
    <t>Prop8TaxLiens</t>
  </si>
  <si>
    <t>Prop8Years1</t>
  </si>
  <si>
    <t>Prop8Years2</t>
  </si>
  <si>
    <t>Prop8Years3</t>
  </si>
  <si>
    <t>Prop8Years4</t>
  </si>
  <si>
    <t>Prop8ZIP</t>
  </si>
  <si>
    <t>Prop9AccountNumber1</t>
  </si>
  <si>
    <t>Prop9AccountNumber2</t>
  </si>
  <si>
    <t>Prop9AccountNumber3</t>
  </si>
  <si>
    <t>Prop9AccountNumber4</t>
  </si>
  <si>
    <t>Prop9Address</t>
  </si>
  <si>
    <t>Prop9AmountDue1</t>
  </si>
  <si>
    <t>Prop9AmountDue2</t>
  </si>
  <si>
    <t>Prop9AmountDue3</t>
  </si>
  <si>
    <t>Prop9AmountDue4</t>
  </si>
  <si>
    <t>Prop9CADImprovementValue</t>
  </si>
  <si>
    <t>Prop9CADLandValue</t>
  </si>
  <si>
    <t>Prop9City</t>
  </si>
  <si>
    <t>Prop9County</t>
  </si>
  <si>
    <t>Prop9Foreclosure</t>
  </si>
  <si>
    <t>Prop9HKValue</t>
  </si>
  <si>
    <t>Prop9Legal</t>
  </si>
  <si>
    <t>Prop9MobileHome</t>
  </si>
  <si>
    <t>Prop9MortgageHolder</t>
  </si>
  <si>
    <t>Prop9State</t>
  </si>
  <si>
    <t>Prop9TaxingEntity1</t>
  </si>
  <si>
    <t>Prop9TaxingEntity2</t>
  </si>
  <si>
    <t>Prop9TaxingEntity3</t>
  </si>
  <si>
    <t>Prop9TaxingEntity4</t>
  </si>
  <si>
    <t>Prop9TaxLiens</t>
  </si>
  <si>
    <t>Prop9Years1</t>
  </si>
  <si>
    <t>Prop9Years2</t>
  </si>
  <si>
    <t>Prop9Years3</t>
  </si>
  <si>
    <t>Prop9Years4</t>
  </si>
  <si>
    <t>Prop9ZIP</t>
  </si>
  <si>
    <t>RecordingFee</t>
  </si>
  <si>
    <t>SigningDate</t>
  </si>
  <si>
    <t>TitleCurativeFee</t>
  </si>
  <si>
    <t>UnderwritingFee</t>
  </si>
  <si>
    <t>Prop1MobileHome</t>
  </si>
  <si>
    <t>Prop2MobileHome</t>
  </si>
  <si>
    <t>Prop1Attached</t>
  </si>
  <si>
    <t>Prop2Attached</t>
  </si>
  <si>
    <t>Prop3Attached</t>
  </si>
  <si>
    <t>Prop4Attached</t>
  </si>
  <si>
    <t>Prop25Attached</t>
  </si>
  <si>
    <t>Prop24Attached</t>
  </si>
  <si>
    <t>Prop23Attached</t>
  </si>
  <si>
    <t>Prop22Attached</t>
  </si>
  <si>
    <t>Prop21Attached</t>
  </si>
  <si>
    <t>Prop20Attached</t>
  </si>
  <si>
    <t>Prop19Attached</t>
  </si>
  <si>
    <t>Prop18Attached</t>
  </si>
  <si>
    <t>Prop17Attached</t>
  </si>
  <si>
    <t>Prop16Attached</t>
  </si>
  <si>
    <t>Prop15Attached</t>
  </si>
  <si>
    <t>Prop14Attached</t>
  </si>
  <si>
    <t>Prop13Attached</t>
  </si>
  <si>
    <t>Prop12Attached</t>
  </si>
  <si>
    <t>Prop11Attached</t>
  </si>
  <si>
    <t>Prop10Attached</t>
  </si>
  <si>
    <t>Prop9Attached</t>
  </si>
  <si>
    <t>Prop8Attached</t>
  </si>
  <si>
    <t>Prop7Attached</t>
  </si>
  <si>
    <t>Prop6Attached</t>
  </si>
  <si>
    <t>Prop5Attached</t>
  </si>
  <si>
    <t>MarketingInfo</t>
  </si>
  <si>
    <t>Loading Loan Info below</t>
  </si>
  <si>
    <t>Borrower1CellPhone</t>
  </si>
  <si>
    <t>Borrower1Email</t>
  </si>
  <si>
    <t>Borrower1HomePhone</t>
  </si>
  <si>
    <t>Borrower1WorkPhone</t>
  </si>
  <si>
    <t>Borrower2CellPhone</t>
  </si>
  <si>
    <t>Borrower2Email</t>
  </si>
  <si>
    <t>Borrower2HomePhone</t>
  </si>
  <si>
    <t>Borrower2WorkPhone</t>
  </si>
  <si>
    <t>Borrower3CellPhone</t>
  </si>
  <si>
    <t>Borrower3Email</t>
  </si>
  <si>
    <t>Borrower3HomePhone</t>
  </si>
  <si>
    <t>Borrower3WorkPhone</t>
  </si>
  <si>
    <t>FinalPayment</t>
  </si>
  <si>
    <t>MonthlyPayment</t>
  </si>
  <si>
    <t>AmountFinanced</t>
  </si>
  <si>
    <t>FinanceCharge</t>
  </si>
  <si>
    <t>TotalOfPayments</t>
  </si>
  <si>
    <t>Borrower Info</t>
  </si>
  <si>
    <t>TX</t>
  </si>
  <si>
    <t>BankName</t>
  </si>
  <si>
    <t>BankAccountNumber</t>
  </si>
  <si>
    <t>BankRoutingNumber</t>
  </si>
  <si>
    <t>WI</t>
  </si>
  <si>
    <t>Yes/No</t>
  </si>
  <si>
    <t>Increase</t>
  </si>
  <si>
    <t>Decrease</t>
  </si>
  <si>
    <t>Bank Name:</t>
  </si>
  <si>
    <t>Bank Routing Number:</t>
  </si>
  <si>
    <t>Bank Account Number:</t>
  </si>
  <si>
    <t>Account Number</t>
  </si>
  <si>
    <t>Year(s)</t>
  </si>
  <si>
    <t>Amount Due</t>
  </si>
  <si>
    <t>Total Due:</t>
  </si>
  <si>
    <t>Enter from the top down without skipping a row</t>
  </si>
  <si>
    <t>Taxing Entity Name</t>
  </si>
  <si>
    <t>Prop1TotalAmountDue</t>
  </si>
  <si>
    <t>Prop2TotalAmountDue</t>
  </si>
  <si>
    <t>Prop3TotalAmountDue</t>
  </si>
  <si>
    <t>Prop4TotalAmountDue</t>
  </si>
  <si>
    <t>Prop5TotalAmountDue</t>
  </si>
  <si>
    <t>Prop6TotalAmountDue</t>
  </si>
  <si>
    <t>Prop7TotalAmountDue</t>
  </si>
  <si>
    <t>Prop8TotalAmountDue</t>
  </si>
  <si>
    <t>Prop9TotalAmountDue</t>
  </si>
  <si>
    <t>Prop10TotalAmountDue</t>
  </si>
  <si>
    <t>Prop11TotalAmountDue</t>
  </si>
  <si>
    <t>Prop12TotalAmountDue</t>
  </si>
  <si>
    <t>Prop13TotalAmountDue</t>
  </si>
  <si>
    <t>Prop14TotalAmountDue</t>
  </si>
  <si>
    <t>Prop15TotalAmountDue</t>
  </si>
  <si>
    <t>Prop16TotalAmountDue</t>
  </si>
  <si>
    <t>Prop17TotalAmountDue</t>
  </si>
  <si>
    <t>Prop18TotalAmountDue</t>
  </si>
  <si>
    <t>Prop19TotalAmountDue</t>
  </si>
  <si>
    <t>Prop20TotalAmountDue</t>
  </si>
  <si>
    <t>Prop21TotalAmountDue</t>
  </si>
  <si>
    <t>Prop22TotalAmountDue</t>
  </si>
  <si>
    <t>Prop23TotalAmountDue</t>
  </si>
  <si>
    <t>Prop24TotalAmountDue</t>
  </si>
  <si>
    <t>Prop25TotalAmountDue</t>
  </si>
  <si>
    <t>Name of Clerk</t>
  </si>
  <si>
    <t>Title of Clerk</t>
  </si>
  <si>
    <t>Prop1Name1</t>
  </si>
  <si>
    <t>Prop1Name2</t>
  </si>
  <si>
    <t>Prop1Name3</t>
  </si>
  <si>
    <t>Prop1Name4</t>
  </si>
  <si>
    <t>Prop1Title1</t>
  </si>
  <si>
    <t>Prop1Title2</t>
  </si>
  <si>
    <t>Prop1Title3</t>
  </si>
  <si>
    <t>Prop1Title4</t>
  </si>
  <si>
    <t>Prop2Name1</t>
  </si>
  <si>
    <t>Prop2Name2</t>
  </si>
  <si>
    <t>Prop2Name3</t>
  </si>
  <si>
    <t>Prop2Name4</t>
  </si>
  <si>
    <t>Prop2Title1</t>
  </si>
  <si>
    <t>Prop2Title2</t>
  </si>
  <si>
    <t>Prop2Title3</t>
  </si>
  <si>
    <t>Prop2Title4</t>
  </si>
  <si>
    <t>Prop3Name1</t>
  </si>
  <si>
    <t>Prop3Name2</t>
  </si>
  <si>
    <t>Prop3Name3</t>
  </si>
  <si>
    <t>Prop3Name4</t>
  </si>
  <si>
    <t>Prop3Title1</t>
  </si>
  <si>
    <t>Prop3Title2</t>
  </si>
  <si>
    <t>Prop3Title3</t>
  </si>
  <si>
    <t>Prop3Title4</t>
  </si>
  <si>
    <t>Prop4Name1</t>
  </si>
  <si>
    <t>Prop4Name2</t>
  </si>
  <si>
    <t>Prop4Name3</t>
  </si>
  <si>
    <t>Prop4Name4</t>
  </si>
  <si>
    <t>Prop4Title1</t>
  </si>
  <si>
    <t>Prop4Title2</t>
  </si>
  <si>
    <t>Prop4Title3</t>
  </si>
  <si>
    <t>Prop4Title4</t>
  </si>
  <si>
    <t>Prop5Name1</t>
  </si>
  <si>
    <t>Prop5Name2</t>
  </si>
  <si>
    <t>Prop5Name3</t>
  </si>
  <si>
    <t>Prop5Name4</t>
  </si>
  <si>
    <t>Prop5Title1</t>
  </si>
  <si>
    <t>Prop5Title2</t>
  </si>
  <si>
    <t>Prop5Title3</t>
  </si>
  <si>
    <t>Prop5Title4</t>
  </si>
  <si>
    <t>Prop6Name1</t>
  </si>
  <si>
    <t>Prop6Name2</t>
  </si>
  <si>
    <t>Prop6Name3</t>
  </si>
  <si>
    <t>Prop6Name4</t>
  </si>
  <si>
    <t>Prop6Title1</t>
  </si>
  <si>
    <t>Prop6Title2</t>
  </si>
  <si>
    <t>Prop6Title3</t>
  </si>
  <si>
    <t>Prop6Title4</t>
  </si>
  <si>
    <t>Prop7Name1</t>
  </si>
  <si>
    <t>Prop7Name2</t>
  </si>
  <si>
    <t>Prop7Name3</t>
  </si>
  <si>
    <t>Prop7Name4</t>
  </si>
  <si>
    <t>Prop7Title1</t>
  </si>
  <si>
    <t>Prop7Title2</t>
  </si>
  <si>
    <t>Prop7Title3</t>
  </si>
  <si>
    <t>Prop7Title4</t>
  </si>
  <si>
    <t>Prop8Name1</t>
  </si>
  <si>
    <t>Prop8Name2</t>
  </si>
  <si>
    <t>Prop8Name3</t>
  </si>
  <si>
    <t>Prop8Name4</t>
  </si>
  <si>
    <t>Prop8Title1</t>
  </si>
  <si>
    <t>Prop8Title2</t>
  </si>
  <si>
    <t>Prop8Title3</t>
  </si>
  <si>
    <t>Prop8Title4</t>
  </si>
  <si>
    <t>Prop9Name1</t>
  </si>
  <si>
    <t>Prop9Name2</t>
  </si>
  <si>
    <t>Prop9Name3</t>
  </si>
  <si>
    <t>Prop9Name4</t>
  </si>
  <si>
    <t>Prop9Title1</t>
  </si>
  <si>
    <t>Prop9Title2</t>
  </si>
  <si>
    <t>Prop9Title3</t>
  </si>
  <si>
    <t>Prop9Title4</t>
  </si>
  <si>
    <t>Prop10Name1</t>
  </si>
  <si>
    <t>Prop10Name2</t>
  </si>
  <si>
    <t>Prop10Name3</t>
  </si>
  <si>
    <t>Prop10Name4</t>
  </si>
  <si>
    <t>Prop10Title1</t>
  </si>
  <si>
    <t>Prop10Title2</t>
  </si>
  <si>
    <t>Prop10Title3</t>
  </si>
  <si>
    <t>Prop10Title4</t>
  </si>
  <si>
    <t>Prop11Name1</t>
  </si>
  <si>
    <t>Prop11Name2</t>
  </si>
  <si>
    <t>Prop11Name3</t>
  </si>
  <si>
    <t>Prop11Name4</t>
  </si>
  <si>
    <t>Prop11Title1</t>
  </si>
  <si>
    <t>Prop11Title2</t>
  </si>
  <si>
    <t>Prop11Title3</t>
  </si>
  <si>
    <t>Prop11Title4</t>
  </si>
  <si>
    <t>Prop12Name1</t>
  </si>
  <si>
    <t>Prop12Name2</t>
  </si>
  <si>
    <t>Prop12Name3</t>
  </si>
  <si>
    <t>Prop12Name4</t>
  </si>
  <si>
    <t>Prop12Title1</t>
  </si>
  <si>
    <t>Prop12Title2</t>
  </si>
  <si>
    <t>Prop12Title3</t>
  </si>
  <si>
    <t>Prop12Title4</t>
  </si>
  <si>
    <t>Prop13Name1</t>
  </si>
  <si>
    <t>Prop13Name2</t>
  </si>
  <si>
    <t>Prop13Name3</t>
  </si>
  <si>
    <t>Prop13Name4</t>
  </si>
  <si>
    <t>Prop13Title1</t>
  </si>
  <si>
    <t>Prop13Title2</t>
  </si>
  <si>
    <t>Prop13Title3</t>
  </si>
  <si>
    <t>Prop13Title4</t>
  </si>
  <si>
    <t>Prop14Name1</t>
  </si>
  <si>
    <t>Prop14Name2</t>
  </si>
  <si>
    <t>Prop14Name3</t>
  </si>
  <si>
    <t>Prop14Name4</t>
  </si>
  <si>
    <t>Prop14Title1</t>
  </si>
  <si>
    <t>Prop14Title2</t>
  </si>
  <si>
    <t>Prop14Title3</t>
  </si>
  <si>
    <t>Prop14Title4</t>
  </si>
  <si>
    <t>Prop15Name1</t>
  </si>
  <si>
    <t>Prop15Name2</t>
  </si>
  <si>
    <t>Prop15Name3</t>
  </si>
  <si>
    <t>Prop15Name4</t>
  </si>
  <si>
    <t>Prop15Title1</t>
  </si>
  <si>
    <t>Prop15Title2</t>
  </si>
  <si>
    <t>Prop15Title3</t>
  </si>
  <si>
    <t>Prop15Title4</t>
  </si>
  <si>
    <t>Prop16Name1</t>
  </si>
  <si>
    <t>Prop16Name2</t>
  </si>
  <si>
    <t>Prop16Name3</t>
  </si>
  <si>
    <t>Prop16Name4</t>
  </si>
  <si>
    <t>Prop16Title1</t>
  </si>
  <si>
    <t>Prop16Title2</t>
  </si>
  <si>
    <t>Prop16Title3</t>
  </si>
  <si>
    <t>Prop16Title4</t>
  </si>
  <si>
    <t>Prop17Name1</t>
  </si>
  <si>
    <t>Prop17Name2</t>
  </si>
  <si>
    <t>Prop17Name3</t>
  </si>
  <si>
    <t>Prop17Name4</t>
  </si>
  <si>
    <t>Prop17Title1</t>
  </si>
  <si>
    <t>Prop17Title2</t>
  </si>
  <si>
    <t>Prop17Title3</t>
  </si>
  <si>
    <t>Prop17Title4</t>
  </si>
  <si>
    <t>Prop18Name1</t>
  </si>
  <si>
    <t>Prop18Name2</t>
  </si>
  <si>
    <t>Prop18Name3</t>
  </si>
  <si>
    <t>Prop18Name4</t>
  </si>
  <si>
    <t>Prop18Title1</t>
  </si>
  <si>
    <t>Prop18Title2</t>
  </si>
  <si>
    <t>Prop18Title3</t>
  </si>
  <si>
    <t>Prop18Title4</t>
  </si>
  <si>
    <t>Prop19Name1</t>
  </si>
  <si>
    <t>Prop19Name2</t>
  </si>
  <si>
    <t>Prop19Name3</t>
  </si>
  <si>
    <t>Prop19Name4</t>
  </si>
  <si>
    <t>Prop19Title1</t>
  </si>
  <si>
    <t>Prop19Title2</t>
  </si>
  <si>
    <t>Prop19Title3</t>
  </si>
  <si>
    <t>Prop19Title4</t>
  </si>
  <si>
    <t>Prop20Name1</t>
  </si>
  <si>
    <t>Prop20Name2</t>
  </si>
  <si>
    <t>Prop20Name3</t>
  </si>
  <si>
    <t>Prop20Name4</t>
  </si>
  <si>
    <t>Prop20Title1</t>
  </si>
  <si>
    <t>Prop20Title2</t>
  </si>
  <si>
    <t>Prop20Title3</t>
  </si>
  <si>
    <t>Prop20Title4</t>
  </si>
  <si>
    <t>Prop21Name1</t>
  </si>
  <si>
    <t>Prop21Name2</t>
  </si>
  <si>
    <t>Prop21Name3</t>
  </si>
  <si>
    <t>Prop21Name4</t>
  </si>
  <si>
    <t>Prop21Title1</t>
  </si>
  <si>
    <t>Prop21Title2</t>
  </si>
  <si>
    <t>Prop21Title3</t>
  </si>
  <si>
    <t>Prop21Title4</t>
  </si>
  <si>
    <t>Prop22Name1</t>
  </si>
  <si>
    <t>Prop22Name2</t>
  </si>
  <si>
    <t>Prop22Name3</t>
  </si>
  <si>
    <t>Prop22Name4</t>
  </si>
  <si>
    <t>Prop22Title1</t>
  </si>
  <si>
    <t>Prop22Title2</t>
  </si>
  <si>
    <t>Prop22Title3</t>
  </si>
  <si>
    <t>Prop22Title4</t>
  </si>
  <si>
    <t>Prop23Name1</t>
  </si>
  <si>
    <t>Prop23Name2</t>
  </si>
  <si>
    <t>Prop23Name3</t>
  </si>
  <si>
    <t>Prop23Name4</t>
  </si>
  <si>
    <t>Prop23Title1</t>
  </si>
  <si>
    <t>Prop23Title2</t>
  </si>
  <si>
    <t>Prop23Title3</t>
  </si>
  <si>
    <t>Prop23Title4</t>
  </si>
  <si>
    <t>Prop24Name1</t>
  </si>
  <si>
    <t>Prop24Name2</t>
  </si>
  <si>
    <t>Prop24Name3</t>
  </si>
  <si>
    <t>Prop24Name4</t>
  </si>
  <si>
    <t>Prop24Title1</t>
  </si>
  <si>
    <t>Prop24Title2</t>
  </si>
  <si>
    <t>Prop24Title3</t>
  </si>
  <si>
    <t>Prop24Title4</t>
  </si>
  <si>
    <t>Prop25Name1</t>
  </si>
  <si>
    <t>Prop25Name2</t>
  </si>
  <si>
    <t>Prop25Name3</t>
  </si>
  <si>
    <t>Prop25Name4</t>
  </si>
  <si>
    <t>Prop25Title1</t>
  </si>
  <si>
    <t>Prop25Title2</t>
  </si>
  <si>
    <t>Prop25Title3</t>
  </si>
  <si>
    <t>Prop25Title4</t>
  </si>
  <si>
    <t>Add breakdown of amount paid for Certified statement of transfer of tax lien</t>
  </si>
  <si>
    <t>Length of Array:</t>
  </si>
  <si>
    <t>Total Other Fees</t>
  </si>
  <si>
    <t>Total Tax Amount</t>
  </si>
  <si>
    <t>TotalOtherFees</t>
  </si>
  <si>
    <t>TotalTaxAmount</t>
  </si>
  <si>
    <t>N/A</t>
  </si>
  <si>
    <t>Path to LoanUI</t>
  </si>
  <si>
    <t>Path to MergeFields</t>
  </si>
  <si>
    <t>Path to save location</t>
  </si>
  <si>
    <t>Path to Corporate Mail Merge</t>
  </si>
  <si>
    <t>Path to Individual Mail Merge</t>
  </si>
  <si>
    <t>Rick Farley</t>
  </si>
  <si>
    <t>Monthly Household Income:</t>
  </si>
  <si>
    <t>Principal Payment Amount</t>
  </si>
  <si>
    <t>Amount paid to the tax collector</t>
  </si>
  <si>
    <t>Other fees charged to me</t>
  </si>
  <si>
    <t>2+3-4</t>
  </si>
  <si>
    <t>Tax entities + CourtCosts</t>
  </si>
  <si>
    <t>Other Fees:</t>
  </si>
  <si>
    <t>Abstract Fees:</t>
  </si>
  <si>
    <t>PrincipalPaymentAmount</t>
  </si>
  <si>
    <t>AmountToTaxCollector</t>
  </si>
  <si>
    <t>OtherFeesCharged</t>
  </si>
  <si>
    <t>Executes when updateTotals runs</t>
  </si>
  <si>
    <t>Cell Names:</t>
  </si>
  <si>
    <t>AbstractFees</t>
  </si>
  <si>
    <t>OtherFees</t>
  </si>
  <si>
    <t>TotalCourtCosts</t>
  </si>
  <si>
    <t>Total Court Costs:</t>
  </si>
  <si>
    <t>A+B+C+D+E+F+G+H+I+J+K+L+M+N</t>
  </si>
  <si>
    <t>NMLS ID</t>
  </si>
  <si>
    <t>Andre Cardenas</t>
  </si>
  <si>
    <t>David Green</t>
  </si>
  <si>
    <t>Ivonne Islas-Antunes</t>
  </si>
  <si>
    <t>Javier Puente</t>
  </si>
  <si>
    <t>Ken Blaschke</t>
  </si>
  <si>
    <t>Kevin Wade</t>
  </si>
  <si>
    <t>Michelle Monroe</t>
  </si>
  <si>
    <t>NMLS ID:</t>
  </si>
  <si>
    <t>Path to Individual Cert Merge</t>
  </si>
  <si>
    <t>NMLS</t>
  </si>
  <si>
    <t>Single</t>
  </si>
  <si>
    <t>Application Date:</t>
  </si>
  <si>
    <t>Target Closing/Signing Date:</t>
  </si>
  <si>
    <t>AppDate</t>
  </si>
  <si>
    <t>RescindDate</t>
  </si>
  <si>
    <t>Last Payment Date</t>
  </si>
  <si>
    <t>Monthly Payment</t>
  </si>
  <si>
    <t>Final Payment</t>
  </si>
  <si>
    <t>Amount Financed</t>
  </si>
  <si>
    <t>Finance Charge</t>
  </si>
  <si>
    <t>Total of Payments</t>
  </si>
  <si>
    <t>Test Client</t>
  </si>
  <si>
    <t>LO</t>
  </si>
  <si>
    <t>States</t>
  </si>
  <si>
    <t>Alabama</t>
  </si>
  <si>
    <t>Alaska</t>
  </si>
  <si>
    <t>Arizona</t>
  </si>
  <si>
    <t>Arkansas</t>
  </si>
  <si>
    <t>California</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</si>
  <si>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</si>
  <si>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</si>
  <si>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</si>
  <si>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</si>
  <si>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</si>
  <si>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</si>
  <si>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</si>
  <si>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</si>
  <si>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</si>
  <si>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</si>
  <si>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</si>
  <si>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</si>
  <si>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</si>
  <si>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</si>
  <si>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</si>
  <si>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</si>
  <si>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</si>
  <si>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</si>
  <si>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</si>
  <si>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</si>
  <si>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</si>
  <si>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</si>
  <si>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</si>
  <si>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</si>
  <si>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</si>
  <si>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</si>
  <si>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</si>
  <si>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</si>
  <si>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</si>
  <si>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</si>
  <si>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</si>
  <si>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</si>
  <si>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</si>
  <si>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</si>
  <si>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</si>
  <si>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</si>
  <si>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</si>
  <si>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</si>
  <si>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</si>
  <si>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</si>
  <si>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West Virginia</t>
  </si>
  <si>
    <t>Wisconsin</t>
  </si>
  <si>
    <t>Wyoming</t>
  </si>
  <si>
    <t>LA</t>
  </si>
  <si>
    <t>State:</t>
  </si>
  <si>
    <t>ZIP:</t>
  </si>
  <si>
    <t>County:</t>
  </si>
  <si>
    <t>MailingStreet</t>
  </si>
  <si>
    <t>MailingCity</t>
  </si>
  <si>
    <t>MailingState</t>
  </si>
  <si>
    <t>MailingZIP</t>
  </si>
  <si>
    <t>AL</t>
  </si>
  <si>
    <t>AR</t>
  </si>
  <si>
    <t>CA</t>
  </si>
  <si>
    <t>CO</t>
  </si>
  <si>
    <t>DE</t>
  </si>
  <si>
    <t>FL</t>
  </si>
  <si>
    <t>ID</t>
  </si>
  <si>
    <t>IL</t>
  </si>
  <si>
    <t>IN</t>
  </si>
  <si>
    <t>MA</t>
  </si>
  <si>
    <t>MI</t>
  </si>
  <si>
    <t>MO</t>
  </si>
  <si>
    <t>NE</t>
  </si>
  <si>
    <t>AK</t>
  </si>
  <si>
    <t>AZ</t>
  </si>
  <si>
    <t>CT</t>
  </si>
  <si>
    <t>GA</t>
  </si>
  <si>
    <t>HI</t>
  </si>
  <si>
    <t>IA</t>
  </si>
  <si>
    <t>KS</t>
  </si>
  <si>
    <t>KY</t>
  </si>
  <si>
    <t>ME</t>
  </si>
  <si>
    <t>MD</t>
  </si>
  <si>
    <t>MN</t>
  </si>
  <si>
    <t>MS</t>
  </si>
  <si>
    <t>MT</t>
  </si>
  <si>
    <t>NV</t>
  </si>
  <si>
    <t>NH</t>
  </si>
  <si>
    <t>NJ</t>
  </si>
  <si>
    <t>NM</t>
  </si>
  <si>
    <t>NY</t>
  </si>
  <si>
    <t>NC</t>
  </si>
  <si>
    <t>ND</t>
  </si>
  <si>
    <t>OH</t>
  </si>
  <si>
    <t>OK</t>
  </si>
  <si>
    <t>OR</t>
  </si>
  <si>
    <t>PA</t>
  </si>
  <si>
    <t>RI</t>
  </si>
  <si>
    <t>SD</t>
  </si>
  <si>
    <t>TN</t>
  </si>
  <si>
    <t>UT</t>
  </si>
  <si>
    <t>VT</t>
  </si>
  <si>
    <t>VA</t>
  </si>
  <si>
    <t>WA</t>
  </si>
  <si>
    <t>WV</t>
  </si>
  <si>
    <t>WY</t>
  </si>
  <si>
    <t>Total Entries in database</t>
  </si>
  <si>
    <t>Loan Number from UserForm:</t>
  </si>
  <si>
    <t>Loan Number plus Name</t>
  </si>
  <si>
    <t>LNPlusName</t>
  </si>
  <si>
    <t>Type of UserForm selected</t>
  </si>
  <si>
    <t>Unmarried</t>
  </si>
  <si>
    <t>Panacea Lending, LLC</t>
  </si>
  <si>
    <t>158475</t>
  </si>
  <si>
    <t>Top</t>
  </si>
  <si>
    <t>Add a RecordingCost calculation spot. Refer to google doc for format</t>
  </si>
  <si>
    <t>2017, 2018</t>
  </si>
  <si>
    <t>Ann Harris Bennett</t>
  </si>
  <si>
    <t>Processor:</t>
  </si>
  <si>
    <t>Processor</t>
  </si>
  <si>
    <t>Path to GFE location</t>
  </si>
  <si>
    <t>Rescind Date Calculation</t>
  </si>
  <si>
    <t>Company Holidays 2019-2023</t>
  </si>
  <si>
    <t>2019 Holidays</t>
  </si>
  <si>
    <t>2020 Holidays</t>
  </si>
  <si>
    <t>2021 Holidays</t>
  </si>
  <si>
    <t>2022 Holidays</t>
  </si>
  <si>
    <t>2023 Holidays</t>
  </si>
  <si>
    <t>New Year's Day</t>
  </si>
  <si>
    <t>Martin Luther Jr. Day</t>
  </si>
  <si>
    <t>Presidents Day</t>
  </si>
  <si>
    <t>Memorial Day</t>
  </si>
  <si>
    <t>Independence Day</t>
  </si>
  <si>
    <t>Labor Day</t>
  </si>
  <si>
    <t>Thanksgiving Day</t>
  </si>
  <si>
    <t>Day After Thanksgiving</t>
  </si>
  <si>
    <t>Christmas Day</t>
  </si>
  <si>
    <t>Current bankruptcy?</t>
  </si>
  <si>
    <t>Borrower 2:</t>
  </si>
  <si>
    <t>Borrower 3:</t>
  </si>
  <si>
    <t>Borrower 1:</t>
  </si>
  <si>
    <t>Physical Address:</t>
  </si>
  <si>
    <t>Mailing Address:</t>
  </si>
  <si>
    <t>Status:</t>
  </si>
  <si>
    <t>DOB:</t>
  </si>
  <si>
    <t>City:</t>
  </si>
  <si>
    <t>Rescind Date</t>
  </si>
  <si>
    <t xml:space="preserve">FKA: </t>
  </si>
  <si>
    <t>AKA1:</t>
  </si>
  <si>
    <t>AKA2:</t>
  </si>
  <si>
    <t>AKA3:</t>
  </si>
  <si>
    <t>AKA4:</t>
  </si>
  <si>
    <t>AKA5:</t>
  </si>
  <si>
    <t>AKA6:</t>
  </si>
  <si>
    <t>Moho?</t>
  </si>
  <si>
    <t>CAD Total Value:</t>
  </si>
  <si>
    <t>Call TDHCA?</t>
  </si>
  <si>
    <t>Date:</t>
  </si>
  <si>
    <t>Lawsuit?</t>
  </si>
  <si>
    <t>Cause #:</t>
  </si>
  <si>
    <t>With Whom?</t>
  </si>
  <si>
    <t>Current Balance:</t>
  </si>
  <si>
    <t>Mortgage?</t>
  </si>
  <si>
    <t>Additional Mortgage or non-tax Liens with:</t>
  </si>
  <si>
    <t>Who occupies the property?</t>
  </si>
  <si>
    <t>How was property acquired?</t>
  </si>
  <si>
    <t>Year Acquired:</t>
  </si>
  <si>
    <t>Was the property bought with a grant or subsidized with a below market loan?</t>
  </si>
  <si>
    <t>Have insurance on property?</t>
  </si>
  <si>
    <t>Flood Zone?</t>
  </si>
  <si>
    <t>Are there other Taxing Entities?</t>
  </si>
  <si>
    <t>Is this a re-up (same customer, same property, but new loan)?</t>
  </si>
  <si>
    <t>Spanish speaker?</t>
  </si>
  <si>
    <t>Borrower's Occupation:</t>
  </si>
  <si>
    <t>Co-Borrower's Occupation:</t>
  </si>
  <si>
    <t>Any other source of income?</t>
  </si>
  <si>
    <t>Estimated monthly household obligations:</t>
  </si>
  <si>
    <t>Do you have the ability to repay this loan?</t>
  </si>
  <si>
    <t>How do you intend to repay this loan (income, refinance, sale of property, etc.):</t>
  </si>
  <si>
    <t>Would you like to sign up for ACH?</t>
  </si>
  <si>
    <t>Do you consent to get disclosures by email?</t>
  </si>
  <si>
    <t>Marketing Information</t>
  </si>
  <si>
    <t>First date of contact:</t>
  </si>
  <si>
    <t>METHODS OF CONTACT: (Indicate with "X" ALL methods they list, but please put "1" for first contact method.</t>
  </si>
  <si>
    <t>Mailing piece:</t>
  </si>
  <si>
    <t>If nothing else, campaign shown on phone:</t>
  </si>
  <si>
    <t>Internet Call Source:</t>
  </si>
  <si>
    <t>Completed web lead form? Short:</t>
  </si>
  <si>
    <t>Other Referral Source:</t>
  </si>
  <si>
    <t>Original Date:</t>
  </si>
  <si>
    <t>Homestead - New Loan</t>
  </si>
  <si>
    <t>Investment Residential</t>
  </si>
  <si>
    <t>Email</t>
  </si>
  <si>
    <t>Home #:</t>
  </si>
  <si>
    <t>Work #:</t>
  </si>
  <si>
    <t>Mobile #:</t>
  </si>
  <si>
    <t xml:space="preserve">Owner? </t>
  </si>
  <si>
    <t>Tenants?</t>
  </si>
  <si>
    <t xml:space="preserve">Vacant? </t>
  </si>
  <si>
    <t>If vacant, how long?</t>
  </si>
  <si>
    <t>months</t>
  </si>
  <si>
    <t>Purchased?</t>
  </si>
  <si>
    <t>Divorce?</t>
  </si>
  <si>
    <t>Inheritance?</t>
  </si>
  <si>
    <t>(If not purchased, please request divorce decree or probate docs)</t>
  </si>
  <si>
    <t>Year Financed:</t>
  </si>
  <si>
    <t>Additional Mortgages with:</t>
  </si>
  <si>
    <t>Insurance Co Name:</t>
  </si>
  <si>
    <t xml:space="preserve">(Required if loan over $30K without supporting land value) </t>
  </si>
  <si>
    <t>Expiration date:</t>
  </si>
  <si>
    <t>If Y, Flood Insurance Co Name:</t>
  </si>
  <si>
    <t>ARCgis Damage?</t>
  </si>
  <si>
    <t xml:space="preserve">Specify: (MUD, ISD, LID) </t>
  </si>
  <si>
    <t>Employer:</t>
  </si>
  <si>
    <t>How long?</t>
  </si>
  <si>
    <t>Do you expect your income to decrease or bills to increase in a manner that would affect your ability to make your loan payments?</t>
  </si>
  <si>
    <t>To what email address?</t>
  </si>
  <si>
    <t>Time to app:</t>
  </si>
  <si>
    <t>days</t>
  </si>
  <si>
    <t>Mailing Piece Code:</t>
  </si>
  <si>
    <t>If no code, phone number called:</t>
  </si>
  <si>
    <t>AdWords:</t>
  </si>
  <si>
    <t>Google:</t>
  </si>
  <si>
    <t>Bing:</t>
  </si>
  <si>
    <t>Yahoo:</t>
  </si>
  <si>
    <t>BBB:</t>
  </si>
  <si>
    <t>PROP-TAX:</t>
  </si>
  <si>
    <t>GEO Website:</t>
  </si>
  <si>
    <t>Long:</t>
  </si>
  <si>
    <t>Todays Date</t>
  </si>
  <si>
    <t>AgeDeferral</t>
  </si>
  <si>
    <t>DisabilityDeferral</t>
  </si>
  <si>
    <t>B1Over65</t>
  </si>
  <si>
    <t>B1Disabled</t>
  </si>
  <si>
    <t>B1Bankrupt</t>
  </si>
  <si>
    <t>B2Over65</t>
  </si>
  <si>
    <t>B2Disabled</t>
  </si>
  <si>
    <t>B2Bankrupt</t>
  </si>
  <si>
    <t>B2MAddress</t>
  </si>
  <si>
    <t>B2MCity</t>
  </si>
  <si>
    <t>B2MState</t>
  </si>
  <si>
    <t>B2MZIP</t>
  </si>
  <si>
    <t>B3Over65</t>
  </si>
  <si>
    <t>B3Disabled</t>
  </si>
  <si>
    <t>B3Bankrupt</t>
  </si>
  <si>
    <t>B3MAddress</t>
  </si>
  <si>
    <t>B3MCity</t>
  </si>
  <si>
    <t>B3MState</t>
  </si>
  <si>
    <t>B3MZIP</t>
  </si>
  <si>
    <t>Prop1MortgageWith</t>
  </si>
  <si>
    <t>Prop1TaxLoan</t>
  </si>
  <si>
    <t>Prop1TaxLoanWith</t>
  </si>
  <si>
    <t>Prop1LoanDate</t>
  </si>
  <si>
    <t>Prop1LoanBalance</t>
  </si>
  <si>
    <t>Prop1TDHCA</t>
  </si>
  <si>
    <t>Prop1FDate</t>
  </si>
  <si>
    <t>Prop1Lawsuit</t>
  </si>
  <si>
    <t>Prop1Cause</t>
  </si>
  <si>
    <t>Prop2MortgageWith</t>
  </si>
  <si>
    <t>Prop2TaxLoan</t>
  </si>
  <si>
    <t>Prop2TaxLoanWith</t>
  </si>
  <si>
    <t>Prop2LoanDate</t>
  </si>
  <si>
    <t>Prop2LoanBalance</t>
  </si>
  <si>
    <t>Prop2TDHCA</t>
  </si>
  <si>
    <t>Prop2FDate</t>
  </si>
  <si>
    <t>Prop2Lawsuit</t>
  </si>
  <si>
    <t>Prop2Cause</t>
  </si>
  <si>
    <t>Prop3MortgageWith</t>
  </si>
  <si>
    <t>Prop3TaxLoan</t>
  </si>
  <si>
    <t>Prop3TaxLoanWith</t>
  </si>
  <si>
    <t>Prop3LoanDate</t>
  </si>
  <si>
    <t>Prop3LoanBalance</t>
  </si>
  <si>
    <t>Prop3TDHCA</t>
  </si>
  <si>
    <t>Prop3FDate</t>
  </si>
  <si>
    <t>Prop3Lawsuit</t>
  </si>
  <si>
    <t>Prop3Cause</t>
  </si>
  <si>
    <t>Prop4MortgageWith</t>
  </si>
  <si>
    <t>Prop4TaxLoan</t>
  </si>
  <si>
    <t>Prop4TaxLoanWith</t>
  </si>
  <si>
    <t>Prop4LoanDate</t>
  </si>
  <si>
    <t>Prop4LoanBalance</t>
  </si>
  <si>
    <t>Prop4TDHCA</t>
  </si>
  <si>
    <t>Prop4FDate</t>
  </si>
  <si>
    <t>Prop4Lawsuit</t>
  </si>
  <si>
    <t>Prop4Cause</t>
  </si>
  <si>
    <t>Prop5MortgageWith</t>
  </si>
  <si>
    <t>Prop5TaxLoan</t>
  </si>
  <si>
    <t>Prop5TaxLoanWith</t>
  </si>
  <si>
    <t>Prop5LoanDate</t>
  </si>
  <si>
    <t>Prop5LoanBalance</t>
  </si>
  <si>
    <t>Prop5TDHCA</t>
  </si>
  <si>
    <t>Prop5FDate</t>
  </si>
  <si>
    <t>Prop5Lawsuit</t>
  </si>
  <si>
    <t>Prop5Cause</t>
  </si>
  <si>
    <t>Prop6MortgageWith</t>
  </si>
  <si>
    <t>Prop6TaxLoan</t>
  </si>
  <si>
    <t>Prop6TaxLoanWith</t>
  </si>
  <si>
    <t>Prop6LoanDate</t>
  </si>
  <si>
    <t>Prop6LoanBalance</t>
  </si>
  <si>
    <t>Prop6TDHCA</t>
  </si>
  <si>
    <t>Prop6FDate</t>
  </si>
  <si>
    <t>Prop6Lawsuit</t>
  </si>
  <si>
    <t>Prop6Cause</t>
  </si>
  <si>
    <t>Prop7MortgageWith</t>
  </si>
  <si>
    <t>Prop7TaxLoan</t>
  </si>
  <si>
    <t>Prop7TaxLoanWith</t>
  </si>
  <si>
    <t>Prop7LoanDate</t>
  </si>
  <si>
    <t>Prop7LoanBalance</t>
  </si>
  <si>
    <t>Prop7TDHCA</t>
  </si>
  <si>
    <t>Prop7FDate</t>
  </si>
  <si>
    <t>Prop7Lawsuit</t>
  </si>
  <si>
    <t>Prop7Cause</t>
  </si>
  <si>
    <t>Prop8MortgageWith</t>
  </si>
  <si>
    <t>Prop8TaxLoan</t>
  </si>
  <si>
    <t>Prop8TaxLoanWith</t>
  </si>
  <si>
    <t>Prop8LoanDate</t>
  </si>
  <si>
    <t>Prop8LoanBalance</t>
  </si>
  <si>
    <t>Prop8TDHCA</t>
  </si>
  <si>
    <t>Prop8FDate</t>
  </si>
  <si>
    <t>Prop8Lawsuit</t>
  </si>
  <si>
    <t>Prop8Cause</t>
  </si>
  <si>
    <t>Prop9MortgageWith</t>
  </si>
  <si>
    <t>Prop9TaxLoan</t>
  </si>
  <si>
    <t>Prop9TaxLoanWith</t>
  </si>
  <si>
    <t>Prop9LoanDate</t>
  </si>
  <si>
    <t>Prop9LoanBalance</t>
  </si>
  <si>
    <t>Prop9TDHCA</t>
  </si>
  <si>
    <t>Prop9FDate</t>
  </si>
  <si>
    <t>Prop9Lawsuit</t>
  </si>
  <si>
    <t>Prop9Cause</t>
  </si>
  <si>
    <t>Prop10MortgageWith</t>
  </si>
  <si>
    <t>Prop10TaxLoan</t>
  </si>
  <si>
    <t>Prop10TaxLoanWith</t>
  </si>
  <si>
    <t>Prop10LoanDate</t>
  </si>
  <si>
    <t>Prop10LoanBalance</t>
  </si>
  <si>
    <t>Prop10TDHCA</t>
  </si>
  <si>
    <t>Prop10FDate</t>
  </si>
  <si>
    <t>Prop10Lawsuit</t>
  </si>
  <si>
    <t>Prop10Cause</t>
  </si>
  <si>
    <t>Prop11MortgageWith</t>
  </si>
  <si>
    <t>Prop11TaxLoan</t>
  </si>
  <si>
    <t>Prop11TaxLoanWith</t>
  </si>
  <si>
    <t>Prop11LoanDate</t>
  </si>
  <si>
    <t>Prop11LoanBalance</t>
  </si>
  <si>
    <t>Prop11TDHCA</t>
  </si>
  <si>
    <t>Prop11FDate</t>
  </si>
  <si>
    <t>Prop11Lawsuit</t>
  </si>
  <si>
    <t>Prop11Cause</t>
  </si>
  <si>
    <t>Prop12MortgageWith</t>
  </si>
  <si>
    <t>Prop12TaxLoan</t>
  </si>
  <si>
    <t>Prop12TaxLoanWith</t>
  </si>
  <si>
    <t>Prop12LoanDate</t>
  </si>
  <si>
    <t>Prop12LoanBalance</t>
  </si>
  <si>
    <t>Prop12TDHCA</t>
  </si>
  <si>
    <t>Prop12FDate</t>
  </si>
  <si>
    <t>Prop12Lawsuit</t>
  </si>
  <si>
    <t>Prop12Cause</t>
  </si>
  <si>
    <t>Prop13MortgageWith</t>
  </si>
  <si>
    <t>Prop13TaxLoan</t>
  </si>
  <si>
    <t>Prop13TaxLoanWith</t>
  </si>
  <si>
    <t>Prop13LoanDate</t>
  </si>
  <si>
    <t>Prop13LoanBalance</t>
  </si>
  <si>
    <t>Prop13TDHCA</t>
  </si>
  <si>
    <t>Prop13FDate</t>
  </si>
  <si>
    <t>Prop13Lawsuit</t>
  </si>
  <si>
    <t>Prop13Cause</t>
  </si>
  <si>
    <t>Prop14MortgageWith</t>
  </si>
  <si>
    <t>Prop14TaxLoan</t>
  </si>
  <si>
    <t>Prop14TaxLoanWith</t>
  </si>
  <si>
    <t>Prop14LoanDate</t>
  </si>
  <si>
    <t>Prop14LoanBalance</t>
  </si>
  <si>
    <t>Prop14TDHCA</t>
  </si>
  <si>
    <t>Prop14FDate</t>
  </si>
  <si>
    <t>Prop14Lawsuit</t>
  </si>
  <si>
    <t>Prop14Cause</t>
  </si>
  <si>
    <t>Prop15MortgageWith</t>
  </si>
  <si>
    <t>Prop15TaxLoan</t>
  </si>
  <si>
    <t>Prop15TaxLoanWith</t>
  </si>
  <si>
    <t>Prop15LoanDate</t>
  </si>
  <si>
    <t>Prop15LoanBalance</t>
  </si>
  <si>
    <t>Prop15TDHCA</t>
  </si>
  <si>
    <t>Prop15FDate</t>
  </si>
  <si>
    <t>Prop15Lawsuit</t>
  </si>
  <si>
    <t>Prop15Cause</t>
  </si>
  <si>
    <t>Prop16MortgageWith</t>
  </si>
  <si>
    <t>Prop16TaxLoan</t>
  </si>
  <si>
    <t>Prop16TaxLoanWith</t>
  </si>
  <si>
    <t>Prop16LoanDate</t>
  </si>
  <si>
    <t>Prop16LoanBalance</t>
  </si>
  <si>
    <t>Prop16TDHCA</t>
  </si>
  <si>
    <t>Prop16FDate</t>
  </si>
  <si>
    <t>Prop16Lawsuit</t>
  </si>
  <si>
    <t>Prop16Cause</t>
  </si>
  <si>
    <t>Prop17MortgageWith</t>
  </si>
  <si>
    <t>Prop17TaxLoan</t>
  </si>
  <si>
    <t>Prop17TaxLoanWith</t>
  </si>
  <si>
    <t>Prop17LoanDate</t>
  </si>
  <si>
    <t>Prop17LoanBalance</t>
  </si>
  <si>
    <t>Prop17TDHCA</t>
  </si>
  <si>
    <t>Prop17FDate</t>
  </si>
  <si>
    <t>Prop17Lawsuit</t>
  </si>
  <si>
    <t>Prop17Cause</t>
  </si>
  <si>
    <t>Prop18MortgageWith</t>
  </si>
  <si>
    <t>Prop18TaxLoan</t>
  </si>
  <si>
    <t>Prop18TaxLoanWith</t>
  </si>
  <si>
    <t>Prop18LoanDate</t>
  </si>
  <si>
    <t>Prop18LoanBalance</t>
  </si>
  <si>
    <t>Prop18TDHCA</t>
  </si>
  <si>
    <t>Prop18FDate</t>
  </si>
  <si>
    <t>Prop18Lawsuit</t>
  </si>
  <si>
    <t>Prop18Cause</t>
  </si>
  <si>
    <t>Prop19MortgageWith</t>
  </si>
  <si>
    <t>Prop19TaxLoan</t>
  </si>
  <si>
    <t>Prop19TaxLoanWith</t>
  </si>
  <si>
    <t>Prop19LoanDate</t>
  </si>
  <si>
    <t>Prop19LoanBalance</t>
  </si>
  <si>
    <t>Prop19TDHCA</t>
  </si>
  <si>
    <t>Prop19FDate</t>
  </si>
  <si>
    <t>Prop19Lawsuit</t>
  </si>
  <si>
    <t>Prop19Cause</t>
  </si>
  <si>
    <t>Prop20MortgageWith</t>
  </si>
  <si>
    <t>Prop20TaxLoan</t>
  </si>
  <si>
    <t>Prop20TaxLoanWith</t>
  </si>
  <si>
    <t>Prop20LoanDate</t>
  </si>
  <si>
    <t>Prop20LoanBalance</t>
  </si>
  <si>
    <t>Prop20TDHCA</t>
  </si>
  <si>
    <t>Prop20FDate</t>
  </si>
  <si>
    <t>Prop20Lawsuit</t>
  </si>
  <si>
    <t>Prop20Cause</t>
  </si>
  <si>
    <t>Prop21MortgageWith</t>
  </si>
  <si>
    <t>Prop21TaxLoan</t>
  </si>
  <si>
    <t>Prop21TaxLoanWith</t>
  </si>
  <si>
    <t>Prop21LoanDate</t>
  </si>
  <si>
    <t>Prop21LoanBalance</t>
  </si>
  <si>
    <t>Prop21TDHCA</t>
  </si>
  <si>
    <t>Prop21FDate</t>
  </si>
  <si>
    <t>Prop21Lawsuit</t>
  </si>
  <si>
    <t>Prop21Cause</t>
  </si>
  <si>
    <t>Prop22MortgageWith</t>
  </si>
  <si>
    <t>Prop22TaxLoan</t>
  </si>
  <si>
    <t>Prop22TaxLoanWith</t>
  </si>
  <si>
    <t>Prop22LoanDate</t>
  </si>
  <si>
    <t>Prop22LoanBalance</t>
  </si>
  <si>
    <t>Prop22TDHCA</t>
  </si>
  <si>
    <t>Prop22FDate</t>
  </si>
  <si>
    <t>Prop22Lawsuit</t>
  </si>
  <si>
    <t>Prop22Cause</t>
  </si>
  <si>
    <t>Prop23MortgageWith</t>
  </si>
  <si>
    <t>Prop23TaxLoan</t>
  </si>
  <si>
    <t>Prop23TaxLoanWith</t>
  </si>
  <si>
    <t>Prop23LoanDate</t>
  </si>
  <si>
    <t>Prop23LoanBalance</t>
  </si>
  <si>
    <t>Prop23TDHCA</t>
  </si>
  <si>
    <t>Prop23FDate</t>
  </si>
  <si>
    <t>Prop23Lawsuit</t>
  </si>
  <si>
    <t>Prop23Cause</t>
  </si>
  <si>
    <t>Prop24MortgageWith</t>
  </si>
  <si>
    <t>Prop24TaxLoan</t>
  </si>
  <si>
    <t>Prop24TaxLoanWith</t>
  </si>
  <si>
    <t>Prop24LoanDate</t>
  </si>
  <si>
    <t>Prop24LoanBalance</t>
  </si>
  <si>
    <t>Prop24TDHCA</t>
  </si>
  <si>
    <t>Prop24FDate</t>
  </si>
  <si>
    <t>Prop24Lawsuit</t>
  </si>
  <si>
    <t>Prop24Cause</t>
  </si>
  <si>
    <t>Prop25MortgageWith</t>
  </si>
  <si>
    <t>Prop25TaxLoan</t>
  </si>
  <si>
    <t>Prop25TaxLoanWith</t>
  </si>
  <si>
    <t>Prop25LoanDate</t>
  </si>
  <si>
    <t>Prop25LoanBalance</t>
  </si>
  <si>
    <t>Prop25TDHCA</t>
  </si>
  <si>
    <t>Prop25FDate</t>
  </si>
  <si>
    <t>Prop25Lawsuit</t>
  </si>
  <si>
    <t>Prop25Cause</t>
  </si>
  <si>
    <t>N</t>
  </si>
  <si>
    <t>Y</t>
  </si>
  <si>
    <t>Prop4TaxLiens</t>
  </si>
  <si>
    <t>Prop2TaxLiens</t>
  </si>
  <si>
    <t>Prop1TaxLiens</t>
  </si>
  <si>
    <t>Borrower1AKA2</t>
  </si>
  <si>
    <t>Borrower1AKA3</t>
  </si>
  <si>
    <t>Is there a Homestead Exemption?</t>
  </si>
  <si>
    <t>Is there an over 65 Deferment?</t>
  </si>
  <si>
    <t>Have they applied for Disability?</t>
  </si>
  <si>
    <t>Is there a Disability Tax Deferment?</t>
  </si>
  <si>
    <t>Any pending tax lawsuits?</t>
  </si>
  <si>
    <t>What is the cause number?</t>
  </si>
  <si>
    <t>Is there mortgage/loan on property?</t>
  </si>
  <si>
    <t>Involved in bankruptcy?</t>
  </si>
  <si>
    <t>Expect income to increase/decrease?</t>
  </si>
  <si>
    <t>Have ability to make payments?</t>
  </si>
  <si>
    <t>Intent to make payments?</t>
  </si>
  <si>
    <t>Name of company/lender</t>
  </si>
  <si>
    <t>What county?</t>
  </si>
  <si>
    <t>How to make payments</t>
  </si>
  <si>
    <t>Income</t>
  </si>
  <si>
    <t>Refinance</t>
  </si>
  <si>
    <t>Sale of property</t>
  </si>
  <si>
    <t>Year financed:</t>
  </si>
  <si>
    <t>Tax Lien Transfer Application questions</t>
  </si>
  <si>
    <t>PendingLawsuits</t>
  </si>
  <si>
    <t>MortgageLoan</t>
  </si>
  <si>
    <t>Bankruptcy</t>
  </si>
  <si>
    <t>AppliedDisability</t>
  </si>
  <si>
    <t>PendingCauseNumber</t>
  </si>
  <si>
    <t>MortgageCompany</t>
  </si>
  <si>
    <t>YearFinanced</t>
  </si>
  <si>
    <t>BankruptcyCounty</t>
  </si>
  <si>
    <t>ExpectedIncome</t>
  </si>
  <si>
    <t>MakePayments</t>
  </si>
  <si>
    <t>IntentForPayments</t>
  </si>
  <si>
    <t>SUM(IF(FREQUENCY(MATCH(A1:A10,A1:A10,0),MATCH(A1:A10,A1:A10,0))&gt;0,1))</t>
  </si>
  <si>
    <t>Property Account Numbers</t>
  </si>
  <si>
    <t>UniqueLoanNumbers</t>
  </si>
  <si>
    <t>Number of unique account #</t>
  </si>
  <si>
    <t>Way to edit name (or something) without pulling up entire loan</t>
  </si>
  <si>
    <t>This will work and provide ranges for the first 20 unique taxing entites</t>
  </si>
  <si>
    <t>UniqueEntity1</t>
  </si>
  <si>
    <t>UniqueAmount1</t>
  </si>
  <si>
    <t>UniqueEntity2</t>
  </si>
  <si>
    <t>UniqueEntity3</t>
  </si>
  <si>
    <t>UniqueEntity4</t>
  </si>
  <si>
    <t>UniqueEntity5</t>
  </si>
  <si>
    <t>UniqueEntity6</t>
  </si>
  <si>
    <t>UniqueEntity7</t>
  </si>
  <si>
    <t>UniqueEntity8</t>
  </si>
  <si>
    <t>UniqueEntity9</t>
  </si>
  <si>
    <t>UniqueEntity10</t>
  </si>
  <si>
    <t>UniqueEntity11</t>
  </si>
  <si>
    <t>UniqueEntity12</t>
  </si>
  <si>
    <t>UniqueEntity13</t>
  </si>
  <si>
    <t>UniqueEntity14</t>
  </si>
  <si>
    <t>UniqueEntity15</t>
  </si>
  <si>
    <t>UniqueEntity16</t>
  </si>
  <si>
    <t>UniqueEntity17</t>
  </si>
  <si>
    <t>UniqueEntity18</t>
  </si>
  <si>
    <t>UniqueEntity19</t>
  </si>
  <si>
    <t>UniqueEntity20</t>
  </si>
  <si>
    <t>UniqueAmount2</t>
  </si>
  <si>
    <t>UniqueAmount3</t>
  </si>
  <si>
    <t>UniqueAmount4</t>
  </si>
  <si>
    <t>UniqueAmount5</t>
  </si>
  <si>
    <t>UniqueAmount6</t>
  </si>
  <si>
    <t>UniqueAmount7</t>
  </si>
  <si>
    <t>UniqueAmount8</t>
  </si>
  <si>
    <t>UniqueAmount9</t>
  </si>
  <si>
    <t>UniqueAmount10</t>
  </si>
  <si>
    <t>UniqueAmount11</t>
  </si>
  <si>
    <t>UniqueAmount12</t>
  </si>
  <si>
    <t>UniqueAmount13</t>
  </si>
  <si>
    <t>UniqueAmount14</t>
  </si>
  <si>
    <t>UniqueAmount15</t>
  </si>
  <si>
    <t>UniqueAmount16</t>
  </si>
  <si>
    <t>UniqueAmount17</t>
  </si>
  <si>
    <t>UniqueAmount18</t>
  </si>
  <si>
    <t>UniqueAmount19</t>
  </si>
  <si>
    <t>UniqueAmount20</t>
  </si>
  <si>
    <t>NOTE:</t>
  </si>
  <si>
    <t>Format the Database tab page to have the formats reflected in the documents</t>
  </si>
  <si>
    <t>Test1</t>
  </si>
  <si>
    <t>Number of unique entities</t>
  </si>
  <si>
    <t>NumberOfUniqueEntities</t>
  </si>
  <si>
    <t>Test2</t>
  </si>
  <si>
    <t>Test3</t>
  </si>
  <si>
    <t>Number of sworns generated</t>
  </si>
  <si>
    <t>In manner that affects ability to make payments</t>
  </si>
  <si>
    <t>A: Complete list of entities</t>
  </si>
  <si>
    <t>B: Complete list of tax amounts</t>
  </si>
  <si>
    <t>E: Item flowing through to mail merge</t>
  </si>
  <si>
    <t>F: Total tax amounts flowing through to mail merge</t>
  </si>
  <si>
    <t>C: Calculation for the number of sworn docs generated</t>
  </si>
  <si>
    <t>R: List of unique entities</t>
  </si>
  <si>
    <t>193057FDZ</t>
  </si>
  <si>
    <t>Liz Baker</t>
  </si>
  <si>
    <t>Samuel Grizzaffi</t>
  </si>
  <si>
    <t>852 Davis Rd</t>
  </si>
  <si>
    <t>League City</t>
  </si>
  <si>
    <t>grazzaffis@yahoo.com</t>
  </si>
  <si>
    <t>808 Harbor St</t>
  </si>
  <si>
    <t>Harris County Tax Office</t>
  </si>
  <si>
    <t>Tax Collector Assesor</t>
  </si>
  <si>
    <t>9417 Hollock</t>
  </si>
  <si>
    <t>Zelda Cryar</t>
  </si>
  <si>
    <t>S 1/2 OF LTS 10 &amp; 11 BLK 8 EASTHAVEN</t>
  </si>
  <si>
    <t>TRS 33A34A 35A &amp; 36A BLK 78 HOUSTON HARBOR</t>
  </si>
  <si>
    <t>193057FDZ - Samuel Grizzaffi</t>
  </si>
  <si>
    <t>Include leading zeros</t>
  </si>
  <si>
    <t>1) Add ' before the number. Flows through to docs just fine. Throws off "UniqueCalculator" range in DropdownInfo</t>
  </si>
  <si>
    <t>0630320080010</t>
  </si>
  <si>
    <t>0;-0;;@ format makes a zero entry look blank</t>
  </si>
  <si>
    <t>Samuel C. Grizzaffi</t>
  </si>
  <si>
    <t>Sam Grizzaffi</t>
  </si>
  <si>
    <t>018-140-000-0034</t>
  </si>
  <si>
    <t>063-032-008-0034</t>
  </si>
  <si>
    <t>Type of Property</t>
  </si>
  <si>
    <t>Key: Yes = HS</t>
  </si>
  <si>
    <t>LoanTypeChoice</t>
  </si>
  <si>
    <t xml:space="preserve">NOTE: </t>
  </si>
  <si>
    <t>CLTV is TotalLoanAmount/CADTotalAmount</t>
  </si>
  <si>
    <t>CLTV</t>
  </si>
  <si>
    <t>Insurance Needed?</t>
  </si>
  <si>
    <t>InsuranceNeeded</t>
  </si>
  <si>
    <t>County</t>
  </si>
  <si>
    <t>Base Cost</t>
  </si>
  <si>
    <t>Additional Per Page</t>
  </si>
  <si>
    <t>CLERK REC. FEES</t>
  </si>
  <si>
    <t>Cost Per Page</t>
  </si>
  <si>
    <t>Electronic REC. FEES</t>
  </si>
  <si>
    <t>Burnet CAD SASE</t>
  </si>
  <si>
    <t>City of El Paso</t>
  </si>
  <si>
    <t>Fallbrook MUD</t>
  </si>
  <si>
    <t>Newton Co</t>
  </si>
  <si>
    <t>Swisher CAD</t>
  </si>
  <si>
    <t>These calculations are assuming that all entities reside within the same county.</t>
  </si>
  <si>
    <t>Will have to calculate manually if this is not the case.</t>
  </si>
  <si>
    <t>Path to Database</t>
  </si>
  <si>
    <t>Estimate Recording Costs</t>
  </si>
  <si>
    <t>Select County</t>
  </si>
  <si>
    <t>Number of pages in Contract Terms</t>
  </si>
  <si>
    <t>Total for Contract Terms</t>
  </si>
  <si>
    <t>Electronical Cost (If applicable)</t>
  </si>
  <si>
    <t>Total for sworn/cert docs</t>
  </si>
  <si>
    <t>Number of sworn docs needed</t>
  </si>
  <si>
    <t>Number of pages per recording</t>
  </si>
  <si>
    <t>Total Recording Fees</t>
  </si>
  <si>
    <t>Wilson Co </t>
  </si>
  <si>
    <t>Change values in orange to find recording costs</t>
  </si>
  <si>
    <t>PI_1</t>
  </si>
  <si>
    <t>PI_2</t>
  </si>
  <si>
    <t>PI_3</t>
  </si>
  <si>
    <t>PI_4</t>
  </si>
  <si>
    <t>PI_5</t>
  </si>
  <si>
    <t>PI_6</t>
  </si>
  <si>
    <t>PI_7</t>
  </si>
  <si>
    <t>PI_8</t>
  </si>
  <si>
    <t>PI_9</t>
  </si>
  <si>
    <t>PI_10</t>
  </si>
  <si>
    <t>PI_11</t>
  </si>
  <si>
    <t>PI_12</t>
  </si>
  <si>
    <t>PI_13</t>
  </si>
  <si>
    <t>PI_14</t>
  </si>
  <si>
    <t>PI_15</t>
  </si>
  <si>
    <t>PI_16</t>
  </si>
  <si>
    <t>PI_17</t>
  </si>
  <si>
    <t>PI_18</t>
  </si>
  <si>
    <t>PI_19</t>
  </si>
  <si>
    <t>PI_20</t>
  </si>
  <si>
    <t>PI_21</t>
  </si>
  <si>
    <t>PI_22</t>
  </si>
  <si>
    <t>BQ_1</t>
  </si>
  <si>
    <t>BQ_2</t>
  </si>
  <si>
    <t>BQ_3</t>
  </si>
  <si>
    <t>BQ_4</t>
  </si>
  <si>
    <t>BQ_5</t>
  </si>
  <si>
    <t>BQ_6</t>
  </si>
  <si>
    <t>BQ_7</t>
  </si>
  <si>
    <t>BQ_8</t>
  </si>
  <si>
    <t>BQ_9</t>
  </si>
  <si>
    <t>BQ_10</t>
  </si>
  <si>
    <t>BQ_11</t>
  </si>
  <si>
    <t>BQ_12</t>
  </si>
  <si>
    <t>BQ_13</t>
  </si>
  <si>
    <t>BQ_14</t>
  </si>
  <si>
    <t>BQ_15</t>
  </si>
  <si>
    <t>BQ_16</t>
  </si>
  <si>
    <t>MI_1</t>
  </si>
  <si>
    <t>MI_2</t>
  </si>
  <si>
    <t>MI_3</t>
  </si>
  <si>
    <t>MI_4</t>
  </si>
  <si>
    <t>MI_5</t>
  </si>
  <si>
    <t>MI_6</t>
  </si>
  <si>
    <t>MI_7</t>
  </si>
  <si>
    <t>MI_8</t>
  </si>
  <si>
    <t>MI_9</t>
  </si>
  <si>
    <t>MI_10</t>
  </si>
  <si>
    <t>MI_11</t>
  </si>
  <si>
    <t>MI_12</t>
  </si>
  <si>
    <t>MI_13</t>
  </si>
  <si>
    <t>MI_14</t>
  </si>
  <si>
    <t>MI_15</t>
  </si>
  <si>
    <t>MI_16</t>
  </si>
  <si>
    <t>MI_17</t>
  </si>
  <si>
    <t>MI_18</t>
  </si>
  <si>
    <t>NumberOfUniqueEntites</t>
  </si>
  <si>
    <t>Blackhawk State Bank</t>
  </si>
  <si>
    <t>Default</t>
  </si>
  <si>
    <t>TestOfficer</t>
  </si>
  <si>
    <t>Refinancing</t>
  </si>
  <si>
    <t>12041 Wells Branch Dr</t>
  </si>
  <si>
    <t>Ben FKA</t>
  </si>
  <si>
    <t>Ben AKA1</t>
  </si>
  <si>
    <t>Ben AKA2</t>
  </si>
  <si>
    <t>Ben AKA3</t>
  </si>
  <si>
    <t>Ben AKA4</t>
  </si>
  <si>
    <t>Ben AKA5</t>
  </si>
  <si>
    <t>Ben AKA6</t>
  </si>
  <si>
    <t>znoemail@xzy.com</t>
  </si>
  <si>
    <t>Aaron Morris</t>
  </si>
  <si>
    <t>1846 Blackville Dr</t>
  </si>
  <si>
    <t>Janesville</t>
  </si>
  <si>
    <t>123 Main St</t>
  </si>
  <si>
    <t>Tax Assessor-Collector</t>
  </si>
  <si>
    <t>Benjamin Morris</t>
  </si>
  <si>
    <t>BM 2</t>
  </si>
  <si>
    <t>BM 3</t>
  </si>
  <si>
    <t>BM 4</t>
  </si>
  <si>
    <t>Entity 111</t>
  </si>
  <si>
    <t>Entity 222</t>
  </si>
  <si>
    <t>Entity 333</t>
  </si>
  <si>
    <t>Entity444</t>
  </si>
  <si>
    <t>2015-2017</t>
  </si>
  <si>
    <t>456 Main St</t>
  </si>
  <si>
    <t>Entity 21</t>
  </si>
  <si>
    <t>Entity 22</t>
  </si>
  <si>
    <t>Entity 23</t>
  </si>
  <si>
    <t>Entity 24</t>
  </si>
  <si>
    <t>Entity 31</t>
  </si>
  <si>
    <t>Entity 32</t>
  </si>
  <si>
    <t>Entity 33</t>
  </si>
  <si>
    <t>Entity 34</t>
  </si>
  <si>
    <t>Entity 41</t>
  </si>
  <si>
    <t>Entity 42</t>
  </si>
  <si>
    <t>Entity 43</t>
  </si>
  <si>
    <t>Entity 44</t>
  </si>
  <si>
    <t>Entity 51</t>
  </si>
  <si>
    <t>Entity 52</t>
  </si>
  <si>
    <t>Entity 53</t>
  </si>
  <si>
    <t>Entity 54</t>
  </si>
  <si>
    <t>Entity 61</t>
  </si>
  <si>
    <t>Entity 62</t>
  </si>
  <si>
    <t>Entity 63</t>
  </si>
  <si>
    <t>Entity 64</t>
  </si>
  <si>
    <t>Entity 71</t>
  </si>
  <si>
    <t>Entity 72</t>
  </si>
  <si>
    <t>Entity 73</t>
  </si>
  <si>
    <t>Entity 74</t>
  </si>
  <si>
    <t>Entity 81</t>
  </si>
  <si>
    <t>Entity 82</t>
  </si>
  <si>
    <t>Entity 83</t>
  </si>
  <si>
    <t>Entity 84</t>
  </si>
  <si>
    <t>Entity 91</t>
  </si>
  <si>
    <t>Entity 92</t>
  </si>
  <si>
    <t>Entity 93</t>
  </si>
  <si>
    <t>Entity 94</t>
  </si>
  <si>
    <t>Entity 101</t>
  </si>
  <si>
    <t>Entity 102</t>
  </si>
  <si>
    <t>Entity 103</t>
  </si>
  <si>
    <t>Entity 104</t>
  </si>
  <si>
    <t>Entity 112</t>
  </si>
  <si>
    <t>Entity 113</t>
  </si>
  <si>
    <t>Entity 114</t>
  </si>
  <si>
    <t>Entity 121</t>
  </si>
  <si>
    <t>Entity 122</t>
  </si>
  <si>
    <t>Entity 123</t>
  </si>
  <si>
    <t>Entity 124</t>
  </si>
  <si>
    <t>Entity 131</t>
  </si>
  <si>
    <t>Entity 132</t>
  </si>
  <si>
    <t>Entity 133</t>
  </si>
  <si>
    <t>Entity 134</t>
  </si>
  <si>
    <t>Entity 141</t>
  </si>
  <si>
    <t>Entity 142</t>
  </si>
  <si>
    <t>Entity 143</t>
  </si>
  <si>
    <t>Entity 144</t>
  </si>
  <si>
    <t>Entity 151</t>
  </si>
  <si>
    <t>Entity 152</t>
  </si>
  <si>
    <t>Entity 153</t>
  </si>
  <si>
    <t>Entity 154</t>
  </si>
  <si>
    <t>Entity 161</t>
  </si>
  <si>
    <t>Entity 162</t>
  </si>
  <si>
    <t>Entity 163</t>
  </si>
  <si>
    <t>Entity 164</t>
  </si>
  <si>
    <t>Entity 171</t>
  </si>
  <si>
    <t>Entity 172</t>
  </si>
  <si>
    <t>Entity 173</t>
  </si>
  <si>
    <t>Entity 174</t>
  </si>
  <si>
    <t>Entity 181</t>
  </si>
  <si>
    <t>Entity 182</t>
  </si>
  <si>
    <t>Entity 183</t>
  </si>
  <si>
    <t>Entity 184</t>
  </si>
  <si>
    <t>Entity 191</t>
  </si>
  <si>
    <t>Entity 192</t>
  </si>
  <si>
    <t>Entity 193</t>
  </si>
  <si>
    <t>Entity 194</t>
  </si>
  <si>
    <t>Entity 201</t>
  </si>
  <si>
    <t>Entity 202</t>
  </si>
  <si>
    <t>Entity 203</t>
  </si>
  <si>
    <t>Entity 204</t>
  </si>
  <si>
    <t>Entity 211</t>
  </si>
  <si>
    <t>Entity 212</t>
  </si>
  <si>
    <t>Entity 213</t>
  </si>
  <si>
    <t>Entity 214</t>
  </si>
  <si>
    <t>Entity 221</t>
  </si>
  <si>
    <t>Entity 223</t>
  </si>
  <si>
    <t>Entity 224</t>
  </si>
  <si>
    <t>Entity 231</t>
  </si>
  <si>
    <t>Entity 232</t>
  </si>
  <si>
    <t>Entity 233</t>
  </si>
  <si>
    <t>Entity 234</t>
  </si>
  <si>
    <t>Entity 241</t>
  </si>
  <si>
    <t>Entity 242</t>
  </si>
  <si>
    <t>Entity 243</t>
  </si>
  <si>
    <t>Entity 244</t>
  </si>
  <si>
    <t>Entity 251</t>
  </si>
  <si>
    <t>Entity 252</t>
  </si>
  <si>
    <t>Entity 253</t>
  </si>
  <si>
    <t>Entity 254</t>
  </si>
  <si>
    <t>181741FDZ</t>
  </si>
  <si>
    <t>181741FDZ - Myrna Lopez Diaz</t>
  </si>
  <si>
    <t>HS - New</t>
  </si>
  <si>
    <t>Yes</t>
  </si>
  <si>
    <t>Myrna Lopez Diaz</t>
  </si>
  <si>
    <t>999-99-9943</t>
  </si>
  <si>
    <t>3134 No. Muskingum Ave</t>
  </si>
  <si>
    <t>Odessa</t>
  </si>
  <si>
    <t>TESTING123456</t>
  </si>
  <si>
    <t>Myrna Diaz</t>
  </si>
  <si>
    <t>diazmyrna98@yahoo.com</t>
  </si>
  <si>
    <t>09200.02330.00000</t>
  </si>
  <si>
    <t>Tx</t>
  </si>
  <si>
    <t>Ector County Ad</t>
  </si>
  <si>
    <t>2015, 2016, 2017</t>
  </si>
  <si>
    <t>181573FDZ</t>
  </si>
  <si>
    <t>181573FDZ - Jamie D. Currey</t>
  </si>
  <si>
    <t>Jamie D. Currey</t>
  </si>
  <si>
    <t>P.O. Box 3</t>
  </si>
  <si>
    <t>Paradis</t>
  </si>
  <si>
    <t>14485 Old Spanish Trail</t>
  </si>
  <si>
    <t>Clifford Mark Klym</t>
  </si>
  <si>
    <t>James Donald Currey</t>
  </si>
  <si>
    <t>James D. Currey</t>
  </si>
  <si>
    <t>Jamie Diane Currey</t>
  </si>
  <si>
    <t>jamie@curreysearch.com</t>
  </si>
  <si>
    <t>Mark Klym</t>
  </si>
  <si>
    <t>61875DEN</t>
  </si>
  <si>
    <t>616 Main St.</t>
  </si>
  <si>
    <t>Denton County Tax Office</t>
  </si>
  <si>
    <t>2016-17</t>
  </si>
  <si>
    <t>R79923</t>
  </si>
  <si>
    <t>701 Red Rock Ranch Rd.</t>
  </si>
  <si>
    <t>Bastrop County Tax Office</t>
  </si>
  <si>
    <t>R102890</t>
  </si>
  <si>
    <t>711 Red Rock Ranch Rd.</t>
  </si>
  <si>
    <t>193017FDZ</t>
  </si>
  <si>
    <t>193017FDZ - Anita Granados</t>
  </si>
  <si>
    <t>Anita Granados</t>
  </si>
  <si>
    <t>905 E Price St.</t>
  </si>
  <si>
    <t>Laredo</t>
  </si>
  <si>
    <t>905 E Price St</t>
  </si>
  <si>
    <t>E1/3 OF 1 &amp; W1/3 OF 2 BLK 542 ED</t>
  </si>
  <si>
    <t>Webb County Tax Office</t>
  </si>
  <si>
    <t>City of Laredo Tax Office</t>
  </si>
  <si>
    <t>2016, 2017, 2018</t>
  </si>
  <si>
    <t>190085FDZ</t>
  </si>
  <si>
    <t>190085FDZ - Francisco Hernandez Jr.</t>
  </si>
  <si>
    <t>Francisco Hernandez Jr.</t>
  </si>
  <si>
    <t>110 Magnolia</t>
  </si>
  <si>
    <t>Edinburg</t>
  </si>
  <si>
    <t>Evita Hernandez</t>
  </si>
  <si>
    <t>idalia.cardona@yahoo.com</t>
  </si>
  <si>
    <t>7900 Hwy 107</t>
  </si>
  <si>
    <t>Hidalgo County Tax Office</t>
  </si>
  <si>
    <t>190273FDZ</t>
  </si>
  <si>
    <t>190273FDZ - John Timothy Cruz</t>
  </si>
  <si>
    <t>John Timothy Cruz</t>
  </si>
  <si>
    <t>130 Trinity Ln</t>
  </si>
  <si>
    <t>Seguin</t>
  </si>
  <si>
    <t>Rebecca Cruz</t>
  </si>
  <si>
    <t>john.cruz210@gmail.com</t>
  </si>
  <si>
    <t>R3267</t>
  </si>
  <si>
    <t>Daryl John</t>
  </si>
  <si>
    <t>LT 33-34 CATERS ADDITION TO PARKVIEW ESTATES (PG 5 LG)</t>
  </si>
  <si>
    <t>Guadalupe TAC</t>
  </si>
  <si>
    <t>190132FDZ</t>
  </si>
  <si>
    <t>190132FDZ - Gilbert E Martinez</t>
  </si>
  <si>
    <t>Gilbert E Martinez</t>
  </si>
  <si>
    <t>PO BOX 313</t>
  </si>
  <si>
    <t>Waelder</t>
  </si>
  <si>
    <t>505 N Ave</t>
  </si>
  <si>
    <t>Delores Martinez</t>
  </si>
  <si>
    <t>R20821</t>
  </si>
  <si>
    <t>406 NW 1st ST</t>
  </si>
  <si>
    <t>2012, 2013, 2014, 2015, 2016, 2017, 2018</t>
  </si>
  <si>
    <t>R21479</t>
  </si>
  <si>
    <t>210 N Ave E</t>
  </si>
  <si>
    <t>2011, 2012, 2013, 2014, 2015, 2016, 2017</t>
  </si>
  <si>
    <t>190327FDZ</t>
  </si>
  <si>
    <t>190327FDZ - Jaceson L. Bradford</t>
  </si>
  <si>
    <t>Elizabeth Baker</t>
  </si>
  <si>
    <t>Jaceson L. Bradford</t>
  </si>
  <si>
    <t>13203 Centerbrook</t>
  </si>
  <si>
    <t>Universal City</t>
  </si>
  <si>
    <t>jace@rebeccacreekdistillery.com</t>
  </si>
  <si>
    <t>Tax Assesor Collector</t>
  </si>
  <si>
    <t>Albert Uresti</t>
  </si>
  <si>
    <t>LT 13 BLK 1 LIVE OAK VILLAGE UNIT 9 (PG 4 LGL)</t>
  </si>
  <si>
    <t>Bexar County Tax Office</t>
  </si>
  <si>
    <t>190428FDZ</t>
  </si>
  <si>
    <t>190428FDZ - Belinda Juarez</t>
  </si>
  <si>
    <t>Angela</t>
  </si>
  <si>
    <t>Belinda Juarez</t>
  </si>
  <si>
    <t>76-0796680</t>
  </si>
  <si>
    <t>8000 Vantage Dr. bldg B</t>
  </si>
  <si>
    <t>San Antonio</t>
  </si>
  <si>
    <t>Active</t>
  </si>
  <si>
    <t>bjuarez@superiorforyou.com</t>
  </si>
  <si>
    <t>M3248-04-000-0009-00</t>
  </si>
  <si>
    <t>2108 E Ridge Rd unit 9</t>
  </si>
  <si>
    <t>McAllen</t>
  </si>
  <si>
    <t>Pablo Villarreal Jr.</t>
  </si>
  <si>
    <t>MED-POINT IV CONDOS UNIT 9; and being more particularly described as All of Unit 9, MED-POINT IV CONDOMINIUMS, a Condominium Regime established under Condominium Declaration dated April--, 2005, filed April 21, 2005, tmder Document Number 1461914, Official Records of Hidalgo County, Texas, together witb tbe undivided 5.71% and 9.52% interest, respectively, in and to the common elements of said land and premises, said condominium regime being situated on a tract of land out of all of Lots 14 and 15, Ridge Plaza, an Addition to the City of McAllen, Hidalgo County, Texas, reference to which is here made for all purposes</t>
  </si>
  <si>
    <t>2108 E Ridge Rd. unit 8B</t>
  </si>
  <si>
    <t>MED-POINT IV CONDOS UNIT 88; and being more particularly described as AU of Unit 8B, MED-POINT fV CONDOMINIUMS, a Condominium Regime established under Condominium Declaration dated April--, 2005, filed April 21, 2005, under Document Number 1461914, Official Records of Hidalgo County, Texas, together with the undivided 5.71% and 9.52% interest, respectively, in and to the common elements of said land and premises, said condominium regime being situated on a tract of land out of all of Lots 14 and 15, Ridge Plaza, an Addition to the City of McAllen, Hidalgo County, Texas 2108 East Ridge Road Unit-88, McAllen, Hidalgo County, TX 78503</t>
  </si>
  <si>
    <t>190016FDZ</t>
  </si>
  <si>
    <t>190016FDZ - Ray Garcia</t>
  </si>
  <si>
    <t>Ray Garcia</t>
  </si>
  <si>
    <t>2641 Forest Park Ave</t>
  </si>
  <si>
    <t>San Angelo</t>
  </si>
  <si>
    <t>rgarcia@howardcollege.edu</t>
  </si>
  <si>
    <t>R000023193</t>
  </si>
  <si>
    <t>2641 Forest Park Ave lot 25</t>
  </si>
  <si>
    <t>Chief Appraiser</t>
  </si>
  <si>
    <t>Bill Benson</t>
  </si>
  <si>
    <t>ACRES : 0.080, LOT: 25, BLK: 38, SUBD: FOREST PARK ADDm ON; and being more particularly described as Lot 25. Block 38, Forest Park Addition. City of San Angelo, Tom Green County. Texas according to map or plat recorded in Volume I , Page 124 plat records ofT om Green County, Texas</t>
  </si>
  <si>
    <t>2015, 2016, 2017, 2018</t>
  </si>
  <si>
    <t>R000023194</t>
  </si>
  <si>
    <t>ACRES: 0.080, LOT: 26, BLK: 38, SUBD: FOREST PARK ADDITION; and being more particularly described as Lot 26. Block 38, Forest Park Addition. City of San Angelo, Tom Green County. Texas according to map or plat recorded in Volume I. Page 124 plat records ofT om Green County. Texas</t>
  </si>
  <si>
    <t>R000023195</t>
  </si>
  <si>
    <t>ACRES: 0.080. LOT: 27. BLK 38. SUBD: FOREST PARK ADDITION; and being more particularly described as Lot 27, Block 38, Forest Park Addition. City of San Angelo, Tom Green County, Texas according to map or plat_x000D_
recorded in Volu111e I , Page 124 plat records of Tom Green County, Texas</t>
  </si>
  <si>
    <t>R000023196</t>
  </si>
  <si>
    <t>ACRES: 0.080, LOT 28, BLK: 38, SUBD: FOREST PARK ADDITION; and being more particularly described as Lot 28, Block 38, Forest Park Addition, City of San Angelo, Tom Green County, Texas according to map or plat_x000D_
recorded in Volu~ne I. Page 124 plat records ofT om Green County, Texas</t>
  </si>
  <si>
    <t>Test001</t>
  </si>
  <si>
    <t>Test001 - John Miller</t>
  </si>
  <si>
    <t>Blackhawk</t>
  </si>
  <si>
    <t>Ben Morris</t>
  </si>
  <si>
    <t>John Miller</t>
  </si>
  <si>
    <t>922 Bluff St</t>
  </si>
  <si>
    <t>Beloit</t>
  </si>
  <si>
    <t>123 Physical Address</t>
  </si>
  <si>
    <t>Buda</t>
  </si>
  <si>
    <t>Jonathan Miller</t>
  </si>
  <si>
    <t>znoemail@xyz.com</t>
  </si>
  <si>
    <t>Becky Small</t>
  </si>
  <si>
    <t>Michael Scott</t>
  </si>
  <si>
    <t>n/a</t>
  </si>
  <si>
    <t>dundermilflin@mgr.com</t>
  </si>
  <si>
    <t>City of Austin</t>
  </si>
  <si>
    <t>MUD</t>
  </si>
  <si>
    <t>ISD</t>
  </si>
  <si>
    <t>111 Main</t>
  </si>
  <si>
    <t>BLOCK 1</t>
  </si>
  <si>
    <t>222 Main</t>
  </si>
  <si>
    <t>BLOCK 2</t>
  </si>
  <si>
    <t>333 Main St</t>
  </si>
  <si>
    <t>BLOCK 3</t>
  </si>
  <si>
    <t>444 Main St</t>
  </si>
  <si>
    <t>BLOCK 4</t>
  </si>
  <si>
    <t>555 Main St</t>
  </si>
  <si>
    <t>BLOCK 5</t>
  </si>
  <si>
    <t>190529FDZ</t>
  </si>
  <si>
    <t>190529FDZ - Randy Gilbert</t>
  </si>
  <si>
    <t>Brandi</t>
  </si>
  <si>
    <t>Randy Gilbert</t>
  </si>
  <si>
    <t>PO Box 532845</t>
  </si>
  <si>
    <t>Harlingen</t>
  </si>
  <si>
    <t>3214 W Cobblestone Creek Dr</t>
  </si>
  <si>
    <t>rdgilbert70@gmail.com</t>
  </si>
  <si>
    <t>Cameron County</t>
  </si>
  <si>
    <t>Harlingen ISD Tax Office</t>
  </si>
  <si>
    <t>16/6170/0010/0390/00</t>
  </si>
  <si>
    <t>Tax Collector Accesor</t>
  </si>
  <si>
    <t>Tony Yzaguirre</t>
  </si>
  <si>
    <t>HARLINGEN - COBBLE STONE CREEK LOT 39 BLK l; and being more particularly described as Lot Thirty-nine (39), Block One (1), COBBLESTONE CREEK SUBDIVISION, a subdivision in Harlingen, Cameron County, Texas, according to map thereof recorded in Cabinet I, Page 375-B of the Map Records, Cameron County, Texas.</t>
  </si>
  <si>
    <t>2011, 2012, 2013, 2014, 2015, 2016, 2017, 2018</t>
  </si>
  <si>
    <t>16/6170/0010/0400/00</t>
  </si>
  <si>
    <t>HARLINGEN- COBBLE STONE CREEK LOT 40 BLK 1; and being more particularly described as Lot Forty (40), Block One ( 1), COBBLESTONE CREEK SUBDIVISION, a subdivision in Harlingen, Cameron County, Texas, according to map thereof recorded in Cabinet I, Page 375-B of the Map Records, Cameron County, Texas.</t>
  </si>
  <si>
    <t>Template</t>
  </si>
  <si>
    <t>Template - Test1</t>
  </si>
  <si>
    <t>Billy Russoo</t>
  </si>
  <si>
    <t>Bill</t>
  </si>
  <si>
    <t>Emma</t>
  </si>
  <si>
    <t>Emila</t>
  </si>
  <si>
    <t>Emmy</t>
  </si>
  <si>
    <t>ARON</t>
  </si>
  <si>
    <t>Double A</t>
  </si>
  <si>
    <t>11111 - TesterFile</t>
  </si>
  <si>
    <t>Ben Jam IN</t>
  </si>
  <si>
    <t>TesterFile</t>
  </si>
  <si>
    <t>In Foreclosure?</t>
  </si>
  <si>
    <t>Borrower's Questionnaire</t>
  </si>
  <si>
    <t>Total monthly household income?</t>
  </si>
  <si>
    <t>Loan Ready?</t>
  </si>
  <si>
    <t>123Demo</t>
  </si>
  <si>
    <t>State Farm</t>
  </si>
  <si>
    <t>Wells Fargo</t>
  </si>
  <si>
    <t>CauseXYZ</t>
  </si>
  <si>
    <t>Aaron Miller</t>
  </si>
  <si>
    <t>Teresa Miller</t>
  </si>
  <si>
    <t>112 Blackwater Ave</t>
  </si>
  <si>
    <t>Rock</t>
  </si>
  <si>
    <t>City of Janesville</t>
  </si>
  <si>
    <t>Janesville ISD</t>
  </si>
  <si>
    <t>111222</t>
  </si>
  <si>
    <t>111111</t>
  </si>
  <si>
    <t>Jo Clark</t>
  </si>
  <si>
    <t>2016, 2017, 2018, 2019</t>
  </si>
  <si>
    <t>123Demo - Aaron Miller</t>
  </si>
  <si>
    <t>Changing the loan number creates a duplicate set of numbers</t>
  </si>
  <si>
    <t>Test 3</t>
  </si>
  <si>
    <t>Borrower1 FKA</t>
  </si>
  <si>
    <t>Borrower2 FKA</t>
  </si>
  <si>
    <t>Borrower3 FKA</t>
  </si>
  <si>
    <t>Closing Costs (Without Recording Fee):</t>
  </si>
  <si>
    <t>Legal Description Length/LineNumbers</t>
  </si>
  <si>
    <t xml:space="preserve">Legal Description:
</t>
  </si>
  <si>
    <t>Passes Legal Criteria?</t>
  </si>
  <si>
    <t xml:space="preserve">Limit each line to 56 characters. Line should not wrap.
</t>
  </si>
  <si>
    <t>Legal 1</t>
  </si>
  <si>
    <t>11</t>
  </si>
  <si>
    <t>12</t>
  </si>
  <si>
    <t>13</t>
  </si>
  <si>
    <t>14</t>
  </si>
  <si>
    <t>Test21</t>
  </si>
  <si>
    <t>Test22</t>
  </si>
  <si>
    <t>Test23</t>
  </si>
  <si>
    <t>Test24</t>
  </si>
  <si>
    <t>21</t>
  </si>
  <si>
    <t>22</t>
  </si>
  <si>
    <t>23</t>
  </si>
  <si>
    <t>24</t>
  </si>
  <si>
    <t>Test31</t>
  </si>
  <si>
    <t>Test32</t>
  </si>
  <si>
    <t>Test33</t>
  </si>
  <si>
    <t>Test34</t>
  </si>
  <si>
    <t>31</t>
  </si>
  <si>
    <t>32</t>
  </si>
  <si>
    <t>33</t>
  </si>
  <si>
    <t>34</t>
  </si>
  <si>
    <t>Test41</t>
  </si>
  <si>
    <t>Test43</t>
  </si>
  <si>
    <t>Test44</t>
  </si>
  <si>
    <t>44</t>
  </si>
  <si>
    <t>Test42</t>
  </si>
  <si>
    <t>Test51</t>
  </si>
  <si>
    <t>Test52</t>
  </si>
  <si>
    <t>Test53</t>
  </si>
  <si>
    <t>Test54</t>
  </si>
  <si>
    <t>54</t>
  </si>
  <si>
    <t>Benjamin Morris FKA 1 FKA 1</t>
  </si>
  <si>
    <t>Test4</t>
  </si>
  <si>
    <t>Other Prop Loan?</t>
  </si>
  <si>
    <t>LO:</t>
  </si>
  <si>
    <t>Funded New:</t>
  </si>
  <si>
    <t>Funded Total:</t>
  </si>
  <si>
    <t>Funded:</t>
  </si>
  <si>
    <t>+Boarded:</t>
  </si>
  <si>
    <t>Loan 1 for Refi</t>
  </si>
  <si>
    <t>Loan 2 for Refi</t>
  </si>
  <si>
    <t>Loan 3 for Refi</t>
  </si>
  <si>
    <t>Loan 4 for Refi</t>
  </si>
  <si>
    <t>Loan #</t>
  </si>
  <si>
    <t>Client?</t>
  </si>
  <si>
    <t>Effective Maturity</t>
  </si>
  <si>
    <t>Customer</t>
  </si>
  <si>
    <t>Transfers</t>
  </si>
  <si>
    <t>Address</t>
  </si>
  <si>
    <t>Property Type</t>
  </si>
  <si>
    <t>Birthdate</t>
  </si>
  <si>
    <t>Max Term</t>
  </si>
  <si>
    <t>Property Value</t>
  </si>
  <si>
    <t>New $ Advanced</t>
  </si>
  <si>
    <t>Closing Costs</t>
  </si>
  <si>
    <t>Likely Recording</t>
  </si>
  <si>
    <t>Recording/ Title Cure</t>
  </si>
  <si>
    <t>Payoffs</t>
  </si>
  <si>
    <t>Total New Amount</t>
  </si>
  <si>
    <t>Total Loan Amount</t>
  </si>
  <si>
    <t>LTV</t>
  </si>
  <si>
    <t>Distributed</t>
  </si>
  <si>
    <t>Rate</t>
  </si>
  <si>
    <t>Amortization Term</t>
  </si>
  <si>
    <t>Term (if Different)</t>
  </si>
  <si>
    <t>Prepay Penalty</t>
  </si>
  <si>
    <t>First Payment</t>
  </si>
  <si>
    <t>Balloon Payment</t>
  </si>
  <si>
    <t>APR Estimate</t>
  </si>
  <si>
    <t>Adj. Rate for Loan</t>
  </si>
  <si>
    <t>Starting Rate</t>
  </si>
  <si>
    <t>Margin</t>
  </si>
  <si>
    <t>Payment (to Originator)</t>
  </si>
  <si>
    <t>Commission</t>
  </si>
  <si>
    <t>Comm. Rate</t>
  </si>
  <si>
    <t>1-year Payment</t>
  </si>
  <si>
    <t>3-year Payment</t>
  </si>
  <si>
    <t>5-year Payment</t>
  </si>
  <si>
    <t>7-year Payment</t>
  </si>
  <si>
    <t>10-year Payment</t>
  </si>
  <si>
    <t>IO Payment</t>
  </si>
  <si>
    <t>Notes</t>
  </si>
  <si>
    <t>Year</t>
  </si>
  <si>
    <t>Cost of Funds</t>
  </si>
  <si>
    <t>Avg LIBOR</t>
  </si>
  <si>
    <t>Base Rate</t>
  </si>
  <si>
    <t>Cost of Equity</t>
  </si>
  <si>
    <t>Funding Point 1 LTV</t>
  </si>
  <si>
    <t>Funding Point 1 Release</t>
  </si>
  <si>
    <t>Funding Point 2 LTV</t>
  </si>
  <si>
    <t>Funding Point 2 Release</t>
  </si>
  <si>
    <t>Max LTV</t>
  </si>
  <si>
    <t>Min Commission</t>
  </si>
  <si>
    <t>Calc Tot Cost of Funds</t>
  </si>
  <si>
    <t>Calc Release Rate</t>
  </si>
  <si>
    <t>Servicing (per year)</t>
  </si>
  <si>
    <t>Expected Gain on Sale</t>
  </si>
  <si>
    <t>Servicing backout for refi</t>
  </si>
  <si>
    <t>Servicing Calc</t>
  </si>
  <si>
    <t>Initial Cost</t>
  </si>
  <si>
    <t>Variable Cost</t>
  </si>
  <si>
    <t>Expected Life (months)</t>
  </si>
  <si>
    <t>Commission Rate</t>
  </si>
  <si>
    <t>Prepayment Bump</t>
  </si>
  <si>
    <t>Refi Cost Reduction</t>
  </si>
  <si>
    <t>Refi Variable Reduction</t>
  </si>
  <si>
    <t>Total Fixed Costs (Servicing+Initial)</t>
  </si>
  <si>
    <t>Interest Correction</t>
  </si>
  <si>
    <t>CREL?</t>
  </si>
  <si>
    <t>Tax/Curative Total</t>
  </si>
  <si>
    <t>Total</t>
  </si>
  <si>
    <t>Amort Term</t>
  </si>
  <si>
    <t>Refi Reduction</t>
  </si>
  <si>
    <t>Effective Life</t>
  </si>
  <si>
    <t>Original Margin</t>
  </si>
  <si>
    <t>Prin 0</t>
  </si>
  <si>
    <t>Gross Margin</t>
  </si>
  <si>
    <t>LIBOR Start</t>
  </si>
  <si>
    <t>CF 0</t>
  </si>
  <si>
    <t>Nochvay, Sergey</t>
  </si>
  <si>
    <t>Sergey Nochvay</t>
  </si>
  <si>
    <t>6909 Meadow Creek Road</t>
  </si>
  <si>
    <t>North Richland Hills</t>
  </si>
  <si>
    <t>Lyudmila Nochvay</t>
  </si>
  <si>
    <t>190988FDZ</t>
  </si>
  <si>
    <t>Tarrant County</t>
  </si>
  <si>
    <t>00001815814</t>
  </si>
  <si>
    <t>190988FDZ - Sergey Nochvay</t>
  </si>
  <si>
    <t>See Attached</t>
  </si>
  <si>
    <t>B1 SSN</t>
  </si>
  <si>
    <t>B2 SSN</t>
  </si>
  <si>
    <t>B3 SSN</t>
  </si>
  <si>
    <t>B1SSN01</t>
  </si>
  <si>
    <t>B1SSN02</t>
  </si>
  <si>
    <t>B1SSN03</t>
  </si>
  <si>
    <t>B1SSN04</t>
  </si>
  <si>
    <t>B1SSN05</t>
  </si>
  <si>
    <t>B1SSN06</t>
  </si>
  <si>
    <t>B1SSN07</t>
  </si>
  <si>
    <t>B1SSN08</t>
  </si>
  <si>
    <t>B1SSN09</t>
  </si>
  <si>
    <t>B2SSN01</t>
  </si>
  <si>
    <t>B2SSN02</t>
  </si>
  <si>
    <t>B2SSN03</t>
  </si>
  <si>
    <t>B2SSN04</t>
  </si>
  <si>
    <t>B2SSN05</t>
  </si>
  <si>
    <t>B2SSN06</t>
  </si>
  <si>
    <t>B2SSN07</t>
  </si>
  <si>
    <t>B2SSN08</t>
  </si>
  <si>
    <t>B2SSN09</t>
  </si>
  <si>
    <t>B3SSN01</t>
  </si>
  <si>
    <t>B3SSN02</t>
  </si>
  <si>
    <t>B3SSN03</t>
  </si>
  <si>
    <t>B3SSN04</t>
  </si>
  <si>
    <t>B3SSN05</t>
  </si>
  <si>
    <t>B3SSN06</t>
  </si>
  <si>
    <t>B3SSN07</t>
  </si>
  <si>
    <t>B3SSN08</t>
  </si>
  <si>
    <t>B3SSN09</t>
  </si>
  <si>
    <t>Demetria Naomi Gonzalez</t>
  </si>
  <si>
    <t>Joshua Contreras</t>
  </si>
  <si>
    <t>208 Avenue E</t>
  </si>
  <si>
    <t>Nederland</t>
  </si>
  <si>
    <t>josh_naomi@yahoo.com</t>
  </si>
  <si>
    <t>Naomi Contreras</t>
  </si>
  <si>
    <t>190840FDZ</t>
  </si>
  <si>
    <t>905 S 7th Street</t>
  </si>
  <si>
    <t>Baytown</t>
  </si>
  <si>
    <t>2016-16651</t>
  </si>
  <si>
    <t>074-146-005-0022</t>
  </si>
  <si>
    <t>Goose Creek CISD Tax Office</t>
  </si>
  <si>
    <t>0741460050022</t>
  </si>
  <si>
    <t>Ann Butler</t>
  </si>
  <si>
    <t>2012, 2016, 2017, 2018</t>
  </si>
  <si>
    <t>Demetria Contreras</t>
  </si>
  <si>
    <t>Demetria Gonzalez</t>
  </si>
  <si>
    <t>Demetria N. Gonzalez</t>
  </si>
  <si>
    <t>190840FDZ - Demetria Naomi Gonzalez</t>
  </si>
  <si>
    <t xml:space="preserve">Southwest quarter of Southwest quarter (SW ¼ of SW ¼) and West Half of Southeast quarter of Southwest quarter (W½ SE¼ SW¼) of Section Eleven (11), Township Four (4) North of Range Eight (8) West, containing sixty (60) acres of land, more or less, together with the residence, garage, barns and garden used by J. H. Kurth, Jr. for the past ten (10) years, and also the garage building now being used as a pipe storage room, but there is excepted from this sale all other buildings and improvements on said property which are expressly reserved by the vendor. </t>
  </si>
  <si>
    <t>Months to 1st Pay</t>
  </si>
  <si>
    <t>30-360 First payment</t>
  </si>
  <si>
    <t>30-360 Final Payment</t>
  </si>
  <si>
    <t>30-360 Finance Charge</t>
  </si>
  <si>
    <t>30-360 Total of Pays</t>
  </si>
  <si>
    <t>DON’T CHANGE</t>
  </si>
  <si>
    <t>NAMED RANGES</t>
  </si>
  <si>
    <t>Legal A/B</t>
  </si>
  <si>
    <t>Prop1LegalA</t>
  </si>
  <si>
    <t>Prop1LegalB</t>
  </si>
  <si>
    <t>Prop2LegalA</t>
  </si>
  <si>
    <t>Prop2LegalB</t>
  </si>
  <si>
    <t>Prop3LegalA</t>
  </si>
  <si>
    <t>Prop3LegalB</t>
  </si>
  <si>
    <t>Prop4LegalA</t>
  </si>
  <si>
    <t>Prop4LegalB</t>
  </si>
  <si>
    <t>Prop5LegalA</t>
  </si>
  <si>
    <t>Prop5LegalB</t>
  </si>
  <si>
    <t>Prop6LegalA</t>
  </si>
  <si>
    <t>Prop6LegalB</t>
  </si>
  <si>
    <t>Prop7LegalA</t>
  </si>
  <si>
    <t>Prop7LegalB</t>
  </si>
  <si>
    <t>Prop8LegalA</t>
  </si>
  <si>
    <t>Prop8LegalB</t>
  </si>
  <si>
    <t>Prop9LegalA</t>
  </si>
  <si>
    <t>Prop9LegalB</t>
  </si>
  <si>
    <t>Prop10LegalA</t>
  </si>
  <si>
    <t>Prop10LegalB</t>
  </si>
  <si>
    <t>Prop11LegalA</t>
  </si>
  <si>
    <t>Prop11LegalB</t>
  </si>
  <si>
    <t>Prop12LegalA</t>
  </si>
  <si>
    <t>Prop12LegalB</t>
  </si>
  <si>
    <t>Prop13LegalA</t>
  </si>
  <si>
    <t>Prop13LegalB</t>
  </si>
  <si>
    <t>Prop14LegalA</t>
  </si>
  <si>
    <t>Prop14LegalB</t>
  </si>
  <si>
    <t>Prop15LegalA</t>
  </si>
  <si>
    <t>Prop15LegalB</t>
  </si>
  <si>
    <t>Prop16LegalA</t>
  </si>
  <si>
    <t>Prop16LegalB</t>
  </si>
  <si>
    <t>Prop17LegalA</t>
  </si>
  <si>
    <t>Prop17LegalB</t>
  </si>
  <si>
    <t>Prop18LegalA</t>
  </si>
  <si>
    <t>Prop18LegalB</t>
  </si>
  <si>
    <t>Prop19LegalA</t>
  </si>
  <si>
    <t>Prop19LegalB</t>
  </si>
  <si>
    <t>Prop20LegalA</t>
  </si>
  <si>
    <t>Prop20LegalB</t>
  </si>
  <si>
    <t>Prop21LegalA</t>
  </si>
  <si>
    <t>Prop21LegalB</t>
  </si>
  <si>
    <t>Prop22LegalA</t>
  </si>
  <si>
    <t>Prop22LegalB</t>
  </si>
  <si>
    <t>Prop23LegalA</t>
  </si>
  <si>
    <t>Prop23LegalB</t>
  </si>
  <si>
    <t>Prop24LegalA</t>
  </si>
  <si>
    <t>Prop24LegalB</t>
  </si>
  <si>
    <t>Prop25LegalA</t>
  </si>
  <si>
    <t>Prop25LegalB</t>
  </si>
  <si>
    <t>LongLegal</t>
  </si>
  <si>
    <t>MORGAN MEADOWS SUBDIVISION BLOCK 2 LOT 3; and being more particularly described as Lot 3, Block 2, MORGAN MEADOWS, an Addition to the City of North Richland Hills, Tarrant County, Texas, according to the final Plat recorded in Volume 388-13, Page 50, Plat Records of Tarrant County, Texas</t>
  </si>
  <si>
    <t>Tam Nguyen</t>
  </si>
  <si>
    <t>111-11-1111</t>
  </si>
  <si>
    <t>Vy Nguyen</t>
  </si>
  <si>
    <t>12531 Ashford River Lane</t>
  </si>
  <si>
    <t>222-22-2222</t>
  </si>
  <si>
    <t>Tam H. Nguyen</t>
  </si>
  <si>
    <t>125-426-002-0050</t>
  </si>
  <si>
    <t>21000025000</t>
  </si>
  <si>
    <t>190048FDZ</t>
  </si>
  <si>
    <t># 2017-2509</t>
  </si>
  <si>
    <t>2016, 2017</t>
  </si>
  <si>
    <t>LT 50 BLK 2 ASHFORD GARDENS; and being more particularly described as Lot Fifty (50), in Block Two (2), of Ashford Gaardens, a Subdivision in Harris County, Texas according to the map or plat thereof recorded under Film Code No. 558169 of the map records of Harris County, Texas</t>
  </si>
  <si>
    <t>190048FDZ - Tam Nguyen</t>
  </si>
  <si>
    <t>Revise Date:</t>
  </si>
  <si>
    <t>ReviseDate</t>
  </si>
  <si>
    <t>SaveChoice:</t>
  </si>
  <si>
    <t>-</t>
  </si>
  <si>
    <t>Antonio Olivares</t>
  </si>
  <si>
    <t>Lorenza Olivares</t>
  </si>
  <si>
    <t>304 South Wilhite</t>
  </si>
  <si>
    <t>Cleburne</t>
  </si>
  <si>
    <t>1216 East Oak Grove Road</t>
  </si>
  <si>
    <t>191103FDZ</t>
  </si>
  <si>
    <t>Ben</t>
  </si>
  <si>
    <t>EDWARDS, W B GARDEN ACRES ADDN LOT 20R1; and being more particularly described as BEING Lot 20-R-1, of W.B. EDWARDS GARDENS ACRES ADDITION, an Addition to the City of Fort Worth, Tarrant County, Texas, according to the map thereof recorded in Volume 388-194, Page 60 of the Map Records of Tarrant County, Texas. SAVE AND EXCEPT therefrom, and grantors hereby sever and reserve unto grantors, their successors, heirs and assigns, all oil, gas and other minerals that are in, under, or that may be produced from the herein described property</t>
  </si>
  <si>
    <t>Tarrant County Tax Office</t>
  </si>
  <si>
    <t>Johnson County Tax Office</t>
  </si>
  <si>
    <t>00005978785</t>
  </si>
  <si>
    <t>05978785</t>
  </si>
  <si>
    <t>191103FDZ - Antonio Olivares</t>
  </si>
  <si>
    <t>Deferred 30-360 First Payment</t>
  </si>
  <si>
    <t>Deferred 30-360 Finance Charge</t>
  </si>
  <si>
    <t>Deferred 30-360 Final Payment</t>
  </si>
  <si>
    <t>Deferred 30-360 Total of Pays</t>
  </si>
  <si>
    <t>See Exhibit A</t>
  </si>
  <si>
    <t>Reduce the number of items that get's copied to the merge file. (Reduce the amount of time to edit the word doc?). Separate lines in the database tab to send to the database and to the merge field.</t>
  </si>
  <si>
    <t>Build a userform for adding borrower and properties?</t>
  </si>
  <si>
    <t>Property Address:</t>
  </si>
  <si>
    <t>City</t>
  </si>
  <si>
    <t>State</t>
  </si>
  <si>
    <t>ZIP</t>
  </si>
  <si>
    <t>Total Amount Due To Taxing Entities</t>
  </si>
  <si>
    <t>4.5 acres of land out of the P. Hart Survey, Mclennan County, Texas, being all that certain 10 acres described in an April 16, 2002, deed from the Veterans Land Board to Franklin R. Murry, recorded under Instrument Number2002014240 of the Mclennan County Clerk's Official Public Records SAVE AND EXCEPT the following described tracts:_x000D_
_x000D_
1.     0.5 acre (and an easement) out of the P. Hart Survey, Mclennan County, Texas, being the same land described in a March 22, 1999, deed from Franklin R. Murry to Tab Jerrod Murry and wife, Jeannice Ellen Murry, recorded in Volume 44 7, Page 99 of the Mclennan County Clerk's Official Public Records;_x000D_
_x000D_
2.     5.0 acres out of the P. Hart Survey, Mclennan County, Texas, being the same land described in an October 6, 2003, deed from Ryan Travis Murry, acting as Power of Attorney for Franklin R. Murry a/kla Frankie Ray Murry to_x000D_
Ryan Travis Murry, recorded under Instrument Number 2003041394 of the Mclennan County Clerk's Official Public Records.</t>
  </si>
  <si>
    <t>Fieldnotes for the survey of a 0.500 acre tract ofland out of the P. Hart Survey in McLennan County, Texas, and being a part of that certain 5.0 acre tract of land conveyed to the Veterans Land Board of the State of Texas as Tract #13 in a deed recorded in Volume 1324, Page 81 of the McLennan County, Texas Deed Records._x000D_
_x000D_
Beginning at an iron pin, N 35° 35' 56" W 375.0 feet, from the Southeast comer of said 5.0 acre tract, for_x000D_
the Southeast comer of this._x000D_
THENCE S 54° 24' 04" W 217.80 ft. to an iron pin, for the Southwest comer of this._x000D_
THENCE N 35° 36' 56" W 100ft., to an iron pin, for the Northwest corner of this._x000D_
THENCE N 54° 24' 04" E 217.80 ft. to an iron pin in the East line of said 5.0 acre tract, for the Northeast_x000D_
comer of this;_x000D_
THENCE S 35° 35' 56" E 100ft. with the East line of said 5.0 acre tract, to the point ofbeginning._x000D_
And for the same consideration there is further CONVEYED to Grantee herein, his heirs and assigns, the_x000D_
free and uninterrupted use, liberty, privilege and easement of passing in, on and along, in conunon with_x000D_
Franklin R. Murry, his successors and assigns, this easement for ingress and egress, described by metes_x000D_
and bounds as follows, to-wit:_x000D_
Fieldnotes for the centerline description of 30 foot ingress and egress easement across a part of the P. Hart_x000D_
Survey in McLennan County, Texas, and being across a part of that certain 5.0 acre tract of land_x000D_
conveyed to the Texas Veterans Land Board as Tract #13 in a deed recorded in Volume 1324, Page 81 of_x000D_
the McLennan County Texas Deed Records._x000D_
Beginning at a point in the north line of a 50 foot radius cul-de-sac, N 77° 36' 22" W 22.41 ft., from the_x000D_
southeast corner of said 5.0 acre tract, for the beginning point of herein described centerline,_x000D_
Thence N 35° 35' 56" W 358.46 ft., to a point of ending of herein described centerline, said point of_x000D_
ending being, S 54° 24' 04" W 15 ft., from the southeast comer of a 0.5 acre tract of land surveyed this_x000D_
date, said easement being 15 ft. on each side of described centerline.</t>
  </si>
  <si>
    <t>180801FDZ - Tab J. Murry</t>
  </si>
  <si>
    <t>Additional Information on Application</t>
  </si>
  <si>
    <t>180801FDZ</t>
  </si>
  <si>
    <t>2012-3094-3</t>
  </si>
  <si>
    <t>Compass Bank</t>
  </si>
  <si>
    <t>Tab J. Murry</t>
  </si>
  <si>
    <t>594 Meadow Ln</t>
  </si>
  <si>
    <t>Crawford</t>
  </si>
  <si>
    <t>Tab Murry</t>
  </si>
  <si>
    <t>akmurry@ymail.com</t>
  </si>
  <si>
    <t>Alicia Murry</t>
  </si>
  <si>
    <t>360421000026014</t>
  </si>
  <si>
    <t>2013, 2014, 2015, 2016, 2017</t>
  </si>
  <si>
    <t>360421000026002</t>
  </si>
  <si>
    <t>Meadow Ln</t>
  </si>
  <si>
    <t>Mclennan</t>
  </si>
  <si>
    <t>Robert Hilton Marsh Jr</t>
  </si>
  <si>
    <t>1821 Kinsale Dr</t>
  </si>
  <si>
    <t>Keller</t>
  </si>
  <si>
    <t>kbdvip@yahoo.com</t>
  </si>
  <si>
    <t>Heather Ann Marsh</t>
  </si>
  <si>
    <t>191158FDZ</t>
  </si>
  <si>
    <t>00007695608</t>
  </si>
  <si>
    <t>Jackborough</t>
  </si>
  <si>
    <t>Farmer</t>
  </si>
  <si>
    <t>Manager Director</t>
  </si>
  <si>
    <t>Higginbotham Ins</t>
  </si>
  <si>
    <t>17 Y</t>
  </si>
  <si>
    <t>Homemaker</t>
  </si>
  <si>
    <t>Child Support</t>
  </si>
  <si>
    <t>191158FDZ - Robert Hilton Marsh Jr</t>
  </si>
  <si>
    <t>David Havelka</t>
  </si>
  <si>
    <t>1951 East FM 487</t>
  </si>
  <si>
    <t>Jarrell</t>
  </si>
  <si>
    <t>jehavelka@gmail.com</t>
  </si>
  <si>
    <t>David W. Havelka</t>
  </si>
  <si>
    <t>Jennifer Havelka</t>
  </si>
  <si>
    <t>191130FDZ</t>
  </si>
  <si>
    <t>19-0119-t425</t>
  </si>
  <si>
    <t>Williamson County Tax Office</t>
  </si>
  <si>
    <t>R011454</t>
  </si>
  <si>
    <t>n</t>
  </si>
  <si>
    <t>y</t>
  </si>
  <si>
    <t>tx farm bureau</t>
  </si>
  <si>
    <t>Inspector</t>
  </si>
  <si>
    <t>ETT</t>
  </si>
  <si>
    <t>1.5 Years</t>
  </si>
  <si>
    <t>Sales Rep</t>
  </si>
  <si>
    <t>Kimble Midwest Supply</t>
  </si>
  <si>
    <t>1 Year</t>
  </si>
  <si>
    <t>income</t>
  </si>
  <si>
    <t>191130FDZ - David Havelka</t>
  </si>
  <si>
    <t>AW0581 AW0581 - SMITH, B. SUR., ACRES 2.8</t>
  </si>
  <si>
    <t>Irma Harrison</t>
  </si>
  <si>
    <t>810 Inez Street</t>
  </si>
  <si>
    <t>Kingsville</t>
  </si>
  <si>
    <t>irma.1106@yahoo.com</t>
  </si>
  <si>
    <t>20190001FDZ</t>
  </si>
  <si>
    <t>Ben M.</t>
  </si>
  <si>
    <t>Kleberg County Tax Office</t>
  </si>
  <si>
    <t>2-900-010-08202-192</t>
  </si>
  <si>
    <t>20190001FDZ - Irma Harrison</t>
  </si>
  <si>
    <t>Name</t>
  </si>
  <si>
    <t>ins agent</t>
  </si>
  <si>
    <t>self</t>
  </si>
  <si>
    <t>Dialysis Tech</t>
  </si>
  <si>
    <t>x</t>
  </si>
  <si>
    <t>L2</t>
  </si>
  <si>
    <t>A 0.83 acre tract out of the Southwest portion of Farm Lot Eight (8), Section Ten (10), of THE KLEBERG TOWN AND IMPROVEMENT COMPANY SUBDIVISION to Kleberg County, Texas, as recorded in the Kleberg County Map Records, with said 0.83 acre tract being more particularly described by metes and bounds on Exhibit "A" attached hereto, made a part hereof and incorporated by reference herein.</t>
  </si>
  <si>
    <t>191250FDZ</t>
  </si>
  <si>
    <t>10418 Stover Street</t>
  </si>
  <si>
    <t>marybakerporter@gmail.com</t>
  </si>
  <si>
    <t xml:space="preserve"> </t>
  </si>
  <si>
    <t>0941220000023</t>
  </si>
  <si>
    <t>Teacher Aid</t>
  </si>
  <si>
    <t>18 Years</t>
  </si>
  <si>
    <t>brother helps</t>
  </si>
  <si>
    <t>189+325+122+200</t>
  </si>
  <si>
    <t>Mary Baker</t>
  </si>
  <si>
    <t>Lot Twenty-three (23), in Block Sixteen (16), Palm Springs Addition, an addition in Harris County, Texas, according to the map or plat thereof recorded in Volume 81, Page 1 of the Map Records of Harris County, Texas.</t>
  </si>
  <si>
    <t>Mary Baker-Porter</t>
  </si>
  <si>
    <t>191250FDZ - Mary Baker-Porter</t>
  </si>
  <si>
    <t>Legals are CAD LEGALS IN ALL CAPS; and being more particularly described as (Deed legal here)</t>
  </si>
  <si>
    <t>CheckBox01</t>
  </si>
  <si>
    <t>CheckBox02</t>
  </si>
  <si>
    <t>CheckBox03</t>
  </si>
  <si>
    <t>CheckBox04</t>
  </si>
  <si>
    <t>Currently pointing to:</t>
  </si>
  <si>
    <t>Notes/Misc Info</t>
  </si>
  <si>
    <t>Enter any FKA's here.</t>
  </si>
  <si>
    <t>Bum ideas…</t>
  </si>
  <si>
    <t>'=MID(TEXT($A$1,"0000"),1,1)</t>
  </si>
  <si>
    <t>Think of way to run two mail merges, combine their results in one word doc, and generate one pdf</t>
  </si>
  <si>
    <t>Update AddDupes() macro to only delete cells if they only contain a zero</t>
  </si>
  <si>
    <t>: To force it to not skip the leading zeros (if any)</t>
  </si>
  <si>
    <t>Hazel Carr</t>
  </si>
  <si>
    <t>7019 Capitol St #23</t>
  </si>
  <si>
    <t>raquelcarr1981@gmail.com</t>
  </si>
  <si>
    <t>191303FDZ</t>
  </si>
  <si>
    <t>7015 Capitol St #24</t>
  </si>
  <si>
    <t>025-070-000-0022</t>
  </si>
  <si>
    <t>East End District</t>
  </si>
  <si>
    <t>83-0250700000022</t>
  </si>
  <si>
    <t>Ovation</t>
  </si>
  <si>
    <t>Blue Villa LLC</t>
  </si>
  <si>
    <t>Property Mgt</t>
  </si>
  <si>
    <t>La Villa Apt</t>
  </si>
  <si>
    <t>33 Years</t>
  </si>
  <si>
    <t>Pt Time PM</t>
  </si>
  <si>
    <t>12000 + 1300</t>
  </si>
  <si>
    <t>HL2</t>
  </si>
  <si>
    <t>191303FDZ - Hazel Carr</t>
  </si>
  <si>
    <t/>
  </si>
  <si>
    <t>Total Closing Costs:</t>
  </si>
  <si>
    <t>Total Loan Amount:</t>
  </si>
  <si>
    <t>Credit amount:</t>
  </si>
  <si>
    <t>Loan Number</t>
  </si>
  <si>
    <t>Application Date</t>
  </si>
  <si>
    <t>Borrower Name</t>
  </si>
  <si>
    <t>33333 - Benjamin Morris</t>
  </si>
  <si>
    <t>193064FDZ</t>
  </si>
  <si>
    <t>James Shifflett</t>
  </si>
  <si>
    <t>519 Silver Maple St</t>
  </si>
  <si>
    <t>Bankersmith</t>
  </si>
  <si>
    <t>jlshifflett@msn.com</t>
  </si>
  <si>
    <t>Linda Shifflett</t>
  </si>
  <si>
    <t>144 Industrial Loop</t>
  </si>
  <si>
    <t>Fredricksburg</t>
  </si>
  <si>
    <t>Gillespie County Tax Office</t>
  </si>
  <si>
    <t>67102</t>
  </si>
  <si>
    <t>Charles Shaufner</t>
  </si>
  <si>
    <t>Keller Klein</t>
  </si>
  <si>
    <t>owner</t>
  </si>
  <si>
    <t>JL Shifflett Construction</t>
  </si>
  <si>
    <t>39 Years</t>
  </si>
  <si>
    <t>1730+1100+250+190+180</t>
  </si>
  <si>
    <t>L4</t>
  </si>
  <si>
    <t xml:space="preserve">BEING Lot No. 4 Morin Subdivision, situated in Fredericksburg, Gillespie_x000D_
County, Texas, according  to the map or plat of record in Volume 1, Page_x000D_
102, Plat Records of Gillespie County, Texas._x000D_
</t>
  </si>
  <si>
    <t>193064FDZ - James Shifflett</t>
  </si>
  <si>
    <t>Payment is off, should be 402.00. Double check with David their first payment date.</t>
  </si>
  <si>
    <t>Send j3 to LNToLoad</t>
  </si>
  <si>
    <t>\\zeus\hkdata\</t>
  </si>
  <si>
    <t>Tina Centeno-Lewis</t>
  </si>
  <si>
    <t>2303 Forest Garden Drive</t>
  </si>
  <si>
    <t>Kingwood</t>
  </si>
  <si>
    <t>tina.cenolewis@gmail.com</t>
  </si>
  <si>
    <t>Charles L Lewis</t>
  </si>
  <si>
    <t>193089FDZ</t>
  </si>
  <si>
    <t>1149570160008</t>
  </si>
  <si>
    <t>Humble ISD Tax Office</t>
  </si>
  <si>
    <t>LT 8 BLK 16 FOSTERS MILL VILLAGE SEC 2 .2865 AC; and being more particularly described as Lot 8, Block 16, FOSTERS MILL VILLAGE, SECTION TWO, subdivision in Harris County, Texas, according to plat recorded in Volume 301, Page 38, Map Records, Harris County, Texas</t>
  </si>
  <si>
    <t>193089FDZ - Tina Centeno-Lewis</t>
  </si>
  <si>
    <t>Investment</t>
  </si>
  <si>
    <t>Mary Bryant</t>
  </si>
  <si>
    <t>175 Kendrick Pines Blvd</t>
  </si>
  <si>
    <t>Spring</t>
  </si>
  <si>
    <t>mary.c.bryant75@gmail.com</t>
  </si>
  <si>
    <t>Mary Newland</t>
  </si>
  <si>
    <t>Blake Bryant</t>
  </si>
  <si>
    <t>191402FDZ</t>
  </si>
  <si>
    <t>Lindsey</t>
  </si>
  <si>
    <t>134-443-003-0009</t>
  </si>
  <si>
    <t>Harris-Montgomery MUD 386</t>
  </si>
  <si>
    <t>0000063378</t>
  </si>
  <si>
    <t>USAA</t>
  </si>
  <si>
    <t>Owner</t>
  </si>
  <si>
    <t>Baroquen Antiques</t>
  </si>
  <si>
    <t>4 years</t>
  </si>
  <si>
    <t>Owner Landman</t>
  </si>
  <si>
    <t>Landman Enterprises</t>
  </si>
  <si>
    <t>10 years</t>
  </si>
  <si>
    <t>2000 + 8000</t>
  </si>
  <si>
    <t>550+450+200+500+200</t>
  </si>
  <si>
    <t>LT 9 BLK 3 THE WOODLANDS VLG OF CREEKSIDE PARK 40; and being more particularly described as Lot Nine (9), in Block Three (3), of The Woodlands Village of Creekside Park, Section Forty (40), an addition in Harris County, Texas, according to the map or plat thereof recorded under Film Code No. 655048 of the Map Records of Harris County, Texas.</t>
  </si>
  <si>
    <t>191402FDZ - Mary Bryant</t>
  </si>
  <si>
    <t>Find way to remove loan numbers from database? Ans: Just manually delete it.</t>
  </si>
  <si>
    <t>Borrower1NameStorage</t>
  </si>
  <si>
    <t>Borrower2NameStorage</t>
  </si>
  <si>
    <t>Borrower3NameStorage</t>
  </si>
  <si>
    <t>HomesteadExemption</t>
  </si>
  <si>
    <t>No = Investment</t>
  </si>
  <si>
    <t xml:space="preserve">Monthly Payment is: </t>
  </si>
  <si>
    <t>Get with Angela to decide which cells she wants colored for processing</t>
  </si>
  <si>
    <t>C:\Users\ben\Desktop\Testing2\Loan Doc Generator.xlsm</t>
  </si>
  <si>
    <t>C:\Users\ben\Desktop\</t>
  </si>
  <si>
    <t>191488FDZ</t>
  </si>
  <si>
    <t>Wallace Earl Johnson</t>
  </si>
  <si>
    <t>719 North 18th Street</t>
  </si>
  <si>
    <t>Memphis</t>
  </si>
  <si>
    <t>johnsonwallace80@gmail.com</t>
  </si>
  <si>
    <t>204003</t>
  </si>
  <si>
    <t>2015, 2017, 2018</t>
  </si>
  <si>
    <t>City of Memphis</t>
  </si>
  <si>
    <t>same</t>
  </si>
  <si>
    <t>BOYKIN ADDITION, MEMPHIS BLOCK: 3 LOTS: 2 &amp; NORTH 38 OF 3</t>
  </si>
  <si>
    <t>191488FDZ - Wallace Earl Johnson</t>
  </si>
  <si>
    <t>191489FDZ</t>
  </si>
  <si>
    <t>Selby Keith Grisham</t>
  </si>
  <si>
    <t>325 Canadian Ln</t>
  </si>
  <si>
    <t>blmulkey078@gmail.com</t>
  </si>
  <si>
    <t>No a complete home phone number on app. Needs complete legal entered</t>
  </si>
  <si>
    <t>Brandi Grisham</t>
  </si>
  <si>
    <t>126-2718-13230</t>
  </si>
  <si>
    <t>LOT 23 BLK 13 SHANNON CREEK PH 3B</t>
  </si>
  <si>
    <t>191489FDZ - Selby Keith Grisham</t>
  </si>
  <si>
    <t>Borrower1Marital</t>
  </si>
  <si>
    <t>Borrower2Marital</t>
  </si>
  <si>
    <t>Borrower1PAddress</t>
  </si>
  <si>
    <t>Length of Row 1:</t>
  </si>
  <si>
    <t>Borrower3Marital</t>
  </si>
  <si>
    <t>Prop1CADTotal</t>
  </si>
  <si>
    <t>Christopher Joseph Burke</t>
  </si>
  <si>
    <t>1435 Rhyder Ridge</t>
  </si>
  <si>
    <t>chris.burkfamily@gmail.com</t>
  </si>
  <si>
    <t>Confirm work number, missing a digit on application.</t>
  </si>
  <si>
    <t>TEMP001</t>
  </si>
  <si>
    <t>044497990390</t>
  </si>
  <si>
    <t>Lighthouse</t>
  </si>
  <si>
    <t>Diesel Tech</t>
  </si>
  <si>
    <t>Full Force Off Road</t>
  </si>
  <si>
    <t>5 years</t>
  </si>
  <si>
    <t>TEMP001 - Christopher Joseph Burke</t>
  </si>
  <si>
    <t>CB 4449G (TAUSCH FARMS UT-3ZB), BLOCK 99 LOT 39</t>
  </si>
  <si>
    <t>TEMP002 - Julia A Jimenez</t>
  </si>
  <si>
    <t>FileName</t>
  </si>
  <si>
    <t>TEMP002</t>
  </si>
  <si>
    <t>Julia A Jimenez</t>
  </si>
  <si>
    <t>414 Reba</t>
  </si>
  <si>
    <t>Converse</t>
  </si>
  <si>
    <t>jj5nwacct@hotmail.com</t>
  </si>
  <si>
    <t>050704050070</t>
  </si>
  <si>
    <t>Optop Asst</t>
  </si>
  <si>
    <t>Q Vision</t>
  </si>
  <si>
    <t>2 years</t>
  </si>
  <si>
    <t>rents room</t>
  </si>
  <si>
    <t>1700 + 599 + 320</t>
  </si>
  <si>
    <t>385+25+65+250+160</t>
  </si>
  <si>
    <t>L5</t>
  </si>
  <si>
    <t>CB 5070D BLK 50 LOT 7 JUDSON VALLEY SUBD; and being more particularly described as Lot 7, Block 5, Judson Valley Subdivision, City of Converse, Bexar County, Texas, according to the map or plat thereof recorded in Volume 9563, Pages 157-161, Deed and Plat Records of Bexar County, Texas</t>
  </si>
  <si>
    <t>Julia Jimenez</t>
  </si>
  <si>
    <t>End</t>
  </si>
  <si>
    <t>Path to AppTemplate</t>
  </si>
  <si>
    <t xml:space="preserve"> - </t>
  </si>
  <si>
    <t>C:\Users\ben\Desktop\New HK App - Julia A Jimenez.docx</t>
  </si>
  <si>
    <t>C:\Users\Ben\Desktop\Testing2\IndividualDocumentsMergeFile.docx</t>
  </si>
  <si>
    <t>C:\Users\Ben\Desktop\Testing2\CorporateDocumentsMergeFile.docx</t>
  </si>
  <si>
    <t>C:\Users\Ben\Desktop\Testing2\IndividualCertifiedStatementTTT.docx</t>
  </si>
  <si>
    <t>C:\Users\Ben\Desktop\Testing2\DisclosuresMergeForm.docx</t>
  </si>
  <si>
    <t>C:\Users\Ben\Desktop\Testing2\Loan Database.xlsx</t>
  </si>
  <si>
    <t>C:\Users\Ben\Desktop\Testing2\MergeFields.csv</t>
  </si>
  <si>
    <t>C:\Users\Ben\Desktop\Testing2\HK Application Template.docx</t>
  </si>
  <si>
    <t>Desktop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</si>
</sst>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7" formatCode="&quot;$&quot;#,##0.00_);\(&quot;$&quot;#,##0.00\)"/>
    <numFmt numFmtId="8" formatCode="&quot;$&quot;#,##0.00_);[Red]\(&quot;$&quot;#,##0.00\)"/>
    <numFmt numFmtId="44" formatCode="_(&quot;$&quot;* #,##0.00_);_(&quot;$&quot;* \(#,##0.00\);_(&quot;$&quot;* &quot;-&quot;??_);_(@_)"/>
    <numFmt numFmtId="43" formatCode="_(* #,##0.00_);_(* \(#,##0.00\);_(* &quot;-&quot;??_);_(@_)"/>
    <numFmt numFmtId="164" formatCode="m/d/yy;@"/>
    <numFmt numFmtId="165" formatCode=";;;"/>
    <numFmt numFmtId="166" formatCode="0.000%"/>
    <numFmt numFmtId="167" formatCode="0.000000%"/>
    <numFmt numFmtId="168" formatCode="_(* #,##0.0000000_);_(* \(#,##0.0000000\);_(* &quot;-&quot;??_);_(@_)"/>
    <numFmt numFmtId="169" formatCode="_(* #,##0_);_(* \(#,##0\);_(* &quot;-&quot;??_);_(@_)"/>
    <numFmt numFmtId="170" formatCode="0.0000%"/>
    <numFmt numFmtId="171" formatCode="[$-409]d\-mmm\-yy;@"/>
    <numFmt numFmtId="172" formatCode="0.0"/>
    <numFmt numFmtId="173" formatCode="0.00000%"/>
    <numFmt numFmtId="174" formatCode="0.0%"/>
    <numFmt numFmtId="175" formatCode="[&lt;=9999999]###\-####;\(###\)\ ###\-####"/>
    <numFmt numFmtId="176" formatCode="&quot;$&quot;#,##0.00"/>
    <numFmt numFmtId="177" formatCode="000\-00\-0000"/>
    <numFmt numFmtId="178" formatCode="0;\-0;;@"/>
    <numFmt numFmtId="179" formatCode="_(&quot;$&quot;* #,##0_);_(&quot;$&quot;* \(#,##0\);_(&quot;$&quot;* &quot;-&quot;??_);_(@_)"/>
    <numFmt numFmtId="180" formatCode="[$-409]mmmm\ d\,\ yyyy;@"/>
    <numFmt numFmtId="181" formatCode="0##\-##\-####"/>
  </numFmts>
  <fonts count="36" x14ac:knownFonts="1">
    <font>
      <sz val="11"/>
      <color theme="1"/>
      <name val="Calibri"/>
      <family val="2"/>
      <scheme val="minor"/>
    </font>
    <font>
      <sz val="14"/>
      <color theme="1"/>
      <name val="Calibri"/>
      <family val="2"/>
      <scheme val="minor"/>
    </font>
    <font>
      <b/>
      <sz val="12"/>
      <color rgb="FF0A0101"/>
      <name val="Arial"/>
      <family val="2"/>
    </font>
    <font>
      <sz val="10"/>
      <color rgb="FF000000"/>
      <name val="Arial"/>
      <family val="2"/>
    </font>
    <font>
      <sz val="12"/>
      <color theme="1"/>
      <name val="Calibri"/>
      <family val="2"/>
      <scheme val="minor"/>
    </font>
    <font>
      <sz val="16"/>
      <color theme="1"/>
      <name val="Calibri"/>
      <family val="2"/>
      <scheme val="minor"/>
    </font>
    <font>
      <b/>
      <sz val="11"/>
      <color theme="1"/>
      <name val="Calibri"/>
      <family val="2"/>
      <scheme val="minor"/>
    </font>
    <font>
      <u/>
      <sz val="11"/>
      <color theme="1"/>
      <name val="Calibri"/>
      <family val="2"/>
      <scheme val="minor"/>
    </font>
    <font>
      <sz val="12"/>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b/>
      <sz val="18"/>
      <name val="Calibri"/>
      <family val="2"/>
      <scheme val="minor"/>
    </font>
    <font>
      <sz val="11"/>
      <name val="Calibri"/>
      <family val="2"/>
      <scheme val="minor"/>
    </font>
    <font>
      <b/>
      <sz val="18"/>
      <color theme="1"/>
      <name val="Calibri"/>
      <family val="2"/>
      <scheme val="minor"/>
    </font>
    <font>
      <b/>
      <u/>
      <sz val="12"/>
      <name val="Calibri"/>
      <family val="2"/>
      <scheme val="minor"/>
    </font>
    <font>
      <b/>
      <u/>
      <sz val="11"/>
      <color theme="1"/>
      <name val="Calibri"/>
      <family val="2"/>
      <scheme val="minor"/>
    </font>
    <font>
      <b/>
      <u/>
      <sz val="11"/>
      <name val="Calibri"/>
      <family val="2"/>
      <scheme val="minor"/>
    </font>
    <font>
      <u/>
      <sz val="11"/>
      <color theme="10"/>
      <name val="Calibri"/>
      <family val="2"/>
      <scheme val="minor"/>
    </font>
    <font>
      <sz val="11"/>
      <color rgb="FF434343"/>
      <name val="Calibri"/>
      <family val="2"/>
      <scheme val="minor"/>
    </font>
    <font>
      <sz val="11"/>
      <color rgb="FF222222"/>
      <name val="Calibri"/>
      <family val="2"/>
      <scheme val="minor"/>
    </font>
    <font>
      <b/>
      <sz val="11"/>
      <color rgb="FFFFFFFF"/>
      <name val="Arial"/>
      <family val="2"/>
    </font>
    <font>
      <b/>
      <sz val="11"/>
      <color rgb="FFFFFFFF"/>
      <name val="Segoe UI"/>
      <family val="2"/>
    </font>
    <font>
      <sz val="10"/>
      <color theme="1"/>
      <name val="Arial"/>
      <family val="2"/>
    </font>
    <font>
      <sz val="10"/>
      <color rgb="FF000000"/>
      <name val="Microsoft PhagsPa"/>
      <family val="2"/>
    </font>
    <font>
      <sz val="11"/>
      <color theme="1"/>
      <name val="Calibri"/>
      <family val="2"/>
    </font>
    <font>
      <sz val="10"/>
      <color theme="1"/>
      <name val="Microsoft PhagsPa"/>
      <family val="2"/>
    </font>
    <font>
      <b/>
      <sz val="10"/>
      <color rgb="FF000000"/>
      <name val="Arial"/>
      <family val="2"/>
    </font>
    <font>
      <sz val="11"/>
      <color rgb="FF006100"/>
      <name val="Calibri"/>
      <family val="2"/>
      <scheme val="minor"/>
    </font>
    <font>
      <b/>
      <sz val="9"/>
      <color indexed="81"/>
      <name val="Tahoma"/>
      <family val="2"/>
    </font>
    <font>
      <sz val="9"/>
      <color indexed="81"/>
      <name val="Tahoma"/>
      <family val="2"/>
    </font>
    <font>
      <sz val="11"/>
      <color rgb="FF000000"/>
      <name val="Calibri"/>
      <family val="2"/>
      <scheme val="minor"/>
    </font>
    <font>
      <sz val="10"/>
      <color rgb="FF333333"/>
      <name val="Verdana"/>
      <family val="2"/>
    </font>
    <font>
      <sz val="11"/>
      <color rgb="FF000000"/>
      <name val="Calibri"/>
      <family val="2"/>
    </font>
    <font>
      <sz val="16"/>
      <color rgb="FF000000"/>
      <name val="Calibri"/>
      <family val="2"/>
    </font>
    <font>
      <b/>
      <sz val="11"/>
      <color rgb="FF000000"/>
      <name val="Calibri"/>
      <family val="2"/>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0000FF"/>
        <bgColor indexed="64"/>
      </patternFill>
    </fill>
    <fill>
      <patternFill patternType="solid">
        <fgColor rgb="FFFFFFFF"/>
        <bgColor indexed="64"/>
      </patternFill>
    </fill>
    <fill>
      <patternFill patternType="solid">
        <fgColor rgb="FFB6D7A8"/>
        <bgColor indexed="64"/>
      </patternFill>
    </fill>
    <fill>
      <patternFill patternType="solid">
        <fgColor theme="5" tint="0.39997558519241921"/>
        <bgColor indexed="64"/>
      </patternFill>
    </fill>
    <fill>
      <patternFill patternType="solid">
        <fgColor rgb="FFC6EFCE"/>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bgColor indexed="64"/>
      </patternFill>
    </fill>
    <fill>
      <patternFill patternType="solid">
        <fgColor theme="6" tint="0.59999389629810485"/>
        <bgColor indexed="64"/>
      </patternFill>
    </fill>
    <fill>
      <patternFill patternType="solid">
        <fgColor rgb="FFFFC0C0"/>
        <bgColor indexed="64"/>
      </patternFill>
    </fill>
  </fills>
  <borders count="70">
    <border>
      <left/>
      <right/>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auto="1"/>
      </left>
      <right/>
      <top style="thin">
        <color auto="1"/>
      </top>
      <bottom style="dashed">
        <color auto="1"/>
      </bottom>
      <diagonal/>
    </border>
    <border>
      <left/>
      <right/>
      <top style="thin">
        <color auto="1"/>
      </top>
      <bottom style="dashed">
        <color auto="1"/>
      </bottom>
      <diagonal/>
    </border>
    <border>
      <left style="thin">
        <color auto="1"/>
      </left>
      <right/>
      <top style="dashed">
        <color auto="1"/>
      </top>
      <bottom style="dashed">
        <color auto="1"/>
      </bottom>
      <diagonal/>
    </border>
    <border>
      <left/>
      <right/>
      <top style="dashed">
        <color auto="1"/>
      </top>
      <bottom style="dashed">
        <color auto="1"/>
      </bottom>
      <diagonal/>
    </border>
    <border>
      <left style="thin">
        <color auto="1"/>
      </left>
      <right/>
      <top style="dashed">
        <color auto="1"/>
      </top>
      <bottom style="thin">
        <color auto="1"/>
      </bottom>
      <diagonal/>
    </border>
    <border>
      <left/>
      <right/>
      <top style="dashed">
        <color auto="1"/>
      </top>
      <bottom style="thin">
        <color auto="1"/>
      </bottom>
      <diagonal/>
    </border>
    <border>
      <left style="thin">
        <color auto="1"/>
      </left>
      <right/>
      <top/>
      <bottom style="dashed">
        <color auto="1"/>
      </bottom>
      <diagonal/>
    </border>
    <border>
      <left/>
      <right/>
      <top/>
      <bottom style="dashed">
        <color auto="1"/>
      </bottom>
      <diagonal/>
    </border>
    <border>
      <left style="thin">
        <color auto="1"/>
      </left>
      <right/>
      <top style="dashed">
        <color auto="1"/>
      </top>
      <bottom/>
      <diagonal/>
    </border>
    <border>
      <left/>
      <right/>
      <top style="dashed">
        <color auto="1"/>
      </top>
      <bottom/>
      <diagonal/>
    </border>
    <border>
      <left/>
      <right style="thin">
        <color auto="1"/>
      </right>
      <top style="dashed">
        <color auto="1"/>
      </top>
      <bottom style="dashed">
        <color auto="1"/>
      </bottom>
      <diagonal/>
    </border>
    <border>
      <left/>
      <right style="thin">
        <color auto="1"/>
      </right>
      <top style="thin">
        <color auto="1"/>
      </top>
      <bottom style="dashed">
        <color auto="1"/>
      </bottom>
      <diagonal/>
    </border>
    <border>
      <left/>
      <right style="thin">
        <color auto="1"/>
      </right>
      <top style="dashed">
        <color auto="1"/>
      </top>
      <bottom style="thin">
        <color auto="1"/>
      </bottom>
      <diagonal/>
    </border>
    <border>
      <left style="thin">
        <color auto="1"/>
      </left>
      <right style="thin">
        <color auto="1"/>
      </right>
      <top style="thin">
        <color auto="1"/>
      </top>
      <bottom style="dashed">
        <color auto="1"/>
      </bottom>
      <diagonal/>
    </border>
    <border>
      <left style="thin">
        <color auto="1"/>
      </left>
      <right style="thin">
        <color auto="1"/>
      </right>
      <top style="dashed">
        <color auto="1"/>
      </top>
      <bottom style="dashed">
        <color auto="1"/>
      </bottom>
      <diagonal/>
    </border>
    <border>
      <left/>
      <right style="thin">
        <color auto="1"/>
      </right>
      <top/>
      <bottom style="dashed">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style="medium">
        <color auto="1"/>
      </left>
      <right/>
      <top style="thin">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diagonal/>
    </border>
    <border>
      <left/>
      <right style="medium">
        <color auto="1"/>
      </right>
      <top/>
      <bottom/>
      <diagonal/>
    </border>
    <border>
      <left style="thin">
        <color indexed="64"/>
      </left>
      <right style="thin">
        <color indexed="64"/>
      </right>
      <top style="dashed">
        <color indexed="64"/>
      </top>
      <bottom style="thin">
        <color indexed="64"/>
      </bottom>
      <diagonal/>
    </border>
    <border>
      <left style="thin">
        <color auto="1"/>
      </left>
      <right style="thin">
        <color auto="1"/>
      </right>
      <top/>
      <bottom style="dashed">
        <color auto="1"/>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000000"/>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medium">
        <color auto="1"/>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s>
  <cellStyleXfs count="6">
    <xf numFmtId="0" fontId="0" fillId="0" borderId="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18" fillId="0" borderId="0" applyNumberFormat="0" applyFill="0" applyBorder="0" applyAlignment="0" applyProtection="0"/>
    <xf numFmtId="0" fontId="28" fillId="9" borderId="0" applyNumberFormat="0" applyBorder="0" applyAlignment="0" applyProtection="0"/>
  </cellStyleXfs>
  <cellXfs count="659">
    <xf numFmtId="0" fontId="0" fillId="0" borderId="0" xfId="0"/>
    <xf numFmtId="0" fontId="0" fillId="0" borderId="0" xfId="0" applyAlignment="1">
      <alignment horizontal="center"/>
    </xf>
    <xf numFmtId="0" fontId="2" fillId="0" borderId="0" xfId="0" applyFont="1"/>
    <xf numFmtId="0" fontId="3" fillId="0" borderId="0" xfId="0" applyFont="1"/>
    <xf numFmtId="0" fontId="1" fillId="0" borderId="0" xfId="0" applyFont="1" applyAlignment="1">
      <alignment horizontal="center"/>
    </xf>
    <xf numFmtId="0" fontId="0" fillId="0" borderId="3" xfId="0" applyBorder="1" applyAlignment="1">
      <alignment horizontal="left"/>
    </xf>
    <xf numFmtId="0" fontId="0" fillId="0" borderId="3" xfId="0" applyBorder="1"/>
    <xf numFmtId="0" fontId="0" fillId="0" borderId="11" xfId="0" applyBorder="1"/>
    <xf numFmtId="0" fontId="0" fillId="0" borderId="10" xfId="0" applyBorder="1"/>
    <xf numFmtId="0" fontId="0" fillId="0" borderId="5" xfId="0" applyBorder="1"/>
    <xf numFmtId="0" fontId="0" fillId="3" borderId="0" xfId="0" applyFill="1"/>
    <xf numFmtId="164" fontId="0" fillId="3" borderId="0" xfId="0" applyNumberFormat="1" applyFill="1"/>
    <xf numFmtId="0" fontId="0" fillId="2" borderId="0" xfId="0" applyFill="1"/>
    <xf numFmtId="0" fontId="0" fillId="3" borderId="12" xfId="0" applyFill="1" applyBorder="1" applyProtection="1">
      <protection locked="0"/>
    </xf>
    <xf numFmtId="0" fontId="0" fillId="3" borderId="9" xfId="0" applyFill="1" applyBorder="1" applyProtection="1">
      <protection locked="0"/>
    </xf>
    <xf numFmtId="165" fontId="0" fillId="2" borderId="0" xfId="0" applyNumberFormat="1" applyFill="1"/>
    <xf numFmtId="0" fontId="0" fillId="3" borderId="10" xfId="0" applyFill="1" applyBorder="1" applyAlignment="1" applyProtection="1">
      <alignment horizontal="left"/>
      <protection locked="0"/>
    </xf>
    <xf numFmtId="43" fontId="0" fillId="3" borderId="11" xfId="1" applyFont="1" applyFill="1" applyBorder="1" applyProtection="1">
      <protection locked="0"/>
    </xf>
    <xf numFmtId="166" fontId="0" fillId="3" borderId="11" xfId="3" applyNumberFormat="1" applyFont="1" applyFill="1" applyBorder="1" applyProtection="1">
      <protection locked="0"/>
    </xf>
    <xf numFmtId="0" fontId="0" fillId="2" borderId="1" xfId="0" applyFill="1" applyBorder="1"/>
    <xf numFmtId="0" fontId="0" fillId="2" borderId="2" xfId="0" applyFill="1" applyBorder="1"/>
    <xf numFmtId="164" fontId="0" fillId="3" borderId="9" xfId="0" applyNumberFormat="1" applyFill="1" applyBorder="1" applyProtection="1">
      <protection locked="0"/>
    </xf>
    <xf numFmtId="167" fontId="0" fillId="0" borderId="0" xfId="3" applyNumberFormat="1" applyFont="1"/>
    <xf numFmtId="10" fontId="0" fillId="3" borderId="11" xfId="3" applyNumberFormat="1" applyFont="1" applyFill="1" applyBorder="1" applyAlignment="1" applyProtection="1">
      <alignment horizontal="right"/>
      <protection locked="0"/>
    </xf>
    <xf numFmtId="0" fontId="0" fillId="2" borderId="4" xfId="0" applyFill="1" applyBorder="1"/>
    <xf numFmtId="0" fontId="0" fillId="2" borderId="5" xfId="0" applyFill="1" applyBorder="1"/>
    <xf numFmtId="164" fontId="0" fillId="3" borderId="10" xfId="0" applyNumberFormat="1" applyFill="1" applyBorder="1" applyProtection="1">
      <protection locked="0"/>
    </xf>
    <xf numFmtId="43" fontId="0" fillId="0" borderId="11" xfId="1" applyFont="1" applyBorder="1" applyProtection="1">
      <protection locked="0"/>
    </xf>
    <xf numFmtId="0" fontId="0" fillId="3" borderId="10" xfId="0" applyFill="1" applyBorder="1" applyProtection="1">
      <protection locked="0"/>
    </xf>
    <xf numFmtId="0" fontId="0" fillId="2" borderId="8" xfId="0" applyFill="1" applyBorder="1"/>
    <xf numFmtId="0" fontId="0" fillId="2" borderId="7" xfId="0" applyFill="1" applyBorder="1"/>
    <xf numFmtId="1" fontId="0" fillId="2" borderId="6" xfId="3" applyNumberFormat="1" applyFont="1" applyFill="1" applyBorder="1"/>
    <xf numFmtId="0" fontId="0" fillId="2" borderId="3" xfId="0" applyFill="1" applyBorder="1"/>
    <xf numFmtId="8" fontId="0" fillId="2" borderId="16" xfId="1" applyNumberFormat="1" applyFont="1" applyFill="1" applyBorder="1"/>
    <xf numFmtId="0" fontId="0" fillId="2" borderId="6" xfId="3" applyNumberFormat="1" applyFont="1" applyFill="1" applyBorder="1"/>
    <xf numFmtId="0" fontId="0" fillId="2" borderId="14" xfId="0" applyFill="1" applyBorder="1"/>
    <xf numFmtId="0" fontId="0" fillId="2" borderId="15" xfId="0" applyFill="1" applyBorder="1"/>
    <xf numFmtId="43" fontId="0" fillId="2" borderId="16" xfId="1" applyFont="1" applyFill="1" applyBorder="1"/>
    <xf numFmtId="14" fontId="0" fillId="2" borderId="6" xfId="3" applyNumberFormat="1" applyFont="1" applyFill="1" applyBorder="1"/>
    <xf numFmtId="0" fontId="7" fillId="0" borderId="1" xfId="0" applyFont="1" applyBorder="1"/>
    <xf numFmtId="0" fontId="0" fillId="0" borderId="2" xfId="0" applyBorder="1"/>
    <xf numFmtId="0" fontId="0" fillId="0" borderId="9" xfId="0" applyBorder="1"/>
    <xf numFmtId="43" fontId="0" fillId="3" borderId="0" xfId="1" applyFont="1" applyFill="1" applyProtection="1">
      <protection locked="0"/>
    </xf>
    <xf numFmtId="0" fontId="7" fillId="0" borderId="3" xfId="0" applyFont="1" applyBorder="1"/>
    <xf numFmtId="43" fontId="0" fillId="0" borderId="0" xfId="1" applyFont="1"/>
    <xf numFmtId="43" fontId="0" fillId="2" borderId="0" xfId="1" applyFont="1" applyFill="1"/>
    <xf numFmtId="43" fontId="0" fillId="3" borderId="10" xfId="1" applyFont="1" applyFill="1" applyBorder="1" applyProtection="1">
      <protection locked="0"/>
    </xf>
    <xf numFmtId="0" fontId="0" fillId="0" borderId="4" xfId="0" applyBorder="1"/>
    <xf numFmtId="2" fontId="0" fillId="0" borderId="10" xfId="0" applyNumberFormat="1" applyBorder="1"/>
    <xf numFmtId="168" fontId="0" fillId="2" borderId="0" xfId="1" applyNumberFormat="1" applyFont="1" applyFill="1"/>
    <xf numFmtId="169" fontId="0" fillId="2" borderId="0" xfId="1" applyNumberFormat="1" applyFont="1" applyFill="1"/>
    <xf numFmtId="0" fontId="0" fillId="2" borderId="13" xfId="0" applyFill="1" applyBorder="1" applyAlignment="1">
      <alignment horizontal="center"/>
    </xf>
    <xf numFmtId="0" fontId="0" fillId="0" borderId="13" xfId="0" applyBorder="1" applyAlignment="1">
      <alignment horizontal="center"/>
    </xf>
    <xf numFmtId="43" fontId="0" fillId="2" borderId="13" xfId="1" applyFont="1" applyFill="1" applyBorder="1" applyAlignment="1">
      <alignment horizontal="center"/>
    </xf>
    <xf numFmtId="0" fontId="0" fillId="0" borderId="17" xfId="0" applyBorder="1" applyAlignment="1">
      <alignment horizontal="center"/>
    </xf>
    <xf numFmtId="169" fontId="0" fillId="2" borderId="17" xfId="1" applyNumberFormat="1" applyFont="1" applyFill="1" applyBorder="1" applyAlignment="1">
      <alignment horizontal="center"/>
    </xf>
    <xf numFmtId="166" fontId="6" fillId="2" borderId="17" xfId="0" applyNumberFormat="1" applyFont="1" applyFill="1" applyBorder="1" applyAlignment="1">
      <alignment horizontal="center"/>
    </xf>
    <xf numFmtId="9" fontId="0" fillId="2" borderId="0" xfId="0" applyNumberFormat="1" applyFill="1"/>
    <xf numFmtId="14" fontId="0" fillId="0" borderId="0" xfId="0" applyNumberFormat="1"/>
    <xf numFmtId="10" fontId="0" fillId="0" borderId="0" xfId="0" applyNumberFormat="1"/>
    <xf numFmtId="0" fontId="0" fillId="0" borderId="0" xfId="0" applyAlignment="1">
      <alignment horizontal="right"/>
    </xf>
    <xf numFmtId="0" fontId="0" fillId="0" borderId="1" xfId="0" applyBorder="1" applyAlignment="1">
      <alignment horizontal="left"/>
    </xf>
    <xf numFmtId="43" fontId="0" fillId="0" borderId="9" xfId="1" applyFont="1" applyBorder="1"/>
    <xf numFmtId="10" fontId="0" fillId="0" borderId="1" xfId="3" applyNumberFormat="1" applyFont="1" applyBorder="1"/>
    <xf numFmtId="170" fontId="0" fillId="0" borderId="2" xfId="3" applyNumberFormat="1" applyFont="1" applyBorder="1"/>
    <xf numFmtId="43" fontId="0" fillId="0" borderId="2" xfId="1" applyFont="1" applyBorder="1"/>
    <xf numFmtId="166" fontId="0" fillId="0" borderId="11" xfId="3" applyNumberFormat="1" applyFont="1" applyBorder="1"/>
    <xf numFmtId="0" fontId="0" fillId="0" borderId="1" xfId="0" applyBorder="1"/>
    <xf numFmtId="171" fontId="13" fillId="0" borderId="9" xfId="0" applyNumberFormat="1" applyFont="1" applyBorder="1" applyProtection="1">
      <protection locked="0"/>
    </xf>
    <xf numFmtId="10" fontId="0" fillId="0" borderId="3" xfId="3" applyNumberFormat="1" applyFont="1" applyBorder="1"/>
    <xf numFmtId="170" fontId="0" fillId="0" borderId="0" xfId="3" applyNumberFormat="1" applyFont="1"/>
    <xf numFmtId="43" fontId="0" fillId="2" borderId="3" xfId="1" applyFont="1" applyFill="1" applyBorder="1" applyAlignment="1">
      <alignment horizontal="left"/>
    </xf>
    <xf numFmtId="10" fontId="0" fillId="0" borderId="0" xfId="3" applyNumberFormat="1" applyFont="1"/>
    <xf numFmtId="2" fontId="0" fillId="2" borderId="11" xfId="0" applyNumberFormat="1" applyFill="1" applyBorder="1" applyProtection="1">
      <protection locked="0"/>
    </xf>
    <xf numFmtId="0" fontId="10" fillId="0" borderId="0" xfId="0" applyFont="1"/>
    <xf numFmtId="172" fontId="0" fillId="2" borderId="11" xfId="0" applyNumberFormat="1" applyFill="1" applyBorder="1"/>
    <xf numFmtId="171" fontId="0" fillId="0" borderId="10" xfId="1" applyNumberFormat="1" applyFont="1" applyBorder="1" applyProtection="1">
      <protection locked="0"/>
    </xf>
    <xf numFmtId="10" fontId="0" fillId="0" borderId="4" xfId="3" applyNumberFormat="1" applyFont="1" applyBorder="1"/>
    <xf numFmtId="170" fontId="0" fillId="0" borderId="5" xfId="3" applyNumberFormat="1" applyFont="1" applyBorder="1"/>
    <xf numFmtId="43" fontId="0" fillId="0" borderId="5" xfId="1" applyFont="1" applyBorder="1"/>
    <xf numFmtId="43" fontId="0" fillId="2" borderId="4" xfId="1" applyFont="1" applyFill="1" applyBorder="1" applyAlignment="1">
      <alignment horizontal="left"/>
    </xf>
    <xf numFmtId="8" fontId="0" fillId="0" borderId="10" xfId="0" applyNumberFormat="1" applyBorder="1" applyProtection="1">
      <protection locked="0"/>
    </xf>
    <xf numFmtId="173" fontId="0" fillId="0" borderId="0" xfId="3" applyNumberFormat="1" applyFont="1"/>
    <xf numFmtId="171" fontId="0" fillId="0" borderId="0" xfId="1" applyNumberFormat="1" applyFont="1" applyProtection="1">
      <protection locked="0"/>
    </xf>
    <xf numFmtId="8" fontId="11" fillId="0" borderId="0" xfId="0" applyNumberFormat="1" applyFont="1"/>
    <xf numFmtId="43" fontId="0" fillId="2" borderId="8" xfId="1" applyFont="1" applyFill="1" applyBorder="1" applyAlignment="1">
      <alignment horizontal="left"/>
    </xf>
    <xf numFmtId="166" fontId="0" fillId="2" borderId="6" xfId="0" applyNumberFormat="1" applyFill="1" applyBorder="1" applyAlignment="1">
      <alignment horizontal="right"/>
    </xf>
    <xf numFmtId="0" fontId="0" fillId="0" borderId="2" xfId="0" applyBorder="1" applyAlignment="1">
      <alignment horizontal="right"/>
    </xf>
    <xf numFmtId="43" fontId="0" fillId="0" borderId="2" xfId="1" applyFont="1" applyBorder="1" applyAlignment="1">
      <alignment horizontal="right"/>
    </xf>
    <xf numFmtId="10" fontId="0" fillId="0" borderId="2" xfId="0" applyNumberFormat="1" applyBorder="1" applyAlignment="1">
      <alignment horizontal="right"/>
    </xf>
    <xf numFmtId="10" fontId="0" fillId="0" borderId="2" xfId="3" applyNumberFormat="1" applyFont="1" applyBorder="1" applyAlignment="1">
      <alignment horizontal="center"/>
    </xf>
    <xf numFmtId="43" fontId="0" fillId="0" borderId="2" xfId="1" applyFont="1" applyBorder="1" applyAlignment="1">
      <alignment horizontal="center"/>
    </xf>
    <xf numFmtId="0" fontId="0" fillId="0" borderId="5" xfId="0" quotePrefix="1" applyBorder="1" applyAlignment="1">
      <alignment horizontal="center"/>
    </xf>
    <xf numFmtId="0" fontId="0" fillId="0" borderId="5" xfId="0" applyBorder="1" applyAlignment="1">
      <alignment horizontal="right"/>
    </xf>
    <xf numFmtId="43" fontId="0" fillId="0" borderId="5" xfId="1" applyFont="1" applyBorder="1" applyAlignment="1">
      <alignment horizontal="right"/>
    </xf>
    <xf numFmtId="10" fontId="0" fillId="0" borderId="5" xfId="0" applyNumberFormat="1" applyBorder="1" applyAlignment="1">
      <alignment horizontal="right"/>
    </xf>
    <xf numFmtId="10" fontId="0" fillId="0" borderId="5" xfId="3" applyNumberFormat="1" applyFont="1" applyBorder="1" applyAlignment="1">
      <alignment horizontal="center"/>
    </xf>
    <xf numFmtId="170" fontId="0" fillId="0" borderId="5" xfId="3" applyNumberFormat="1" applyFont="1" applyBorder="1" applyAlignment="1">
      <alignment horizontal="right"/>
    </xf>
    <xf numFmtId="43" fontId="0" fillId="0" borderId="5" xfId="1" applyFont="1" applyBorder="1" applyAlignment="1">
      <alignment horizontal="center"/>
    </xf>
    <xf numFmtId="0" fontId="0" fillId="0" borderId="0" xfId="0" quotePrefix="1" applyAlignment="1">
      <alignment horizontal="center"/>
    </xf>
    <xf numFmtId="43" fontId="11" fillId="0" borderId="0" xfId="0" applyNumberFormat="1" applyFont="1"/>
    <xf numFmtId="43" fontId="0" fillId="0" borderId="0" xfId="1" applyFont="1" applyAlignment="1">
      <alignment horizontal="right"/>
    </xf>
    <xf numFmtId="10" fontId="0" fillId="0" borderId="0" xfId="0" applyNumberFormat="1" applyAlignment="1">
      <alignment horizontal="right"/>
    </xf>
    <xf numFmtId="10" fontId="0" fillId="0" borderId="0" xfId="3" applyNumberFormat="1" applyFont="1" applyAlignment="1">
      <alignment horizontal="center"/>
    </xf>
    <xf numFmtId="170" fontId="0" fillId="0" borderId="0" xfId="3" applyNumberFormat="1" applyFont="1" applyAlignment="1">
      <alignment horizontal="right"/>
    </xf>
    <xf numFmtId="43" fontId="0" fillId="0" borderId="0" xfId="1" applyFont="1" applyAlignment="1">
      <alignment horizontal="center"/>
    </xf>
    <xf numFmtId="43" fontId="0" fillId="0" borderId="0" xfId="1" quotePrefix="1" applyFont="1"/>
    <xf numFmtId="43" fontId="0" fillId="0" borderId="0" xfId="0" applyNumberFormat="1"/>
    <xf numFmtId="43" fontId="0" fillId="0" borderId="2" xfId="0" applyNumberFormat="1" applyBorder="1"/>
    <xf numFmtId="174" fontId="0" fillId="0" borderId="2" xfId="3" applyNumberFormat="1" applyFont="1" applyBorder="1"/>
    <xf numFmtId="1" fontId="0" fillId="0" borderId="0" xfId="0" applyNumberFormat="1"/>
    <xf numFmtId="49" fontId="0" fillId="0" borderId="0" xfId="0" applyNumberFormat="1"/>
    <xf numFmtId="0" fontId="1" fillId="0" borderId="0" xfId="0" applyFont="1"/>
    <xf numFmtId="0" fontId="6" fillId="0" borderId="0" xfId="0" applyFont="1" applyAlignment="1">
      <alignment horizontal="center"/>
    </xf>
    <xf numFmtId="166" fontId="0" fillId="0" borderId="0" xfId="0" applyNumberFormat="1"/>
    <xf numFmtId="0" fontId="6" fillId="0" borderId="0" xfId="0" applyFont="1"/>
    <xf numFmtId="0" fontId="0" fillId="0" borderId="0" xfId="0" applyAlignment="1">
      <alignment vertical="center"/>
    </xf>
    <xf numFmtId="43" fontId="0" fillId="0" borderId="11" xfId="1" applyFont="1" applyBorder="1"/>
    <xf numFmtId="175" fontId="0" fillId="0" borderId="0" xfId="0" applyNumberFormat="1"/>
    <xf numFmtId="176" fontId="0" fillId="0" borderId="0" xfId="0" applyNumberFormat="1"/>
    <xf numFmtId="176" fontId="0" fillId="0" borderId="0" xfId="2" applyNumberFormat="1" applyFont="1"/>
    <xf numFmtId="176" fontId="0" fillId="0" borderId="0" xfId="0" applyNumberFormat="1" applyAlignment="1">
      <alignment vertical="center"/>
    </xf>
    <xf numFmtId="43" fontId="6" fillId="0" borderId="17" xfId="0" applyNumberFormat="1" applyFont="1" applyBorder="1" applyAlignment="1">
      <alignment horizontal="center"/>
    </xf>
    <xf numFmtId="43" fontId="6" fillId="0" borderId="17" xfId="1" applyFont="1"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3" fontId="6" fillId="0" borderId="17" xfId="1" applyFont="1" applyBorder="1" applyAlignment="1">
      <alignment horizontal="center" wrapText="1"/>
    </xf>
    <xf numFmtId="0" fontId="19" fillId="0" borderId="0" xfId="0" applyFont="1"/>
    <xf numFmtId="178" fontId="0" fillId="0" borderId="0" xfId="0" applyNumberFormat="1"/>
    <xf numFmtId="14" fontId="0" fillId="0" borderId="0" xfId="0" applyNumberFormat="1" applyAlignment="1">
      <alignment horizontal="center"/>
    </xf>
    <xf numFmtId="0" fontId="0" fillId="0" borderId="7" xfId="0" applyBorder="1"/>
    <xf numFmtId="0" fontId="0" fillId="0" borderId="12" xfId="0" applyBorder="1"/>
    <xf numFmtId="0" fontId="0" fillId="0" borderId="0" xfId="0" applyNumberFormat="1"/>
    <xf numFmtId="176" fontId="0" fillId="0" borderId="9" xfId="0" applyNumberFormat="1" applyBorder="1"/>
    <xf numFmtId="176" fontId="0" fillId="0" borderId="11" xfId="0" applyNumberFormat="1" applyBorder="1"/>
    <xf numFmtId="0" fontId="0" fillId="0" borderId="0" xfId="0" applyProtection="1">
      <protection locked="0"/>
    </xf>
    <xf numFmtId="0" fontId="0" fillId="0" borderId="0" xfId="0" applyNumberFormat="1" applyAlignment="1" applyProtection="1">
      <alignment horizontal="right"/>
      <protection locked="0"/>
    </xf>
    <xf numFmtId="0" fontId="0" fillId="0" borderId="0" xfId="0" applyAlignment="1" applyProtection="1">
      <alignment horizontal="center"/>
      <protection locked="0"/>
    </xf>
    <xf numFmtId="0" fontId="21" fillId="5" borderId="57" xfId="0" applyFont="1" applyFill="1" applyBorder="1" applyAlignment="1" applyProtection="1">
      <alignment wrapText="1"/>
      <protection locked="0"/>
    </xf>
    <xf numFmtId="0" fontId="22" fillId="5" borderId="58" xfId="0" applyFont="1" applyFill="1" applyBorder="1" applyAlignment="1" applyProtection="1">
      <alignment wrapText="1"/>
      <protection locked="0"/>
    </xf>
    <xf numFmtId="0" fontId="21" fillId="5" borderId="58" xfId="0" applyFont="1" applyFill="1" applyBorder="1" applyAlignment="1" applyProtection="1">
      <alignment horizontal="center" wrapText="1"/>
      <protection locked="0"/>
    </xf>
    <xf numFmtId="0" fontId="0" fillId="0" borderId="0" xfId="0" applyAlignment="1" applyProtection="1">
      <protection locked="0"/>
    </xf>
    <xf numFmtId="0" fontId="24" fillId="7" borderId="57" xfId="0" applyFont="1" applyFill="1" applyBorder="1" applyAlignment="1" applyProtection="1">
      <alignment wrapText="1"/>
      <protection locked="0"/>
    </xf>
    <xf numFmtId="0" fontId="3" fillId="7" borderId="58" xfId="0" applyFont="1" applyFill="1" applyBorder="1" applyAlignment="1" applyProtection="1">
      <alignment wrapText="1"/>
      <protection locked="0"/>
    </xf>
    <xf numFmtId="0" fontId="24" fillId="7" borderId="59" xfId="0" applyFont="1" applyFill="1" applyBorder="1" applyAlignment="1" applyProtection="1">
      <alignment wrapText="1"/>
      <protection locked="0"/>
    </xf>
    <xf numFmtId="0" fontId="3" fillId="7" borderId="60" xfId="0" applyFont="1" applyFill="1" applyBorder="1" applyAlignment="1" applyProtection="1">
      <alignment wrapText="1"/>
      <protection locked="0"/>
    </xf>
    <xf numFmtId="0" fontId="24" fillId="6" borderId="59" xfId="0" applyFont="1" applyFill="1" applyBorder="1" applyAlignment="1" applyProtection="1">
      <alignment wrapText="1"/>
      <protection locked="0"/>
    </xf>
    <xf numFmtId="0" fontId="3" fillId="6" borderId="60" xfId="0" applyFont="1" applyFill="1" applyBorder="1" applyAlignment="1" applyProtection="1">
      <alignment wrapText="1"/>
      <protection locked="0"/>
    </xf>
    <xf numFmtId="0" fontId="0" fillId="8" borderId="11" xfId="0" applyFill="1" applyBorder="1" applyAlignment="1" applyProtection="1">
      <alignment horizontal="right"/>
      <protection locked="0"/>
    </xf>
    <xf numFmtId="0" fontId="0" fillId="8" borderId="11" xfId="0" applyFill="1" applyBorder="1" applyProtection="1">
      <protection locked="0"/>
    </xf>
    <xf numFmtId="176" fontId="0" fillId="0" borderId="0" xfId="0" applyNumberFormat="1" applyProtection="1">
      <protection locked="0"/>
    </xf>
    <xf numFmtId="0" fontId="23" fillId="6" borderId="60" xfId="0" applyFont="1" applyFill="1" applyBorder="1" applyAlignment="1" applyProtection="1">
      <alignment wrapText="1"/>
      <protection locked="0"/>
    </xf>
    <xf numFmtId="0" fontId="24" fillId="6" borderId="60" xfId="0" applyFont="1" applyFill="1" applyBorder="1" applyAlignment="1" applyProtection="1">
      <alignment wrapText="1"/>
      <protection locked="0"/>
    </xf>
    <xf numFmtId="0" fontId="0" fillId="8" borderId="11" xfId="0" applyNumberFormat="1" applyFill="1" applyBorder="1" applyAlignment="1" applyProtection="1">
      <alignment horizontal="right"/>
      <protection locked="0"/>
    </xf>
    <xf numFmtId="0" fontId="0" fillId="0" borderId="0" xfId="0" applyBorder="1" applyProtection="1">
      <protection locked="0"/>
    </xf>
    <xf numFmtId="0" fontId="0" fillId="0" borderId="0" xfId="0" applyNumberFormat="1" applyBorder="1" applyAlignment="1" applyProtection="1">
      <alignment horizontal="right"/>
      <protection locked="0"/>
    </xf>
    <xf numFmtId="0" fontId="3" fillId="7" borderId="59" xfId="0" applyFont="1" applyFill="1" applyBorder="1" applyAlignment="1" applyProtection="1">
      <alignment wrapText="1"/>
      <protection locked="0"/>
    </xf>
    <xf numFmtId="0" fontId="25" fillId="7" borderId="61" xfId="0" applyFont="1" applyFill="1" applyBorder="1" applyAlignment="1" applyProtection="1">
      <alignment horizontal="right" wrapText="1"/>
      <protection locked="0"/>
    </xf>
    <xf numFmtId="0" fontId="23" fillId="7" borderId="60" xfId="0" applyFont="1" applyFill="1" applyBorder="1" applyAlignment="1" applyProtection="1">
      <alignment wrapText="1"/>
      <protection locked="0"/>
    </xf>
    <xf numFmtId="0" fontId="24" fillId="7" borderId="60" xfId="0" applyFont="1" applyFill="1" applyBorder="1" applyAlignment="1" applyProtection="1">
      <alignment wrapText="1"/>
      <protection locked="0"/>
    </xf>
    <xf numFmtId="0" fontId="3" fillId="0" borderId="59" xfId="0" applyFont="1" applyBorder="1" applyAlignment="1" applyProtection="1">
      <alignment wrapText="1"/>
      <protection locked="0"/>
    </xf>
    <xf numFmtId="0" fontId="3" fillId="6" borderId="60" xfId="0" applyFont="1" applyFill="1" applyBorder="1" applyAlignment="1" applyProtection="1">
      <alignment vertical="center" wrapText="1"/>
      <protection locked="0"/>
    </xf>
    <xf numFmtId="0" fontId="3" fillId="6" borderId="59" xfId="0" applyFont="1" applyFill="1" applyBorder="1" applyAlignment="1" applyProtection="1">
      <alignment wrapText="1"/>
      <protection locked="0"/>
    </xf>
    <xf numFmtId="0" fontId="23" fillId="0" borderId="61" xfId="0" applyFont="1" applyBorder="1" applyAlignment="1" applyProtection="1">
      <alignment wrapText="1"/>
      <protection locked="0"/>
    </xf>
    <xf numFmtId="0" fontId="3" fillId="6" borderId="61" xfId="0" applyFont="1" applyFill="1" applyBorder="1" applyAlignment="1" applyProtection="1">
      <alignment wrapText="1"/>
      <protection locked="0"/>
    </xf>
    <xf numFmtId="0" fontId="23" fillId="0" borderId="60" xfId="0" applyFont="1" applyBorder="1" applyAlignment="1" applyProtection="1">
      <alignment wrapText="1"/>
      <protection locked="0"/>
    </xf>
    <xf numFmtId="0" fontId="26" fillId="7" borderId="59" xfId="0" applyFont="1" applyFill="1" applyBorder="1" applyAlignment="1" applyProtection="1">
      <alignment wrapText="1"/>
      <protection locked="0"/>
    </xf>
    <xf numFmtId="0" fontId="23" fillId="0" borderId="60" xfId="0" applyFont="1" applyBorder="1" applyAlignment="1" applyProtection="1">
      <alignment horizontal="right" wrapText="1"/>
      <protection locked="0"/>
    </xf>
    <xf numFmtId="0" fontId="23" fillId="6" borderId="59" xfId="0" applyFont="1" applyFill="1" applyBorder="1" applyAlignment="1" applyProtection="1">
      <alignment wrapText="1"/>
      <protection locked="0"/>
    </xf>
    <xf numFmtId="0" fontId="23" fillId="7" borderId="59" xfId="0" applyFont="1" applyFill="1" applyBorder="1" applyAlignment="1" applyProtection="1">
      <alignment wrapText="1"/>
      <protection locked="0"/>
    </xf>
    <xf numFmtId="0" fontId="27" fillId="7" borderId="60" xfId="0" applyFont="1" applyFill="1" applyBorder="1" applyAlignment="1" applyProtection="1">
      <alignment wrapText="1"/>
      <protection locked="0"/>
    </xf>
    <xf numFmtId="0" fontId="0" fillId="0" borderId="3" xfId="0" applyBorder="1" applyProtection="1"/>
    <xf numFmtId="176" fontId="0" fillId="0" borderId="11" xfId="0" applyNumberFormat="1" applyBorder="1" applyProtection="1"/>
    <xf numFmtId="176" fontId="0" fillId="0" borderId="12" xfId="0" applyNumberFormat="1" applyBorder="1" applyAlignment="1" applyProtection="1">
      <alignment horizontal="right"/>
    </xf>
    <xf numFmtId="0" fontId="0" fillId="0" borderId="11" xfId="0" applyNumberFormat="1" applyBorder="1" applyAlignment="1" applyProtection="1">
      <alignment horizontal="right"/>
    </xf>
    <xf numFmtId="0" fontId="0" fillId="0" borderId="4" xfId="0" applyBorder="1" applyProtection="1"/>
    <xf numFmtId="176" fontId="6" fillId="0" borderId="12" xfId="0" applyNumberFormat="1" applyFont="1" applyBorder="1" applyAlignment="1" applyProtection="1">
      <alignment horizontal="right"/>
    </xf>
    <xf numFmtId="176" fontId="0" fillId="0" borderId="12" xfId="0" applyNumberFormat="1" applyBorder="1" applyProtection="1"/>
    <xf numFmtId="0" fontId="0" fillId="0" borderId="0" xfId="0" applyProtection="1"/>
    <xf numFmtId="0" fontId="0" fillId="0" borderId="0" xfId="0" applyNumberFormat="1" applyAlignment="1" applyProtection="1">
      <alignment horizontal="right"/>
    </xf>
    <xf numFmtId="0" fontId="6" fillId="0" borderId="0" xfId="0" applyFont="1" applyProtection="1"/>
    <xf numFmtId="176" fontId="0" fillId="0" borderId="0" xfId="0" applyNumberFormat="1" applyProtection="1"/>
    <xf numFmtId="14" fontId="0" fillId="0" borderId="0" xfId="0" applyNumberFormat="1" applyProtection="1"/>
    <xf numFmtId="0" fontId="0" fillId="0" borderId="0" xfId="0" applyAlignment="1" applyProtection="1">
      <alignment horizontal="centerContinuous"/>
    </xf>
    <xf numFmtId="0" fontId="0" fillId="0" borderId="0" xfId="0" applyAlignment="1" applyProtection="1">
      <alignment horizontal="center"/>
    </xf>
    <xf numFmtId="0" fontId="0" fillId="0" borderId="11" xfId="0" applyBorder="1" applyAlignment="1" applyProtection="1">
      <alignment horizontal="center"/>
    </xf>
    <xf numFmtId="0" fontId="4" fillId="0" borderId="0" xfId="0" applyFont="1" applyProtection="1"/>
    <xf numFmtId="0" fontId="1" fillId="0" borderId="0" xfId="0" applyFont="1" applyProtection="1"/>
    <xf numFmtId="0" fontId="4" fillId="0" borderId="0" xfId="0" applyFont="1" applyAlignment="1" applyProtection="1">
      <alignment horizontal="right"/>
    </xf>
    <xf numFmtId="0" fontId="4" fillId="0" borderId="0" xfId="0" applyFont="1" applyAlignment="1" applyProtection="1">
      <alignment horizontal="center"/>
    </xf>
    <xf numFmtId="0" fontId="1" fillId="0" borderId="0" xfId="0" applyFont="1" applyAlignment="1" applyProtection="1">
      <alignment horizontal="center"/>
    </xf>
    <xf numFmtId="0" fontId="0" fillId="2" borderId="0" xfId="0" applyFill="1" applyProtection="1"/>
    <xf numFmtId="0" fontId="7" fillId="0" borderId="1" xfId="0" applyFont="1" applyBorder="1" applyProtection="1"/>
    <xf numFmtId="0" fontId="0" fillId="0" borderId="2" xfId="0" applyBorder="1" applyProtection="1"/>
    <xf numFmtId="0" fontId="0" fillId="0" borderId="9" xfId="0" applyBorder="1" applyProtection="1"/>
    <xf numFmtId="0" fontId="0" fillId="0" borderId="11" xfId="0" applyBorder="1" applyProtection="1"/>
    <xf numFmtId="0" fontId="0" fillId="0" borderId="5" xfId="0" applyBorder="1" applyProtection="1"/>
    <xf numFmtId="0" fontId="0" fillId="0" borderId="10" xfId="0" applyBorder="1" applyProtection="1"/>
    <xf numFmtId="176" fontId="0" fillId="0" borderId="0" xfId="0" applyNumberFormat="1" applyAlignment="1" applyProtection="1"/>
    <xf numFmtId="0" fontId="0" fillId="0" borderId="0" xfId="0" applyAlignment="1" applyProtection="1"/>
    <xf numFmtId="0" fontId="0" fillId="0" borderId="2" xfId="0" applyBorder="1" applyAlignment="1"/>
    <xf numFmtId="0" fontId="0" fillId="0" borderId="0" xfId="0" applyBorder="1" applyAlignment="1"/>
    <xf numFmtId="0" fontId="1" fillId="0" borderId="53" xfId="0" applyFont="1" applyBorder="1" applyAlignment="1" applyProtection="1">
      <alignment horizontal="center"/>
    </xf>
    <xf numFmtId="0" fontId="1" fillId="0" borderId="11" xfId="0" applyFont="1" applyBorder="1" applyAlignment="1" applyProtection="1">
      <alignment horizontal="center"/>
    </xf>
    <xf numFmtId="0" fontId="0" fillId="0" borderId="0" xfId="0" applyFill="1" applyProtection="1">
      <protection hidden="1"/>
    </xf>
    <xf numFmtId="44" fontId="0" fillId="0" borderId="0" xfId="2" applyFont="1" applyProtection="1">
      <protection hidden="1"/>
    </xf>
    <xf numFmtId="44" fontId="0" fillId="0" borderId="0" xfId="2" applyFont="1" applyFill="1" applyProtection="1">
      <protection hidden="1"/>
    </xf>
    <xf numFmtId="0" fontId="6" fillId="0" borderId="0" xfId="0" applyFont="1" applyFill="1" applyProtection="1">
      <protection hidden="1"/>
    </xf>
    <xf numFmtId="10" fontId="0" fillId="0" borderId="0" xfId="0" applyNumberFormat="1" applyProtection="1">
      <protection hidden="1"/>
    </xf>
    <xf numFmtId="0" fontId="0" fillId="0" borderId="54" xfId="0" applyBorder="1"/>
    <xf numFmtId="0" fontId="0" fillId="0" borderId="53" xfId="0" applyBorder="1"/>
    <xf numFmtId="44" fontId="0" fillId="0" borderId="0" xfId="2" applyFont="1"/>
    <xf numFmtId="44" fontId="0" fillId="0" borderId="0" xfId="2" applyFont="1" applyFill="1"/>
    <xf numFmtId="0" fontId="0" fillId="0" borderId="0" xfId="0" applyFill="1"/>
    <xf numFmtId="0" fontId="0" fillId="0" borderId="0" xfId="0" applyProtection="1">
      <protection hidden="1"/>
    </xf>
    <xf numFmtId="14" fontId="0" fillId="10" borderId="62" xfId="0" applyNumberFormat="1" applyFill="1" applyBorder="1" applyProtection="1">
      <protection locked="0"/>
    </xf>
    <xf numFmtId="44" fontId="0" fillId="0" borderId="0" xfId="0" applyNumberFormat="1"/>
    <xf numFmtId="0" fontId="6" fillId="0" borderId="0" xfId="0" quotePrefix="1" applyFont="1" applyFill="1" applyProtection="1">
      <protection hidden="1"/>
    </xf>
    <xf numFmtId="0" fontId="0" fillId="0" borderId="0" xfId="0" applyNumberFormat="1" applyFill="1" applyProtection="1">
      <protection hidden="1"/>
    </xf>
    <xf numFmtId="0" fontId="6" fillId="0" borderId="54" xfId="0" applyFont="1" applyBorder="1" applyAlignment="1">
      <alignment horizontal="center"/>
    </xf>
    <xf numFmtId="0" fontId="6" fillId="0" borderId="53" xfId="0" applyFont="1" applyBorder="1" applyAlignment="1">
      <alignment horizontal="center"/>
    </xf>
    <xf numFmtId="0" fontId="6" fillId="0" borderId="35" xfId="0" applyFont="1" applyBorder="1" applyAlignment="1">
      <alignment wrapText="1"/>
    </xf>
    <xf numFmtId="0" fontId="6" fillId="0" borderId="35" xfId="0" applyNumberFormat="1" applyFont="1" applyBorder="1" applyAlignment="1">
      <alignment wrapText="1"/>
    </xf>
    <xf numFmtId="0" fontId="6" fillId="0" borderId="35" xfId="0" applyFont="1" applyFill="1" applyBorder="1" applyAlignment="1" applyProtection="1">
      <alignment wrapText="1"/>
      <protection hidden="1"/>
    </xf>
    <xf numFmtId="0" fontId="6" fillId="0" borderId="35" xfId="0" applyFont="1" applyBorder="1" applyAlignment="1" applyProtection="1">
      <alignment wrapText="1"/>
    </xf>
    <xf numFmtId="14" fontId="6" fillId="0" borderId="35" xfId="0" applyNumberFormat="1" applyFont="1" applyBorder="1" applyAlignment="1">
      <alignment wrapText="1"/>
    </xf>
    <xf numFmtId="0" fontId="6" fillId="0" borderId="35" xfId="0" applyFont="1" applyBorder="1" applyAlignment="1" applyProtection="1">
      <alignment wrapText="1"/>
      <protection hidden="1"/>
    </xf>
    <xf numFmtId="44" fontId="6" fillId="0" borderId="35" xfId="2" applyFont="1" applyFill="1" applyBorder="1" applyAlignment="1" applyProtection="1">
      <alignment wrapText="1"/>
      <protection hidden="1"/>
    </xf>
    <xf numFmtId="166" fontId="6" fillId="0" borderId="35" xfId="0" applyNumberFormat="1" applyFont="1" applyBorder="1" applyAlignment="1">
      <alignment wrapText="1"/>
    </xf>
    <xf numFmtId="10" fontId="6" fillId="0" borderId="35" xfId="0" applyNumberFormat="1" applyFont="1" applyBorder="1" applyAlignment="1" applyProtection="1">
      <alignment wrapText="1"/>
      <protection hidden="1"/>
    </xf>
    <xf numFmtId="0" fontId="6" fillId="0" borderId="35" xfId="0" applyFont="1" applyBorder="1" applyAlignment="1" applyProtection="1">
      <alignment wrapText="1"/>
      <protection locked="0"/>
    </xf>
    <xf numFmtId="0" fontId="6" fillId="0" borderId="36" xfId="0" applyFont="1" applyBorder="1" applyAlignment="1">
      <alignment wrapText="1"/>
    </xf>
    <xf numFmtId="0" fontId="6" fillId="0" borderId="34" xfId="0" applyFont="1" applyBorder="1" applyAlignment="1">
      <alignment wrapText="1"/>
    </xf>
    <xf numFmtId="9" fontId="6" fillId="0" borderId="35" xfId="3" applyFont="1" applyFill="1" applyBorder="1" applyAlignment="1" applyProtection="1">
      <alignment wrapText="1"/>
      <protection hidden="1"/>
    </xf>
    <xf numFmtId="10" fontId="6" fillId="0" borderId="35" xfId="0" applyNumberFormat="1" applyFont="1" applyBorder="1" applyProtection="1">
      <protection hidden="1"/>
    </xf>
    <xf numFmtId="44" fontId="6" fillId="0" borderId="35" xfId="2" applyFont="1" applyBorder="1" applyProtection="1">
      <protection hidden="1"/>
    </xf>
    <xf numFmtId="44" fontId="6" fillId="0" borderId="35" xfId="2" applyFont="1" applyBorder="1" applyAlignment="1">
      <alignment wrapText="1"/>
    </xf>
    <xf numFmtId="44" fontId="6" fillId="0" borderId="35" xfId="2" applyFont="1" applyFill="1" applyBorder="1" applyAlignment="1">
      <alignment wrapText="1"/>
    </xf>
    <xf numFmtId="10" fontId="6" fillId="0" borderId="35" xfId="3" applyNumberFormat="1" applyFont="1" applyBorder="1" applyAlignment="1">
      <alignment wrapText="1"/>
    </xf>
    <xf numFmtId="0" fontId="6" fillId="0" borderId="35" xfId="0" applyFont="1" applyFill="1" applyBorder="1" applyAlignment="1">
      <alignment wrapText="1"/>
    </xf>
    <xf numFmtId="9" fontId="6" fillId="0" borderId="35" xfId="3" applyFont="1" applyFill="1" applyBorder="1" applyAlignment="1">
      <alignment wrapText="1"/>
    </xf>
    <xf numFmtId="0" fontId="0" fillId="0" borderId="35" xfId="0" applyBorder="1" applyProtection="1">
      <protection hidden="1"/>
    </xf>
    <xf numFmtId="0" fontId="0" fillId="0" borderId="35" xfId="0" applyBorder="1"/>
    <xf numFmtId="0" fontId="0" fillId="0" borderId="62" xfId="0" applyBorder="1"/>
    <xf numFmtId="10" fontId="0" fillId="10" borderId="62" xfId="3" applyNumberFormat="1" applyFont="1" applyFill="1" applyBorder="1" applyProtection="1">
      <protection locked="0"/>
    </xf>
    <xf numFmtId="0" fontId="0" fillId="10" borderId="62" xfId="0" applyNumberFormat="1" applyFill="1" applyBorder="1" applyProtection="1">
      <protection locked="0"/>
    </xf>
    <xf numFmtId="14" fontId="0" fillId="0" borderId="62" xfId="0" applyNumberFormat="1" applyFill="1" applyBorder="1" applyProtection="1">
      <protection hidden="1"/>
    </xf>
    <xf numFmtId="10" fontId="0" fillId="10" borderId="63" xfId="3" applyNumberFormat="1" applyFont="1" applyFill="1" applyBorder="1" applyProtection="1">
      <protection locked="0"/>
    </xf>
    <xf numFmtId="0" fontId="0" fillId="10" borderId="62" xfId="3" applyNumberFormat="1" applyFont="1" applyFill="1" applyBorder="1" applyProtection="1">
      <protection locked="0"/>
    </xf>
    <xf numFmtId="14" fontId="0" fillId="10" borderId="62" xfId="3" applyNumberFormat="1" applyFont="1" applyFill="1" applyBorder="1" applyProtection="1">
      <protection locked="0"/>
    </xf>
    <xf numFmtId="0" fontId="0" fillId="0" borderId="62" xfId="3" applyNumberFormat="1" applyFont="1" applyFill="1" applyBorder="1" applyProtection="1">
      <protection hidden="1"/>
    </xf>
    <xf numFmtId="179" fontId="0" fillId="10" borderId="63" xfId="2" applyNumberFormat="1" applyFont="1" applyFill="1" applyBorder="1" applyProtection="1">
      <protection locked="0"/>
    </xf>
    <xf numFmtId="44" fontId="0" fillId="10" borderId="63" xfId="2" applyFont="1" applyFill="1" applyBorder="1" applyProtection="1">
      <protection locked="0"/>
    </xf>
    <xf numFmtId="44" fontId="0" fillId="0" borderId="62" xfId="2" applyFont="1" applyFill="1" applyBorder="1" applyProtection="1">
      <protection hidden="1"/>
    </xf>
    <xf numFmtId="44" fontId="0" fillId="10" borderId="62" xfId="2" applyFont="1" applyFill="1" applyBorder="1" applyProtection="1">
      <protection locked="0"/>
    </xf>
    <xf numFmtId="44" fontId="0" fillId="0" borderId="62" xfId="2" applyFont="1" applyFill="1" applyBorder="1"/>
    <xf numFmtId="9" fontId="0" fillId="0" borderId="62" xfId="3" applyNumberFormat="1" applyFont="1" applyFill="1" applyBorder="1" applyProtection="1">
      <protection hidden="1"/>
    </xf>
    <xf numFmtId="166" fontId="0" fillId="10" borderId="63" xfId="0" applyNumberFormat="1" applyFill="1" applyBorder="1" applyProtection="1">
      <protection locked="0"/>
    </xf>
    <xf numFmtId="0" fontId="0" fillId="10" borderId="62" xfId="0" applyFill="1" applyBorder="1" applyProtection="1">
      <protection locked="0"/>
    </xf>
    <xf numFmtId="14" fontId="0" fillId="10" borderId="62" xfId="0" applyNumberFormat="1" applyFill="1" applyBorder="1"/>
    <xf numFmtId="8" fontId="0" fillId="0" borderId="62" xfId="0" applyNumberFormat="1" applyFill="1" applyBorder="1" applyProtection="1">
      <protection hidden="1"/>
    </xf>
    <xf numFmtId="10" fontId="0" fillId="0" borderId="62" xfId="3" applyNumberFormat="1" applyFont="1" applyFill="1" applyBorder="1" applyProtection="1">
      <protection hidden="1"/>
    </xf>
    <xf numFmtId="10" fontId="0" fillId="0" borderId="62" xfId="0" applyNumberFormat="1" applyFill="1" applyBorder="1" applyProtection="1">
      <protection hidden="1"/>
    </xf>
    <xf numFmtId="44" fontId="0" fillId="0" borderId="62" xfId="0" applyNumberFormat="1" applyBorder="1" applyProtection="1">
      <protection hidden="1"/>
    </xf>
    <xf numFmtId="44" fontId="0" fillId="0" borderId="62" xfId="2" applyFont="1" applyBorder="1" applyProtection="1">
      <protection hidden="1"/>
    </xf>
    <xf numFmtId="10" fontId="0" fillId="0" borderId="62" xfId="3" applyNumberFormat="1" applyFont="1" applyBorder="1" applyProtection="1">
      <protection hidden="1"/>
    </xf>
    <xf numFmtId="44" fontId="0" fillId="0" borderId="62" xfId="2" applyFont="1" applyBorder="1" applyProtection="1">
      <protection locked="0"/>
    </xf>
    <xf numFmtId="0" fontId="0" fillId="0" borderId="64" xfId="0" applyBorder="1"/>
    <xf numFmtId="0" fontId="0" fillId="0" borderId="65" xfId="0" applyBorder="1"/>
    <xf numFmtId="0" fontId="0" fillId="0" borderId="62" xfId="0" applyNumberFormat="1" applyFill="1" applyBorder="1" applyProtection="1">
      <protection hidden="1"/>
    </xf>
    <xf numFmtId="10" fontId="0" fillId="0" borderId="63" xfId="3" applyNumberFormat="1" applyFont="1" applyFill="1" applyBorder="1" applyProtection="1">
      <protection hidden="1"/>
    </xf>
    <xf numFmtId="174" fontId="0" fillId="0" borderId="62" xfId="3" applyNumberFormat="1" applyFont="1" applyFill="1" applyBorder="1" applyProtection="1">
      <protection hidden="1"/>
    </xf>
    <xf numFmtId="9" fontId="0" fillId="0" borderId="62" xfId="3" applyFont="1" applyFill="1" applyBorder="1" applyProtection="1">
      <protection hidden="1"/>
    </xf>
    <xf numFmtId="1" fontId="0" fillId="0" borderId="62" xfId="3" applyNumberFormat="1" applyFont="1" applyFill="1" applyBorder="1" applyProtection="1">
      <protection hidden="1"/>
    </xf>
    <xf numFmtId="44" fontId="0" fillId="0" borderId="62" xfId="0" applyNumberFormat="1" applyFill="1" applyBorder="1" applyProtection="1">
      <protection hidden="1"/>
    </xf>
    <xf numFmtId="0" fontId="0" fillId="11" borderId="63" xfId="0" applyFill="1" applyBorder="1" applyProtection="1">
      <protection locked="0"/>
    </xf>
    <xf numFmtId="0" fontId="0" fillId="11" borderId="62" xfId="0" applyFill="1" applyBorder="1" applyProtection="1">
      <protection locked="0"/>
    </xf>
    <xf numFmtId="44" fontId="0" fillId="11" borderId="63" xfId="2" applyFont="1" applyFill="1" applyBorder="1" applyProtection="1">
      <protection locked="0"/>
    </xf>
    <xf numFmtId="10" fontId="0" fillId="11" borderId="63" xfId="3" applyNumberFormat="1" applyFont="1" applyFill="1" applyBorder="1" applyProtection="1">
      <protection locked="0"/>
    </xf>
    <xf numFmtId="0" fontId="0" fillId="0" borderId="62" xfId="0" applyFill="1" applyBorder="1" applyProtection="1">
      <protection hidden="1"/>
    </xf>
    <xf numFmtId="0" fontId="0" fillId="0" borderId="62" xfId="2" applyNumberFormat="1" applyFont="1" applyFill="1" applyBorder="1" applyProtection="1">
      <protection hidden="1"/>
    </xf>
    <xf numFmtId="14" fontId="0" fillId="12" borderId="63" xfId="0" applyNumberFormat="1" applyFill="1" applyBorder="1" applyProtection="1">
      <protection locked="0"/>
    </xf>
    <xf numFmtId="14" fontId="0" fillId="12" borderId="62" xfId="0" applyNumberFormat="1" applyFill="1" applyBorder="1" applyProtection="1">
      <protection locked="0"/>
    </xf>
    <xf numFmtId="0" fontId="0" fillId="12" borderId="62" xfId="0" applyFill="1" applyBorder="1" applyProtection="1">
      <protection locked="0"/>
    </xf>
    <xf numFmtId="44" fontId="0" fillId="12" borderId="63" xfId="2" applyFont="1" applyFill="1" applyBorder="1" applyProtection="1">
      <protection locked="0"/>
    </xf>
    <xf numFmtId="10" fontId="0" fillId="12" borderId="63" xfId="3" applyNumberFormat="1" applyFont="1" applyFill="1" applyBorder="1" applyProtection="1">
      <protection locked="0"/>
    </xf>
    <xf numFmtId="0" fontId="0" fillId="12" borderId="63" xfId="0" applyFill="1" applyBorder="1" applyProtection="1">
      <protection locked="0"/>
    </xf>
    <xf numFmtId="14" fontId="0" fillId="13" borderId="63" xfId="0" applyNumberFormat="1" applyFill="1" applyBorder="1" applyProtection="1">
      <protection locked="0"/>
    </xf>
    <xf numFmtId="14" fontId="0" fillId="13" borderId="62" xfId="0" applyNumberFormat="1" applyFill="1" applyBorder="1" applyProtection="1">
      <protection locked="0"/>
    </xf>
    <xf numFmtId="0" fontId="0" fillId="13" borderId="62" xfId="0" applyFill="1" applyBorder="1" applyProtection="1">
      <protection locked="0"/>
    </xf>
    <xf numFmtId="44" fontId="0" fillId="13" borderId="63" xfId="2" applyFont="1" applyFill="1" applyBorder="1" applyProtection="1">
      <protection locked="0"/>
    </xf>
    <xf numFmtId="10" fontId="0" fillId="13" borderId="63" xfId="3" applyNumberFormat="1" applyFont="1" applyFill="1" applyBorder="1" applyProtection="1">
      <protection locked="0"/>
    </xf>
    <xf numFmtId="0" fontId="0" fillId="13" borderId="63" xfId="0" applyFill="1" applyBorder="1" applyProtection="1">
      <protection locked="0"/>
    </xf>
    <xf numFmtId="14" fontId="0" fillId="14" borderId="63" xfId="0" applyNumberFormat="1" applyFill="1" applyBorder="1" applyProtection="1">
      <protection locked="0"/>
    </xf>
    <xf numFmtId="14" fontId="0" fillId="14" borderId="66" xfId="0" applyNumberFormat="1" applyFill="1" applyBorder="1" applyProtection="1">
      <protection locked="0"/>
    </xf>
    <xf numFmtId="0" fontId="0" fillId="14" borderId="62" xfId="0" applyFill="1" applyBorder="1" applyProtection="1">
      <protection locked="0"/>
    </xf>
    <xf numFmtId="44" fontId="0" fillId="14" borderId="63" xfId="2" applyFont="1" applyFill="1" applyBorder="1" applyProtection="1">
      <protection locked="0"/>
    </xf>
    <xf numFmtId="10" fontId="0" fillId="14" borderId="63" xfId="3" applyNumberFormat="1" applyFont="1" applyFill="1" applyBorder="1" applyProtection="1">
      <protection locked="0"/>
    </xf>
    <xf numFmtId="0" fontId="0" fillId="14" borderId="63" xfId="0" applyFill="1" applyBorder="1" applyProtection="1">
      <protection locked="0"/>
    </xf>
    <xf numFmtId="0" fontId="0" fillId="0" borderId="63" xfId="0" applyBorder="1"/>
    <xf numFmtId="8" fontId="0" fillId="0" borderId="63" xfId="0" applyNumberFormat="1" applyBorder="1" applyProtection="1">
      <protection hidden="1"/>
    </xf>
    <xf numFmtId="10" fontId="0" fillId="15" borderId="63" xfId="3" applyNumberFormat="1" applyFont="1" applyFill="1" applyBorder="1" applyProtection="1">
      <protection locked="0"/>
    </xf>
    <xf numFmtId="8" fontId="13" fillId="16" borderId="62" xfId="5" applyNumberFormat="1" applyFont="1" applyFill="1" applyBorder="1" applyProtection="1">
      <protection hidden="1"/>
    </xf>
    <xf numFmtId="0" fontId="0" fillId="0" borderId="0" xfId="0" applyBorder="1"/>
    <xf numFmtId="0" fontId="31" fillId="0" borderId="0" xfId="0" applyFont="1" applyAlignment="1">
      <alignment vertical="center"/>
    </xf>
    <xf numFmtId="10" fontId="0" fillId="0" borderId="0" xfId="0" applyNumberFormat="1" applyProtection="1"/>
    <xf numFmtId="0" fontId="0" fillId="0" borderId="0" xfId="0" applyAlignment="1" applyProtection="1">
      <alignment horizontal="right"/>
    </xf>
    <xf numFmtId="43" fontId="0" fillId="0" borderId="0" xfId="1" applyFont="1" applyProtection="1"/>
    <xf numFmtId="43" fontId="0" fillId="0" borderId="9" xfId="1" applyFont="1" applyFill="1" applyBorder="1"/>
    <xf numFmtId="43" fontId="0" fillId="2" borderId="0" xfId="1" applyFont="1" applyFill="1" applyBorder="1"/>
    <xf numFmtId="10" fontId="0" fillId="0" borderId="1" xfId="3" applyNumberFormat="1" applyFont="1" applyBorder="1" applyProtection="1"/>
    <xf numFmtId="170" fontId="0" fillId="0" borderId="2" xfId="3" applyNumberFormat="1" applyFont="1" applyBorder="1" applyProtection="1"/>
    <xf numFmtId="43" fontId="0" fillId="0" borderId="2" xfId="1" applyFont="1" applyBorder="1" applyProtection="1"/>
    <xf numFmtId="166" fontId="0" fillId="0" borderId="11" xfId="3" applyNumberFormat="1" applyFont="1" applyFill="1" applyBorder="1"/>
    <xf numFmtId="166" fontId="0" fillId="2" borderId="0" xfId="3" applyNumberFormat="1" applyFont="1" applyFill="1" applyBorder="1"/>
    <xf numFmtId="171" fontId="13" fillId="0" borderId="9" xfId="0" applyNumberFormat="1" applyFont="1" applyFill="1" applyBorder="1" applyProtection="1">
      <protection locked="0"/>
    </xf>
    <xf numFmtId="10" fontId="0" fillId="0" borderId="3" xfId="3" applyNumberFormat="1" applyFont="1" applyBorder="1" applyProtection="1"/>
    <xf numFmtId="170" fontId="0" fillId="0" borderId="0" xfId="3" applyNumberFormat="1" applyFont="1" applyBorder="1" applyProtection="1"/>
    <xf numFmtId="43" fontId="0" fillId="0" borderId="0" xfId="1" applyFont="1" applyBorder="1" applyProtection="1"/>
    <xf numFmtId="43" fontId="0" fillId="0" borderId="0" xfId="1" applyFont="1" applyBorder="1"/>
    <xf numFmtId="0" fontId="0" fillId="0" borderId="11" xfId="0" applyFill="1" applyBorder="1"/>
    <xf numFmtId="10" fontId="0" fillId="0" borderId="0" xfId="3" applyNumberFormat="1" applyFont="1" applyBorder="1"/>
    <xf numFmtId="0" fontId="0" fillId="0" borderId="3" xfId="0" applyFill="1" applyBorder="1"/>
    <xf numFmtId="0" fontId="0" fillId="0" borderId="0" xfId="0" applyFill="1" applyBorder="1"/>
    <xf numFmtId="169" fontId="0" fillId="0" borderId="11" xfId="1" applyNumberFormat="1" applyFont="1" applyFill="1" applyBorder="1"/>
    <xf numFmtId="171" fontId="13" fillId="2" borderId="0" xfId="0" applyNumberFormat="1" applyFont="1" applyFill="1" applyBorder="1" applyProtection="1">
      <protection locked="0"/>
    </xf>
    <xf numFmtId="0" fontId="0" fillId="0" borderId="4" xfId="0" applyFill="1" applyBorder="1"/>
    <xf numFmtId="0" fontId="0" fillId="0" borderId="5" xfId="0" applyFill="1" applyBorder="1"/>
    <xf numFmtId="10" fontId="0" fillId="0" borderId="4" xfId="3" applyNumberFormat="1" applyFont="1" applyBorder="1" applyProtection="1"/>
    <xf numFmtId="170" fontId="0" fillId="0" borderId="5" xfId="3" applyNumberFormat="1" applyFont="1" applyBorder="1" applyProtection="1"/>
    <xf numFmtId="43" fontId="0" fillId="0" borderId="5" xfId="1" applyFont="1" applyBorder="1" applyProtection="1"/>
    <xf numFmtId="8" fontId="0" fillId="0" borderId="10" xfId="0" applyNumberFormat="1" applyBorder="1"/>
    <xf numFmtId="171" fontId="0" fillId="0" borderId="0" xfId="1" applyNumberFormat="1" applyFont="1" applyBorder="1" applyProtection="1">
      <protection locked="0"/>
    </xf>
    <xf numFmtId="10" fontId="0" fillId="0" borderId="0" xfId="3" applyNumberFormat="1" applyFont="1" applyBorder="1" applyProtection="1"/>
    <xf numFmtId="8" fontId="11" fillId="0" borderId="0" xfId="0" applyNumberFormat="1" applyFont="1" applyFill="1"/>
    <xf numFmtId="166" fontId="0" fillId="2" borderId="6" xfId="0" applyNumberFormat="1" applyFont="1" applyFill="1" applyBorder="1" applyAlignment="1" applyProtection="1">
      <alignment horizontal="right"/>
    </xf>
    <xf numFmtId="169" fontId="0" fillId="0" borderId="0" xfId="1" applyNumberFormat="1" applyFont="1" applyBorder="1"/>
    <xf numFmtId="10" fontId="0" fillId="0" borderId="0" xfId="0" applyNumberFormat="1" applyBorder="1"/>
    <xf numFmtId="10" fontId="0" fillId="0" borderId="0" xfId="3" applyNumberFormat="1" applyFont="1" applyProtection="1"/>
    <xf numFmtId="170" fontId="0" fillId="0" borderId="0" xfId="3" applyNumberFormat="1" applyFont="1" applyProtection="1"/>
    <xf numFmtId="10" fontId="0" fillId="0" borderId="2" xfId="3" applyNumberFormat="1" applyFont="1" applyBorder="1" applyAlignment="1" applyProtection="1">
      <alignment horizontal="center"/>
    </xf>
    <xf numFmtId="43" fontId="0" fillId="0" borderId="2" xfId="1" applyFont="1" applyBorder="1" applyAlignment="1" applyProtection="1">
      <alignment horizontal="center"/>
    </xf>
    <xf numFmtId="10" fontId="0" fillId="0" borderId="5" xfId="3" applyNumberFormat="1" applyFont="1" applyFill="1" applyBorder="1" applyAlignment="1" applyProtection="1">
      <alignment horizontal="center"/>
    </xf>
    <xf numFmtId="170" fontId="0" fillId="0" borderId="5" xfId="3" applyNumberFormat="1" applyFont="1" applyFill="1" applyBorder="1" applyAlignment="1" applyProtection="1">
      <alignment horizontal="right"/>
    </xf>
    <xf numFmtId="43" fontId="0" fillId="0" borderId="5" xfId="1" applyFont="1" applyBorder="1" applyAlignment="1" applyProtection="1">
      <alignment horizontal="center"/>
    </xf>
    <xf numFmtId="0" fontId="0" fillId="0" borderId="0" xfId="0" quotePrefix="1" applyBorder="1" applyAlignment="1">
      <alignment horizontal="center"/>
    </xf>
    <xf numFmtId="43" fontId="11" fillId="0" borderId="0" xfId="0" applyNumberFormat="1" applyFont="1" applyFill="1"/>
    <xf numFmtId="0" fontId="0" fillId="0" borderId="0" xfId="0" applyBorder="1" applyAlignment="1">
      <alignment horizontal="right"/>
    </xf>
    <xf numFmtId="43" fontId="0" fillId="0" borderId="0" xfId="1" applyFont="1" applyBorder="1" applyAlignment="1">
      <alignment horizontal="right"/>
    </xf>
    <xf numFmtId="10" fontId="0" fillId="0" borderId="0" xfId="0" applyNumberFormat="1" applyBorder="1" applyAlignment="1">
      <alignment horizontal="right"/>
    </xf>
    <xf numFmtId="10" fontId="0" fillId="0" borderId="0" xfId="3" applyNumberFormat="1" applyFont="1" applyFill="1" applyBorder="1" applyAlignment="1" applyProtection="1">
      <alignment horizontal="center"/>
    </xf>
    <xf numFmtId="170" fontId="0" fillId="0" borderId="0" xfId="3" applyNumberFormat="1" applyFont="1" applyFill="1" applyBorder="1" applyAlignment="1" applyProtection="1">
      <alignment horizontal="right"/>
    </xf>
    <xf numFmtId="43" fontId="0" fillId="0" borderId="0" xfId="1" applyFont="1" applyBorder="1" applyAlignment="1" applyProtection="1">
      <alignment horizontal="center"/>
    </xf>
    <xf numFmtId="43" fontId="0" fillId="0" borderId="0" xfId="0" applyNumberFormat="1" applyBorder="1"/>
    <xf numFmtId="174" fontId="0" fillId="0" borderId="2" xfId="3" applyNumberFormat="1" applyFont="1" applyBorder="1" applyProtection="1"/>
    <xf numFmtId="0" fontId="0" fillId="0" borderId="5" xfId="0" applyBorder="1" applyAlignment="1">
      <alignment horizontal="center"/>
    </xf>
    <xf numFmtId="44" fontId="0" fillId="2" borderId="0" xfId="2" applyNumberFormat="1" applyFont="1" applyFill="1" applyBorder="1"/>
    <xf numFmtId="43" fontId="0" fillId="0" borderId="0" xfId="1" applyNumberFormat="1" applyFont="1"/>
    <xf numFmtId="43" fontId="0" fillId="0" borderId="0" xfId="1" quotePrefix="1" applyNumberFormat="1" applyFont="1"/>
    <xf numFmtId="0" fontId="0" fillId="0" borderId="5" xfId="0" applyBorder="1" applyAlignment="1">
      <alignment horizontal="center"/>
    </xf>
    <xf numFmtId="0" fontId="0" fillId="0" borderId="67" xfId="0" applyBorder="1" applyAlignment="1" applyProtection="1">
      <alignment vertical="top" wrapText="1"/>
    </xf>
    <xf numFmtId="176" fontId="0" fillId="0" borderId="0" xfId="2" applyNumberFormat="1" applyFont="1" applyBorder="1" applyAlignment="1" applyProtection="1"/>
    <xf numFmtId="0" fontId="0" fillId="0" borderId="0" xfId="0" applyAlignment="1"/>
    <xf numFmtId="0" fontId="0" fillId="0" borderId="0" xfId="0" applyAlignment="1">
      <alignment wrapText="1"/>
    </xf>
    <xf numFmtId="176" fontId="0" fillId="0" borderId="10" xfId="0" applyNumberFormat="1" applyBorder="1"/>
    <xf numFmtId="177" fontId="0" fillId="0" borderId="12" xfId="0" applyNumberFormat="1" applyBorder="1" applyAlignment="1">
      <alignment horizontal="center"/>
    </xf>
    <xf numFmtId="177" fontId="0" fillId="0" borderId="0" xfId="0" applyNumberFormat="1"/>
    <xf numFmtId="180" fontId="0" fillId="0" borderId="0" xfId="0" applyNumberFormat="1"/>
    <xf numFmtId="181" fontId="0" fillId="0" borderId="0" xfId="0" quotePrefix="1" applyNumberFormat="1"/>
    <xf numFmtId="0" fontId="32" fillId="0" borderId="0" xfId="0" quotePrefix="1" applyFont="1"/>
    <xf numFmtId="0" fontId="0" fillId="0" borderId="1" xfId="0" applyFill="1" applyBorder="1"/>
    <xf numFmtId="0" fontId="0" fillId="0" borderId="0" xfId="0" quotePrefix="1"/>
    <xf numFmtId="7" fontId="0" fillId="0" borderId="0" xfId="0" applyNumberFormat="1"/>
    <xf numFmtId="19" fontId="0" fillId="0" borderId="0" xfId="0" applyNumberFormat="1"/>
    <xf numFmtId="0" fontId="18" fillId="0" borderId="0" xfId="4"/>
    <xf numFmtId="0" fontId="0" fillId="8" borderId="14" xfId="0" applyFill="1" applyBorder="1"/>
    <xf numFmtId="0" fontId="0" fillId="8" borderId="15" xfId="0" applyFill="1" applyBorder="1"/>
    <xf numFmtId="3" fontId="0" fillId="0" borderId="0" xfId="0" applyNumberFormat="1"/>
    <xf numFmtId="8" fontId="0" fillId="0" borderId="0" xfId="0" applyNumberFormat="1"/>
    <xf numFmtId="0" fontId="0" fillId="18" borderId="0" xfId="0" applyFill="1" applyProtection="1"/>
    <xf numFmtId="0" fontId="1" fillId="2" borderId="0" xfId="0" applyFont="1" applyFill="1" applyAlignment="1" applyProtection="1">
      <alignment horizontal="center"/>
    </xf>
    <xf numFmtId="0" fontId="0" fillId="0" borderId="47" xfId="0" applyBorder="1" applyAlignment="1" applyProtection="1">
      <alignment horizontal="left" vertical="top" wrapText="1"/>
    </xf>
    <xf numFmtId="0" fontId="0" fillId="0" borderId="2" xfId="0" applyBorder="1" applyAlignment="1" applyProtection="1">
      <alignment horizontal="left" vertical="top" wrapText="1"/>
    </xf>
    <xf numFmtId="0" fontId="0" fillId="0" borderId="53" xfId="0" applyBorder="1" applyAlignment="1" applyProtection="1">
      <alignment horizontal="left" vertical="top" wrapText="1"/>
    </xf>
    <xf numFmtId="0" fontId="0" fillId="0" borderId="0"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4" borderId="2" xfId="0" applyFill="1" applyBorder="1" applyAlignment="1" applyProtection="1">
      <alignment horizontal="center"/>
      <protection locked="0"/>
    </xf>
    <xf numFmtId="0" fontId="0" fillId="4" borderId="48" xfId="0" applyFill="1" applyBorder="1" applyAlignment="1" applyProtection="1">
      <alignment horizontal="center"/>
      <protection locked="0"/>
    </xf>
    <xf numFmtId="0" fontId="0" fillId="4" borderId="7" xfId="0" applyFill="1" applyBorder="1" applyAlignment="1" applyProtection="1">
      <alignment horizontal="center"/>
      <protection locked="0"/>
    </xf>
    <xf numFmtId="0" fontId="0" fillId="4" borderId="37" xfId="0" applyFill="1" applyBorder="1" applyAlignment="1" applyProtection="1">
      <alignment horizontal="center"/>
      <protection locked="0"/>
    </xf>
    <xf numFmtId="0" fontId="0" fillId="0" borderId="8" xfId="0" applyBorder="1" applyAlignment="1" applyProtection="1">
      <alignment horizontal="left"/>
    </xf>
    <xf numFmtId="0" fontId="0" fillId="0" borderId="7" xfId="0" applyBorder="1" applyAlignment="1" applyProtection="1">
      <alignment horizontal="left"/>
    </xf>
    <xf numFmtId="0" fontId="0" fillId="0" borderId="39" xfId="0" applyBorder="1" applyAlignment="1" applyProtection="1">
      <alignment horizontal="left"/>
    </xf>
    <xf numFmtId="0" fontId="0" fillId="4" borderId="2" xfId="0" applyFill="1" applyBorder="1" applyAlignment="1" applyProtection="1">
      <alignment horizontal="left" vertical="top" wrapText="1"/>
      <protection locked="0"/>
    </xf>
    <xf numFmtId="0" fontId="0" fillId="4" borderId="48" xfId="0" applyFill="1" applyBorder="1" applyAlignment="1" applyProtection="1">
      <alignment horizontal="left" vertical="top" wrapText="1"/>
      <protection locked="0"/>
    </xf>
    <xf numFmtId="0" fontId="0" fillId="4" borderId="0" xfId="0" applyFill="1" applyBorder="1" applyAlignment="1" applyProtection="1">
      <alignment horizontal="left" vertical="top" wrapText="1"/>
      <protection locked="0"/>
    </xf>
    <xf numFmtId="0" fontId="0" fillId="4" borderId="54" xfId="0" applyFill="1" applyBorder="1" applyAlignment="1" applyProtection="1">
      <alignment horizontal="left" vertical="top" wrapText="1"/>
      <protection locked="0"/>
    </xf>
    <xf numFmtId="0" fontId="0" fillId="4" borderId="35" xfId="0" applyFill="1" applyBorder="1" applyAlignment="1" applyProtection="1">
      <alignment horizontal="left" vertical="top" wrapText="1"/>
      <protection locked="0"/>
    </xf>
    <xf numFmtId="0" fontId="0" fillId="4" borderId="36" xfId="0" applyFill="1" applyBorder="1" applyAlignment="1" applyProtection="1">
      <alignment horizontal="left" vertical="top" wrapText="1"/>
      <protection locked="0"/>
    </xf>
    <xf numFmtId="0" fontId="0" fillId="0" borderId="45" xfId="0" applyBorder="1" applyAlignment="1" applyProtection="1">
      <alignment horizontal="left"/>
    </xf>
    <xf numFmtId="0" fontId="0" fillId="0" borderId="42" xfId="0" applyBorder="1" applyAlignment="1" applyProtection="1">
      <alignment horizontal="left"/>
    </xf>
    <xf numFmtId="0" fontId="20" fillId="4" borderId="42" xfId="0" applyFont="1" applyFill="1" applyBorder="1" applyAlignment="1" applyProtection="1">
      <alignment horizontal="left"/>
      <protection locked="0"/>
    </xf>
    <xf numFmtId="0" fontId="20" fillId="4" borderId="44" xfId="0" applyFont="1" applyFill="1" applyBorder="1" applyAlignment="1" applyProtection="1">
      <alignment horizontal="left"/>
      <protection locked="0"/>
    </xf>
    <xf numFmtId="0" fontId="0" fillId="4" borderId="42" xfId="0" applyFill="1" applyBorder="1" applyAlignment="1" applyProtection="1">
      <alignment horizontal="center"/>
      <protection locked="0"/>
    </xf>
    <xf numFmtId="0" fontId="0" fillId="4" borderId="44" xfId="0" applyFill="1" applyBorder="1" applyAlignment="1" applyProtection="1">
      <alignment horizontal="center"/>
      <protection locked="0"/>
    </xf>
    <xf numFmtId="0" fontId="0" fillId="4" borderId="43" xfId="0" applyFill="1" applyBorder="1" applyAlignment="1" applyProtection="1">
      <alignment horizontal="center"/>
      <protection locked="0"/>
    </xf>
    <xf numFmtId="0" fontId="0" fillId="4" borderId="68" xfId="0" applyFill="1" applyBorder="1" applyAlignment="1" applyProtection="1">
      <alignment horizontal="left" vertical="top"/>
      <protection locked="0"/>
    </xf>
    <xf numFmtId="0" fontId="0" fillId="17" borderId="67" xfId="0" applyFill="1" applyBorder="1" applyAlignment="1" applyProtection="1">
      <alignment horizontal="left" vertical="top"/>
      <protection locked="0"/>
    </xf>
    <xf numFmtId="0" fontId="0" fillId="17" borderId="69" xfId="0" applyFill="1" applyBorder="1" applyAlignment="1" applyProtection="1">
      <alignment horizontal="left" vertical="top"/>
      <protection locked="0"/>
    </xf>
    <xf numFmtId="0" fontId="0" fillId="17" borderId="53" xfId="0" applyFill="1" applyBorder="1" applyAlignment="1" applyProtection="1">
      <alignment horizontal="left" vertical="top"/>
      <protection locked="0"/>
    </xf>
    <xf numFmtId="0" fontId="0" fillId="17" borderId="0" xfId="0" applyFill="1" applyBorder="1" applyAlignment="1" applyProtection="1">
      <alignment horizontal="left" vertical="top"/>
      <protection locked="0"/>
    </xf>
    <xf numFmtId="0" fontId="0" fillId="17" borderId="54" xfId="0" applyFill="1" applyBorder="1" applyAlignment="1" applyProtection="1">
      <alignment horizontal="left" vertical="top"/>
      <protection locked="0"/>
    </xf>
    <xf numFmtId="0" fontId="0" fillId="17" borderId="34" xfId="0" applyFill="1" applyBorder="1" applyAlignment="1" applyProtection="1">
      <alignment horizontal="left" vertical="top"/>
      <protection locked="0"/>
    </xf>
    <xf numFmtId="0" fontId="0" fillId="17" borderId="35" xfId="0" applyFill="1" applyBorder="1" applyAlignment="1" applyProtection="1">
      <alignment horizontal="left" vertical="top"/>
      <protection locked="0"/>
    </xf>
    <xf numFmtId="0" fontId="0" fillId="17" borderId="36" xfId="0" applyFill="1" applyBorder="1" applyAlignment="1" applyProtection="1">
      <alignment horizontal="left" vertical="top"/>
      <protection locked="0"/>
    </xf>
    <xf numFmtId="0" fontId="0" fillId="8" borderId="15" xfId="0" applyFill="1" applyBorder="1" applyAlignment="1">
      <alignment horizontal="left"/>
    </xf>
    <xf numFmtId="0" fontId="0" fillId="8" borderId="16" xfId="0" applyFill="1" applyBorder="1" applyAlignment="1">
      <alignment horizontal="left"/>
    </xf>
    <xf numFmtId="176" fontId="0" fillId="0" borderId="8" xfId="2" applyNumberFormat="1" applyFont="1" applyBorder="1" applyAlignment="1" applyProtection="1">
      <alignment horizontal="center"/>
    </xf>
    <xf numFmtId="176" fontId="0" fillId="0" borderId="7" xfId="2" applyNumberFormat="1" applyFont="1" applyBorder="1" applyAlignment="1" applyProtection="1">
      <alignment horizontal="center"/>
    </xf>
    <xf numFmtId="176" fontId="0" fillId="0" borderId="6" xfId="2" applyNumberFormat="1" applyFont="1" applyBorder="1" applyAlignment="1" applyProtection="1">
      <alignment horizontal="center"/>
    </xf>
    <xf numFmtId="0" fontId="0" fillId="4" borderId="2" xfId="0" applyFill="1" applyBorder="1" applyAlignment="1" applyProtection="1">
      <alignment horizontal="left" vertical="top" wrapText="1"/>
    </xf>
    <xf numFmtId="0" fontId="0" fillId="4" borderId="48"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54" xfId="0" applyFill="1" applyBorder="1" applyAlignment="1" applyProtection="1">
      <alignment horizontal="left" vertical="top" wrapText="1"/>
    </xf>
    <xf numFmtId="0" fontId="0" fillId="4" borderId="35" xfId="0" applyFill="1" applyBorder="1" applyAlignment="1" applyProtection="1">
      <alignment horizontal="left" vertical="top" wrapText="1"/>
    </xf>
    <xf numFmtId="0" fontId="0" fillId="4" borderId="36" xfId="0" applyFill="1" applyBorder="1" applyAlignment="1" applyProtection="1">
      <alignment horizontal="left" vertical="top" wrapText="1"/>
    </xf>
    <xf numFmtId="0" fontId="0" fillId="0" borderId="32" xfId="0" applyBorder="1" applyAlignment="1" applyProtection="1">
      <alignment horizontal="left"/>
    </xf>
    <xf numFmtId="0" fontId="4" fillId="0" borderId="5" xfId="0" applyFont="1" applyBorder="1" applyAlignment="1" applyProtection="1">
      <alignment horizontal="center"/>
    </xf>
    <xf numFmtId="0" fontId="0" fillId="4" borderId="12" xfId="0" applyFill="1" applyBorder="1" applyAlignment="1" applyProtection="1">
      <alignment horizontal="center"/>
      <protection locked="0"/>
    </xf>
    <xf numFmtId="0" fontId="0" fillId="0" borderId="55" xfId="0" applyBorder="1" applyAlignment="1" applyProtection="1">
      <alignment horizontal="left"/>
    </xf>
    <xf numFmtId="0" fontId="0" fillId="4" borderId="8" xfId="0" applyFill="1" applyBorder="1" applyAlignment="1" applyProtection="1">
      <alignment horizontal="center"/>
      <protection locked="0"/>
    </xf>
    <xf numFmtId="0" fontId="0" fillId="4" borderId="6" xfId="0" applyFill="1" applyBorder="1" applyAlignment="1" applyProtection="1">
      <alignment horizontal="center"/>
      <protection locked="0"/>
    </xf>
    <xf numFmtId="176" fontId="0" fillId="4" borderId="7" xfId="0" applyNumberFormat="1" applyFill="1" applyBorder="1" applyAlignment="1" applyProtection="1">
      <alignment horizontal="center"/>
      <protection locked="0"/>
    </xf>
    <xf numFmtId="176" fontId="0" fillId="4" borderId="6" xfId="0" applyNumberFormat="1" applyFill="1" applyBorder="1" applyAlignment="1" applyProtection="1">
      <alignment horizontal="center"/>
      <protection locked="0"/>
    </xf>
    <xf numFmtId="0" fontId="0" fillId="0" borderId="1" xfId="0" applyBorder="1" applyAlignment="1" applyProtection="1">
      <alignment horizontal="left"/>
    </xf>
    <xf numFmtId="0" fontId="0" fillId="0" borderId="2" xfId="0" applyBorder="1" applyAlignment="1" applyProtection="1">
      <alignment horizontal="left"/>
    </xf>
    <xf numFmtId="176" fontId="0" fillId="4" borderId="5" xfId="0" applyNumberFormat="1" applyFill="1" applyBorder="1" applyAlignment="1" applyProtection="1">
      <alignment horizontal="center"/>
      <protection locked="0"/>
    </xf>
    <xf numFmtId="0" fontId="0" fillId="0" borderId="47" xfId="0" applyBorder="1" applyAlignment="1" applyProtection="1">
      <alignment horizontal="left"/>
    </xf>
    <xf numFmtId="14" fontId="0" fillId="4" borderId="2" xfId="0" applyNumberFormat="1" applyFill="1" applyBorder="1" applyAlignment="1" applyProtection="1">
      <alignment horizontal="center"/>
      <protection locked="0"/>
    </xf>
    <xf numFmtId="0" fontId="1" fillId="0" borderId="35" xfId="0" applyFont="1" applyBorder="1" applyAlignment="1" applyProtection="1">
      <alignment horizontal="center"/>
    </xf>
    <xf numFmtId="0" fontId="0" fillId="0" borderId="0" xfId="0" applyAlignment="1" applyProtection="1">
      <alignment horizontal="left"/>
    </xf>
    <xf numFmtId="14" fontId="0" fillId="4" borderId="7" xfId="0" applyNumberFormat="1" applyFill="1" applyBorder="1" applyAlignment="1" applyProtection="1">
      <alignment horizontal="center" vertical="center"/>
      <protection locked="0"/>
    </xf>
    <xf numFmtId="0" fontId="0" fillId="0" borderId="20" xfId="0" applyBorder="1" applyAlignment="1" applyProtection="1">
      <alignment horizontal="center"/>
    </xf>
    <xf numFmtId="0" fontId="0" fillId="0" borderId="21" xfId="0" applyBorder="1" applyAlignment="1" applyProtection="1">
      <alignment horizontal="center"/>
    </xf>
    <xf numFmtId="0" fontId="0" fillId="0" borderId="22" xfId="0" applyBorder="1" applyAlignment="1" applyProtection="1">
      <alignment horizontal="center"/>
    </xf>
    <xf numFmtId="0" fontId="0" fillId="0" borderId="23" xfId="0" applyBorder="1" applyAlignment="1" applyProtection="1">
      <alignment horizontal="center"/>
    </xf>
    <xf numFmtId="176" fontId="0" fillId="4" borderId="8" xfId="0" applyNumberFormat="1" applyFill="1" applyBorder="1" applyAlignment="1" applyProtection="1">
      <alignment horizontal="center"/>
      <protection locked="0"/>
    </xf>
    <xf numFmtId="14" fontId="0" fillId="4" borderId="8" xfId="0" applyNumberFormat="1" applyFill="1" applyBorder="1" applyAlignment="1" applyProtection="1">
      <alignment horizontal="center"/>
      <protection locked="0"/>
    </xf>
    <xf numFmtId="0" fontId="0" fillId="4" borderId="8" xfId="0" applyNumberFormat="1" applyFill="1" applyBorder="1" applyAlignment="1" applyProtection="1">
      <alignment horizontal="center"/>
      <protection locked="0"/>
    </xf>
    <xf numFmtId="0" fontId="0" fillId="4" borderId="7" xfId="0" applyNumberFormat="1" applyFill="1" applyBorder="1" applyAlignment="1" applyProtection="1">
      <alignment horizontal="center"/>
      <protection locked="0"/>
    </xf>
    <xf numFmtId="0" fontId="0" fillId="4" borderId="6" xfId="0" applyNumberFormat="1" applyFill="1" applyBorder="1" applyAlignment="1" applyProtection="1">
      <alignment horizontal="center"/>
      <protection locked="0"/>
    </xf>
    <xf numFmtId="0" fontId="0" fillId="0" borderId="31" xfId="0" applyBorder="1" applyAlignment="1" applyProtection="1">
      <alignment horizontal="left"/>
    </xf>
    <xf numFmtId="0" fontId="5" fillId="0" borderId="0" xfId="0" applyFont="1" applyAlignment="1" applyProtection="1">
      <alignment horizontal="center"/>
    </xf>
    <xf numFmtId="0" fontId="0" fillId="0" borderId="41" xfId="0" applyBorder="1" applyAlignment="1" applyProtection="1">
      <alignment horizontal="left"/>
    </xf>
    <xf numFmtId="0" fontId="0" fillId="0" borderId="5" xfId="0" applyBorder="1" applyAlignment="1" applyProtection="1">
      <alignment horizontal="left"/>
    </xf>
    <xf numFmtId="178" fontId="0" fillId="4" borderId="7" xfId="0" applyNumberFormat="1" applyFill="1" applyBorder="1" applyAlignment="1" applyProtection="1">
      <alignment horizontal="center"/>
      <protection locked="0"/>
    </xf>
    <xf numFmtId="0" fontId="0" fillId="2" borderId="8" xfId="0" applyFill="1" applyBorder="1" applyAlignment="1" applyProtection="1">
      <alignment horizontal="left"/>
    </xf>
    <xf numFmtId="0" fontId="0" fillId="2" borderId="7" xfId="0" applyFill="1" applyBorder="1" applyAlignment="1" applyProtection="1">
      <alignment horizontal="left"/>
    </xf>
    <xf numFmtId="0" fontId="0" fillId="4" borderId="7" xfId="0" applyFill="1" applyBorder="1" applyAlignment="1" applyProtection="1">
      <alignment horizontal="left"/>
    </xf>
    <xf numFmtId="0" fontId="0" fillId="2" borderId="37" xfId="0" applyFill="1" applyBorder="1" applyAlignment="1" applyProtection="1">
      <alignment horizontal="left"/>
    </xf>
    <xf numFmtId="178" fontId="0" fillId="4" borderId="5" xfId="0" applyNumberFormat="1" applyFill="1" applyBorder="1" applyAlignment="1" applyProtection="1">
      <alignment horizontal="center"/>
      <protection locked="0"/>
    </xf>
    <xf numFmtId="178" fontId="0" fillId="4" borderId="50" xfId="0" applyNumberFormat="1" applyFill="1" applyBorder="1" applyAlignment="1" applyProtection="1">
      <alignment horizontal="center"/>
      <protection locked="0"/>
    </xf>
    <xf numFmtId="178" fontId="0" fillId="4" borderId="6" xfId="0" applyNumberFormat="1" applyFill="1" applyBorder="1" applyAlignment="1" applyProtection="1">
      <alignment horizontal="center"/>
      <protection locked="0"/>
    </xf>
    <xf numFmtId="14" fontId="0" fillId="4" borderId="42" xfId="0" applyNumberFormat="1" applyFill="1" applyBorder="1" applyAlignment="1" applyProtection="1">
      <alignment horizontal="center"/>
      <protection locked="0"/>
    </xf>
    <xf numFmtId="14" fontId="0" fillId="4" borderId="44" xfId="0" applyNumberFormat="1" applyFill="1" applyBorder="1" applyAlignment="1" applyProtection="1">
      <alignment horizontal="center"/>
      <protection locked="0"/>
    </xf>
    <xf numFmtId="177" fontId="0" fillId="4" borderId="42" xfId="0" applyNumberFormat="1" applyFill="1" applyBorder="1" applyAlignment="1" applyProtection="1">
      <alignment horizontal="center"/>
      <protection locked="0"/>
    </xf>
    <xf numFmtId="177" fontId="0" fillId="4" borderId="44" xfId="0" applyNumberFormat="1" applyFill="1" applyBorder="1" applyAlignment="1" applyProtection="1">
      <alignment horizontal="center"/>
      <protection locked="0"/>
    </xf>
    <xf numFmtId="178" fontId="0" fillId="4" borderId="42" xfId="0" applyNumberFormat="1" applyFill="1" applyBorder="1" applyAlignment="1" applyProtection="1">
      <alignment horizontal="center"/>
      <protection locked="0"/>
    </xf>
    <xf numFmtId="178" fontId="0" fillId="4" borderId="44" xfId="0" applyNumberFormat="1" applyFill="1" applyBorder="1" applyAlignment="1" applyProtection="1">
      <alignment horizontal="center"/>
      <protection locked="0"/>
    </xf>
    <xf numFmtId="0" fontId="0" fillId="0" borderId="4" xfId="0" applyBorder="1" applyAlignment="1" applyProtection="1">
      <alignment horizontal="left"/>
    </xf>
    <xf numFmtId="0" fontId="0" fillId="0" borderId="49" xfId="0" applyBorder="1" applyAlignment="1" applyProtection="1">
      <alignment horizontal="left"/>
    </xf>
    <xf numFmtId="0" fontId="0" fillId="0" borderId="46" xfId="0" applyBorder="1" applyAlignment="1" applyProtection="1">
      <alignment horizontal="left"/>
    </xf>
    <xf numFmtId="0" fontId="0" fillId="0" borderId="51" xfId="0" applyBorder="1" applyAlignment="1" applyProtection="1">
      <alignment horizontal="left"/>
    </xf>
    <xf numFmtId="0" fontId="0" fillId="0" borderId="38" xfId="0" applyBorder="1" applyAlignment="1" applyProtection="1">
      <alignment horizontal="left"/>
    </xf>
    <xf numFmtId="178" fontId="0" fillId="4" borderId="40" xfId="0" applyNumberFormat="1" applyFill="1" applyBorder="1" applyAlignment="1" applyProtection="1">
      <alignment horizontal="center"/>
      <protection locked="0"/>
    </xf>
    <xf numFmtId="178" fontId="0" fillId="4" borderId="51" xfId="0" applyNumberFormat="1" applyFill="1" applyBorder="1" applyAlignment="1" applyProtection="1">
      <alignment horizontal="center"/>
      <protection locked="0"/>
    </xf>
    <xf numFmtId="178" fontId="0" fillId="4" borderId="52" xfId="0" applyNumberFormat="1" applyFill="1" applyBorder="1" applyAlignment="1" applyProtection="1">
      <alignment horizontal="center"/>
      <protection locked="0"/>
    </xf>
    <xf numFmtId="178" fontId="0" fillId="4" borderId="43" xfId="0" applyNumberFormat="1" applyFill="1" applyBorder="1" applyAlignment="1" applyProtection="1">
      <alignment horizontal="center"/>
      <protection locked="0"/>
    </xf>
    <xf numFmtId="0" fontId="1" fillId="0" borderId="0" xfId="0" applyFont="1" applyAlignment="1" applyProtection="1">
      <alignment horizontal="center"/>
    </xf>
    <xf numFmtId="176" fontId="0" fillId="4" borderId="20" xfId="2" applyNumberFormat="1" applyFont="1" applyFill="1" applyBorder="1" applyAlignment="1" applyProtection="1">
      <alignment horizontal="center"/>
      <protection locked="0"/>
    </xf>
    <xf numFmtId="176" fontId="0" fillId="4" borderId="21" xfId="2" applyNumberFormat="1" applyFont="1" applyFill="1" applyBorder="1" applyAlignment="1" applyProtection="1">
      <alignment horizontal="center"/>
      <protection locked="0"/>
    </xf>
    <xf numFmtId="176" fontId="0" fillId="4" borderId="28" xfId="2" applyNumberFormat="1" applyFont="1" applyFill="1" applyBorder="1" applyAlignment="1" applyProtection="1">
      <alignment horizontal="center"/>
      <protection locked="0"/>
    </xf>
    <xf numFmtId="0" fontId="6" fillId="2" borderId="8" xfId="0" applyFont="1" applyFill="1" applyBorder="1" applyAlignment="1" applyProtection="1">
      <alignment horizontal="center"/>
    </xf>
    <xf numFmtId="0" fontId="6" fillId="2" borderId="7" xfId="0" applyFont="1" applyFill="1" applyBorder="1" applyAlignment="1" applyProtection="1">
      <alignment horizontal="center"/>
    </xf>
    <xf numFmtId="0" fontId="6" fillId="2" borderId="6" xfId="0" applyFont="1" applyFill="1" applyBorder="1" applyAlignment="1" applyProtection="1">
      <alignment horizontal="center"/>
    </xf>
    <xf numFmtId="178" fontId="0" fillId="4" borderId="20" xfId="0" applyNumberFormat="1" applyFill="1" applyBorder="1" applyAlignment="1" applyProtection="1">
      <alignment horizontal="center"/>
      <protection locked="0"/>
    </xf>
    <xf numFmtId="178" fontId="0" fillId="4" borderId="21" xfId="0" applyNumberFormat="1" applyFill="1" applyBorder="1" applyAlignment="1" applyProtection="1">
      <alignment horizontal="center"/>
      <protection locked="0"/>
    </xf>
    <xf numFmtId="178" fontId="0" fillId="4" borderId="28" xfId="0" applyNumberFormat="1" applyFill="1" applyBorder="1" applyAlignment="1" applyProtection="1">
      <alignment horizontal="center"/>
      <protection locked="0"/>
    </xf>
    <xf numFmtId="0" fontId="6" fillId="0" borderId="8" xfId="0" applyFont="1" applyBorder="1" applyAlignment="1" applyProtection="1">
      <alignment horizontal="center"/>
    </xf>
    <xf numFmtId="0" fontId="6" fillId="0" borderId="7" xfId="0" applyFont="1" applyBorder="1" applyAlignment="1" applyProtection="1">
      <alignment horizontal="center"/>
    </xf>
    <xf numFmtId="0" fontId="6" fillId="0" borderId="6" xfId="0" applyFont="1" applyBorder="1" applyAlignment="1" applyProtection="1">
      <alignment horizontal="center"/>
    </xf>
    <xf numFmtId="176" fontId="0" fillId="4" borderId="18" xfId="2" applyNumberFormat="1" applyFont="1" applyFill="1" applyBorder="1" applyAlignment="1" applyProtection="1">
      <alignment horizontal="center"/>
      <protection locked="0"/>
    </xf>
    <xf numFmtId="176" fontId="0" fillId="4" borderId="19" xfId="2" applyNumberFormat="1" applyFont="1" applyFill="1" applyBorder="1" applyAlignment="1" applyProtection="1">
      <alignment horizontal="center"/>
      <protection locked="0"/>
    </xf>
    <xf numFmtId="176" fontId="0" fillId="4" borderId="29" xfId="2" applyNumberFormat="1" applyFont="1" applyFill="1" applyBorder="1" applyAlignment="1" applyProtection="1">
      <alignment horizontal="center"/>
      <protection locked="0"/>
    </xf>
    <xf numFmtId="178" fontId="0" fillId="4" borderId="32" xfId="0" applyNumberFormat="1" applyFill="1" applyBorder="1" applyAlignment="1" applyProtection="1">
      <alignment horizontal="center"/>
      <protection locked="0"/>
    </xf>
    <xf numFmtId="178" fontId="0" fillId="4" borderId="4" xfId="0" applyNumberFormat="1" applyFill="1" applyBorder="1" applyAlignment="1" applyProtection="1">
      <alignment horizontal="center"/>
      <protection locked="0"/>
    </xf>
    <xf numFmtId="178" fontId="0" fillId="4" borderId="17" xfId="0" applyNumberFormat="1" applyFill="1" applyBorder="1" applyAlignment="1" applyProtection="1">
      <alignment horizontal="center"/>
      <protection locked="0"/>
    </xf>
    <xf numFmtId="178" fontId="0" fillId="4" borderId="18" xfId="0" applyNumberFormat="1" applyFill="1" applyBorder="1" applyAlignment="1" applyProtection="1">
      <alignment horizontal="center"/>
      <protection locked="0"/>
    </xf>
    <xf numFmtId="178" fontId="0" fillId="4" borderId="19"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178" fontId="0" fillId="4" borderId="33" xfId="0" applyNumberFormat="1" applyFill="1" applyBorder="1" applyAlignment="1" applyProtection="1">
      <alignment horizontal="center"/>
      <protection locked="0"/>
    </xf>
    <xf numFmtId="176" fontId="0" fillId="4" borderId="22" xfId="2" applyNumberFormat="1" applyFont="1" applyFill="1" applyBorder="1" applyAlignment="1" applyProtection="1">
      <alignment horizontal="center"/>
      <protection locked="0"/>
    </xf>
    <xf numFmtId="176" fontId="0" fillId="4" borderId="23" xfId="2" applyNumberFormat="1" applyFont="1" applyFill="1" applyBorder="1" applyAlignment="1" applyProtection="1">
      <alignment horizontal="center"/>
      <protection locked="0"/>
    </xf>
    <xf numFmtId="176" fontId="0" fillId="4" borderId="30" xfId="2" applyNumberFormat="1" applyFont="1" applyFill="1" applyBorder="1" applyAlignment="1" applyProtection="1">
      <alignment horizontal="center"/>
      <protection locked="0"/>
    </xf>
    <xf numFmtId="178" fontId="0" fillId="4" borderId="56" xfId="0" applyNumberFormat="1" applyFill="1" applyBorder="1" applyAlignment="1" applyProtection="1">
      <alignment horizontal="center"/>
      <protection locked="0"/>
    </xf>
    <xf numFmtId="178" fontId="0" fillId="4" borderId="1" xfId="0" applyNumberFormat="1" applyFill="1" applyBorder="1" applyAlignment="1" applyProtection="1">
      <alignment horizontal="center"/>
      <protection locked="0"/>
    </xf>
    <xf numFmtId="178" fontId="0" fillId="4" borderId="2" xfId="0" applyNumberFormat="1" applyFill="1" applyBorder="1" applyAlignment="1" applyProtection="1">
      <alignment horizontal="center"/>
      <protection locked="0"/>
    </xf>
    <xf numFmtId="178" fontId="0" fillId="4" borderId="9" xfId="0" applyNumberFormat="1" applyFill="1" applyBorder="1" applyAlignment="1" applyProtection="1">
      <alignment horizontal="center"/>
      <protection locked="0"/>
    </xf>
    <xf numFmtId="178" fontId="0" fillId="4" borderId="31" xfId="0" applyNumberFormat="1" applyFill="1" applyBorder="1" applyAlignment="1" applyProtection="1">
      <alignment horizontal="center"/>
      <protection locked="0"/>
    </xf>
    <xf numFmtId="0" fontId="0" fillId="2" borderId="8" xfId="0" applyFill="1" applyBorder="1" applyAlignment="1" applyProtection="1">
      <alignment horizontal="right"/>
    </xf>
    <xf numFmtId="0" fontId="0" fillId="2" borderId="7" xfId="0" applyFill="1" applyBorder="1" applyAlignment="1" applyProtection="1">
      <alignment horizontal="right"/>
    </xf>
    <xf numFmtId="0" fontId="6" fillId="0" borderId="12" xfId="0" applyFont="1" applyBorder="1" applyAlignment="1" applyProtection="1">
      <alignment horizontal="center"/>
    </xf>
    <xf numFmtId="0" fontId="0" fillId="0" borderId="18" xfId="0" applyBorder="1" applyAlignment="1" applyProtection="1">
      <alignment horizontal="center"/>
    </xf>
    <xf numFmtId="0" fontId="0" fillId="0" borderId="19" xfId="0" applyBorder="1" applyAlignment="1" applyProtection="1">
      <alignment horizontal="center"/>
    </xf>
    <xf numFmtId="0" fontId="6" fillId="2" borderId="13" xfId="0" applyFont="1" applyFill="1" applyBorder="1" applyAlignment="1" applyProtection="1">
      <alignment horizontal="center"/>
    </xf>
    <xf numFmtId="0" fontId="0" fillId="0" borderId="8" xfId="0" applyBorder="1" applyAlignment="1" applyProtection="1">
      <alignment horizontal="center"/>
    </xf>
    <xf numFmtId="0" fontId="0" fillId="0" borderId="6" xfId="0" applyBorder="1" applyAlignment="1" applyProtection="1">
      <alignment horizontal="center"/>
    </xf>
    <xf numFmtId="178" fontId="0" fillId="4" borderId="13" xfId="0" applyNumberFormat="1" applyFill="1" applyBorder="1" applyAlignment="1" applyProtection="1">
      <alignment horizontal="center"/>
      <protection locked="0"/>
    </xf>
    <xf numFmtId="178" fontId="0" fillId="4" borderId="10" xfId="0" applyNumberFormat="1" applyFill="1" applyBorder="1" applyAlignment="1" applyProtection="1">
      <alignment horizontal="center"/>
      <protection locked="0"/>
    </xf>
    <xf numFmtId="49" fontId="0" fillId="4" borderId="4" xfId="0" applyNumberFormat="1" applyFill="1" applyBorder="1" applyAlignment="1" applyProtection="1">
      <alignment horizontal="center"/>
      <protection locked="0"/>
    </xf>
    <xf numFmtId="49" fontId="0" fillId="4" borderId="5" xfId="0" applyNumberFormat="1" applyFill="1" applyBorder="1" applyAlignment="1" applyProtection="1">
      <alignment horizontal="center"/>
      <protection locked="0"/>
    </xf>
    <xf numFmtId="49" fontId="0" fillId="4" borderId="10" xfId="0" applyNumberFormat="1" applyFill="1" applyBorder="1" applyAlignment="1" applyProtection="1">
      <alignment horizontal="center"/>
      <protection locked="0"/>
    </xf>
    <xf numFmtId="0" fontId="4" fillId="0" borderId="18" xfId="0" applyFont="1" applyBorder="1" applyAlignment="1" applyProtection="1">
      <alignment horizontal="left"/>
    </xf>
    <xf numFmtId="0" fontId="4" fillId="0" borderId="19" xfId="0" applyFont="1" applyBorder="1" applyAlignment="1" applyProtection="1">
      <alignment horizontal="left"/>
    </xf>
    <xf numFmtId="0" fontId="8" fillId="0" borderId="18" xfId="0" applyFont="1" applyBorder="1" applyAlignment="1" applyProtection="1">
      <alignment horizontal="left"/>
    </xf>
    <xf numFmtId="0" fontId="8" fillId="0" borderId="19" xfId="0" applyFont="1" applyBorder="1" applyAlignment="1" applyProtection="1">
      <alignment horizontal="left"/>
    </xf>
    <xf numFmtId="0" fontId="8" fillId="0" borderId="24" xfId="0" applyFont="1" applyBorder="1" applyAlignment="1" applyProtection="1">
      <alignment horizontal="left"/>
    </xf>
    <xf numFmtId="0" fontId="8" fillId="0" borderId="25" xfId="0" applyFont="1" applyBorder="1" applyAlignment="1" applyProtection="1">
      <alignment horizontal="left"/>
    </xf>
    <xf numFmtId="176" fontId="13" fillId="4" borderId="5" xfId="2" applyNumberFormat="1" applyFont="1" applyFill="1" applyBorder="1" applyAlignment="1" applyProtection="1">
      <alignment horizontal="center"/>
      <protection locked="0"/>
    </xf>
    <xf numFmtId="176" fontId="13" fillId="4" borderId="10" xfId="2" applyNumberFormat="1" applyFont="1" applyFill="1" applyBorder="1" applyAlignment="1" applyProtection="1">
      <alignment horizontal="center"/>
      <protection locked="0"/>
    </xf>
    <xf numFmtId="176" fontId="8" fillId="4" borderId="7" xfId="2" applyNumberFormat="1" applyFont="1" applyFill="1" applyBorder="1" applyAlignment="1" applyProtection="1">
      <alignment horizontal="center"/>
      <protection locked="0"/>
    </xf>
    <xf numFmtId="176" fontId="8" fillId="4" borderId="6" xfId="2" applyNumberFormat="1" applyFont="1" applyFill="1" applyBorder="1" applyAlignment="1" applyProtection="1">
      <alignment horizontal="center"/>
      <protection locked="0"/>
    </xf>
    <xf numFmtId="0" fontId="8" fillId="0" borderId="20" xfId="0" applyFont="1" applyBorder="1" applyAlignment="1" applyProtection="1">
      <alignment horizontal="left"/>
    </xf>
    <xf numFmtId="0" fontId="8" fillId="0" borderId="21" xfId="0" applyFont="1" applyBorder="1" applyAlignment="1" applyProtection="1">
      <alignment horizontal="left"/>
    </xf>
    <xf numFmtId="0" fontId="17" fillId="0" borderId="3" xfId="0" applyFont="1" applyBorder="1" applyAlignment="1" applyProtection="1">
      <alignment horizontal="left"/>
    </xf>
    <xf numFmtId="0" fontId="17" fillId="0" borderId="0" xfId="0" applyFont="1" applyAlignment="1" applyProtection="1">
      <alignment horizontal="left"/>
    </xf>
    <xf numFmtId="0" fontId="4" fillId="2" borderId="20" xfId="0" applyFont="1" applyFill="1" applyBorder="1" applyAlignment="1" applyProtection="1">
      <alignment horizontal="left"/>
    </xf>
    <xf numFmtId="0" fontId="4" fillId="2" borderId="21" xfId="0" applyFont="1" applyFill="1" applyBorder="1" applyAlignment="1" applyProtection="1">
      <alignment horizontal="left"/>
    </xf>
    <xf numFmtId="0" fontId="4" fillId="2" borderId="8" xfId="0" applyFont="1" applyFill="1" applyBorder="1" applyAlignment="1" applyProtection="1">
      <alignment horizontal="left"/>
    </xf>
    <xf numFmtId="0" fontId="4" fillId="2" borderId="7" xfId="0" applyFont="1" applyFill="1" applyBorder="1" applyAlignment="1" applyProtection="1">
      <alignment horizontal="left"/>
    </xf>
    <xf numFmtId="0" fontId="4" fillId="2" borderId="6" xfId="0" applyFont="1" applyFill="1" applyBorder="1" applyAlignment="1" applyProtection="1">
      <alignment horizontal="left"/>
    </xf>
    <xf numFmtId="0" fontId="4" fillId="2" borderId="22" xfId="0" applyFont="1" applyFill="1" applyBorder="1" applyAlignment="1" applyProtection="1">
      <alignment horizontal="left"/>
    </xf>
    <xf numFmtId="0" fontId="4" fillId="2" borderId="23" xfId="0" applyFont="1" applyFill="1" applyBorder="1" applyAlignment="1" applyProtection="1">
      <alignment horizontal="left"/>
    </xf>
    <xf numFmtId="166" fontId="8" fillId="4" borderId="7" xfId="0" applyNumberFormat="1" applyFont="1" applyFill="1" applyBorder="1" applyAlignment="1" applyProtection="1">
      <alignment horizontal="center"/>
      <protection locked="0"/>
    </xf>
    <xf numFmtId="166" fontId="8" fillId="4" borderId="6" xfId="0" applyNumberFormat="1" applyFont="1" applyFill="1" applyBorder="1" applyAlignment="1" applyProtection="1">
      <alignment horizontal="center"/>
      <protection locked="0"/>
    </xf>
    <xf numFmtId="178" fontId="0" fillId="4" borderId="12" xfId="0" applyNumberFormat="1" applyFill="1" applyBorder="1" applyAlignment="1" applyProtection="1">
      <alignment horizontal="center"/>
      <protection locked="0"/>
    </xf>
    <xf numFmtId="49" fontId="0" fillId="4" borderId="12" xfId="0" applyNumberFormat="1" applyFill="1" applyBorder="1" applyAlignment="1" applyProtection="1">
      <alignment horizontal="center"/>
      <protection locked="0"/>
    </xf>
    <xf numFmtId="0" fontId="13" fillId="4" borderId="7" xfId="0" applyFont="1" applyFill="1" applyBorder="1" applyAlignment="1" applyProtection="1">
      <alignment horizontal="right"/>
      <protection locked="0"/>
    </xf>
    <xf numFmtId="0" fontId="13" fillId="4" borderId="6" xfId="0" applyFont="1" applyFill="1" applyBorder="1" applyAlignment="1" applyProtection="1">
      <alignment horizontal="right"/>
      <protection locked="0"/>
    </xf>
    <xf numFmtId="0" fontId="13" fillId="4" borderId="5" xfId="0" applyFont="1" applyFill="1" applyBorder="1" applyAlignment="1" applyProtection="1">
      <alignment horizontal="right"/>
      <protection locked="0"/>
    </xf>
    <xf numFmtId="0" fontId="13" fillId="4" borderId="10" xfId="0" applyFont="1" applyFill="1" applyBorder="1" applyAlignment="1" applyProtection="1">
      <alignment horizontal="right"/>
      <protection locked="0"/>
    </xf>
    <xf numFmtId="176" fontId="13" fillId="4" borderId="2" xfId="2" applyNumberFormat="1" applyFont="1" applyFill="1" applyBorder="1" applyAlignment="1" applyProtection="1">
      <alignment horizontal="center"/>
      <protection locked="0"/>
    </xf>
    <xf numFmtId="176" fontId="13" fillId="4" borderId="9" xfId="2" applyNumberFormat="1" applyFont="1" applyFill="1" applyBorder="1" applyAlignment="1" applyProtection="1">
      <alignment horizontal="center"/>
      <protection locked="0"/>
    </xf>
    <xf numFmtId="0" fontId="15" fillId="0" borderId="26" xfId="0" applyFont="1" applyBorder="1" applyAlignment="1" applyProtection="1">
      <alignment horizontal="left"/>
    </xf>
    <xf numFmtId="0" fontId="15" fillId="0" borderId="27" xfId="0" applyFont="1" applyBorder="1" applyAlignment="1" applyProtection="1">
      <alignment horizontal="left"/>
    </xf>
    <xf numFmtId="176" fontId="13" fillId="4" borderId="19" xfId="2" applyNumberFormat="1" applyFont="1" applyFill="1" applyBorder="1" applyAlignment="1" applyProtection="1">
      <alignment horizontal="center"/>
      <protection locked="0"/>
    </xf>
    <xf numFmtId="176" fontId="13" fillId="4" borderId="29" xfId="2" applyNumberFormat="1" applyFont="1" applyFill="1" applyBorder="1" applyAlignment="1" applyProtection="1">
      <alignment horizontal="center"/>
      <protection locked="0"/>
    </xf>
    <xf numFmtId="0" fontId="8" fillId="0" borderId="22" xfId="0" applyFont="1" applyBorder="1" applyAlignment="1" applyProtection="1">
      <alignment horizontal="left"/>
    </xf>
    <xf numFmtId="0" fontId="8" fillId="0" borderId="23" xfId="0" applyFont="1" applyBorder="1" applyAlignment="1" applyProtection="1">
      <alignment horizontal="left"/>
    </xf>
    <xf numFmtId="176" fontId="0" fillId="0" borderId="5" xfId="0" applyNumberFormat="1" applyBorder="1" applyAlignment="1" applyProtection="1">
      <alignment horizontal="center"/>
    </xf>
    <xf numFmtId="176" fontId="0" fillId="0" borderId="10" xfId="0" applyNumberFormat="1" applyBorder="1" applyAlignment="1" applyProtection="1">
      <alignment horizontal="center"/>
    </xf>
    <xf numFmtId="176" fontId="0" fillId="0" borderId="21" xfId="0" applyNumberFormat="1" applyBorder="1" applyAlignment="1" applyProtection="1">
      <alignment horizontal="center"/>
    </xf>
    <xf numFmtId="176" fontId="0" fillId="0" borderId="28" xfId="0" applyNumberFormat="1" applyBorder="1" applyAlignment="1" applyProtection="1">
      <alignment horizontal="center"/>
    </xf>
    <xf numFmtId="0" fontId="8" fillId="4" borderId="7" xfId="0" applyFont="1" applyFill="1" applyBorder="1" applyAlignment="1" applyProtection="1">
      <alignment horizontal="center"/>
      <protection locked="0"/>
    </xf>
    <xf numFmtId="0" fontId="8" fillId="4" borderId="6" xfId="0" applyFont="1" applyFill="1" applyBorder="1" applyAlignment="1" applyProtection="1">
      <alignment horizontal="center"/>
      <protection locked="0"/>
    </xf>
    <xf numFmtId="0" fontId="0" fillId="0" borderId="2" xfId="0" applyBorder="1" applyAlignment="1" applyProtection="1">
      <alignment horizontal="center"/>
    </xf>
    <xf numFmtId="0" fontId="0" fillId="0" borderId="9" xfId="0" applyBorder="1" applyAlignment="1" applyProtection="1">
      <alignment horizontal="center"/>
    </xf>
    <xf numFmtId="14" fontId="8" fillId="4" borderId="7" xfId="0" applyNumberFormat="1" applyFont="1" applyFill="1" applyBorder="1" applyAlignment="1" applyProtection="1">
      <alignment horizontal="center"/>
      <protection locked="0"/>
    </xf>
    <xf numFmtId="14" fontId="8" fillId="4" borderId="6" xfId="0" applyNumberFormat="1" applyFont="1" applyFill="1" applyBorder="1" applyAlignment="1" applyProtection="1">
      <alignment horizontal="center"/>
      <protection locked="0"/>
    </xf>
    <xf numFmtId="7" fontId="8" fillId="4" borderId="5" xfId="2" applyNumberFormat="1" applyFont="1" applyFill="1" applyBorder="1" applyAlignment="1" applyProtection="1">
      <alignment horizontal="center"/>
      <protection locked="0"/>
    </xf>
    <xf numFmtId="7" fontId="8" fillId="4" borderId="10" xfId="2" applyNumberFormat="1" applyFont="1" applyFill="1" applyBorder="1" applyAlignment="1" applyProtection="1">
      <alignment horizontal="center"/>
      <protection locked="0"/>
    </xf>
    <xf numFmtId="176" fontId="8" fillId="4" borderId="5" xfId="2" applyNumberFormat="1" applyFont="1" applyFill="1" applyBorder="1" applyAlignment="1" applyProtection="1">
      <alignment horizontal="center"/>
      <protection locked="0"/>
    </xf>
    <xf numFmtId="176" fontId="8" fillId="4" borderId="10" xfId="2" applyNumberFormat="1" applyFont="1" applyFill="1" applyBorder="1" applyAlignment="1" applyProtection="1">
      <alignment horizontal="center"/>
      <protection locked="0"/>
    </xf>
    <xf numFmtId="180" fontId="8" fillId="4" borderId="7" xfId="0" applyNumberFormat="1" applyFont="1" applyFill="1" applyBorder="1" applyAlignment="1" applyProtection="1">
      <alignment horizontal="center"/>
      <protection locked="0"/>
    </xf>
    <xf numFmtId="180" fontId="8" fillId="4" borderId="6" xfId="0" applyNumberFormat="1" applyFont="1" applyFill="1" applyBorder="1" applyAlignment="1" applyProtection="1">
      <alignment horizontal="center"/>
      <protection locked="0"/>
    </xf>
    <xf numFmtId="0" fontId="17" fillId="0" borderId="26" xfId="0" applyFont="1" applyBorder="1" applyAlignment="1" applyProtection="1">
      <alignment horizontal="left"/>
    </xf>
    <xf numFmtId="0" fontId="17" fillId="0" borderId="27" xfId="0" applyFont="1" applyBorder="1" applyAlignment="1" applyProtection="1">
      <alignment horizontal="left"/>
    </xf>
    <xf numFmtId="7" fontId="13" fillId="4" borderId="7" xfId="2" applyNumberFormat="1" applyFont="1" applyFill="1" applyBorder="1" applyAlignment="1" applyProtection="1">
      <alignment horizontal="right"/>
      <protection locked="0"/>
    </xf>
    <xf numFmtId="44" fontId="13" fillId="4" borderId="7" xfId="2" applyFont="1" applyFill="1" applyBorder="1" applyAlignment="1" applyProtection="1">
      <alignment horizontal="right"/>
      <protection locked="0"/>
    </xf>
    <xf numFmtId="44" fontId="13" fillId="4" borderId="6" xfId="2" applyFont="1" applyFill="1" applyBorder="1" applyAlignment="1" applyProtection="1">
      <alignment horizontal="right"/>
      <protection locked="0"/>
    </xf>
    <xf numFmtId="0" fontId="13" fillId="0" borderId="0" xfId="0" applyFont="1" applyAlignment="1" applyProtection="1">
      <alignment horizontal="center"/>
    </xf>
    <xf numFmtId="0" fontId="13" fillId="0" borderId="11" xfId="0" applyFont="1" applyBorder="1" applyAlignment="1" applyProtection="1">
      <alignment horizontal="center"/>
    </xf>
    <xf numFmtId="0" fontId="4" fillId="4" borderId="7" xfId="0" applyFont="1" applyFill="1" applyBorder="1" applyAlignment="1" applyProtection="1">
      <alignment horizontal="left"/>
      <protection locked="0"/>
    </xf>
    <xf numFmtId="0" fontId="4" fillId="4" borderId="6" xfId="0" applyFont="1" applyFill="1" applyBorder="1" applyAlignment="1" applyProtection="1">
      <alignment horizontal="left"/>
      <protection locked="0"/>
    </xf>
    <xf numFmtId="176" fontId="13" fillId="4" borderId="7" xfId="2" applyNumberFormat="1" applyFont="1" applyFill="1" applyBorder="1" applyAlignment="1" applyProtection="1">
      <alignment horizontal="center"/>
      <protection locked="0"/>
    </xf>
    <xf numFmtId="176" fontId="13" fillId="4" borderId="6" xfId="2" applyNumberFormat="1" applyFont="1" applyFill="1" applyBorder="1" applyAlignment="1" applyProtection="1">
      <alignment horizontal="center"/>
      <protection locked="0"/>
    </xf>
    <xf numFmtId="0" fontId="13" fillId="2" borderId="0" xfId="0" applyFont="1" applyFill="1" applyAlignment="1" applyProtection="1">
      <alignment horizontal="center"/>
    </xf>
    <xf numFmtId="0" fontId="13" fillId="2" borderId="11" xfId="0" applyFont="1" applyFill="1" applyBorder="1" applyAlignment="1" applyProtection="1">
      <alignment horizontal="center"/>
    </xf>
    <xf numFmtId="0" fontId="0" fillId="0" borderId="20" xfId="0" applyBorder="1" applyAlignment="1" applyProtection="1">
      <alignment horizontal="left"/>
    </xf>
    <xf numFmtId="0" fontId="0" fillId="0" borderId="21" xfId="0" applyBorder="1" applyAlignment="1" applyProtection="1">
      <alignment horizontal="left"/>
    </xf>
    <xf numFmtId="0" fontId="0" fillId="0" borderId="2" xfId="0" applyFill="1" applyBorder="1" applyAlignment="1" applyProtection="1">
      <alignment horizontal="left" vertical="top" wrapText="1"/>
    </xf>
    <xf numFmtId="0" fontId="0" fillId="0" borderId="48" xfId="0" applyFill="1" applyBorder="1" applyAlignment="1" applyProtection="1">
      <alignment horizontal="left" vertical="top" wrapText="1"/>
    </xf>
    <xf numFmtId="0" fontId="0" fillId="0" borderId="0" xfId="0" applyFill="1" applyBorder="1" applyAlignment="1" applyProtection="1">
      <alignment horizontal="left" vertical="top" wrapText="1"/>
    </xf>
    <xf numFmtId="0" fontId="0" fillId="0" borderId="54" xfId="0" applyFill="1" applyBorder="1" applyAlignment="1" applyProtection="1">
      <alignment horizontal="left" vertical="top" wrapText="1"/>
    </xf>
    <xf numFmtId="0" fontId="0" fillId="0" borderId="35" xfId="0" applyFill="1" applyBorder="1" applyAlignment="1" applyProtection="1">
      <alignment horizontal="left" vertical="top" wrapText="1"/>
    </xf>
    <xf numFmtId="0" fontId="0" fillId="0" borderId="36" xfId="0" applyFill="1" applyBorder="1" applyAlignment="1" applyProtection="1">
      <alignment horizontal="left" vertical="top" wrapText="1"/>
    </xf>
    <xf numFmtId="0" fontId="0" fillId="0" borderId="8" xfId="0" applyBorder="1" applyAlignment="1" applyProtection="1">
      <alignment horizontal="right"/>
    </xf>
    <xf numFmtId="0" fontId="0" fillId="0" borderId="7" xfId="0" applyBorder="1" applyAlignment="1" applyProtection="1">
      <alignment horizontal="right"/>
    </xf>
    <xf numFmtId="0" fontId="6" fillId="0" borderId="13" xfId="0" applyFont="1" applyBorder="1" applyAlignment="1" applyProtection="1">
      <alignment horizontal="center"/>
    </xf>
    <xf numFmtId="0" fontId="0" fillId="2" borderId="6" xfId="0" applyFill="1" applyBorder="1" applyAlignment="1" applyProtection="1">
      <alignment horizontal="right"/>
    </xf>
    <xf numFmtId="0" fontId="4" fillId="4" borderId="8" xfId="0" applyFont="1" applyFill="1" applyBorder="1" applyAlignment="1" applyProtection="1">
      <alignment horizontal="center"/>
      <protection locked="0"/>
    </xf>
    <xf numFmtId="0" fontId="4" fillId="4" borderId="6" xfId="0" applyFont="1" applyFill="1" applyBorder="1" applyAlignment="1" applyProtection="1">
      <alignment horizontal="center"/>
      <protection locked="0"/>
    </xf>
    <xf numFmtId="0" fontId="18" fillId="4" borderId="7" xfId="4" applyFill="1" applyBorder="1" applyAlignment="1" applyProtection="1">
      <alignment horizontal="center"/>
      <protection locked="0"/>
    </xf>
    <xf numFmtId="0" fontId="18" fillId="4" borderId="6" xfId="4" applyFill="1" applyBorder="1" applyAlignment="1" applyProtection="1">
      <alignment horizontal="center"/>
      <protection locked="0"/>
    </xf>
    <xf numFmtId="175" fontId="0" fillId="4" borderId="7" xfId="0" applyNumberFormat="1" applyFill="1" applyBorder="1" applyAlignment="1" applyProtection="1">
      <alignment horizontal="center"/>
      <protection locked="0"/>
    </xf>
    <xf numFmtId="178" fontId="0" fillId="4" borderId="37" xfId="0" applyNumberFormat="1" applyFill="1" applyBorder="1" applyAlignment="1" applyProtection="1">
      <alignment horizontal="center"/>
      <protection locked="0"/>
    </xf>
    <xf numFmtId="175" fontId="0" fillId="4" borderId="37" xfId="0" applyNumberFormat="1" applyFill="1" applyBorder="1" applyAlignment="1" applyProtection="1">
      <alignment horizontal="center"/>
      <protection locked="0"/>
    </xf>
    <xf numFmtId="178" fontId="20" fillId="4" borderId="7" xfId="0" applyNumberFormat="1" applyFont="1" applyFill="1" applyBorder="1" applyAlignment="1" applyProtection="1">
      <alignment horizontal="center"/>
      <protection locked="0"/>
    </xf>
    <xf numFmtId="178" fontId="20" fillId="4" borderId="6" xfId="0" applyNumberFormat="1" applyFont="1" applyFill="1" applyBorder="1" applyAlignment="1" applyProtection="1">
      <alignment horizontal="center"/>
      <protection locked="0"/>
    </xf>
    <xf numFmtId="175" fontId="0" fillId="4" borderId="6" xfId="0" applyNumberFormat="1" applyFill="1" applyBorder="1" applyAlignment="1" applyProtection="1">
      <alignment horizontal="center"/>
      <protection locked="0"/>
    </xf>
    <xf numFmtId="0" fontId="4" fillId="0" borderId="8" xfId="0" applyFont="1" applyBorder="1" applyAlignment="1" applyProtection="1">
      <alignment horizontal="left"/>
    </xf>
    <xf numFmtId="0" fontId="4" fillId="0" borderId="7" xfId="0" applyFont="1" applyBorder="1" applyAlignment="1" applyProtection="1">
      <alignment horizontal="left"/>
    </xf>
    <xf numFmtId="0" fontId="4" fillId="0" borderId="6" xfId="0" applyFont="1" applyBorder="1" applyAlignment="1" applyProtection="1">
      <alignment horizontal="left"/>
    </xf>
    <xf numFmtId="0" fontId="17" fillId="0" borderId="0" xfId="0" applyFont="1" applyBorder="1" applyAlignment="1" applyProtection="1">
      <alignment horizontal="left"/>
    </xf>
    <xf numFmtId="0" fontId="17" fillId="0" borderId="11" xfId="0" applyFont="1" applyBorder="1" applyAlignment="1" applyProtection="1">
      <alignment horizontal="left"/>
    </xf>
    <xf numFmtId="0" fontId="13" fillId="0" borderId="2" xfId="0" applyFont="1" applyBorder="1" applyAlignment="1" applyProtection="1">
      <alignment horizontal="center"/>
    </xf>
    <xf numFmtId="0" fontId="13" fillId="0" borderId="9" xfId="0" applyFont="1" applyBorder="1" applyAlignment="1" applyProtection="1">
      <alignment horizontal="center"/>
    </xf>
    <xf numFmtId="0" fontId="16" fillId="0" borderId="26" xfId="0" applyFont="1" applyBorder="1" applyAlignment="1" applyProtection="1">
      <alignment horizontal="left"/>
    </xf>
    <xf numFmtId="0" fontId="16" fillId="0" borderId="27" xfId="0" applyFont="1" applyBorder="1" applyAlignment="1" applyProtection="1">
      <alignment horizontal="left"/>
    </xf>
    <xf numFmtId="0" fontId="6" fillId="11" borderId="35" xfId="0" applyFont="1" applyFill="1" applyBorder="1" applyAlignment="1">
      <alignment horizontal="center"/>
    </xf>
    <xf numFmtId="0" fontId="6" fillId="12" borderId="35" xfId="0" applyFont="1" applyFill="1" applyBorder="1" applyAlignment="1">
      <alignment horizontal="center"/>
    </xf>
    <xf numFmtId="0" fontId="6" fillId="13" borderId="35" xfId="0" applyFont="1" applyFill="1" applyBorder="1" applyAlignment="1">
      <alignment horizontal="center"/>
    </xf>
    <xf numFmtId="0" fontId="6" fillId="14" borderId="35" xfId="0" applyFont="1" applyFill="1" applyBorder="1" applyAlignment="1">
      <alignment horizontal="center"/>
    </xf>
    <xf numFmtId="0" fontId="0" fillId="0" borderId="0" xfId="0" applyAlignment="1" applyProtection="1">
      <alignment horizontal="righ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0" fillId="0" borderId="8"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0" fontId="0" fillId="0" borderId="12" xfId="2" applyNumberFormat="1" applyFont="1" applyBorder="1" applyAlignment="1">
      <alignment horizontal="center"/>
    </xf>
    <xf numFmtId="0" fontId="0" fillId="0" borderId="0" xfId="0" applyAlignment="1">
      <alignment horizontal="center"/>
    </xf>
    <xf numFmtId="176" fontId="0" fillId="4" borderId="8" xfId="2" applyNumberFormat="1" applyFont="1" applyFill="1" applyBorder="1" applyAlignment="1" applyProtection="1">
      <alignment horizontal="center"/>
    </xf>
    <xf numFmtId="176" fontId="0" fillId="4" borderId="7" xfId="2" applyNumberFormat="1" applyFont="1" applyFill="1" applyBorder="1" applyAlignment="1" applyProtection="1">
      <alignment horizontal="center"/>
    </xf>
    <xf numFmtId="176" fontId="0" fillId="4" borderId="6" xfId="2" applyNumberFormat="1" applyFont="1" applyFill="1" applyBorder="1" applyAlignment="1" applyProtection="1">
      <alignment horizontal="center"/>
    </xf>
    <xf numFmtId="0" fontId="1" fillId="0" borderId="0" xfId="0" applyFont="1" applyAlignment="1">
      <alignment horizontal="center"/>
    </xf>
    <xf numFmtId="0" fontId="0" fillId="0" borderId="0" xfId="0" applyAlignment="1">
      <alignment horizontal="left"/>
    </xf>
    <xf numFmtId="0" fontId="18" fillId="0" borderId="0" xfId="4" applyAlignment="1">
      <alignment horizontal="left"/>
    </xf>
    <xf numFmtId="0" fontId="1" fillId="0" borderId="12" xfId="0" applyFont="1" applyBorder="1" applyAlignment="1">
      <alignment horizontal="center"/>
    </xf>
    <xf numFmtId="10" fontId="0" fillId="0" borderId="12"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0" xfId="0" applyBorder="1" applyAlignment="1">
      <alignment horizontal="center"/>
    </xf>
    <xf numFmtId="0" fontId="0" fillId="2" borderId="14" xfId="0" applyFill="1" applyBorder="1"/>
    <xf numFmtId="0" fontId="0" fillId="2" borderId="15" xfId="0" applyFill="1" applyBorder="1"/>
    <xf numFmtId="0" fontId="0" fillId="2" borderId="1" xfId="0" applyFill="1" applyBorder="1"/>
    <xf numFmtId="0" fontId="0" fillId="2" borderId="2" xfId="0" applyFill="1" applyBorder="1"/>
    <xf numFmtId="0" fontId="0" fillId="2" borderId="3" xfId="0" applyFill="1" applyBorder="1"/>
    <xf numFmtId="0" fontId="0" fillId="2" borderId="0" xfId="0" applyFill="1"/>
    <xf numFmtId="0" fontId="0" fillId="2" borderId="4" xfId="0" applyFill="1" applyBorder="1"/>
    <xf numFmtId="0" fontId="0" fillId="2" borderId="5" xfId="0" applyFill="1" applyBorder="1"/>
    <xf numFmtId="0" fontId="12" fillId="3" borderId="0" xfId="0" applyFont="1" applyFill="1" applyAlignment="1">
      <alignment horizontal="center"/>
    </xf>
    <xf numFmtId="0" fontId="13" fillId="3" borderId="2" xfId="0" applyFont="1" applyFill="1" applyBorder="1" applyAlignment="1" applyProtection="1">
      <alignment horizontal="left"/>
      <protection locked="0"/>
    </xf>
    <xf numFmtId="0" fontId="13" fillId="3" borderId="9" xfId="0" applyFont="1" applyFill="1" applyBorder="1" applyAlignment="1" applyProtection="1">
      <alignment horizontal="left"/>
      <protection locked="0"/>
    </xf>
    <xf numFmtId="0" fontId="0" fillId="3" borderId="5" xfId="0" applyFill="1" applyBorder="1" applyAlignment="1" applyProtection="1">
      <alignment horizontal="left"/>
      <protection locked="0"/>
    </xf>
    <xf numFmtId="0" fontId="0" fillId="3" borderId="10" xfId="0" applyFill="1" applyBorder="1" applyAlignment="1" applyProtection="1">
      <alignment horizontal="left"/>
      <protection locked="0"/>
    </xf>
    <xf numFmtId="0" fontId="14" fillId="0" borderId="0" xfId="0" applyFont="1" applyAlignment="1">
      <alignment horizontal="center"/>
    </xf>
  </cellXfs>
  <cellStyles count="6">
    <cellStyle name="Comma" xfId="1" builtinId="3"/>
    <cellStyle name="Currency" xfId="2" builtinId="4"/>
    <cellStyle name="Good" xfId="5" builtinId="26"/>
    <cellStyle name="Hyperlink" xfId="4" builtinId="8"/>
    <cellStyle name="Normal" xfId="0" builtinId="0"/>
    <cellStyle name="Percent" xfId="3" builtinId="5"/>
  </cellStyles>
  <dxfs count="7">
    <dxf>
      <font>
        <color rgb="FFFF0000"/>
      </font>
      <fill>
        <patternFill>
          <bgColor theme="5" tint="0.39994506668294322"/>
        </patternFill>
      </fill>
    </dxf>
    <dxf>
      <fill>
        <patternFill>
          <bgColor theme="5" tint="0.39994506668294322"/>
        </patternFill>
      </fill>
    </dxf>
    <dxf>
      <fill>
        <patternFill>
          <bgColor theme="5" tint="0.39994506668294322"/>
        </patternFill>
      </fill>
    </dxf>
    <dxf>
      <fill>
        <patternFill>
          <bgColor rgb="FFFF0000"/>
        </patternFill>
      </fill>
    </dxf>
    <dxf>
      <fill>
        <patternFill>
          <bgColor theme="5" tint="0.39994506668294322"/>
        </patternFill>
      </fill>
    </dxf>
    <dxf>
      <fill>
        <patternFill>
          <bgColor theme="5"/>
        </patternFill>
      </fill>
    </dxf>
    <dxf>
      <font>
        <color rgb="FFFF0000"/>
      </font>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22.emf"/><Relationship Id="rId21" Type="http://schemas.openxmlformats.org/officeDocument/2006/relationships/image" Target="../media/image2.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21.emf"/><Relationship Id="rId16" Type="http://schemas.openxmlformats.org/officeDocument/2006/relationships/image" Target="../media/image7.emf"/><Relationship Id="rId20" Type="http://schemas.openxmlformats.org/officeDocument/2006/relationships/image" Target="../media/image3.emf"/><Relationship Id="rId1" Type="http://schemas.openxmlformats.org/officeDocument/2006/relationships/image" Target="../media/image20.emf"/><Relationship Id="rId6" Type="http://schemas.openxmlformats.org/officeDocument/2006/relationships/image" Target="../media/image17.emf"/><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image" Target="../media/image8.emf"/><Relationship Id="rId10" Type="http://schemas.openxmlformats.org/officeDocument/2006/relationships/image" Target="../media/image13.emf"/><Relationship Id="rId19" Type="http://schemas.openxmlformats.org/officeDocument/2006/relationships/image" Target="../media/image4.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250</xdr:row>
          <xdr:rowOff>285750</xdr:rowOff>
        </xdr:from>
        <xdr:to>
          <xdr:col>57</xdr:col>
          <xdr:colOff>0</xdr:colOff>
          <xdr:row>253</xdr:row>
          <xdr:rowOff>304800</xdr:rowOff>
        </xdr:to>
        <xdr:sp macro="" textlink="">
          <xdr:nvSpPr>
            <xdr:cNvPr id="5562" name="TextBox17"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262</xdr:row>
          <xdr:rowOff>0</xdr:rowOff>
        </xdr:from>
        <xdr:to>
          <xdr:col>57</xdr:col>
          <xdr:colOff>0</xdr:colOff>
          <xdr:row>265</xdr:row>
          <xdr:rowOff>0</xdr:rowOff>
        </xdr:to>
        <xdr:sp macro="" textlink="">
          <xdr:nvSpPr>
            <xdr:cNvPr id="5563" name="TextBox18"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123825</xdr:colOff>
          <xdr:row>273</xdr:row>
          <xdr:rowOff>0</xdr:rowOff>
        </xdr:from>
        <xdr:to>
          <xdr:col>57</xdr:col>
          <xdr:colOff>0</xdr:colOff>
          <xdr:row>276</xdr:row>
          <xdr:rowOff>0</xdr:rowOff>
        </xdr:to>
        <xdr:sp macro="" textlink="">
          <xdr:nvSpPr>
            <xdr:cNvPr id="5564" name="TextBox19"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284</xdr:row>
          <xdr:rowOff>0</xdr:rowOff>
        </xdr:from>
        <xdr:to>
          <xdr:col>57</xdr:col>
          <xdr:colOff>0</xdr:colOff>
          <xdr:row>287</xdr:row>
          <xdr:rowOff>0</xdr:rowOff>
        </xdr:to>
        <xdr:sp macro="" textlink="">
          <xdr:nvSpPr>
            <xdr:cNvPr id="5565" name="TextBox20"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295</xdr:row>
          <xdr:rowOff>0</xdr:rowOff>
        </xdr:from>
        <xdr:to>
          <xdr:col>57</xdr:col>
          <xdr:colOff>0</xdr:colOff>
          <xdr:row>298</xdr:row>
          <xdr:rowOff>0</xdr:rowOff>
        </xdr:to>
        <xdr:sp macro="" textlink="">
          <xdr:nvSpPr>
            <xdr:cNvPr id="5566" name="TextBox21"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306</xdr:row>
          <xdr:rowOff>0</xdr:rowOff>
        </xdr:from>
        <xdr:to>
          <xdr:col>57</xdr:col>
          <xdr:colOff>0</xdr:colOff>
          <xdr:row>309</xdr:row>
          <xdr:rowOff>0</xdr:rowOff>
        </xdr:to>
        <xdr:sp macro="" textlink="">
          <xdr:nvSpPr>
            <xdr:cNvPr id="5567" name="TextBox22"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317</xdr:row>
          <xdr:rowOff>0</xdr:rowOff>
        </xdr:from>
        <xdr:to>
          <xdr:col>57</xdr:col>
          <xdr:colOff>0</xdr:colOff>
          <xdr:row>320</xdr:row>
          <xdr:rowOff>0</xdr:rowOff>
        </xdr:to>
        <xdr:sp macro="" textlink="">
          <xdr:nvSpPr>
            <xdr:cNvPr id="5568" name="TextBox23"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328</xdr:row>
          <xdr:rowOff>0</xdr:rowOff>
        </xdr:from>
        <xdr:to>
          <xdr:col>57</xdr:col>
          <xdr:colOff>0</xdr:colOff>
          <xdr:row>331</xdr:row>
          <xdr:rowOff>0</xdr:rowOff>
        </xdr:to>
        <xdr:sp macro="" textlink="">
          <xdr:nvSpPr>
            <xdr:cNvPr id="5569" name="TextBox24"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339</xdr:row>
          <xdr:rowOff>0</xdr:rowOff>
        </xdr:from>
        <xdr:to>
          <xdr:col>57</xdr:col>
          <xdr:colOff>0</xdr:colOff>
          <xdr:row>342</xdr:row>
          <xdr:rowOff>0</xdr:rowOff>
        </xdr:to>
        <xdr:sp macro="" textlink="">
          <xdr:nvSpPr>
            <xdr:cNvPr id="5570" name="TextBox25"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63</xdr:col>
          <xdr:colOff>9525</xdr:colOff>
          <xdr:row>1</xdr:row>
          <xdr:rowOff>0</xdr:rowOff>
        </xdr:from>
        <xdr:to>
          <xdr:col>76</xdr:col>
          <xdr:colOff>9525</xdr:colOff>
          <xdr:row>3</xdr:row>
          <xdr:rowOff>0</xdr:rowOff>
        </xdr:to>
        <xdr:sp macro="" textlink="">
          <xdr:nvSpPr>
            <xdr:cNvPr id="5913" name="Button 793" hidden="1">
              <a:extLst>
                <a:ext uri="{63B3BB69-23CF-44E3-9099-C40C66FF867C}">
                  <a14:compatExt spid="_x0000_s5913"/>
                </a:ext>
                <a:ext uri="{FF2B5EF4-FFF2-40B4-BE49-F238E27FC236}">
                  <a16:creationId xmlns:a16="http://schemas.microsoft.com/office/drawing/2014/main" id="{00000000-0008-0000-0000-000019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Loan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97</xdr:col>
          <xdr:colOff>0</xdr:colOff>
          <xdr:row>1</xdr:row>
          <xdr:rowOff>0</xdr:rowOff>
        </xdr:from>
        <xdr:to>
          <xdr:col>114</xdr:col>
          <xdr:colOff>133350</xdr:colOff>
          <xdr:row>4</xdr:row>
          <xdr:rowOff>0</xdr:rowOff>
        </xdr:to>
        <xdr:sp macro="" textlink="">
          <xdr:nvSpPr>
            <xdr:cNvPr id="5931" name="Button 811" hidden="1">
              <a:extLst>
                <a:ext uri="{63B3BB69-23CF-44E3-9099-C40C66FF867C}">
                  <a14:compatExt spid="_x0000_s5931"/>
                </a:ext>
                <a:ext uri="{FF2B5EF4-FFF2-40B4-BE49-F238E27FC236}">
                  <a16:creationId xmlns:a16="http://schemas.microsoft.com/office/drawing/2014/main" id="{00000000-0008-0000-0000-00002B17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Generate All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133350</xdr:colOff>
          <xdr:row>20</xdr:row>
          <xdr:rowOff>0</xdr:rowOff>
        </xdr:from>
        <xdr:to>
          <xdr:col>74</xdr:col>
          <xdr:colOff>133350</xdr:colOff>
          <xdr:row>22</xdr:row>
          <xdr:rowOff>0</xdr:rowOff>
        </xdr:to>
        <xdr:sp macro="" textlink="">
          <xdr:nvSpPr>
            <xdr:cNvPr id="5935" name="Button 815" hidden="1">
              <a:extLst>
                <a:ext uri="{63B3BB69-23CF-44E3-9099-C40C66FF867C}">
                  <a14:compatExt spid="_x0000_s5935"/>
                </a:ext>
                <a:ext uri="{FF2B5EF4-FFF2-40B4-BE49-F238E27FC236}">
                  <a16:creationId xmlns:a16="http://schemas.microsoft.com/office/drawing/2014/main" id="{00000000-0008-0000-0000-00002F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Info from Borrower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63</xdr:col>
          <xdr:colOff>0</xdr:colOff>
          <xdr:row>4</xdr:row>
          <xdr:rowOff>0</xdr:rowOff>
        </xdr:from>
        <xdr:to>
          <xdr:col>76</xdr:col>
          <xdr:colOff>0</xdr:colOff>
          <xdr:row>6</xdr:row>
          <xdr:rowOff>0</xdr:rowOff>
        </xdr:to>
        <xdr:sp macro="" textlink="">
          <xdr:nvSpPr>
            <xdr:cNvPr id="5936" name="Button 816" hidden="1">
              <a:extLst>
                <a:ext uri="{63B3BB69-23CF-44E3-9099-C40C66FF867C}">
                  <a14:compatExt spid="_x0000_s5936"/>
                </a:ext>
                <a:ext uri="{FF2B5EF4-FFF2-40B4-BE49-F238E27FC236}">
                  <a16:creationId xmlns:a16="http://schemas.microsoft.com/office/drawing/2014/main" id="{00000000-0008-0000-0000-000030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Loan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240</xdr:row>
          <xdr:rowOff>0</xdr:rowOff>
        </xdr:from>
        <xdr:to>
          <xdr:col>57</xdr:col>
          <xdr:colOff>0</xdr:colOff>
          <xdr:row>243</xdr:row>
          <xdr:rowOff>0</xdr:rowOff>
        </xdr:to>
        <xdr:sp macro="" textlink="">
          <xdr:nvSpPr>
            <xdr:cNvPr id="5942" name="TextBox16" hidden="1">
              <a:extLst>
                <a:ext uri="{63B3BB69-23CF-44E3-9099-C40C66FF867C}">
                  <a14:compatExt spid="_x0000_s5942"/>
                </a:ext>
                <a:ext uri="{FF2B5EF4-FFF2-40B4-BE49-F238E27FC236}">
                  <a16:creationId xmlns:a16="http://schemas.microsoft.com/office/drawing/2014/main" id="{00000000-0008-0000-0000-000036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0</xdr:colOff>
          <xdr:row>42</xdr:row>
          <xdr:rowOff>0</xdr:rowOff>
        </xdr:from>
        <xdr:to>
          <xdr:col>93</xdr:col>
          <xdr:colOff>0</xdr:colOff>
          <xdr:row>44</xdr:row>
          <xdr:rowOff>0</xdr:rowOff>
        </xdr:to>
        <xdr:sp macro="" textlink="">
          <xdr:nvSpPr>
            <xdr:cNvPr id="5957" name="Button 837" hidden="1">
              <a:extLst>
                <a:ext uri="{63B3BB69-23CF-44E3-9099-C40C66FF867C}">
                  <a14:compatExt spid="_x0000_s5957"/>
                </a:ext>
                <a:ext uri="{FF2B5EF4-FFF2-40B4-BE49-F238E27FC236}">
                  <a16:creationId xmlns:a16="http://schemas.microsoft.com/office/drawing/2014/main" id="{00000000-0008-0000-0000-000045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Recalculate Processing Amount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1</xdr:row>
          <xdr:rowOff>0</xdr:rowOff>
        </xdr:from>
        <xdr:to>
          <xdr:col>60</xdr:col>
          <xdr:colOff>0</xdr:colOff>
          <xdr:row>3</xdr:row>
          <xdr:rowOff>0</xdr:rowOff>
        </xdr:to>
        <xdr:sp macro="" textlink="">
          <xdr:nvSpPr>
            <xdr:cNvPr id="5963" name="Button 843" hidden="1">
              <a:extLst>
                <a:ext uri="{63B3BB69-23CF-44E3-9099-C40C66FF867C}">
                  <a14:compatExt spid="_x0000_s5963"/>
                </a:ext>
                <a:ext uri="{FF2B5EF4-FFF2-40B4-BE49-F238E27FC236}">
                  <a16:creationId xmlns:a16="http://schemas.microsoft.com/office/drawing/2014/main" id="{00000000-0008-0000-0000-00004B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Loan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97</xdr:col>
          <xdr:colOff>0</xdr:colOff>
          <xdr:row>5</xdr:row>
          <xdr:rowOff>0</xdr:rowOff>
        </xdr:from>
        <xdr:to>
          <xdr:col>115</xdr:col>
          <xdr:colOff>0</xdr:colOff>
          <xdr:row>7</xdr:row>
          <xdr:rowOff>0</xdr:rowOff>
        </xdr:to>
        <xdr:sp macro="" textlink="">
          <xdr:nvSpPr>
            <xdr:cNvPr id="5964" name="Button 844" hidden="1">
              <a:extLst>
                <a:ext uri="{63B3BB69-23CF-44E3-9099-C40C66FF867C}">
                  <a14:compatExt spid="_x0000_s5964"/>
                </a:ext>
                <a:ext uri="{FF2B5EF4-FFF2-40B4-BE49-F238E27FC236}">
                  <a16:creationId xmlns:a16="http://schemas.microsoft.com/office/drawing/2014/main" id="{00000000-0008-0000-0000-00004C17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Generate Disclosures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0</xdr:colOff>
          <xdr:row>67</xdr:row>
          <xdr:rowOff>0</xdr:rowOff>
        </xdr:from>
        <xdr:to>
          <xdr:col>57</xdr:col>
          <xdr:colOff>0</xdr:colOff>
          <xdr:row>69</xdr:row>
          <xdr:rowOff>0</xdr:rowOff>
        </xdr:to>
        <xdr:sp macro="" textlink="">
          <xdr:nvSpPr>
            <xdr:cNvPr id="5966" name="Button 846" hidden="1">
              <a:extLst>
                <a:ext uri="{63B3BB69-23CF-44E3-9099-C40C66FF867C}">
                  <a14:compatExt spid="_x0000_s5966"/>
                </a:ext>
                <a:ext uri="{FF2B5EF4-FFF2-40B4-BE49-F238E27FC236}">
                  <a16:creationId xmlns:a16="http://schemas.microsoft.com/office/drawing/2014/main" id="{00000000-0008-0000-0000-00004E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Address from Borrower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47</xdr:col>
          <xdr:colOff>0</xdr:colOff>
          <xdr:row>4</xdr:row>
          <xdr:rowOff>0</xdr:rowOff>
        </xdr:from>
        <xdr:to>
          <xdr:col>60</xdr:col>
          <xdr:colOff>0</xdr:colOff>
          <xdr:row>6</xdr:row>
          <xdr:rowOff>0</xdr:rowOff>
        </xdr:to>
        <xdr:sp macro="" textlink="">
          <xdr:nvSpPr>
            <xdr:cNvPr id="5968" name="Button 848" hidden="1">
              <a:extLst>
                <a:ext uri="{63B3BB69-23CF-44E3-9099-C40C66FF867C}">
                  <a14:compatExt spid="_x0000_s5968"/>
                </a:ext>
                <a:ext uri="{FF2B5EF4-FFF2-40B4-BE49-F238E27FC236}">
                  <a16:creationId xmlns:a16="http://schemas.microsoft.com/office/drawing/2014/main" id="{00000000-0008-0000-0000-000050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 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97</xdr:col>
          <xdr:colOff>0</xdr:colOff>
          <xdr:row>9</xdr:row>
          <xdr:rowOff>0</xdr:rowOff>
        </xdr:from>
        <xdr:to>
          <xdr:col>115</xdr:col>
          <xdr:colOff>0</xdr:colOff>
          <xdr:row>11</xdr:row>
          <xdr:rowOff>0</xdr:rowOff>
        </xdr:to>
        <xdr:sp macro="" textlink="">
          <xdr:nvSpPr>
            <xdr:cNvPr id="5978" name="CheckBox1" hidden="1">
              <a:extLst>
                <a:ext uri="{63B3BB69-23CF-44E3-9099-C40C66FF867C}">
                  <a14:compatExt spid="_x0000_s5978"/>
                </a:ext>
                <a:ext uri="{FF2B5EF4-FFF2-40B4-BE49-F238E27FC236}">
                  <a16:creationId xmlns:a16="http://schemas.microsoft.com/office/drawing/2014/main" id="{00000000-0008-0000-0000-00005A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0</xdr:colOff>
          <xdr:row>11</xdr:row>
          <xdr:rowOff>0</xdr:rowOff>
        </xdr:from>
        <xdr:to>
          <xdr:col>115</xdr:col>
          <xdr:colOff>0</xdr:colOff>
          <xdr:row>13</xdr:row>
          <xdr:rowOff>0</xdr:rowOff>
        </xdr:to>
        <xdr:sp macro="" textlink="">
          <xdr:nvSpPr>
            <xdr:cNvPr id="5979" name="CheckBox2" hidden="1">
              <a:extLst>
                <a:ext uri="{63B3BB69-23CF-44E3-9099-C40C66FF867C}">
                  <a14:compatExt spid="_x0000_s5979"/>
                </a:ext>
                <a:ext uri="{FF2B5EF4-FFF2-40B4-BE49-F238E27FC236}">
                  <a16:creationId xmlns:a16="http://schemas.microsoft.com/office/drawing/2014/main" id="{00000000-0008-0000-0000-00005B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0</xdr:colOff>
          <xdr:row>13</xdr:row>
          <xdr:rowOff>0</xdr:rowOff>
        </xdr:from>
        <xdr:to>
          <xdr:col>115</xdr:col>
          <xdr:colOff>0</xdr:colOff>
          <xdr:row>15</xdr:row>
          <xdr:rowOff>0</xdr:rowOff>
        </xdr:to>
        <xdr:sp macro="" textlink="">
          <xdr:nvSpPr>
            <xdr:cNvPr id="5980" name="CheckBox3" hidden="1">
              <a:extLst>
                <a:ext uri="{63B3BB69-23CF-44E3-9099-C40C66FF867C}">
                  <a14:compatExt spid="_x0000_s5980"/>
                </a:ext>
                <a:ext uri="{FF2B5EF4-FFF2-40B4-BE49-F238E27FC236}">
                  <a16:creationId xmlns:a16="http://schemas.microsoft.com/office/drawing/2014/main" id="{00000000-0008-0000-0000-00005C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0</xdr:colOff>
          <xdr:row>15</xdr:row>
          <xdr:rowOff>0</xdr:rowOff>
        </xdr:from>
        <xdr:to>
          <xdr:col>115</xdr:col>
          <xdr:colOff>0</xdr:colOff>
          <xdr:row>17</xdr:row>
          <xdr:rowOff>0</xdr:rowOff>
        </xdr:to>
        <xdr:sp macro="" textlink="">
          <xdr:nvSpPr>
            <xdr:cNvPr id="5981" name="CheckBox4" hidden="1">
              <a:extLst>
                <a:ext uri="{63B3BB69-23CF-44E3-9099-C40C66FF867C}">
                  <a14:compatExt spid="_x0000_s5981"/>
                </a:ext>
                <a:ext uri="{FF2B5EF4-FFF2-40B4-BE49-F238E27FC236}">
                  <a16:creationId xmlns:a16="http://schemas.microsoft.com/office/drawing/2014/main" id="{00000000-0008-0000-0000-00005D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114300</xdr:colOff>
          <xdr:row>76</xdr:row>
          <xdr:rowOff>9525</xdr:rowOff>
        </xdr:from>
        <xdr:to>
          <xdr:col>70</xdr:col>
          <xdr:colOff>104775</xdr:colOff>
          <xdr:row>78</xdr:row>
          <xdr:rowOff>0</xdr:rowOff>
        </xdr:to>
        <xdr:sp macro="" textlink="">
          <xdr:nvSpPr>
            <xdr:cNvPr id="5985" name="CommandButton1" hidden="1">
              <a:extLst>
                <a:ext uri="{63B3BB69-23CF-44E3-9099-C40C66FF867C}">
                  <a14:compatExt spid="_x0000_s5985"/>
                </a:ext>
                <a:ext uri="{FF2B5EF4-FFF2-40B4-BE49-F238E27FC236}">
                  <a16:creationId xmlns:a16="http://schemas.microsoft.com/office/drawing/2014/main" id="{00000000-0008-0000-0000-000061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58</xdr:col>
          <xdr:colOff>133350</xdr:colOff>
          <xdr:row>87</xdr:row>
          <xdr:rowOff>28575</xdr:rowOff>
        </xdr:from>
        <xdr:to>
          <xdr:col>70</xdr:col>
          <xdr:colOff>123825</xdr:colOff>
          <xdr:row>89</xdr:row>
          <xdr:rowOff>19050</xdr:rowOff>
        </xdr:to>
        <xdr:sp macro="" textlink="">
          <xdr:nvSpPr>
            <xdr:cNvPr id="5986" name="CommandButton2" hidden="1">
              <a:extLst>
                <a:ext uri="{63B3BB69-23CF-44E3-9099-C40C66FF867C}">
                  <a14:compatExt spid="_x0000_s5986"/>
                </a:ext>
                <a:ext uri="{FF2B5EF4-FFF2-40B4-BE49-F238E27FC236}">
                  <a16:creationId xmlns:a16="http://schemas.microsoft.com/office/drawing/2014/main" id="{00000000-0008-0000-0000-000062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98</xdr:row>
          <xdr:rowOff>9525</xdr:rowOff>
        </xdr:from>
        <xdr:to>
          <xdr:col>70</xdr:col>
          <xdr:colOff>133350</xdr:colOff>
          <xdr:row>100</xdr:row>
          <xdr:rowOff>0</xdr:rowOff>
        </xdr:to>
        <xdr:sp macro="" textlink="">
          <xdr:nvSpPr>
            <xdr:cNvPr id="5987" name="CommandButton3" hidden="1">
              <a:extLst>
                <a:ext uri="{63B3BB69-23CF-44E3-9099-C40C66FF867C}">
                  <a14:compatExt spid="_x0000_s5987"/>
                </a:ext>
                <a:ext uri="{FF2B5EF4-FFF2-40B4-BE49-F238E27FC236}">
                  <a16:creationId xmlns:a16="http://schemas.microsoft.com/office/drawing/2014/main" id="{00000000-0008-0000-0000-000063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109</xdr:row>
          <xdr:rowOff>0</xdr:rowOff>
        </xdr:from>
        <xdr:to>
          <xdr:col>70</xdr:col>
          <xdr:colOff>133350</xdr:colOff>
          <xdr:row>110</xdr:row>
          <xdr:rowOff>295275</xdr:rowOff>
        </xdr:to>
        <xdr:sp macro="" textlink="">
          <xdr:nvSpPr>
            <xdr:cNvPr id="5988" name="CommandButton4" hidden="1">
              <a:extLst>
                <a:ext uri="{63B3BB69-23CF-44E3-9099-C40C66FF867C}">
                  <a14:compatExt spid="_x0000_s5988"/>
                </a:ext>
                <a:ext uri="{FF2B5EF4-FFF2-40B4-BE49-F238E27FC236}">
                  <a16:creationId xmlns:a16="http://schemas.microsoft.com/office/drawing/2014/main" id="{00000000-0008-0000-0000-000064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120</xdr:row>
          <xdr:rowOff>47625</xdr:rowOff>
        </xdr:from>
        <xdr:to>
          <xdr:col>70</xdr:col>
          <xdr:colOff>133350</xdr:colOff>
          <xdr:row>122</xdr:row>
          <xdr:rowOff>38100</xdr:rowOff>
        </xdr:to>
        <xdr:sp macro="" textlink="">
          <xdr:nvSpPr>
            <xdr:cNvPr id="5989" name="CommandButton5" hidden="1">
              <a:extLst>
                <a:ext uri="{63B3BB69-23CF-44E3-9099-C40C66FF867C}">
                  <a14:compatExt spid="_x0000_s5989"/>
                </a:ext>
                <a:ext uri="{FF2B5EF4-FFF2-40B4-BE49-F238E27FC236}">
                  <a16:creationId xmlns:a16="http://schemas.microsoft.com/office/drawing/2014/main" id="{00000000-0008-0000-0000-000065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9525</xdr:colOff>
          <xdr:row>131</xdr:row>
          <xdr:rowOff>47625</xdr:rowOff>
        </xdr:from>
        <xdr:to>
          <xdr:col>71</xdr:col>
          <xdr:colOff>0</xdr:colOff>
          <xdr:row>133</xdr:row>
          <xdr:rowOff>38100</xdr:rowOff>
        </xdr:to>
        <xdr:sp macro="" textlink="">
          <xdr:nvSpPr>
            <xdr:cNvPr id="5990" name="CommandButton6" hidden="1">
              <a:extLst>
                <a:ext uri="{63B3BB69-23CF-44E3-9099-C40C66FF867C}">
                  <a14:compatExt spid="_x0000_s5990"/>
                </a:ext>
                <a:ext uri="{FF2B5EF4-FFF2-40B4-BE49-F238E27FC236}">
                  <a16:creationId xmlns:a16="http://schemas.microsoft.com/office/drawing/2014/main" id="{00000000-0008-0000-0000-000066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9525</xdr:colOff>
          <xdr:row>142</xdr:row>
          <xdr:rowOff>47625</xdr:rowOff>
        </xdr:from>
        <xdr:to>
          <xdr:col>71</xdr:col>
          <xdr:colOff>0</xdr:colOff>
          <xdr:row>144</xdr:row>
          <xdr:rowOff>38100</xdr:rowOff>
        </xdr:to>
        <xdr:sp macro="" textlink="">
          <xdr:nvSpPr>
            <xdr:cNvPr id="5991" name="CommandButton7" hidden="1">
              <a:extLst>
                <a:ext uri="{63B3BB69-23CF-44E3-9099-C40C66FF867C}">
                  <a14:compatExt spid="_x0000_s5991"/>
                </a:ext>
                <a:ext uri="{FF2B5EF4-FFF2-40B4-BE49-F238E27FC236}">
                  <a16:creationId xmlns:a16="http://schemas.microsoft.com/office/drawing/2014/main" id="{00000000-0008-0000-0000-000067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153</xdr:row>
          <xdr:rowOff>47625</xdr:rowOff>
        </xdr:from>
        <xdr:to>
          <xdr:col>70</xdr:col>
          <xdr:colOff>133350</xdr:colOff>
          <xdr:row>155</xdr:row>
          <xdr:rowOff>38100</xdr:rowOff>
        </xdr:to>
        <xdr:sp macro="" textlink="">
          <xdr:nvSpPr>
            <xdr:cNvPr id="5992" name="CommandButton8" hidden="1">
              <a:extLst>
                <a:ext uri="{63B3BB69-23CF-44E3-9099-C40C66FF867C}">
                  <a14:compatExt spid="_x0000_s5992"/>
                </a:ext>
                <a:ext uri="{FF2B5EF4-FFF2-40B4-BE49-F238E27FC236}">
                  <a16:creationId xmlns:a16="http://schemas.microsoft.com/office/drawing/2014/main" id="{00000000-0008-0000-0000-000068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164</xdr:row>
          <xdr:rowOff>57150</xdr:rowOff>
        </xdr:from>
        <xdr:to>
          <xdr:col>70</xdr:col>
          <xdr:colOff>133350</xdr:colOff>
          <xdr:row>166</xdr:row>
          <xdr:rowOff>47625</xdr:rowOff>
        </xdr:to>
        <xdr:sp macro="" textlink="">
          <xdr:nvSpPr>
            <xdr:cNvPr id="5993" name="CommandButton9" hidden="1">
              <a:extLst>
                <a:ext uri="{63B3BB69-23CF-44E3-9099-C40C66FF867C}">
                  <a14:compatExt spid="_x0000_s5993"/>
                </a:ext>
                <a:ext uri="{FF2B5EF4-FFF2-40B4-BE49-F238E27FC236}">
                  <a16:creationId xmlns:a16="http://schemas.microsoft.com/office/drawing/2014/main" id="{00000000-0008-0000-0000-000069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9525</xdr:colOff>
          <xdr:row>175</xdr:row>
          <xdr:rowOff>57150</xdr:rowOff>
        </xdr:from>
        <xdr:to>
          <xdr:col>71</xdr:col>
          <xdr:colOff>0</xdr:colOff>
          <xdr:row>177</xdr:row>
          <xdr:rowOff>47625</xdr:rowOff>
        </xdr:to>
        <xdr:sp macro="" textlink="">
          <xdr:nvSpPr>
            <xdr:cNvPr id="5994" name="CommandButton10" hidden="1">
              <a:extLst>
                <a:ext uri="{63B3BB69-23CF-44E3-9099-C40C66FF867C}">
                  <a14:compatExt spid="_x0000_s5994"/>
                </a:ext>
                <a:ext uri="{FF2B5EF4-FFF2-40B4-BE49-F238E27FC236}">
                  <a16:creationId xmlns:a16="http://schemas.microsoft.com/office/drawing/2014/main" id="{00000000-0008-0000-0000-00006A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186</xdr:row>
          <xdr:rowOff>47625</xdr:rowOff>
        </xdr:from>
        <xdr:to>
          <xdr:col>70</xdr:col>
          <xdr:colOff>133350</xdr:colOff>
          <xdr:row>188</xdr:row>
          <xdr:rowOff>38100</xdr:rowOff>
        </xdr:to>
        <xdr:sp macro="" textlink="">
          <xdr:nvSpPr>
            <xdr:cNvPr id="5995" name="CommandButton11" hidden="1">
              <a:extLst>
                <a:ext uri="{63B3BB69-23CF-44E3-9099-C40C66FF867C}">
                  <a14:compatExt spid="_x0000_s5995"/>
                </a:ext>
                <a:ext uri="{FF2B5EF4-FFF2-40B4-BE49-F238E27FC236}">
                  <a16:creationId xmlns:a16="http://schemas.microsoft.com/office/drawing/2014/main" id="{00000000-0008-0000-0000-00006B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9525</xdr:colOff>
          <xdr:row>197</xdr:row>
          <xdr:rowOff>57150</xdr:rowOff>
        </xdr:from>
        <xdr:to>
          <xdr:col>71</xdr:col>
          <xdr:colOff>0</xdr:colOff>
          <xdr:row>199</xdr:row>
          <xdr:rowOff>47625</xdr:rowOff>
        </xdr:to>
        <xdr:sp macro="" textlink="">
          <xdr:nvSpPr>
            <xdr:cNvPr id="5996" name="CommandButton12" hidden="1">
              <a:extLst>
                <a:ext uri="{63B3BB69-23CF-44E3-9099-C40C66FF867C}">
                  <a14:compatExt spid="_x0000_s5996"/>
                </a:ext>
                <a:ext uri="{FF2B5EF4-FFF2-40B4-BE49-F238E27FC236}">
                  <a16:creationId xmlns:a16="http://schemas.microsoft.com/office/drawing/2014/main" id="{00000000-0008-0000-0000-00006C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208</xdr:row>
          <xdr:rowOff>47625</xdr:rowOff>
        </xdr:from>
        <xdr:to>
          <xdr:col>70</xdr:col>
          <xdr:colOff>133350</xdr:colOff>
          <xdr:row>210</xdr:row>
          <xdr:rowOff>38100</xdr:rowOff>
        </xdr:to>
        <xdr:sp macro="" textlink="">
          <xdr:nvSpPr>
            <xdr:cNvPr id="5997" name="CommandButton13" hidden="1">
              <a:extLst>
                <a:ext uri="{63B3BB69-23CF-44E3-9099-C40C66FF867C}">
                  <a14:compatExt spid="_x0000_s5997"/>
                </a:ext>
                <a:ext uri="{FF2B5EF4-FFF2-40B4-BE49-F238E27FC236}">
                  <a16:creationId xmlns:a16="http://schemas.microsoft.com/office/drawing/2014/main" id="{00000000-0008-0000-0000-00006D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219</xdr:row>
          <xdr:rowOff>47625</xdr:rowOff>
        </xdr:from>
        <xdr:to>
          <xdr:col>70</xdr:col>
          <xdr:colOff>133350</xdr:colOff>
          <xdr:row>221</xdr:row>
          <xdr:rowOff>38100</xdr:rowOff>
        </xdr:to>
        <xdr:sp macro="" textlink="">
          <xdr:nvSpPr>
            <xdr:cNvPr id="5998" name="CommandButton14" hidden="1">
              <a:extLst>
                <a:ext uri="{63B3BB69-23CF-44E3-9099-C40C66FF867C}">
                  <a14:compatExt spid="_x0000_s5998"/>
                </a:ext>
                <a:ext uri="{FF2B5EF4-FFF2-40B4-BE49-F238E27FC236}">
                  <a16:creationId xmlns:a16="http://schemas.microsoft.com/office/drawing/2014/main" id="{00000000-0008-0000-0000-00006E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59</xdr:col>
          <xdr:colOff>9525</xdr:colOff>
          <xdr:row>230</xdr:row>
          <xdr:rowOff>47625</xdr:rowOff>
        </xdr:from>
        <xdr:to>
          <xdr:col>71</xdr:col>
          <xdr:colOff>0</xdr:colOff>
          <xdr:row>232</xdr:row>
          <xdr:rowOff>38100</xdr:rowOff>
        </xdr:to>
        <xdr:sp macro="" textlink="">
          <xdr:nvSpPr>
            <xdr:cNvPr id="5999" name="CommandButton15" hidden="1">
              <a:extLst>
                <a:ext uri="{63B3BB69-23CF-44E3-9099-C40C66FF867C}">
                  <a14:compatExt spid="_x0000_s5999"/>
                </a:ext>
                <a:ext uri="{FF2B5EF4-FFF2-40B4-BE49-F238E27FC236}">
                  <a16:creationId xmlns:a16="http://schemas.microsoft.com/office/drawing/2014/main" id="{00000000-0008-0000-0000-00006F1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81</xdr:col>
          <xdr:colOff>0</xdr:colOff>
          <xdr:row>1</xdr:row>
          <xdr:rowOff>0</xdr:rowOff>
        </xdr:from>
        <xdr:to>
          <xdr:col>94</xdr:col>
          <xdr:colOff>0</xdr:colOff>
          <xdr:row>3</xdr:row>
          <xdr:rowOff>0</xdr:rowOff>
        </xdr:to>
        <xdr:sp macro="" textlink="">
          <xdr:nvSpPr>
            <xdr:cNvPr id="6001" name="Button 881" hidden="1">
              <a:extLst>
                <a:ext uri="{63B3BB69-23CF-44E3-9099-C40C66FF867C}">
                  <a14:compatExt spid="_x0000_s6001"/>
                </a:ext>
                <a:ext uri="{FF2B5EF4-FFF2-40B4-BE49-F238E27FC236}">
                  <a16:creationId xmlns:a16="http://schemas.microsoft.com/office/drawing/2014/main" id="{00000000-0008-0000-0000-000071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0</xdr:colOff>
          <xdr:row>15</xdr:row>
          <xdr:rowOff>47625</xdr:rowOff>
        </xdr:from>
        <xdr:to>
          <xdr:col>73</xdr:col>
          <xdr:colOff>0</xdr:colOff>
          <xdr:row>17</xdr:row>
          <xdr:rowOff>0</xdr:rowOff>
        </xdr:to>
        <xdr:sp macro="" textlink="">
          <xdr:nvSpPr>
            <xdr:cNvPr id="6008" name="Button 888" hidden="1">
              <a:extLst>
                <a:ext uri="{63B3BB69-23CF-44E3-9099-C40C66FF867C}">
                  <a14:compatExt spid="_x0000_s6008"/>
                </a:ext>
                <a:ext uri="{FF2B5EF4-FFF2-40B4-BE49-F238E27FC236}">
                  <a16:creationId xmlns:a16="http://schemas.microsoft.com/office/drawing/2014/main" id="{00000000-0008-0000-0000-000078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Monthly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0</xdr:colOff>
          <xdr:row>4</xdr:row>
          <xdr:rowOff>0</xdr:rowOff>
        </xdr:from>
        <xdr:to>
          <xdr:col>94</xdr:col>
          <xdr:colOff>0</xdr:colOff>
          <xdr:row>6</xdr:row>
          <xdr:rowOff>47625</xdr:rowOff>
        </xdr:to>
        <xdr:sp macro="" textlink="">
          <xdr:nvSpPr>
            <xdr:cNvPr id="6011" name="Button 891" hidden="1">
              <a:extLst>
                <a:ext uri="{63B3BB69-23CF-44E3-9099-C40C66FF867C}">
                  <a14:compatExt spid="_x0000_s6011"/>
                </a:ext>
                <a:ext uri="{FF2B5EF4-FFF2-40B4-BE49-F238E27FC236}">
                  <a16:creationId xmlns:a16="http://schemas.microsoft.com/office/drawing/2014/main" id="{00000000-0008-0000-0000-00007B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47</xdr:col>
          <xdr:colOff>0</xdr:colOff>
          <xdr:row>7</xdr:row>
          <xdr:rowOff>0</xdr:rowOff>
        </xdr:from>
        <xdr:to>
          <xdr:col>60</xdr:col>
          <xdr:colOff>0</xdr:colOff>
          <xdr:row>8</xdr:row>
          <xdr:rowOff>142875</xdr:rowOff>
        </xdr:to>
        <xdr:sp macro="" textlink="">
          <xdr:nvSpPr>
            <xdr:cNvPr id="6016" name="Button 896" hidden="1">
              <a:extLst>
                <a:ext uri="{63B3BB69-23CF-44E3-9099-C40C66FF867C}">
                  <a14:compatExt spid="_x0000_s6016"/>
                </a:ext>
                <a:ext uri="{FF2B5EF4-FFF2-40B4-BE49-F238E27FC236}">
                  <a16:creationId xmlns:a16="http://schemas.microsoft.com/office/drawing/2014/main" id="{00000000-0008-0000-0000-000080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App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63</xdr:col>
          <xdr:colOff>0</xdr:colOff>
          <xdr:row>7</xdr:row>
          <xdr:rowOff>0</xdr:rowOff>
        </xdr:from>
        <xdr:to>
          <xdr:col>76</xdr:col>
          <xdr:colOff>0</xdr:colOff>
          <xdr:row>8</xdr:row>
          <xdr:rowOff>142875</xdr:rowOff>
        </xdr:to>
        <xdr:sp macro="" textlink="">
          <xdr:nvSpPr>
            <xdr:cNvPr id="6020" name="Button 900" hidden="1">
              <a:extLst>
                <a:ext uri="{63B3BB69-23CF-44E3-9099-C40C66FF867C}">
                  <a14:compatExt spid="_x0000_s6020"/>
                </a:ext>
                <a:ext uri="{FF2B5EF4-FFF2-40B4-BE49-F238E27FC236}">
                  <a16:creationId xmlns:a16="http://schemas.microsoft.com/office/drawing/2014/main" id="{00000000-0008-0000-0000-000084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25</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 Recording Costs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0</xdr:colOff>
          <xdr:row>29</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Save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29</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File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4</xdr:col>
          <xdr:colOff>0</xdr:colOff>
          <xdr:row>29</xdr:row>
          <xdr:rowOff>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where database/merge file is located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29</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to point to Zeus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25</xdr:row>
          <xdr:rowOff>0</xdr:rowOff>
        </xdr:from>
        <xdr:to>
          <xdr:col>10</xdr:col>
          <xdr:colOff>0</xdr:colOff>
          <xdr:row>29</xdr:row>
          <xdr:rowOff>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3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to point to Ben's desktop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600075</xdr:colOff>
          <xdr:row>25</xdr:row>
          <xdr:rowOff>0</xdr:rowOff>
        </xdr:from>
        <xdr:to>
          <xdr:col>14</xdr:col>
          <xdr:colOff>600075</xdr:colOff>
          <xdr:row>28</xdr:row>
          <xdr:rowOff>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Modules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600075</xdr:colOff>
          <xdr:row>5</xdr:row>
          <xdr:rowOff>133350</xdr:rowOff>
        </xdr:from>
        <xdr:to>
          <xdr:col>25</xdr:col>
          <xdr:colOff>171450</xdr:colOff>
          <xdr:row>8</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Update Save Locations. Use if you change the paths below.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xdr:row>
          <xdr:rowOff>0</xdr:rowOff>
        </xdr:from>
        <xdr:to>
          <xdr:col>9</xdr:col>
          <xdr:colOff>0</xdr:colOff>
          <xdr:row>4</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Dupes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xdr:row>
          <xdr:rowOff>0</xdr:rowOff>
        </xdr:from>
        <xdr:to>
          <xdr:col>9</xdr:col>
          <xdr:colOff>0</xdr:colOff>
          <xdr:row>10</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Assign Named Ranges (Easy Macro)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4</xdr:row>
          <xdr:rowOff>76200</xdr:rowOff>
        </xdr:from>
        <xdr:to>
          <xdr:col>11</xdr:col>
          <xdr:colOff>647700</xdr:colOff>
          <xdr:row>7</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(~10 seconds)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1.emf"/><Relationship Id="rId50" Type="http://schemas.openxmlformats.org/officeDocument/2006/relationships/control" Target="../activeX/activeX25.xml"/><Relationship Id="rId55" Type="http://schemas.openxmlformats.org/officeDocument/2006/relationships/ctrlProp" Target="../ctrlProps/ctrlProp1.xml"/><Relationship Id="rId63" Type="http://schemas.openxmlformats.org/officeDocument/2006/relationships/ctrlProp" Target="../ctrlProps/ctrlProp9.xml"/><Relationship Id="rId68" Type="http://schemas.openxmlformats.org/officeDocument/2006/relationships/ctrlProp" Target="../ctrlProps/ctrlProp1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ntrol" Target="../activeX/activeX22.xml"/><Relationship Id="rId53" Type="http://schemas.openxmlformats.org/officeDocument/2006/relationships/control" Target="../activeX/activeX28.xml"/><Relationship Id="rId58" Type="http://schemas.openxmlformats.org/officeDocument/2006/relationships/ctrlProp" Target="../ctrlProps/ctrlProp4.xml"/><Relationship Id="rId66" Type="http://schemas.openxmlformats.org/officeDocument/2006/relationships/ctrlProp" Target="../ctrlProps/ctrlProp12.xml"/><Relationship Id="rId5" Type="http://schemas.openxmlformats.org/officeDocument/2006/relationships/image" Target="../media/image1.emf"/><Relationship Id="rId61" Type="http://schemas.openxmlformats.org/officeDocument/2006/relationships/ctrlProp" Target="../ctrlProps/ctrlProp7.xml"/><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4.xml"/><Relationship Id="rId56" Type="http://schemas.openxmlformats.org/officeDocument/2006/relationships/ctrlProp" Target="../ctrlProps/ctrlProp2.xml"/><Relationship Id="rId64" Type="http://schemas.openxmlformats.org/officeDocument/2006/relationships/ctrlProp" Target="../ctrlProps/ctrlProp10.xml"/><Relationship Id="rId8" Type="http://schemas.openxmlformats.org/officeDocument/2006/relationships/control" Target="../activeX/activeX3.xml"/><Relationship Id="rId51" Type="http://schemas.openxmlformats.org/officeDocument/2006/relationships/control" Target="../activeX/activeX26.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3.xml"/><Relationship Id="rId59" Type="http://schemas.openxmlformats.org/officeDocument/2006/relationships/ctrlProp" Target="../ctrlProps/ctrlProp5.xml"/><Relationship Id="rId67" Type="http://schemas.openxmlformats.org/officeDocument/2006/relationships/ctrlProp" Target="../ctrlProps/ctrlProp13.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9.xml"/><Relationship Id="rId62" Type="http://schemas.openxmlformats.org/officeDocument/2006/relationships/ctrlProp" Target="../ctrlProps/ctrlProp8.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2.emf"/><Relationship Id="rId57" Type="http://schemas.openxmlformats.org/officeDocument/2006/relationships/ctrlProp" Target="../ctrlProps/ctrlProp3.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7.xml"/><Relationship Id="rId60" Type="http://schemas.openxmlformats.org/officeDocument/2006/relationships/ctrlProp" Target="../ctrlProps/ctrlProp6.xml"/><Relationship Id="rId65" Type="http://schemas.openxmlformats.org/officeDocument/2006/relationships/ctrlProp" Target="../ctrlProps/ctrlProp1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hyperlink" Target="../New%20HK%20App%20-%20Julia%20A%20Jimenez.docx"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file:///\\zeus\hkdata\LDG%20Files\Files\MergeFields.csv" TargetMode="External"/><Relationship Id="rId7" Type="http://schemas.openxmlformats.org/officeDocument/2006/relationships/ctrlProp" Target="../ctrlProps/ctrlProp22.xml"/><Relationship Id="rId2" Type="http://schemas.openxmlformats.org/officeDocument/2006/relationships/hyperlink" Target="file:///\\zeus\hkdata\LDG%20Files\Files\Loan%20Database.xlsx" TargetMode="External"/><Relationship Id="rId1" Type="http://schemas.openxmlformats.org/officeDocument/2006/relationships/hyperlink" Target="file:///\\zeus\hkdata\"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51D12-4637-439B-937D-BD45EACE9E79}">
  <sheetPr codeName="Sheet1">
    <pageSetUpPr fitToPage="1"/>
  </sheetPr>
  <dimension ref="B1:FZ379"/>
  <sheetViews>
    <sheetView showGridLines="0" tabSelected="1" workbookViewId="0">
      <selection activeCell="Y41" sqref="Y41:AK41"/>
    </sheetView>
  </sheetViews>
  <sheetFormatPr defaultColWidth="2.140625" defaultRowHeight="15" x14ac:dyDescent="0.25"/>
  <cols>
    <col min="1" max="1" width="2.85546875" style="178" customWidth="1"/>
    <col min="2" max="11" width="2.140625" style="178"/>
    <col min="12" max="12" width="2.140625" style="178" customWidth="1"/>
    <col min="13" max="24" width="2.140625" style="178"/>
    <col min="25" max="25" width="2.140625" style="178" customWidth="1"/>
    <col min="26" max="37" width="2.140625" style="178"/>
    <col min="38" max="39" width="2.140625" style="178" customWidth="1"/>
    <col min="40" max="46" width="2.140625" style="178"/>
    <col min="47" max="47" width="2.140625" style="178" customWidth="1"/>
    <col min="48" max="53" width="2.140625" style="178"/>
    <col min="54" max="54" width="2.140625" style="178" customWidth="1"/>
    <col min="55" max="64" width="2.140625" style="178"/>
    <col min="65" max="65" width="2.140625" style="178" customWidth="1"/>
    <col min="66" max="78" width="2.140625" style="178"/>
    <col min="79" max="83" width="2.140625" style="178" customWidth="1"/>
    <col min="84" max="85" width="2.140625" style="178"/>
    <col min="86" max="86" width="2.140625" style="178" customWidth="1"/>
    <col min="87" max="90" width="2.140625" style="178"/>
    <col min="91" max="92" width="2.140625" style="178" customWidth="1"/>
    <col min="93" max="99" width="2.140625" style="178"/>
    <col min="100" max="102" width="2.140625" style="178" customWidth="1"/>
    <col min="103" max="112" width="2.140625" style="178"/>
    <col min="113" max="113" width="2.140625" style="178" customWidth="1"/>
    <col min="114" max="119" width="2.140625" style="178"/>
    <col min="120" max="120" width="2.140625" style="178" customWidth="1"/>
    <col min="121" max="129" width="2.140625" style="178"/>
    <col min="130" max="130" width="6.140625" style="178" bestFit="1" customWidth="1"/>
    <col min="131" max="146" width="2.140625" style="178"/>
    <col min="147" max="147" width="2.140625" style="178" customWidth="1"/>
    <col min="148" max="148" width="2.140625" style="178"/>
    <col min="149" max="201" width="2.140625" style="178" customWidth="1"/>
    <col min="202" max="16384" width="2.140625" style="178"/>
  </cols>
  <sheetData>
    <row r="1" spans="2:182" x14ac:dyDescent="0.25">
      <c r="F1" s="181"/>
      <c r="CS1" s="379"/>
      <c r="CT1" s="379"/>
      <c r="CU1" s="379"/>
      <c r="CV1" s="379"/>
      <c r="CW1" s="379"/>
      <c r="CX1" s="379"/>
      <c r="CY1" s="379"/>
      <c r="CZ1" s="379"/>
      <c r="DA1" s="379"/>
      <c r="DB1" s="379"/>
      <c r="DC1" s="379"/>
      <c r="DD1" s="379"/>
      <c r="DE1" s="379"/>
      <c r="DF1" s="379"/>
      <c r="DG1" s="379"/>
      <c r="DH1" s="379"/>
      <c r="DI1" s="379"/>
      <c r="DJ1" s="379"/>
      <c r="DK1" s="379"/>
      <c r="DL1" s="379"/>
    </row>
    <row r="2" spans="2:182" ht="18.75" customHeight="1" x14ac:dyDescent="0.25">
      <c r="B2" s="524" t="s">
        <v>1</v>
      </c>
      <c r="C2" s="525"/>
      <c r="D2" s="525"/>
      <c r="E2" s="525"/>
      <c r="F2" s="525"/>
      <c r="G2" s="525"/>
      <c r="H2" s="525"/>
      <c r="I2" s="525"/>
      <c r="J2" s="525"/>
      <c r="K2" s="525"/>
      <c r="L2" s="525"/>
      <c r="M2" s="525"/>
      <c r="N2" s="584"/>
      <c r="O2" s="584"/>
      <c r="P2" s="584"/>
      <c r="Q2" s="584"/>
      <c r="R2" s="584"/>
      <c r="S2" s="584"/>
      <c r="T2" s="584"/>
      <c r="U2" s="584"/>
      <c r="V2" s="584"/>
      <c r="W2" s="584"/>
      <c r="X2" s="584"/>
      <c r="Y2" s="584"/>
      <c r="Z2" s="585"/>
      <c r="AB2" s="612" t="s">
        <v>264</v>
      </c>
      <c r="AC2" s="613"/>
      <c r="AD2" s="613"/>
      <c r="AE2" s="613"/>
      <c r="AF2" s="613"/>
      <c r="AG2" s="613"/>
      <c r="AH2" s="613"/>
      <c r="AI2" s="613"/>
      <c r="AJ2" s="613"/>
      <c r="AK2" s="613"/>
      <c r="AL2" s="614"/>
      <c r="AM2" s="602">
        <v>1</v>
      </c>
      <c r="AN2" s="603"/>
      <c r="CS2" s="379"/>
      <c r="CT2" s="379"/>
      <c r="CU2" s="379"/>
      <c r="CV2" s="379"/>
      <c r="CW2" s="379"/>
      <c r="CX2" s="379"/>
      <c r="CY2" s="379"/>
      <c r="CZ2" s="379"/>
      <c r="DA2" s="379"/>
      <c r="DB2" s="379"/>
      <c r="DC2" s="379"/>
      <c r="DD2" s="379"/>
      <c r="DE2" s="379"/>
      <c r="DF2" s="379"/>
      <c r="DG2" s="379"/>
      <c r="DH2" s="379"/>
      <c r="DI2" s="379"/>
      <c r="DJ2" s="379"/>
      <c r="DK2" s="379"/>
      <c r="DL2" s="379"/>
    </row>
    <row r="3" spans="2:182" ht="18.75" customHeight="1" x14ac:dyDescent="0.25">
      <c r="B3" s="538" t="s">
        <v>267</v>
      </c>
      <c r="C3" s="539"/>
      <c r="D3" s="539"/>
      <c r="E3" s="539"/>
      <c r="F3" s="539"/>
      <c r="G3" s="539"/>
      <c r="H3" s="539"/>
      <c r="I3" s="539"/>
      <c r="J3" s="539"/>
      <c r="K3" s="539"/>
      <c r="L3" s="539"/>
      <c r="M3" s="539"/>
      <c r="N3" s="584"/>
      <c r="O3" s="584"/>
      <c r="P3" s="584"/>
      <c r="Q3" s="584"/>
      <c r="R3" s="584"/>
      <c r="S3" s="584"/>
      <c r="T3" s="584"/>
      <c r="U3" s="584"/>
      <c r="V3" s="584"/>
      <c r="W3" s="584"/>
      <c r="X3" s="584"/>
      <c r="Y3" s="584"/>
      <c r="Z3" s="585"/>
      <c r="AB3" s="540" t="s">
        <v>280</v>
      </c>
      <c r="AC3" s="541"/>
      <c r="AD3" s="541"/>
      <c r="AE3" s="541"/>
      <c r="AF3" s="541"/>
      <c r="AG3" s="541"/>
      <c r="AH3" s="541"/>
      <c r="AI3" s="541"/>
      <c r="AJ3" s="541"/>
      <c r="AK3" s="541"/>
      <c r="AL3" s="542"/>
      <c r="AM3" s="602">
        <v>1</v>
      </c>
      <c r="AN3" s="603"/>
      <c r="CS3" s="379"/>
      <c r="CT3" s="379"/>
      <c r="CU3" s="379"/>
      <c r="CV3" s="379"/>
      <c r="CW3" s="379"/>
      <c r="CX3" s="379"/>
      <c r="CY3" s="379"/>
      <c r="CZ3" s="379"/>
      <c r="DA3" s="379"/>
      <c r="DB3" s="379"/>
      <c r="DC3" s="379"/>
      <c r="DD3" s="379"/>
      <c r="DE3" s="379"/>
      <c r="DF3" s="379"/>
      <c r="DG3" s="379"/>
      <c r="DH3" s="379"/>
      <c r="DI3" s="379"/>
      <c r="DJ3" s="379"/>
      <c r="DK3" s="379"/>
      <c r="DL3" s="379"/>
    </row>
    <row r="4" spans="2:182" ht="18.75" customHeight="1" x14ac:dyDescent="0.25">
      <c r="B4" s="538" t="s">
        <v>312</v>
      </c>
      <c r="C4" s="539"/>
      <c r="D4" s="539"/>
      <c r="E4" s="539"/>
      <c r="F4" s="539"/>
      <c r="G4" s="539"/>
      <c r="H4" s="539"/>
      <c r="I4" s="539"/>
      <c r="J4" s="539"/>
      <c r="K4" s="539"/>
      <c r="L4" s="539"/>
      <c r="M4" s="539"/>
      <c r="N4" s="584"/>
      <c r="O4" s="584"/>
      <c r="P4" s="584"/>
      <c r="Q4" s="584"/>
      <c r="R4" s="584"/>
      <c r="S4" s="584"/>
      <c r="T4" s="584"/>
      <c r="U4" s="584"/>
      <c r="V4" s="584"/>
      <c r="W4" s="584"/>
      <c r="X4" s="584"/>
      <c r="Y4" s="584"/>
      <c r="Z4" s="585"/>
      <c r="CS4" s="379"/>
      <c r="CT4" s="379"/>
      <c r="CU4" s="379"/>
      <c r="CV4" s="379"/>
      <c r="CW4" s="379"/>
      <c r="CX4" s="379"/>
      <c r="CY4" s="379"/>
      <c r="CZ4" s="379"/>
      <c r="DA4" s="379"/>
      <c r="DB4" s="379"/>
      <c r="DC4" s="379"/>
      <c r="DD4" s="379"/>
      <c r="DE4" s="379"/>
      <c r="DF4" s="379"/>
      <c r="DG4" s="379"/>
      <c r="DH4" s="379"/>
      <c r="DI4" s="379"/>
      <c r="DJ4" s="379"/>
      <c r="DK4" s="379"/>
      <c r="DL4" s="379"/>
    </row>
    <row r="5" spans="2:182" ht="18.75" customHeight="1" x14ac:dyDescent="0.25">
      <c r="B5" s="543" t="s">
        <v>313</v>
      </c>
      <c r="C5" s="544"/>
      <c r="D5" s="544"/>
      <c r="E5" s="544"/>
      <c r="F5" s="544"/>
      <c r="G5" s="544"/>
      <c r="H5" s="544"/>
      <c r="I5" s="544"/>
      <c r="J5" s="544"/>
      <c r="K5" s="544"/>
      <c r="L5" s="544"/>
      <c r="M5" s="544"/>
      <c r="N5" s="584"/>
      <c r="O5" s="584"/>
      <c r="P5" s="584"/>
      <c r="Q5" s="584"/>
      <c r="R5" s="584"/>
      <c r="S5" s="584"/>
      <c r="T5" s="584"/>
      <c r="U5" s="584"/>
      <c r="V5" s="584"/>
      <c r="W5" s="584"/>
      <c r="X5" s="584"/>
      <c r="Y5" s="584"/>
      <c r="Z5" s="585"/>
      <c r="CS5" s="379"/>
      <c r="CT5" s="379"/>
      <c r="CU5" s="379"/>
      <c r="CV5" s="379"/>
      <c r="CW5" s="379"/>
      <c r="CX5" s="379"/>
      <c r="CY5" s="379"/>
      <c r="CZ5" s="379"/>
      <c r="DA5" s="379"/>
      <c r="DB5" s="379"/>
      <c r="DC5" s="379"/>
      <c r="DD5" s="379"/>
      <c r="DE5" s="379"/>
      <c r="DF5" s="379"/>
      <c r="DG5" s="379"/>
      <c r="DH5" s="379"/>
      <c r="DI5" s="379"/>
      <c r="DJ5" s="379"/>
      <c r="DK5" s="379"/>
      <c r="DL5" s="379"/>
    </row>
    <row r="6" spans="2:182" x14ac:dyDescent="0.25">
      <c r="CS6" s="379"/>
      <c r="CT6" s="379"/>
      <c r="CU6" s="379"/>
      <c r="CV6" s="379"/>
      <c r="CW6" s="379"/>
      <c r="CX6" s="379"/>
      <c r="CY6" s="379"/>
      <c r="CZ6" s="379"/>
      <c r="DA6" s="379"/>
      <c r="DB6" s="379"/>
      <c r="DC6" s="379"/>
      <c r="DD6" s="379"/>
      <c r="DE6" s="379"/>
      <c r="DF6" s="379"/>
      <c r="DG6" s="379"/>
      <c r="DH6" s="379"/>
      <c r="DI6" s="379"/>
      <c r="DJ6" s="379"/>
      <c r="DK6" s="379"/>
      <c r="DL6" s="379"/>
    </row>
    <row r="7" spans="2:182" x14ac:dyDescent="0.25">
      <c r="CS7" s="379"/>
      <c r="CT7" s="379"/>
      <c r="CU7" s="379"/>
      <c r="CV7" s="379"/>
      <c r="CW7" s="379"/>
      <c r="CX7" s="379"/>
      <c r="CY7" s="379"/>
      <c r="CZ7" s="379"/>
      <c r="DA7" s="379"/>
      <c r="DB7" s="379"/>
      <c r="DC7" s="379"/>
      <c r="DD7" s="379"/>
      <c r="DE7" s="379"/>
      <c r="DF7" s="379"/>
      <c r="DG7" s="379"/>
      <c r="DH7" s="379"/>
      <c r="DI7" s="379"/>
      <c r="DJ7" s="379"/>
      <c r="DK7" s="379"/>
      <c r="DL7" s="379"/>
    </row>
    <row r="8" spans="2:182" ht="22.5" customHeight="1" x14ac:dyDescent="0.35">
      <c r="B8" s="453" t="s">
        <v>1632</v>
      </c>
      <c r="C8" s="453"/>
      <c r="D8" s="453"/>
      <c r="E8" s="453"/>
      <c r="F8" s="453"/>
      <c r="G8" s="453"/>
      <c r="H8" s="453"/>
      <c r="I8" s="453"/>
      <c r="J8" s="453"/>
      <c r="K8" s="453"/>
      <c r="L8" s="453"/>
      <c r="M8" s="453"/>
      <c r="N8" s="453"/>
      <c r="O8" s="453"/>
      <c r="P8" s="453"/>
      <c r="Q8" s="453"/>
      <c r="R8" s="453"/>
      <c r="S8" s="453"/>
      <c r="T8" s="453"/>
      <c r="U8" s="453"/>
      <c r="V8" s="453"/>
      <c r="W8" s="453"/>
      <c r="X8" s="453"/>
      <c r="Y8" s="453"/>
      <c r="Z8" s="453"/>
      <c r="AA8" s="453"/>
      <c r="AB8" s="453"/>
      <c r="AC8" s="453"/>
      <c r="AD8" s="453"/>
      <c r="AE8" s="453"/>
      <c r="AF8" s="453"/>
      <c r="AG8" s="453"/>
      <c r="AH8" s="453"/>
      <c r="AI8" s="453"/>
      <c r="AJ8" s="453"/>
      <c r="AK8" s="453"/>
      <c r="AL8" s="453"/>
      <c r="AM8" s="453"/>
      <c r="AN8" s="453"/>
      <c r="AO8" s="453"/>
      <c r="AP8" s="453"/>
      <c r="AQ8" s="453"/>
      <c r="AR8" s="453"/>
      <c r="AS8" s="453"/>
      <c r="AT8" s="453"/>
      <c r="AU8" s="453"/>
      <c r="AV8" s="453"/>
      <c r="AW8" s="453"/>
      <c r="AX8" s="453"/>
      <c r="AY8" s="453"/>
      <c r="AZ8" s="453"/>
      <c r="BA8" s="453"/>
      <c r="BB8" s="453"/>
      <c r="BC8" s="453"/>
      <c r="BD8" s="453"/>
      <c r="BE8" s="453"/>
      <c r="BF8" s="453"/>
      <c r="BG8" s="453"/>
      <c r="BH8" s="453"/>
      <c r="BI8" s="453"/>
      <c r="BJ8" s="453"/>
      <c r="BK8" s="453"/>
      <c r="BL8" s="453"/>
      <c r="BM8" s="453"/>
      <c r="BN8" s="453"/>
      <c r="BO8" s="453"/>
      <c r="BP8" s="453"/>
      <c r="BQ8" s="453"/>
      <c r="BR8" s="453"/>
      <c r="BS8" s="453"/>
      <c r="BT8" s="453"/>
      <c r="BU8" s="453"/>
      <c r="BV8" s="453"/>
      <c r="BW8" s="453"/>
      <c r="BX8" s="453"/>
      <c r="CS8" s="379"/>
      <c r="CT8" s="379"/>
      <c r="CU8" s="379"/>
      <c r="CV8" s="379"/>
      <c r="CW8" s="379"/>
      <c r="CX8" s="379"/>
      <c r="CY8" s="379"/>
      <c r="CZ8" s="379"/>
      <c r="DA8" s="379"/>
      <c r="DB8" s="379"/>
      <c r="DC8" s="379"/>
      <c r="DD8" s="379"/>
      <c r="DE8" s="379"/>
      <c r="DF8" s="379"/>
      <c r="DG8" s="379"/>
      <c r="DH8" s="379"/>
      <c r="DI8" s="379"/>
      <c r="DJ8" s="379"/>
      <c r="DK8" s="379"/>
      <c r="DL8" s="379"/>
    </row>
    <row r="9" spans="2:182" ht="18.75" customHeight="1" x14ac:dyDescent="0.25">
      <c r="CS9"/>
      <c r="CT9"/>
      <c r="CU9"/>
      <c r="CV9"/>
      <c r="CW9"/>
      <c r="CX9"/>
      <c r="CY9"/>
      <c r="CZ9"/>
      <c r="DA9"/>
      <c r="DB9"/>
      <c r="DC9"/>
      <c r="DD9"/>
      <c r="DE9"/>
      <c r="DF9"/>
      <c r="DG9"/>
      <c r="DH9"/>
      <c r="DI9"/>
      <c r="DJ9"/>
      <c r="DK9"/>
      <c r="DL9"/>
      <c r="DM9"/>
      <c r="DN9"/>
      <c r="DO9"/>
      <c r="EC9"/>
      <c r="FZ9" s="178" t="b">
        <v>1</v>
      </c>
    </row>
    <row r="10" spans="2:182" ht="18.75" customHeight="1" thickBot="1" x14ac:dyDescent="0.35">
      <c r="B10" s="440" t="s">
        <v>269</v>
      </c>
      <c r="C10" s="440"/>
      <c r="D10" s="440"/>
      <c r="E10" s="440"/>
      <c r="F10" s="440"/>
      <c r="G10" s="440"/>
      <c r="H10" s="440"/>
      <c r="I10" s="440"/>
      <c r="J10" s="440"/>
      <c r="K10" s="440"/>
      <c r="L10" s="440"/>
      <c r="M10" s="440"/>
      <c r="N10" s="440"/>
      <c r="O10" s="440"/>
      <c r="P10" s="440"/>
      <c r="Q10" s="440"/>
      <c r="R10" s="440"/>
      <c r="S10" s="440"/>
      <c r="T10" s="440"/>
      <c r="U10" s="440"/>
      <c r="V10" s="440"/>
      <c r="W10" s="440"/>
      <c r="X10" s="440"/>
      <c r="Y10" s="440"/>
      <c r="Z10" s="440"/>
      <c r="AA10" s="440"/>
      <c r="AB10" s="440"/>
      <c r="AC10" s="440"/>
      <c r="AD10" s="440"/>
      <c r="AE10" s="440"/>
      <c r="AF10" s="440"/>
      <c r="AG10" s="440"/>
      <c r="AH10" s="440"/>
      <c r="AI10" s="440"/>
      <c r="AJ10" s="440"/>
      <c r="AK10" s="440"/>
      <c r="AL10" s="440"/>
      <c r="AM10" s="440"/>
      <c r="AN10" s="440"/>
      <c r="AO10" s="440"/>
      <c r="AP10" s="440"/>
      <c r="AQ10" s="440"/>
      <c r="AR10" s="440"/>
      <c r="AS10" s="440"/>
      <c r="AT10" s="440"/>
      <c r="AU10" s="440"/>
      <c r="AV10" s="440"/>
      <c r="AW10" s="440"/>
      <c r="AX10" s="440"/>
      <c r="AY10" s="440"/>
      <c r="AZ10" s="440"/>
      <c r="BA10" s="440"/>
      <c r="BB10" s="440"/>
      <c r="BC10" s="440"/>
      <c r="BD10" s="440"/>
      <c r="BE10" s="440"/>
      <c r="BF10" s="187"/>
      <c r="BG10" s="187"/>
      <c r="BH10" s="187"/>
      <c r="BI10" s="380" t="s">
        <v>3316</v>
      </c>
      <c r="BJ10" s="380"/>
      <c r="BK10" s="380"/>
      <c r="BL10" s="380"/>
      <c r="BM10" s="380"/>
      <c r="BN10" s="380"/>
      <c r="BO10" s="380"/>
      <c r="BP10" s="380"/>
      <c r="BQ10" s="380"/>
      <c r="BR10" s="380"/>
      <c r="BS10" s="380"/>
      <c r="BT10" s="380"/>
      <c r="BU10" s="380"/>
      <c r="BV10" s="380"/>
      <c r="BW10" s="380"/>
      <c r="BX10" s="380"/>
      <c r="BY10" s="380"/>
      <c r="BZ10" s="380"/>
      <c r="CA10" s="380"/>
      <c r="CB10" s="380"/>
      <c r="CC10" s="380"/>
      <c r="CD10" s="380"/>
      <c r="CE10" s="380"/>
      <c r="CF10" s="380"/>
      <c r="CG10" s="380"/>
      <c r="CH10" s="380"/>
      <c r="CI10" s="380"/>
      <c r="CJ10" s="380"/>
      <c r="CK10" s="380"/>
      <c r="CL10" s="380"/>
      <c r="CM10" s="380"/>
      <c r="CN10" s="380"/>
      <c r="CO10" s="380"/>
      <c r="CP10" s="380"/>
      <c r="CS10"/>
      <c r="CT10"/>
      <c r="CU10"/>
      <c r="CV10"/>
      <c r="CW10"/>
      <c r="CX10"/>
      <c r="CY10"/>
      <c r="CZ10"/>
      <c r="DA10"/>
      <c r="DB10"/>
      <c r="DC10"/>
      <c r="DD10"/>
      <c r="DE10"/>
      <c r="DF10"/>
      <c r="DG10"/>
      <c r="DH10"/>
      <c r="DI10"/>
      <c r="DJ10"/>
      <c r="DK10"/>
      <c r="DL10"/>
      <c r="DM10"/>
      <c r="DN10"/>
      <c r="DO10"/>
      <c r="DZ10" s="135" t="b">
        <v>0</v>
      </c>
      <c r="EC10"/>
    </row>
    <row r="11" spans="2:182" ht="18.75" customHeight="1" x14ac:dyDescent="0.25">
      <c r="B11" s="454" t="s">
        <v>2069</v>
      </c>
      <c r="C11" s="401"/>
      <c r="D11" s="401"/>
      <c r="E11" s="401"/>
      <c r="F11" s="401"/>
      <c r="G11" s="401"/>
      <c r="H11" s="468"/>
      <c r="I11" s="468"/>
      <c r="J11" s="468"/>
      <c r="K11" s="468"/>
      <c r="L11" s="468"/>
      <c r="M11" s="468"/>
      <c r="N11" s="468"/>
      <c r="O11" s="468"/>
      <c r="P11" s="468"/>
      <c r="Q11" s="468"/>
      <c r="R11" s="468"/>
      <c r="S11" s="468"/>
      <c r="T11" s="468"/>
      <c r="U11" s="468"/>
      <c r="V11" s="468"/>
      <c r="W11" s="468"/>
      <c r="X11" s="469"/>
      <c r="Y11" s="400" t="s">
        <v>2073</v>
      </c>
      <c r="Z11" s="401"/>
      <c r="AA11" s="401"/>
      <c r="AB11" s="464"/>
      <c r="AC11" s="464"/>
      <c r="AD11" s="464"/>
      <c r="AE11" s="464"/>
      <c r="AF11" s="464"/>
      <c r="AG11" s="464"/>
      <c r="AH11" s="464"/>
      <c r="AI11" s="464"/>
      <c r="AJ11" s="464"/>
      <c r="AK11" s="465"/>
      <c r="AL11" s="400" t="s">
        <v>266</v>
      </c>
      <c r="AM11" s="401"/>
      <c r="AN11" s="401"/>
      <c r="AO11" s="466"/>
      <c r="AP11" s="466"/>
      <c r="AQ11" s="466"/>
      <c r="AR11" s="466"/>
      <c r="AS11" s="466"/>
      <c r="AT11" s="466"/>
      <c r="AU11" s="467"/>
      <c r="AV11" s="400" t="s">
        <v>2072</v>
      </c>
      <c r="AW11" s="401"/>
      <c r="AX11" s="401"/>
      <c r="AY11" s="401"/>
      <c r="AZ11" s="468"/>
      <c r="BA11" s="468"/>
      <c r="BB11" s="468"/>
      <c r="BC11" s="468"/>
      <c r="BD11" s="468"/>
      <c r="BE11" s="478"/>
      <c r="BI11" s="407"/>
      <c r="BJ11" s="408"/>
      <c r="BK11" s="408"/>
      <c r="BL11" s="408"/>
      <c r="BM11" s="408"/>
      <c r="BN11" s="408"/>
      <c r="BO11" s="408"/>
      <c r="BP11" s="408"/>
      <c r="BQ11" s="408"/>
      <c r="BR11" s="408"/>
      <c r="BS11" s="408"/>
      <c r="BT11" s="408"/>
      <c r="BU11" s="408"/>
      <c r="BV11" s="408"/>
      <c r="BW11" s="408"/>
      <c r="BX11" s="408"/>
      <c r="BY11" s="408"/>
      <c r="BZ11" s="408"/>
      <c r="CA11" s="408"/>
      <c r="CB11" s="408"/>
      <c r="CC11" s="408"/>
      <c r="CD11" s="408"/>
      <c r="CE11" s="408"/>
      <c r="CF11" s="408"/>
      <c r="CG11" s="408"/>
      <c r="CH11" s="408"/>
      <c r="CI11" s="408"/>
      <c r="CJ11" s="408"/>
      <c r="CK11" s="408"/>
      <c r="CL11" s="408"/>
      <c r="CM11" s="408"/>
      <c r="CN11" s="408"/>
      <c r="CO11" s="408"/>
      <c r="CP11" s="409"/>
      <c r="CS11"/>
      <c r="CT11"/>
      <c r="CU11"/>
      <c r="CV11"/>
      <c r="CW11"/>
      <c r="CX11"/>
      <c r="CY11"/>
      <c r="CZ11"/>
      <c r="DA11"/>
      <c r="DB11"/>
      <c r="DC11"/>
      <c r="DD11"/>
      <c r="DE11"/>
      <c r="DF11"/>
      <c r="DG11"/>
      <c r="DH11"/>
      <c r="DI11"/>
      <c r="DJ11"/>
      <c r="DK11"/>
      <c r="DL11"/>
      <c r="DM11"/>
      <c r="DN11"/>
      <c r="DO11"/>
      <c r="DP11"/>
    </row>
    <row r="12" spans="2:182" ht="18.75" customHeight="1" x14ac:dyDescent="0.25">
      <c r="B12" s="393" t="s">
        <v>2066</v>
      </c>
      <c r="C12" s="392"/>
      <c r="D12" s="392"/>
      <c r="E12" s="392"/>
      <c r="F12" s="392"/>
      <c r="G12" s="392"/>
      <c r="H12" s="392"/>
      <c r="I12" s="392"/>
      <c r="J12" s="392"/>
      <c r="K12" s="392"/>
      <c r="L12" s="456" t="s">
        <v>2403</v>
      </c>
      <c r="M12" s="456"/>
      <c r="N12" s="391" t="s">
        <v>406</v>
      </c>
      <c r="O12" s="392"/>
      <c r="P12" s="392"/>
      <c r="Q12" s="392"/>
      <c r="R12" s="392"/>
      <c r="S12" s="456" t="s">
        <v>2403</v>
      </c>
      <c r="T12" s="456"/>
      <c r="U12" s="391" t="s">
        <v>407</v>
      </c>
      <c r="V12" s="392"/>
      <c r="W12" s="392"/>
      <c r="X12" s="392"/>
      <c r="Y12" s="392"/>
      <c r="Z12" s="392"/>
      <c r="AA12" s="456" t="s">
        <v>2403</v>
      </c>
      <c r="AB12" s="456"/>
      <c r="AC12" s="457"/>
      <c r="AD12" s="458"/>
      <c r="AE12" s="458"/>
      <c r="AF12" s="458"/>
      <c r="AG12" s="458"/>
      <c r="AH12" s="458"/>
      <c r="AI12" s="458"/>
      <c r="AJ12" s="458"/>
      <c r="AK12" s="458"/>
      <c r="AL12" s="459"/>
      <c r="AM12" s="458"/>
      <c r="AN12" s="458"/>
      <c r="AO12" s="458"/>
      <c r="AP12" s="458"/>
      <c r="AQ12" s="458"/>
      <c r="AR12" s="458"/>
      <c r="AS12" s="458"/>
      <c r="AT12" s="458"/>
      <c r="AU12" s="458"/>
      <c r="AV12" s="458"/>
      <c r="AW12" s="458"/>
      <c r="AX12" s="458"/>
      <c r="AY12" s="458"/>
      <c r="AZ12" s="458"/>
      <c r="BA12" s="458"/>
      <c r="BB12" s="458"/>
      <c r="BC12" s="458"/>
      <c r="BD12" s="458"/>
      <c r="BE12" s="460"/>
      <c r="BI12" s="410"/>
      <c r="BJ12" s="411"/>
      <c r="BK12" s="411"/>
      <c r="BL12" s="411"/>
      <c r="BM12" s="411"/>
      <c r="BN12" s="411"/>
      <c r="BO12" s="411"/>
      <c r="BP12" s="411"/>
      <c r="BQ12" s="411"/>
      <c r="BR12" s="411"/>
      <c r="BS12" s="411"/>
      <c r="BT12" s="411"/>
      <c r="BU12" s="411"/>
      <c r="BV12" s="411"/>
      <c r="BW12" s="411"/>
      <c r="BX12" s="411"/>
      <c r="BY12" s="411"/>
      <c r="BZ12" s="411"/>
      <c r="CA12" s="411"/>
      <c r="CB12" s="411"/>
      <c r="CC12" s="411"/>
      <c r="CD12" s="411"/>
      <c r="CE12" s="411"/>
      <c r="CF12" s="411"/>
      <c r="CG12" s="411"/>
      <c r="CH12" s="411"/>
      <c r="CI12" s="411"/>
      <c r="CJ12" s="411"/>
      <c r="CK12" s="411"/>
      <c r="CL12" s="411"/>
      <c r="CM12" s="411"/>
      <c r="CN12" s="411"/>
      <c r="CO12" s="411"/>
      <c r="CP12" s="412"/>
      <c r="DZ12" s="135" t="b">
        <v>0</v>
      </c>
    </row>
    <row r="13" spans="2:182" ht="18.75" customHeight="1" x14ac:dyDescent="0.25">
      <c r="B13" s="393" t="s">
        <v>2070</v>
      </c>
      <c r="C13" s="392"/>
      <c r="D13" s="392"/>
      <c r="E13" s="392"/>
      <c r="F13" s="392"/>
      <c r="G13" s="392"/>
      <c r="H13" s="392"/>
      <c r="I13" s="392"/>
      <c r="J13" s="456"/>
      <c r="K13" s="456"/>
      <c r="L13" s="456"/>
      <c r="M13" s="456"/>
      <c r="N13" s="456"/>
      <c r="O13" s="456"/>
      <c r="P13" s="456"/>
      <c r="Q13" s="456"/>
      <c r="R13" s="456"/>
      <c r="S13" s="456"/>
      <c r="T13" s="456"/>
      <c r="U13" s="456"/>
      <c r="V13" s="456"/>
      <c r="W13" s="456"/>
      <c r="X13" s="463"/>
      <c r="Y13" s="391" t="s">
        <v>2074</v>
      </c>
      <c r="Z13" s="392"/>
      <c r="AA13" s="392"/>
      <c r="AB13" s="609"/>
      <c r="AC13" s="609"/>
      <c r="AD13" s="609"/>
      <c r="AE13" s="609"/>
      <c r="AF13" s="609"/>
      <c r="AG13" s="609"/>
      <c r="AH13" s="609"/>
      <c r="AI13" s="609"/>
      <c r="AJ13" s="609"/>
      <c r="AK13" s="610"/>
      <c r="AL13" s="391" t="s">
        <v>1982</v>
      </c>
      <c r="AM13" s="392"/>
      <c r="AN13" s="392"/>
      <c r="AO13" s="456"/>
      <c r="AP13" s="456"/>
      <c r="AQ13" s="456"/>
      <c r="AR13" s="456"/>
      <c r="AS13" s="456"/>
      <c r="AT13" s="456"/>
      <c r="AU13" s="463"/>
      <c r="AV13" s="391" t="s">
        <v>1983</v>
      </c>
      <c r="AW13" s="392"/>
      <c r="AX13" s="456"/>
      <c r="AY13" s="456"/>
      <c r="AZ13" s="456"/>
      <c r="BA13" s="456"/>
      <c r="BB13" s="456"/>
      <c r="BC13" s="456"/>
      <c r="BD13" s="456"/>
      <c r="BE13" s="607"/>
      <c r="BI13" s="410"/>
      <c r="BJ13" s="411"/>
      <c r="BK13" s="411"/>
      <c r="BL13" s="411"/>
      <c r="BM13" s="411"/>
      <c r="BN13" s="411"/>
      <c r="BO13" s="411"/>
      <c r="BP13" s="411"/>
      <c r="BQ13" s="411"/>
      <c r="BR13" s="411"/>
      <c r="BS13" s="411"/>
      <c r="BT13" s="411"/>
      <c r="BU13" s="411"/>
      <c r="BV13" s="411"/>
      <c r="BW13" s="411"/>
      <c r="BX13" s="411"/>
      <c r="BY13" s="411"/>
      <c r="BZ13" s="411"/>
      <c r="CA13" s="411"/>
      <c r="CB13" s="411"/>
      <c r="CC13" s="411"/>
      <c r="CD13" s="411"/>
      <c r="CE13" s="411"/>
      <c r="CF13" s="411"/>
      <c r="CG13" s="411"/>
      <c r="CH13" s="411"/>
      <c r="CI13" s="411"/>
      <c r="CJ13" s="411"/>
      <c r="CK13" s="411"/>
      <c r="CL13" s="411"/>
      <c r="CM13" s="411"/>
      <c r="CN13" s="411"/>
      <c r="CO13" s="411"/>
      <c r="CP13" s="412"/>
    </row>
    <row r="14" spans="2:182" ht="18.75" customHeight="1" thickBot="1" x14ac:dyDescent="0.3">
      <c r="B14" s="393" t="s">
        <v>2071</v>
      </c>
      <c r="C14" s="392"/>
      <c r="D14" s="392"/>
      <c r="E14" s="392"/>
      <c r="F14" s="392"/>
      <c r="G14" s="392"/>
      <c r="H14" s="392"/>
      <c r="I14" s="392"/>
      <c r="J14" s="456"/>
      <c r="K14" s="456"/>
      <c r="L14" s="456"/>
      <c r="M14" s="456"/>
      <c r="N14" s="456"/>
      <c r="O14" s="456"/>
      <c r="P14" s="456"/>
      <c r="Q14" s="456"/>
      <c r="R14" s="456"/>
      <c r="S14" s="456"/>
      <c r="T14" s="456"/>
      <c r="U14" s="456"/>
      <c r="V14" s="456"/>
      <c r="W14" s="456"/>
      <c r="X14" s="463"/>
      <c r="Y14" s="391" t="s">
        <v>2074</v>
      </c>
      <c r="Z14" s="392"/>
      <c r="AA14" s="392"/>
      <c r="AB14" s="609"/>
      <c r="AC14" s="609"/>
      <c r="AD14" s="609"/>
      <c r="AE14" s="609"/>
      <c r="AF14" s="609"/>
      <c r="AG14" s="609"/>
      <c r="AH14" s="609"/>
      <c r="AI14" s="609"/>
      <c r="AJ14" s="609"/>
      <c r="AK14" s="610"/>
      <c r="AL14" s="391" t="s">
        <v>1982</v>
      </c>
      <c r="AM14" s="392"/>
      <c r="AN14" s="392"/>
      <c r="AO14" s="456"/>
      <c r="AP14" s="456"/>
      <c r="AQ14" s="456"/>
      <c r="AR14" s="456"/>
      <c r="AS14" s="456"/>
      <c r="AT14" s="456"/>
      <c r="AU14" s="463"/>
      <c r="AV14" s="391" t="s">
        <v>1983</v>
      </c>
      <c r="AW14" s="392"/>
      <c r="AX14" s="456"/>
      <c r="AY14" s="456"/>
      <c r="AZ14" s="456"/>
      <c r="BA14" s="456"/>
      <c r="BB14" s="456"/>
      <c r="BC14" s="456"/>
      <c r="BD14" s="456"/>
      <c r="BE14" s="607"/>
      <c r="BI14" s="413"/>
      <c r="BJ14" s="414"/>
      <c r="BK14" s="414"/>
      <c r="BL14" s="414"/>
      <c r="BM14" s="414"/>
      <c r="BN14" s="414"/>
      <c r="BO14" s="414"/>
      <c r="BP14" s="414"/>
      <c r="BQ14" s="414"/>
      <c r="BR14" s="414"/>
      <c r="BS14" s="414"/>
      <c r="BT14" s="414"/>
      <c r="BU14" s="414"/>
      <c r="BV14" s="414"/>
      <c r="BW14" s="414"/>
      <c r="BX14" s="414"/>
      <c r="BY14" s="414"/>
      <c r="BZ14" s="414"/>
      <c r="CA14" s="414"/>
      <c r="CB14" s="414"/>
      <c r="CC14" s="414"/>
      <c r="CD14" s="414"/>
      <c r="CE14" s="414"/>
      <c r="CF14" s="414"/>
      <c r="CG14" s="414"/>
      <c r="CH14" s="414"/>
      <c r="CI14" s="414"/>
      <c r="CJ14" s="414"/>
      <c r="CK14" s="414"/>
      <c r="CL14" s="414"/>
      <c r="CM14" s="414"/>
      <c r="CN14" s="414"/>
      <c r="CO14" s="414"/>
      <c r="CP14" s="415"/>
      <c r="DZ14" s="135" t="b">
        <v>0</v>
      </c>
    </row>
    <row r="15" spans="2:182" ht="18.75" customHeight="1" x14ac:dyDescent="0.25">
      <c r="B15" s="393" t="s">
        <v>2121</v>
      </c>
      <c r="C15" s="392"/>
      <c r="D15" s="392"/>
      <c r="E15" s="604"/>
      <c r="F15" s="604"/>
      <c r="G15" s="604"/>
      <c r="H15" s="604"/>
      <c r="I15" s="604"/>
      <c r="J15" s="604"/>
      <c r="K15" s="604"/>
      <c r="L15" s="604"/>
      <c r="M15" s="604"/>
      <c r="N15" s="604"/>
      <c r="O15" s="604"/>
      <c r="P15" s="604"/>
      <c r="Q15" s="605"/>
      <c r="R15" s="391" t="s">
        <v>2124</v>
      </c>
      <c r="S15" s="392"/>
      <c r="T15" s="392"/>
      <c r="U15" s="392"/>
      <c r="V15" s="392"/>
      <c r="W15" s="392"/>
      <c r="X15" s="392"/>
      <c r="Y15" s="606"/>
      <c r="Z15" s="606"/>
      <c r="AA15" s="606"/>
      <c r="AB15" s="606"/>
      <c r="AC15" s="606"/>
      <c r="AD15" s="606"/>
      <c r="AE15" s="606"/>
      <c r="AF15" s="391" t="s">
        <v>2123</v>
      </c>
      <c r="AG15" s="392"/>
      <c r="AH15" s="392"/>
      <c r="AI15" s="392"/>
      <c r="AJ15" s="392"/>
      <c r="AK15" s="392"/>
      <c r="AL15" s="606"/>
      <c r="AM15" s="606"/>
      <c r="AN15" s="606"/>
      <c r="AO15" s="606"/>
      <c r="AP15" s="606"/>
      <c r="AQ15" s="606"/>
      <c r="AR15" s="611"/>
      <c r="AS15" s="391" t="s">
        <v>2122</v>
      </c>
      <c r="AT15" s="392"/>
      <c r="AU15" s="392"/>
      <c r="AV15" s="392"/>
      <c r="AW15" s="392"/>
      <c r="AX15" s="392"/>
      <c r="AY15" s="606"/>
      <c r="AZ15" s="606"/>
      <c r="BA15" s="606"/>
      <c r="BB15" s="606"/>
      <c r="BC15" s="606"/>
      <c r="BD15" s="606"/>
      <c r="BE15" s="608"/>
      <c r="BI15"/>
      <c r="BJ15"/>
      <c r="BK15"/>
      <c r="BL15"/>
      <c r="BM15"/>
      <c r="BN15"/>
      <c r="BO15"/>
      <c r="BP15"/>
      <c r="BQ15"/>
      <c r="BR15"/>
      <c r="BS15"/>
      <c r="BT15"/>
      <c r="BU15"/>
      <c r="BV15"/>
      <c r="BW15"/>
      <c r="BX15"/>
      <c r="BY15"/>
      <c r="BZ15"/>
      <c r="CA15"/>
      <c r="CB15"/>
      <c r="CC15"/>
      <c r="CD15"/>
      <c r="CE15"/>
      <c r="CF15"/>
      <c r="CG15"/>
      <c r="CH15"/>
      <c r="CI15"/>
      <c r="CJ15"/>
      <c r="CK15"/>
      <c r="CL15"/>
      <c r="CM15"/>
      <c r="CN15"/>
      <c r="CO15"/>
      <c r="CP15"/>
    </row>
    <row r="16" spans="2:182" ht="18.75" customHeight="1" thickBot="1" x14ac:dyDescent="0.3">
      <c r="B16" s="471" t="s">
        <v>2076</v>
      </c>
      <c r="C16" s="455"/>
      <c r="D16" s="455"/>
      <c r="E16" s="461"/>
      <c r="F16" s="461"/>
      <c r="G16" s="461"/>
      <c r="H16" s="461"/>
      <c r="I16" s="461"/>
      <c r="J16" s="461"/>
      <c r="K16" s="461"/>
      <c r="L16" s="461"/>
      <c r="M16" s="461"/>
      <c r="N16" s="461"/>
      <c r="O16" s="461"/>
      <c r="P16" s="461"/>
      <c r="Q16" s="461"/>
      <c r="R16" s="461"/>
      <c r="S16" s="461"/>
      <c r="T16" s="461"/>
      <c r="U16" s="461"/>
      <c r="V16" s="461"/>
      <c r="W16" s="461"/>
      <c r="X16" s="461"/>
      <c r="Y16" s="461"/>
      <c r="Z16" s="461"/>
      <c r="AA16" s="461"/>
      <c r="AB16" s="461"/>
      <c r="AC16" s="461"/>
      <c r="AD16" s="470" t="s">
        <v>2077</v>
      </c>
      <c r="AE16" s="455"/>
      <c r="AF16" s="455"/>
      <c r="AG16" s="461"/>
      <c r="AH16" s="461"/>
      <c r="AI16" s="461"/>
      <c r="AJ16" s="461"/>
      <c r="AK16" s="461"/>
      <c r="AL16" s="461"/>
      <c r="AM16" s="461"/>
      <c r="AN16" s="461"/>
      <c r="AO16" s="461"/>
      <c r="AP16" s="461"/>
      <c r="AQ16" s="461"/>
      <c r="AR16" s="470" t="s">
        <v>2078</v>
      </c>
      <c r="AS16" s="455"/>
      <c r="AT16" s="455"/>
      <c r="AU16" s="461"/>
      <c r="AV16" s="461"/>
      <c r="AW16" s="461"/>
      <c r="AX16" s="461"/>
      <c r="AY16" s="461"/>
      <c r="AZ16" s="461"/>
      <c r="BA16" s="461"/>
      <c r="BB16" s="461"/>
      <c r="BC16" s="461"/>
      <c r="BD16" s="461"/>
      <c r="BE16" s="462"/>
      <c r="BI16"/>
      <c r="BJ16"/>
      <c r="BK16"/>
      <c r="BL16"/>
      <c r="BM16"/>
      <c r="BN16"/>
      <c r="BO16"/>
      <c r="BP16"/>
      <c r="BQ16"/>
      <c r="BR16"/>
      <c r="BS16"/>
      <c r="BT16"/>
      <c r="BU16"/>
      <c r="BV16"/>
      <c r="BW16"/>
      <c r="BX16"/>
      <c r="BY16"/>
      <c r="BZ16"/>
      <c r="CA16"/>
      <c r="CB16"/>
      <c r="CC16"/>
      <c r="CD16"/>
      <c r="CE16"/>
      <c r="CF16"/>
      <c r="CG16"/>
      <c r="CH16"/>
      <c r="CI16"/>
      <c r="CJ16"/>
      <c r="CK16"/>
      <c r="CL16"/>
      <c r="CM16"/>
      <c r="CN16"/>
      <c r="CO16"/>
      <c r="CP16"/>
      <c r="DZ16" s="135" t="b">
        <v>0</v>
      </c>
    </row>
    <row r="17" spans="2:94" ht="18.75" customHeight="1" thickBot="1" x14ac:dyDescent="0.3">
      <c r="B17" s="472" t="s">
        <v>2079</v>
      </c>
      <c r="C17" s="473"/>
      <c r="D17" s="474"/>
      <c r="E17" s="475"/>
      <c r="F17" s="476"/>
      <c r="G17" s="476"/>
      <c r="H17" s="476"/>
      <c r="I17" s="476"/>
      <c r="J17" s="476"/>
      <c r="K17" s="476"/>
      <c r="L17" s="476"/>
      <c r="M17" s="476"/>
      <c r="N17" s="476"/>
      <c r="O17" s="476"/>
      <c r="P17" s="473" t="s">
        <v>2080</v>
      </c>
      <c r="Q17" s="473"/>
      <c r="R17" s="474"/>
      <c r="S17" s="475"/>
      <c r="T17" s="476"/>
      <c r="U17" s="476"/>
      <c r="V17" s="476"/>
      <c r="W17" s="476"/>
      <c r="X17" s="476"/>
      <c r="Y17" s="476"/>
      <c r="Z17" s="476"/>
      <c r="AA17" s="476"/>
      <c r="AB17" s="476"/>
      <c r="AC17" s="476"/>
      <c r="AD17" s="473" t="s">
        <v>2081</v>
      </c>
      <c r="AE17" s="473"/>
      <c r="AF17" s="474"/>
      <c r="AG17" s="475"/>
      <c r="AH17" s="476"/>
      <c r="AI17" s="476"/>
      <c r="AJ17" s="476"/>
      <c r="AK17" s="476"/>
      <c r="AL17" s="476"/>
      <c r="AM17" s="476"/>
      <c r="AN17" s="476"/>
      <c r="AO17" s="476"/>
      <c r="AP17" s="476"/>
      <c r="AQ17" s="476"/>
      <c r="AR17" s="473" t="s">
        <v>2082</v>
      </c>
      <c r="AS17" s="473"/>
      <c r="AT17" s="474"/>
      <c r="AU17" s="475"/>
      <c r="AV17" s="476"/>
      <c r="AW17" s="476"/>
      <c r="AX17" s="476"/>
      <c r="AY17" s="476"/>
      <c r="AZ17" s="476"/>
      <c r="BA17" s="476"/>
      <c r="BB17" s="476"/>
      <c r="BC17" s="476"/>
      <c r="BD17" s="476"/>
      <c r="BE17" s="477"/>
      <c r="BI17"/>
      <c r="BJ17"/>
      <c r="BK17"/>
      <c r="BL17"/>
      <c r="BM17"/>
      <c r="BN17"/>
      <c r="BO17"/>
      <c r="BP17"/>
      <c r="BQ17"/>
      <c r="BR17"/>
      <c r="BS17"/>
      <c r="BT17"/>
      <c r="BU17"/>
      <c r="BV17"/>
      <c r="BW17"/>
      <c r="BX17" s="375" t="s">
        <v>3409</v>
      </c>
      <c r="BY17" s="376"/>
      <c r="BZ17" s="376"/>
      <c r="CA17" s="376"/>
      <c r="CB17" s="376"/>
      <c r="CC17" s="376"/>
      <c r="CD17" s="376"/>
      <c r="CE17" s="376"/>
      <c r="CF17" s="376"/>
      <c r="CG17" s="416"/>
      <c r="CH17" s="416"/>
      <c r="CI17" s="416"/>
      <c r="CJ17" s="416"/>
      <c r="CK17" s="416"/>
      <c r="CL17" s="416"/>
      <c r="CM17" s="416"/>
      <c r="CN17" s="416"/>
      <c r="CO17" s="416"/>
      <c r="CP17" s="417"/>
    </row>
    <row r="18" spans="2:94" ht="18.75" customHeight="1" x14ac:dyDescent="0.25"/>
    <row r="19" spans="2:94" ht="18.75" customHeight="1" x14ac:dyDescent="0.25"/>
    <row r="20" spans="2:94" ht="18.75" customHeight="1" thickBot="1" x14ac:dyDescent="0.35">
      <c r="B20" s="440" t="s">
        <v>268</v>
      </c>
      <c r="C20" s="440"/>
      <c r="D20" s="440"/>
      <c r="E20" s="440"/>
      <c r="F20" s="440"/>
      <c r="G20" s="440"/>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c r="AE20" s="440"/>
      <c r="AF20" s="440"/>
      <c r="AG20" s="440"/>
      <c r="AH20" s="440"/>
      <c r="AI20" s="440"/>
      <c r="AJ20" s="440"/>
      <c r="AK20" s="440"/>
      <c r="AL20" s="440"/>
      <c r="AM20" s="440"/>
      <c r="AN20" s="440"/>
      <c r="AO20" s="440"/>
      <c r="AP20" s="440"/>
      <c r="AQ20" s="440"/>
      <c r="AR20" s="440"/>
      <c r="AS20" s="440"/>
      <c r="AT20" s="440"/>
      <c r="AU20" s="440"/>
      <c r="AV20" s="440"/>
      <c r="AW20" s="440"/>
      <c r="AX20" s="440"/>
      <c r="AY20" s="440"/>
      <c r="AZ20" s="440"/>
      <c r="BA20" s="440"/>
      <c r="BB20" s="440"/>
      <c r="BC20" s="440"/>
      <c r="BD20" s="440"/>
      <c r="BE20" s="440"/>
      <c r="BF20" s="187"/>
      <c r="BG20" s="187"/>
      <c r="BH20" s="187"/>
      <c r="BI20" s="187"/>
      <c r="BJ20" s="187"/>
      <c r="BK20" s="187"/>
      <c r="BL20" s="187"/>
      <c r="BM20" s="187"/>
      <c r="BN20" s="187"/>
      <c r="BO20" s="187"/>
      <c r="BP20" s="187"/>
      <c r="BQ20" s="187"/>
      <c r="BR20" s="187"/>
      <c r="BS20" s="187"/>
      <c r="BT20" s="187"/>
      <c r="BU20" s="187"/>
      <c r="BV20" s="187"/>
      <c r="BW20" s="187"/>
      <c r="BX20" s="187"/>
    </row>
    <row r="21" spans="2:94" ht="18.75" hidden="1" customHeight="1" x14ac:dyDescent="0.25">
      <c r="B21" s="454" t="s">
        <v>2067</v>
      </c>
      <c r="C21" s="401"/>
      <c r="D21" s="401"/>
      <c r="E21" s="401"/>
      <c r="F21" s="401"/>
      <c r="G21" s="401"/>
      <c r="H21" s="468"/>
      <c r="I21" s="468"/>
      <c r="J21" s="468"/>
      <c r="K21" s="468"/>
      <c r="L21" s="468"/>
      <c r="M21" s="468"/>
      <c r="N21" s="468"/>
      <c r="O21" s="468"/>
      <c r="P21" s="468"/>
      <c r="Q21" s="468"/>
      <c r="R21" s="468"/>
      <c r="S21" s="468"/>
      <c r="T21" s="468"/>
      <c r="U21" s="468"/>
      <c r="V21" s="468"/>
      <c r="W21" s="468"/>
      <c r="X21" s="469"/>
      <c r="Y21" s="400" t="s">
        <v>2073</v>
      </c>
      <c r="Z21" s="401"/>
      <c r="AA21" s="401"/>
      <c r="AB21" s="464"/>
      <c r="AC21" s="464"/>
      <c r="AD21" s="464"/>
      <c r="AE21" s="464"/>
      <c r="AF21" s="464"/>
      <c r="AG21" s="464"/>
      <c r="AH21" s="464"/>
      <c r="AI21" s="464"/>
      <c r="AJ21" s="464"/>
      <c r="AK21" s="465"/>
      <c r="AL21" s="400" t="s">
        <v>266</v>
      </c>
      <c r="AM21" s="401"/>
      <c r="AN21" s="401"/>
      <c r="AO21" s="466"/>
      <c r="AP21" s="466"/>
      <c r="AQ21" s="466"/>
      <c r="AR21" s="466"/>
      <c r="AS21" s="466"/>
      <c r="AT21" s="466"/>
      <c r="AU21" s="467"/>
      <c r="AV21" s="400" t="s">
        <v>2072</v>
      </c>
      <c r="AW21" s="401"/>
      <c r="AX21" s="401"/>
      <c r="AY21" s="401"/>
      <c r="AZ21" s="468"/>
      <c r="BA21" s="468"/>
      <c r="BB21" s="468"/>
      <c r="BC21" s="468"/>
      <c r="BD21" s="468"/>
      <c r="BE21" s="478"/>
    </row>
    <row r="22" spans="2:94" ht="18.75" hidden="1" customHeight="1" x14ac:dyDescent="0.25">
      <c r="B22" s="393" t="s">
        <v>2066</v>
      </c>
      <c r="C22" s="392"/>
      <c r="D22" s="392"/>
      <c r="E22" s="392"/>
      <c r="F22" s="392"/>
      <c r="G22" s="392"/>
      <c r="H22" s="392"/>
      <c r="I22" s="392"/>
      <c r="J22" s="392"/>
      <c r="K22" s="392"/>
      <c r="L22" s="456"/>
      <c r="M22" s="456"/>
      <c r="N22" s="391" t="s">
        <v>406</v>
      </c>
      <c r="O22" s="392"/>
      <c r="P22" s="392"/>
      <c r="Q22" s="392"/>
      <c r="R22" s="392"/>
      <c r="S22" s="456" t="s">
        <v>2403</v>
      </c>
      <c r="T22" s="456"/>
      <c r="U22" s="391" t="s">
        <v>407</v>
      </c>
      <c r="V22" s="392"/>
      <c r="W22" s="392"/>
      <c r="X22" s="392"/>
      <c r="Y22" s="392"/>
      <c r="Z22" s="392"/>
      <c r="AA22" s="456"/>
      <c r="AB22" s="456"/>
      <c r="AC22" s="457"/>
      <c r="AD22" s="458"/>
      <c r="AE22" s="458"/>
      <c r="AF22" s="458"/>
      <c r="AG22" s="458"/>
      <c r="AH22" s="458"/>
      <c r="AI22" s="458"/>
      <c r="AJ22" s="458"/>
      <c r="AK22" s="458"/>
      <c r="AL22" s="459"/>
      <c r="AM22" s="458"/>
      <c r="AN22" s="458"/>
      <c r="AO22" s="458"/>
      <c r="AP22" s="458"/>
      <c r="AQ22" s="458"/>
      <c r="AR22" s="458"/>
      <c r="AS22" s="458"/>
      <c r="AT22" s="458"/>
      <c r="AU22" s="458"/>
      <c r="AV22" s="458"/>
      <c r="AW22" s="458"/>
      <c r="AX22" s="458"/>
      <c r="AY22" s="458"/>
      <c r="AZ22" s="458"/>
      <c r="BA22" s="458"/>
      <c r="BB22" s="458"/>
      <c r="BC22" s="458"/>
      <c r="BD22" s="458"/>
      <c r="BE22" s="460"/>
    </row>
    <row r="23" spans="2:94" ht="18.75" hidden="1" customHeight="1" x14ac:dyDescent="0.25">
      <c r="B23" s="393" t="s">
        <v>2070</v>
      </c>
      <c r="C23" s="392"/>
      <c r="D23" s="392"/>
      <c r="E23" s="392"/>
      <c r="F23" s="392"/>
      <c r="G23" s="392"/>
      <c r="H23" s="392"/>
      <c r="I23" s="392"/>
      <c r="J23" s="456"/>
      <c r="K23" s="456"/>
      <c r="L23" s="456"/>
      <c r="M23" s="456"/>
      <c r="N23" s="456"/>
      <c r="O23" s="456"/>
      <c r="P23" s="456"/>
      <c r="Q23" s="456"/>
      <c r="R23" s="456"/>
      <c r="S23" s="456"/>
      <c r="T23" s="456"/>
      <c r="U23" s="456"/>
      <c r="V23" s="456"/>
      <c r="W23" s="456"/>
      <c r="X23" s="463"/>
      <c r="Y23" s="391" t="s">
        <v>2074</v>
      </c>
      <c r="Z23" s="392"/>
      <c r="AA23" s="392"/>
      <c r="AB23" s="609"/>
      <c r="AC23" s="609"/>
      <c r="AD23" s="609"/>
      <c r="AE23" s="609"/>
      <c r="AF23" s="609"/>
      <c r="AG23" s="609"/>
      <c r="AH23" s="609"/>
      <c r="AI23" s="609"/>
      <c r="AJ23" s="609"/>
      <c r="AK23" s="610"/>
      <c r="AL23" s="391" t="s">
        <v>1982</v>
      </c>
      <c r="AM23" s="392"/>
      <c r="AN23" s="392"/>
      <c r="AO23" s="456"/>
      <c r="AP23" s="456"/>
      <c r="AQ23" s="456"/>
      <c r="AR23" s="456"/>
      <c r="AS23" s="456"/>
      <c r="AT23" s="456"/>
      <c r="AU23" s="463"/>
      <c r="AV23" s="391" t="s">
        <v>1983</v>
      </c>
      <c r="AW23" s="392"/>
      <c r="AX23" s="456"/>
      <c r="AY23" s="456"/>
      <c r="AZ23" s="456"/>
      <c r="BA23" s="456"/>
      <c r="BB23" s="456"/>
      <c r="BC23" s="456"/>
      <c r="BD23" s="456"/>
      <c r="BE23" s="607"/>
    </row>
    <row r="24" spans="2:94" ht="18.75" hidden="1" customHeight="1" x14ac:dyDescent="0.25">
      <c r="B24" s="393" t="s">
        <v>2071</v>
      </c>
      <c r="C24" s="392"/>
      <c r="D24" s="392"/>
      <c r="E24" s="392"/>
      <c r="F24" s="392"/>
      <c r="G24" s="392"/>
      <c r="H24" s="392"/>
      <c r="I24" s="392"/>
      <c r="J24" s="456"/>
      <c r="K24" s="456"/>
      <c r="L24" s="456"/>
      <c r="M24" s="456"/>
      <c r="N24" s="456"/>
      <c r="O24" s="456"/>
      <c r="P24" s="456"/>
      <c r="Q24" s="456"/>
      <c r="R24" s="456"/>
      <c r="S24" s="456"/>
      <c r="T24" s="456"/>
      <c r="U24" s="456"/>
      <c r="V24" s="456"/>
      <c r="W24" s="456"/>
      <c r="X24" s="463"/>
      <c r="Y24" s="391" t="s">
        <v>2074</v>
      </c>
      <c r="Z24" s="392"/>
      <c r="AA24" s="392"/>
      <c r="AB24" s="609"/>
      <c r="AC24" s="609"/>
      <c r="AD24" s="609"/>
      <c r="AE24" s="609"/>
      <c r="AF24" s="609"/>
      <c r="AG24" s="609"/>
      <c r="AH24" s="609"/>
      <c r="AI24" s="609"/>
      <c r="AJ24" s="609"/>
      <c r="AK24" s="610"/>
      <c r="AL24" s="391" t="s">
        <v>1982</v>
      </c>
      <c r="AM24" s="392"/>
      <c r="AN24" s="392"/>
      <c r="AO24" s="456"/>
      <c r="AP24" s="456"/>
      <c r="AQ24" s="456"/>
      <c r="AR24" s="456"/>
      <c r="AS24" s="456"/>
      <c r="AT24" s="456"/>
      <c r="AU24" s="463"/>
      <c r="AV24" s="391" t="s">
        <v>1983</v>
      </c>
      <c r="AW24" s="392"/>
      <c r="AX24" s="456"/>
      <c r="AY24" s="456"/>
      <c r="AZ24" s="456"/>
      <c r="BA24" s="456"/>
      <c r="BB24" s="456"/>
      <c r="BC24" s="456"/>
      <c r="BD24" s="456"/>
      <c r="BE24" s="607"/>
    </row>
    <row r="25" spans="2:94" ht="18.75" hidden="1" customHeight="1" x14ac:dyDescent="0.25">
      <c r="B25" s="393" t="s">
        <v>2121</v>
      </c>
      <c r="C25" s="392"/>
      <c r="D25" s="392"/>
      <c r="E25" s="604"/>
      <c r="F25" s="604"/>
      <c r="G25" s="604"/>
      <c r="H25" s="604"/>
      <c r="I25" s="604"/>
      <c r="J25" s="604"/>
      <c r="K25" s="604"/>
      <c r="L25" s="604"/>
      <c r="M25" s="604"/>
      <c r="N25" s="604"/>
      <c r="O25" s="604"/>
      <c r="P25" s="604"/>
      <c r="Q25" s="605"/>
      <c r="R25" s="391" t="s">
        <v>2124</v>
      </c>
      <c r="S25" s="392"/>
      <c r="T25" s="392"/>
      <c r="U25" s="392"/>
      <c r="V25" s="392"/>
      <c r="W25" s="392"/>
      <c r="X25" s="392"/>
      <c r="Y25" s="606"/>
      <c r="Z25" s="606"/>
      <c r="AA25" s="606"/>
      <c r="AB25" s="606"/>
      <c r="AC25" s="606"/>
      <c r="AD25" s="606"/>
      <c r="AE25" s="606"/>
      <c r="AF25" s="391" t="s">
        <v>2123</v>
      </c>
      <c r="AG25" s="392"/>
      <c r="AH25" s="392"/>
      <c r="AI25" s="392"/>
      <c r="AJ25" s="392"/>
      <c r="AK25" s="392"/>
      <c r="AL25" s="606"/>
      <c r="AM25" s="606"/>
      <c r="AN25" s="606"/>
      <c r="AO25" s="606"/>
      <c r="AP25" s="606"/>
      <c r="AQ25" s="606"/>
      <c r="AR25" s="606"/>
      <c r="AS25" s="391" t="s">
        <v>2122</v>
      </c>
      <c r="AT25" s="392"/>
      <c r="AU25" s="392"/>
      <c r="AV25" s="392"/>
      <c r="AW25" s="392"/>
      <c r="AX25" s="392"/>
      <c r="AY25" s="606"/>
      <c r="AZ25" s="606"/>
      <c r="BA25" s="606"/>
      <c r="BB25" s="606"/>
      <c r="BC25" s="606"/>
      <c r="BD25" s="606"/>
      <c r="BE25" s="608"/>
    </row>
    <row r="26" spans="2:94" ht="18.75" hidden="1" customHeight="1" x14ac:dyDescent="0.25">
      <c r="B26" s="471" t="s">
        <v>2076</v>
      </c>
      <c r="C26" s="455"/>
      <c r="D26" s="455"/>
      <c r="E26" s="461"/>
      <c r="F26" s="461"/>
      <c r="G26" s="461"/>
      <c r="H26" s="461"/>
      <c r="I26" s="461"/>
      <c r="J26" s="461"/>
      <c r="K26" s="461"/>
      <c r="L26" s="461"/>
      <c r="M26" s="461"/>
      <c r="N26" s="461"/>
      <c r="O26" s="461"/>
      <c r="P26" s="461"/>
      <c r="Q26" s="461"/>
      <c r="R26" s="461"/>
      <c r="S26" s="461"/>
      <c r="T26" s="461"/>
      <c r="U26" s="461"/>
      <c r="V26" s="461"/>
      <c r="W26" s="461"/>
      <c r="X26" s="461"/>
      <c r="Y26" s="461"/>
      <c r="Z26" s="461"/>
      <c r="AA26" s="461"/>
      <c r="AB26" s="461"/>
      <c r="AC26" s="461"/>
      <c r="AD26" s="470" t="s">
        <v>2077</v>
      </c>
      <c r="AE26" s="455"/>
      <c r="AF26" s="455"/>
      <c r="AG26" s="461"/>
      <c r="AH26" s="461"/>
      <c r="AI26" s="461"/>
      <c r="AJ26" s="461"/>
      <c r="AK26" s="461"/>
      <c r="AL26" s="461"/>
      <c r="AM26" s="461"/>
      <c r="AN26" s="461"/>
      <c r="AO26" s="461"/>
      <c r="AP26" s="461"/>
      <c r="AQ26" s="461"/>
      <c r="AR26" s="470" t="s">
        <v>2078</v>
      </c>
      <c r="AS26" s="455"/>
      <c r="AT26" s="455"/>
      <c r="AU26" s="461"/>
      <c r="AV26" s="461"/>
      <c r="AW26" s="461"/>
      <c r="AX26" s="461"/>
      <c r="AY26" s="461"/>
      <c r="AZ26" s="461"/>
      <c r="BA26" s="461"/>
      <c r="BB26" s="461"/>
      <c r="BC26" s="461"/>
      <c r="BD26" s="461"/>
      <c r="BE26" s="462"/>
    </row>
    <row r="27" spans="2:94" ht="18.75" hidden="1" customHeight="1" thickBot="1" x14ac:dyDescent="0.3">
      <c r="B27" s="472" t="s">
        <v>2079</v>
      </c>
      <c r="C27" s="473"/>
      <c r="D27" s="474"/>
      <c r="E27" s="475"/>
      <c r="F27" s="476"/>
      <c r="G27" s="476"/>
      <c r="H27" s="476"/>
      <c r="I27" s="476"/>
      <c r="J27" s="476"/>
      <c r="K27" s="476"/>
      <c r="L27" s="476"/>
      <c r="M27" s="476"/>
      <c r="N27" s="476"/>
      <c r="O27" s="476"/>
      <c r="P27" s="473" t="s">
        <v>2080</v>
      </c>
      <c r="Q27" s="473"/>
      <c r="R27" s="474"/>
      <c r="S27" s="475"/>
      <c r="T27" s="476"/>
      <c r="U27" s="476"/>
      <c r="V27" s="476"/>
      <c r="W27" s="476"/>
      <c r="X27" s="476"/>
      <c r="Y27" s="476"/>
      <c r="Z27" s="476"/>
      <c r="AA27" s="476"/>
      <c r="AB27" s="476"/>
      <c r="AC27" s="476"/>
      <c r="AD27" s="473" t="s">
        <v>2081</v>
      </c>
      <c r="AE27" s="473"/>
      <c r="AF27" s="474"/>
      <c r="AG27" s="475"/>
      <c r="AH27" s="476"/>
      <c r="AI27" s="476"/>
      <c r="AJ27" s="476"/>
      <c r="AK27" s="476"/>
      <c r="AL27" s="476"/>
      <c r="AM27" s="476"/>
      <c r="AN27" s="476"/>
      <c r="AO27" s="476"/>
      <c r="AP27" s="476"/>
      <c r="AQ27" s="476"/>
      <c r="AR27" s="473" t="s">
        <v>2082</v>
      </c>
      <c r="AS27" s="473"/>
      <c r="AT27" s="474"/>
      <c r="AU27" s="475"/>
      <c r="AV27" s="476"/>
      <c r="AW27" s="476"/>
      <c r="AX27" s="476"/>
      <c r="AY27" s="476"/>
      <c r="AZ27" s="476"/>
      <c r="BA27" s="476"/>
      <c r="BB27" s="476"/>
      <c r="BC27" s="476"/>
      <c r="BD27" s="476"/>
      <c r="BE27" s="477"/>
    </row>
    <row r="28" spans="2:94" ht="18.75" hidden="1" customHeight="1" x14ac:dyDescent="0.25"/>
    <row r="29" spans="2:94" ht="18.75" hidden="1" customHeight="1" x14ac:dyDescent="0.25"/>
    <row r="30" spans="2:94" ht="18.75" hidden="1" customHeight="1" thickBot="1" x14ac:dyDescent="0.35">
      <c r="B30" s="440" t="s">
        <v>270</v>
      </c>
      <c r="C30" s="440"/>
      <c r="D30" s="440"/>
      <c r="E30" s="440"/>
      <c r="F30" s="440"/>
      <c r="G30" s="440"/>
      <c r="H30" s="440"/>
      <c r="I30" s="440"/>
      <c r="J30" s="440"/>
      <c r="K30" s="440"/>
      <c r="L30" s="440"/>
      <c r="M30" s="440"/>
      <c r="N30" s="440"/>
      <c r="O30" s="440"/>
      <c r="P30" s="440"/>
      <c r="Q30" s="440"/>
      <c r="R30" s="440"/>
      <c r="S30" s="440"/>
      <c r="T30" s="440"/>
      <c r="U30" s="440"/>
      <c r="V30" s="440"/>
      <c r="W30" s="440"/>
      <c r="X30" s="440"/>
      <c r="Y30" s="440"/>
      <c r="Z30" s="440"/>
      <c r="AA30" s="440"/>
      <c r="AB30" s="440"/>
      <c r="AC30" s="440"/>
      <c r="AD30" s="440"/>
      <c r="AE30" s="440"/>
      <c r="AF30" s="440"/>
      <c r="AG30" s="440"/>
      <c r="AH30" s="440"/>
      <c r="AI30" s="440"/>
      <c r="AJ30" s="440"/>
      <c r="AK30" s="440"/>
      <c r="AL30" s="440"/>
      <c r="AM30" s="440"/>
      <c r="AN30" s="440"/>
      <c r="AO30" s="440"/>
      <c r="AP30" s="440"/>
      <c r="AQ30" s="440"/>
      <c r="AR30" s="440"/>
      <c r="AS30" s="440"/>
      <c r="AT30" s="440"/>
      <c r="AU30" s="440"/>
      <c r="AV30" s="440"/>
      <c r="AW30" s="440"/>
      <c r="AX30" s="440"/>
      <c r="AY30" s="440"/>
      <c r="AZ30" s="440"/>
      <c r="BA30" s="440"/>
      <c r="BB30" s="440"/>
      <c r="BC30" s="440"/>
      <c r="BD30" s="440"/>
      <c r="BE30" s="440"/>
      <c r="BF30" s="187"/>
      <c r="BG30" s="187"/>
      <c r="BH30" s="187"/>
      <c r="BI30" s="187"/>
      <c r="BJ30" s="187"/>
      <c r="BK30" s="187"/>
      <c r="BL30" s="187"/>
      <c r="BM30" s="187"/>
      <c r="BN30" s="187"/>
      <c r="BO30" s="187"/>
      <c r="BP30" s="187"/>
      <c r="BQ30" s="187"/>
      <c r="BR30" s="187"/>
      <c r="BS30" s="187"/>
      <c r="BT30" s="187"/>
      <c r="BU30" s="187"/>
      <c r="BV30" s="187"/>
      <c r="BW30" s="187"/>
      <c r="BX30" s="187"/>
    </row>
    <row r="31" spans="2:94" ht="18.75" hidden="1" customHeight="1" x14ac:dyDescent="0.25">
      <c r="B31" s="454" t="s">
        <v>2068</v>
      </c>
      <c r="C31" s="401"/>
      <c r="D31" s="401"/>
      <c r="E31" s="401"/>
      <c r="F31" s="401"/>
      <c r="G31" s="401"/>
      <c r="H31" s="468"/>
      <c r="I31" s="468"/>
      <c r="J31" s="468"/>
      <c r="K31" s="468"/>
      <c r="L31" s="468"/>
      <c r="M31" s="468"/>
      <c r="N31" s="468"/>
      <c r="O31" s="468"/>
      <c r="P31" s="468"/>
      <c r="Q31" s="468"/>
      <c r="R31" s="468"/>
      <c r="S31" s="468"/>
      <c r="T31" s="468"/>
      <c r="U31" s="468"/>
      <c r="V31" s="468"/>
      <c r="W31" s="468"/>
      <c r="X31" s="469"/>
      <c r="Y31" s="400" t="s">
        <v>2073</v>
      </c>
      <c r="Z31" s="401"/>
      <c r="AA31" s="401"/>
      <c r="AB31" s="464"/>
      <c r="AC31" s="464"/>
      <c r="AD31" s="464"/>
      <c r="AE31" s="464"/>
      <c r="AF31" s="464"/>
      <c r="AG31" s="464"/>
      <c r="AH31" s="464"/>
      <c r="AI31" s="464"/>
      <c r="AJ31" s="464"/>
      <c r="AK31" s="465"/>
      <c r="AL31" s="400" t="s">
        <v>266</v>
      </c>
      <c r="AM31" s="401"/>
      <c r="AN31" s="401"/>
      <c r="AO31" s="466"/>
      <c r="AP31" s="466"/>
      <c r="AQ31" s="466"/>
      <c r="AR31" s="466"/>
      <c r="AS31" s="466"/>
      <c r="AT31" s="466"/>
      <c r="AU31" s="467"/>
      <c r="AV31" s="400" t="s">
        <v>2072</v>
      </c>
      <c r="AW31" s="401"/>
      <c r="AX31" s="401"/>
      <c r="AY31" s="401"/>
      <c r="AZ31" s="468"/>
      <c r="BA31" s="468"/>
      <c r="BB31" s="468"/>
      <c r="BC31" s="468"/>
      <c r="BD31" s="468"/>
      <c r="BE31" s="478"/>
    </row>
    <row r="32" spans="2:94" ht="18.75" hidden="1" customHeight="1" x14ac:dyDescent="0.25">
      <c r="B32" s="393" t="s">
        <v>2066</v>
      </c>
      <c r="C32" s="392"/>
      <c r="D32" s="392"/>
      <c r="E32" s="392"/>
      <c r="F32" s="392"/>
      <c r="G32" s="392"/>
      <c r="H32" s="392"/>
      <c r="I32" s="392"/>
      <c r="J32" s="392"/>
      <c r="K32" s="392"/>
      <c r="L32" s="456"/>
      <c r="M32" s="456"/>
      <c r="N32" s="391" t="s">
        <v>406</v>
      </c>
      <c r="O32" s="392"/>
      <c r="P32" s="392"/>
      <c r="Q32" s="392"/>
      <c r="R32" s="392"/>
      <c r="S32" s="456" t="s">
        <v>2403</v>
      </c>
      <c r="T32" s="456"/>
      <c r="U32" s="391" t="s">
        <v>407</v>
      </c>
      <c r="V32" s="392"/>
      <c r="W32" s="392"/>
      <c r="X32" s="392"/>
      <c r="Y32" s="392"/>
      <c r="Z32" s="392"/>
      <c r="AA32" s="456"/>
      <c r="AB32" s="456"/>
      <c r="AC32" s="457"/>
      <c r="AD32" s="458"/>
      <c r="AE32" s="458"/>
      <c r="AF32" s="458"/>
      <c r="AG32" s="458"/>
      <c r="AH32" s="458"/>
      <c r="AI32" s="458"/>
      <c r="AJ32" s="458"/>
      <c r="AK32" s="458"/>
      <c r="AL32" s="459"/>
      <c r="AM32" s="458"/>
      <c r="AN32" s="458"/>
      <c r="AO32" s="458"/>
      <c r="AP32" s="458"/>
      <c r="AQ32" s="458"/>
      <c r="AR32" s="458"/>
      <c r="AS32" s="458"/>
      <c r="AT32" s="458"/>
      <c r="AU32" s="458"/>
      <c r="AV32" s="458"/>
      <c r="AW32" s="458"/>
      <c r="AX32" s="458"/>
      <c r="AY32" s="458"/>
      <c r="AZ32" s="458"/>
      <c r="BA32" s="458"/>
      <c r="BB32" s="458"/>
      <c r="BC32" s="458"/>
      <c r="BD32" s="458"/>
      <c r="BE32" s="460"/>
    </row>
    <row r="33" spans="2:123" ht="18.75" hidden="1" customHeight="1" x14ac:dyDescent="0.25">
      <c r="B33" s="393" t="s">
        <v>2070</v>
      </c>
      <c r="C33" s="392"/>
      <c r="D33" s="392"/>
      <c r="E33" s="392"/>
      <c r="F33" s="392"/>
      <c r="G33" s="392"/>
      <c r="H33" s="392"/>
      <c r="I33" s="392"/>
      <c r="J33" s="456"/>
      <c r="K33" s="456"/>
      <c r="L33" s="456"/>
      <c r="M33" s="456"/>
      <c r="N33" s="456"/>
      <c r="O33" s="456"/>
      <c r="P33" s="456"/>
      <c r="Q33" s="456"/>
      <c r="R33" s="456"/>
      <c r="S33" s="456"/>
      <c r="T33" s="456"/>
      <c r="U33" s="456"/>
      <c r="V33" s="456"/>
      <c r="W33" s="456"/>
      <c r="X33" s="463"/>
      <c r="Y33" s="391" t="s">
        <v>2074</v>
      </c>
      <c r="Z33" s="392"/>
      <c r="AA33" s="392"/>
      <c r="AB33" s="609"/>
      <c r="AC33" s="609"/>
      <c r="AD33" s="609"/>
      <c r="AE33" s="609"/>
      <c r="AF33" s="609"/>
      <c r="AG33" s="609"/>
      <c r="AH33" s="609"/>
      <c r="AI33" s="609"/>
      <c r="AJ33" s="609"/>
      <c r="AK33" s="610"/>
      <c r="AL33" s="391" t="s">
        <v>1982</v>
      </c>
      <c r="AM33" s="392"/>
      <c r="AN33" s="392"/>
      <c r="AO33" s="456"/>
      <c r="AP33" s="456"/>
      <c r="AQ33" s="456"/>
      <c r="AR33" s="456"/>
      <c r="AS33" s="456"/>
      <c r="AT33" s="456"/>
      <c r="AU33" s="463"/>
      <c r="AV33" s="391" t="s">
        <v>1983</v>
      </c>
      <c r="AW33" s="392"/>
      <c r="AX33" s="456"/>
      <c r="AY33" s="456"/>
      <c r="AZ33" s="456"/>
      <c r="BA33" s="456"/>
      <c r="BB33" s="456"/>
      <c r="BC33" s="456"/>
      <c r="BD33" s="456"/>
      <c r="BE33" s="607"/>
    </row>
    <row r="34" spans="2:123" ht="22.5" hidden="1" customHeight="1" x14ac:dyDescent="0.25">
      <c r="B34" s="393" t="s">
        <v>2071</v>
      </c>
      <c r="C34" s="392"/>
      <c r="D34" s="392"/>
      <c r="E34" s="392"/>
      <c r="F34" s="392"/>
      <c r="G34" s="392"/>
      <c r="H34" s="392"/>
      <c r="I34" s="392"/>
      <c r="J34" s="456"/>
      <c r="K34" s="456"/>
      <c r="L34" s="456"/>
      <c r="M34" s="456"/>
      <c r="N34" s="456"/>
      <c r="O34" s="456"/>
      <c r="P34" s="456"/>
      <c r="Q34" s="456"/>
      <c r="R34" s="456"/>
      <c r="S34" s="456"/>
      <c r="T34" s="456"/>
      <c r="U34" s="456"/>
      <c r="V34" s="456"/>
      <c r="W34" s="456"/>
      <c r="X34" s="463"/>
      <c r="Y34" s="391" t="s">
        <v>2074</v>
      </c>
      <c r="Z34" s="392"/>
      <c r="AA34" s="392"/>
      <c r="AB34" s="609"/>
      <c r="AC34" s="609"/>
      <c r="AD34" s="609"/>
      <c r="AE34" s="609"/>
      <c r="AF34" s="609"/>
      <c r="AG34" s="609"/>
      <c r="AH34" s="609"/>
      <c r="AI34" s="609"/>
      <c r="AJ34" s="609"/>
      <c r="AK34" s="610"/>
      <c r="AL34" s="391" t="s">
        <v>1982</v>
      </c>
      <c r="AM34" s="392"/>
      <c r="AN34" s="392"/>
      <c r="AO34" s="456"/>
      <c r="AP34" s="456"/>
      <c r="AQ34" s="456"/>
      <c r="AR34" s="456"/>
      <c r="AS34" s="456"/>
      <c r="AT34" s="456"/>
      <c r="AU34" s="463"/>
      <c r="AV34" s="391" t="s">
        <v>1983</v>
      </c>
      <c r="AW34" s="392"/>
      <c r="AX34" s="456"/>
      <c r="AY34" s="456"/>
      <c r="AZ34" s="456"/>
      <c r="BA34" s="456"/>
      <c r="BB34" s="456"/>
      <c r="BC34" s="456"/>
      <c r="BD34" s="456"/>
      <c r="BE34" s="607"/>
    </row>
    <row r="35" spans="2:123" ht="18.75" hidden="1" customHeight="1" x14ac:dyDescent="0.25">
      <c r="B35" s="393" t="s">
        <v>2121</v>
      </c>
      <c r="C35" s="392"/>
      <c r="D35" s="392"/>
      <c r="E35" s="604"/>
      <c r="F35" s="604"/>
      <c r="G35" s="604"/>
      <c r="H35" s="604"/>
      <c r="I35" s="604"/>
      <c r="J35" s="604"/>
      <c r="K35" s="604"/>
      <c r="L35" s="604"/>
      <c r="M35" s="604"/>
      <c r="N35" s="604"/>
      <c r="O35" s="604"/>
      <c r="P35" s="604"/>
      <c r="Q35" s="605"/>
      <c r="R35" s="391" t="s">
        <v>2124</v>
      </c>
      <c r="S35" s="392"/>
      <c r="T35" s="392"/>
      <c r="U35" s="392"/>
      <c r="V35" s="392"/>
      <c r="W35" s="392"/>
      <c r="X35" s="392"/>
      <c r="Y35" s="606"/>
      <c r="Z35" s="606"/>
      <c r="AA35" s="606"/>
      <c r="AB35" s="606"/>
      <c r="AC35" s="606"/>
      <c r="AD35" s="606"/>
      <c r="AE35" s="606"/>
      <c r="AF35" s="391" t="s">
        <v>2123</v>
      </c>
      <c r="AG35" s="392"/>
      <c r="AH35" s="392"/>
      <c r="AI35" s="392"/>
      <c r="AJ35" s="392"/>
      <c r="AK35" s="392"/>
      <c r="AL35" s="606"/>
      <c r="AM35" s="606"/>
      <c r="AN35" s="606"/>
      <c r="AO35" s="606"/>
      <c r="AP35" s="606"/>
      <c r="AQ35" s="606"/>
      <c r="AR35" s="611"/>
      <c r="AS35" s="391" t="s">
        <v>2122</v>
      </c>
      <c r="AT35" s="392"/>
      <c r="AU35" s="392"/>
      <c r="AV35" s="392"/>
      <c r="AW35" s="392"/>
      <c r="AX35" s="392"/>
      <c r="AY35" s="606"/>
      <c r="AZ35" s="606"/>
      <c r="BA35" s="606"/>
      <c r="BB35" s="606"/>
      <c r="BC35" s="606"/>
      <c r="BD35" s="606"/>
      <c r="BE35" s="608"/>
    </row>
    <row r="36" spans="2:123" ht="22.5" hidden="1" customHeight="1" x14ac:dyDescent="0.25">
      <c r="B36" s="471" t="s">
        <v>2076</v>
      </c>
      <c r="C36" s="455"/>
      <c r="D36" s="455"/>
      <c r="E36" s="461"/>
      <c r="F36" s="461"/>
      <c r="G36" s="461"/>
      <c r="H36" s="461"/>
      <c r="I36" s="461"/>
      <c r="J36" s="461"/>
      <c r="K36" s="461"/>
      <c r="L36" s="461"/>
      <c r="M36" s="461"/>
      <c r="N36" s="461"/>
      <c r="O36" s="461"/>
      <c r="P36" s="461"/>
      <c r="Q36" s="461"/>
      <c r="R36" s="461"/>
      <c r="S36" s="461"/>
      <c r="T36" s="461"/>
      <c r="U36" s="461"/>
      <c r="V36" s="461"/>
      <c r="W36" s="461"/>
      <c r="X36" s="461"/>
      <c r="Y36" s="461"/>
      <c r="Z36" s="461"/>
      <c r="AA36" s="461"/>
      <c r="AB36" s="461"/>
      <c r="AC36" s="461"/>
      <c r="AD36" s="470" t="s">
        <v>2077</v>
      </c>
      <c r="AE36" s="455"/>
      <c r="AF36" s="455"/>
      <c r="AG36" s="461"/>
      <c r="AH36" s="461"/>
      <c r="AI36" s="461"/>
      <c r="AJ36" s="461"/>
      <c r="AK36" s="461"/>
      <c r="AL36" s="461"/>
      <c r="AM36" s="461"/>
      <c r="AN36" s="461"/>
      <c r="AO36" s="461"/>
      <c r="AP36" s="461"/>
      <c r="AQ36" s="461"/>
      <c r="AR36" s="470" t="s">
        <v>2078</v>
      </c>
      <c r="AS36" s="455"/>
      <c r="AT36" s="455"/>
      <c r="AU36" s="461"/>
      <c r="AV36" s="461"/>
      <c r="AW36" s="461"/>
      <c r="AX36" s="461"/>
      <c r="AY36" s="461"/>
      <c r="AZ36" s="461"/>
      <c r="BA36" s="461"/>
      <c r="BB36" s="461"/>
      <c r="BC36" s="461"/>
      <c r="BD36" s="461"/>
      <c r="BE36" s="462"/>
    </row>
    <row r="37" spans="2:123" ht="22.5" hidden="1" customHeight="1" thickBot="1" x14ac:dyDescent="0.3">
      <c r="B37" s="472" t="s">
        <v>2079</v>
      </c>
      <c r="C37" s="473"/>
      <c r="D37" s="474"/>
      <c r="E37" s="475"/>
      <c r="F37" s="476"/>
      <c r="G37" s="476"/>
      <c r="H37" s="476"/>
      <c r="I37" s="476"/>
      <c r="J37" s="476"/>
      <c r="K37" s="476"/>
      <c r="L37" s="476"/>
      <c r="M37" s="476"/>
      <c r="N37" s="476"/>
      <c r="O37" s="476"/>
      <c r="P37" s="473" t="s">
        <v>2080</v>
      </c>
      <c r="Q37" s="473"/>
      <c r="R37" s="474"/>
      <c r="S37" s="475"/>
      <c r="T37" s="476"/>
      <c r="U37" s="476"/>
      <c r="V37" s="476"/>
      <c r="W37" s="476"/>
      <c r="X37" s="476"/>
      <c r="Y37" s="476"/>
      <c r="Z37" s="476"/>
      <c r="AA37" s="476"/>
      <c r="AB37" s="476"/>
      <c r="AC37" s="476"/>
      <c r="AD37" s="473" t="s">
        <v>2081</v>
      </c>
      <c r="AE37" s="473"/>
      <c r="AF37" s="474"/>
      <c r="AG37" s="475"/>
      <c r="AH37" s="476"/>
      <c r="AI37" s="476"/>
      <c r="AJ37" s="476"/>
      <c r="AK37" s="476"/>
      <c r="AL37" s="476"/>
      <c r="AM37" s="476"/>
      <c r="AN37" s="476"/>
      <c r="AO37" s="476"/>
      <c r="AP37" s="476"/>
      <c r="AQ37" s="476"/>
      <c r="AR37" s="473" t="s">
        <v>2082</v>
      </c>
      <c r="AS37" s="473"/>
      <c r="AT37" s="474"/>
      <c r="AU37" s="475"/>
      <c r="AV37" s="476"/>
      <c r="AW37" s="476"/>
      <c r="AX37" s="476"/>
      <c r="AY37" s="476"/>
      <c r="AZ37" s="476"/>
      <c r="BA37" s="476"/>
      <c r="BB37" s="476"/>
      <c r="BC37" s="476"/>
      <c r="BD37" s="476"/>
      <c r="BE37" s="477"/>
    </row>
    <row r="38" spans="2:123" ht="22.5" hidden="1" customHeight="1" x14ac:dyDescent="0.25"/>
    <row r="39" spans="2:123" ht="22.5" hidden="1" customHeight="1" x14ac:dyDescent="0.25"/>
    <row r="40" spans="2:123" ht="22.5" customHeight="1" x14ac:dyDescent="0.35">
      <c r="B40" s="453" t="s">
        <v>2</v>
      </c>
      <c r="C40" s="453"/>
      <c r="D40" s="453"/>
      <c r="E40" s="453"/>
      <c r="F40" s="453"/>
      <c r="G40" s="453"/>
      <c r="H40" s="453"/>
      <c r="I40" s="453"/>
      <c r="J40" s="453"/>
      <c r="K40" s="453"/>
      <c r="L40" s="453"/>
      <c r="M40" s="453"/>
      <c r="N40" s="453"/>
      <c r="O40" s="453"/>
      <c r="P40" s="453"/>
      <c r="Q40" s="453"/>
      <c r="R40" s="453"/>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B40" s="453"/>
      <c r="BC40" s="453"/>
      <c r="BD40" s="453"/>
      <c r="BE40" s="453"/>
      <c r="BF40" s="453"/>
      <c r="BG40" s="453"/>
      <c r="BH40" s="453"/>
      <c r="BI40" s="453"/>
      <c r="BJ40" s="453"/>
      <c r="BK40" s="453"/>
      <c r="BL40" s="453"/>
      <c r="BM40" s="453"/>
      <c r="BN40" s="453"/>
      <c r="BO40" s="453"/>
      <c r="BP40" s="453"/>
      <c r="BQ40" s="453"/>
      <c r="BR40" s="453"/>
      <c r="BS40" s="453"/>
      <c r="BT40" s="453"/>
      <c r="BU40" s="453"/>
      <c r="BV40" s="453"/>
      <c r="BW40" s="453"/>
      <c r="BX40" s="453"/>
    </row>
    <row r="41" spans="2:123" ht="22.5" customHeight="1" x14ac:dyDescent="0.25">
      <c r="B41" s="526" t="s">
        <v>328</v>
      </c>
      <c r="C41" s="527"/>
      <c r="D41" s="527"/>
      <c r="E41" s="527"/>
      <c r="F41" s="527"/>
      <c r="G41" s="527"/>
      <c r="H41" s="527"/>
      <c r="I41" s="527"/>
      <c r="J41" s="527"/>
      <c r="K41" s="527"/>
      <c r="L41" s="527"/>
      <c r="M41" s="527"/>
      <c r="N41" s="527"/>
      <c r="O41" s="527"/>
      <c r="P41" s="527"/>
      <c r="Q41" s="527"/>
      <c r="R41" s="527"/>
      <c r="S41" s="527"/>
      <c r="T41" s="527"/>
      <c r="U41" s="527"/>
      <c r="V41" s="527"/>
      <c r="W41" s="527"/>
      <c r="X41" s="527"/>
      <c r="Y41" s="565"/>
      <c r="Z41" s="565"/>
      <c r="AA41" s="565"/>
      <c r="AB41" s="565"/>
      <c r="AC41" s="565"/>
      <c r="AD41" s="565"/>
      <c r="AE41" s="565"/>
      <c r="AF41" s="565"/>
      <c r="AG41" s="565"/>
      <c r="AH41" s="565"/>
      <c r="AI41" s="565"/>
      <c r="AJ41" s="565"/>
      <c r="AK41" s="566"/>
      <c r="AO41" s="526" t="s">
        <v>3</v>
      </c>
      <c r="AP41" s="527"/>
      <c r="AQ41" s="527"/>
      <c r="AR41" s="527"/>
      <c r="AS41" s="527"/>
      <c r="AT41" s="527"/>
      <c r="AU41" s="527"/>
      <c r="AV41" s="527"/>
      <c r="AW41" s="527"/>
      <c r="AX41" s="527"/>
      <c r="AY41" s="527"/>
      <c r="AZ41" s="527"/>
      <c r="BA41" s="527"/>
      <c r="BB41" s="527"/>
      <c r="BC41" s="527"/>
      <c r="BD41" s="527"/>
      <c r="BE41" s="527"/>
      <c r="BF41" s="527"/>
      <c r="BG41" s="527"/>
      <c r="BH41" s="527"/>
      <c r="BI41" s="527"/>
      <c r="BJ41" s="527"/>
      <c r="BK41" s="527"/>
      <c r="BL41" s="545"/>
      <c r="BM41" s="545"/>
      <c r="BN41" s="545"/>
      <c r="BO41" s="545"/>
      <c r="BP41" s="545"/>
      <c r="BQ41" s="545"/>
      <c r="BR41" s="545"/>
      <c r="BS41" s="545"/>
      <c r="BT41" s="545"/>
      <c r="BU41" s="545"/>
      <c r="BV41" s="545"/>
      <c r="BW41" s="545"/>
      <c r="BX41" s="546"/>
    </row>
    <row r="42" spans="2:123" ht="22.5" customHeight="1" x14ac:dyDescent="0.25">
      <c r="B42" s="534" t="s">
        <v>329</v>
      </c>
      <c r="C42" s="535"/>
      <c r="D42" s="535"/>
      <c r="E42" s="535"/>
      <c r="F42" s="535"/>
      <c r="G42" s="535"/>
      <c r="H42" s="535"/>
      <c r="I42" s="535"/>
      <c r="J42" s="535"/>
      <c r="K42" s="535"/>
      <c r="L42" s="535"/>
      <c r="M42" s="535"/>
      <c r="N42" s="535"/>
      <c r="O42" s="535"/>
      <c r="P42" s="535"/>
      <c r="Q42" s="535"/>
      <c r="R42" s="535"/>
      <c r="S42" s="535"/>
      <c r="T42" s="535"/>
      <c r="U42" s="535"/>
      <c r="V42" s="535"/>
      <c r="W42" s="535"/>
      <c r="X42" s="535"/>
      <c r="Y42" s="565"/>
      <c r="Z42" s="565"/>
      <c r="AA42" s="565"/>
      <c r="AB42" s="565"/>
      <c r="AC42" s="565"/>
      <c r="AD42" s="565"/>
      <c r="AE42" s="565"/>
      <c r="AF42" s="565"/>
      <c r="AG42" s="565"/>
      <c r="AH42" s="565"/>
      <c r="AI42" s="565"/>
      <c r="AJ42" s="565"/>
      <c r="AK42" s="566"/>
      <c r="AO42" s="590" t="s">
        <v>4</v>
      </c>
      <c r="AP42" s="591"/>
      <c r="AQ42" s="591"/>
      <c r="AR42" s="591"/>
      <c r="AS42" s="591"/>
      <c r="AT42" s="591"/>
      <c r="AU42" s="591"/>
      <c r="AV42" s="591"/>
      <c r="AW42" s="591"/>
      <c r="AX42" s="591"/>
      <c r="AY42" s="591"/>
      <c r="AZ42" s="591"/>
      <c r="BA42" s="591"/>
      <c r="BB42" s="591"/>
      <c r="BC42" s="591"/>
      <c r="BD42" s="591"/>
      <c r="BE42" s="591"/>
      <c r="BF42" s="591"/>
      <c r="BG42" s="591"/>
      <c r="BH42" s="591"/>
      <c r="BI42" s="591"/>
      <c r="BJ42" s="591"/>
      <c r="BK42" s="591"/>
      <c r="BL42" s="565"/>
      <c r="BM42" s="565"/>
      <c r="BN42" s="565"/>
      <c r="BO42" s="565"/>
      <c r="BP42" s="565"/>
      <c r="BQ42" s="565"/>
      <c r="BR42" s="565"/>
      <c r="BS42" s="565"/>
      <c r="BT42" s="565"/>
      <c r="BU42" s="565"/>
      <c r="BV42" s="565"/>
      <c r="BW42" s="565"/>
      <c r="BX42" s="566"/>
    </row>
    <row r="43" spans="2:123" ht="22.5" customHeight="1" x14ac:dyDescent="0.25">
      <c r="B43" s="534" t="s">
        <v>1916</v>
      </c>
      <c r="C43" s="535"/>
      <c r="D43" s="535"/>
      <c r="E43" s="535"/>
      <c r="F43" s="535"/>
      <c r="G43" s="535"/>
      <c r="H43" s="535"/>
      <c r="I43" s="535"/>
      <c r="J43" s="535"/>
      <c r="K43" s="535"/>
      <c r="L43" s="535"/>
      <c r="M43" s="535"/>
      <c r="N43" s="535"/>
      <c r="O43" s="535"/>
      <c r="P43" s="535"/>
      <c r="Q43" s="535"/>
      <c r="R43" s="535"/>
      <c r="S43" s="535"/>
      <c r="T43" s="535"/>
      <c r="U43" s="535"/>
      <c r="V43" s="535"/>
      <c r="W43" s="535"/>
      <c r="X43" s="535"/>
      <c r="Y43" s="565"/>
      <c r="Z43" s="565"/>
      <c r="AA43" s="565"/>
      <c r="AB43" s="565"/>
      <c r="AC43" s="565"/>
      <c r="AD43" s="565"/>
      <c r="AE43" s="565"/>
      <c r="AF43" s="565"/>
      <c r="AG43" s="565"/>
      <c r="AH43" s="565"/>
      <c r="AI43" s="565"/>
      <c r="AJ43" s="565"/>
      <c r="AK43" s="566"/>
      <c r="AO43" s="528" t="s">
        <v>1921</v>
      </c>
      <c r="AP43" s="529"/>
      <c r="AQ43" s="529"/>
      <c r="AR43" s="529"/>
      <c r="AS43" s="529"/>
      <c r="AT43" s="529"/>
      <c r="AU43" s="529"/>
      <c r="AV43" s="529"/>
      <c r="AW43" s="529"/>
      <c r="AX43" s="529"/>
      <c r="AY43" s="529"/>
      <c r="AZ43" s="529"/>
      <c r="BA43" s="529"/>
      <c r="BB43" s="529"/>
      <c r="BC43" s="529"/>
      <c r="BD43" s="529"/>
      <c r="BE43" s="529"/>
      <c r="BF43" s="529"/>
      <c r="BG43" s="529"/>
      <c r="BH43" s="529"/>
      <c r="BI43" s="529"/>
      <c r="BJ43" s="529"/>
      <c r="BK43" s="529"/>
      <c r="BL43" s="575"/>
      <c r="BM43" s="575"/>
      <c r="BN43" s="575"/>
      <c r="BO43" s="575"/>
      <c r="BP43" s="575"/>
      <c r="BQ43" s="575"/>
      <c r="BR43" s="575"/>
      <c r="BS43" s="575"/>
      <c r="BT43" s="575"/>
      <c r="BU43" s="575"/>
      <c r="BV43" s="575"/>
      <c r="BW43" s="575"/>
      <c r="BX43" s="576"/>
      <c r="CA43" s="182"/>
    </row>
    <row r="44" spans="2:123" ht="18.75" customHeight="1" x14ac:dyDescent="0.25">
      <c r="B44" s="534" t="s">
        <v>1920</v>
      </c>
      <c r="C44" s="535"/>
      <c r="D44" s="535"/>
      <c r="E44" s="535"/>
      <c r="F44" s="535"/>
      <c r="G44" s="535"/>
      <c r="H44" s="535"/>
      <c r="I44" s="535"/>
      <c r="J44" s="535"/>
      <c r="K44" s="535"/>
      <c r="L44" s="535"/>
      <c r="M44" s="535"/>
      <c r="N44" s="535"/>
      <c r="O44" s="535"/>
      <c r="P44" s="535"/>
      <c r="Q44" s="535"/>
      <c r="R44" s="535"/>
      <c r="S44" s="535"/>
      <c r="T44" s="535"/>
      <c r="U44" s="535"/>
      <c r="V44" s="535"/>
      <c r="W44" s="535"/>
      <c r="X44" s="535"/>
      <c r="Y44" s="569"/>
      <c r="Z44" s="569"/>
      <c r="AA44" s="569"/>
      <c r="AB44" s="569"/>
      <c r="AC44" s="569"/>
      <c r="AD44" s="569"/>
      <c r="AE44" s="569"/>
      <c r="AF44" s="569"/>
      <c r="AG44" s="569"/>
      <c r="AH44" s="569"/>
      <c r="AI44" s="569"/>
      <c r="AJ44" s="569"/>
      <c r="AK44" s="570"/>
      <c r="AO44" s="534" t="s">
        <v>5</v>
      </c>
      <c r="AP44" s="535"/>
      <c r="AQ44" s="535"/>
      <c r="AR44" s="535"/>
      <c r="AS44" s="535"/>
      <c r="AT44" s="535"/>
      <c r="AU44" s="535"/>
      <c r="AV44" s="535"/>
      <c r="AW44" s="535"/>
      <c r="AX44" s="535"/>
      <c r="AY44" s="535"/>
      <c r="AZ44" s="535"/>
      <c r="BA44" s="535"/>
      <c r="BB44" s="535"/>
      <c r="BC44" s="535"/>
      <c r="BD44" s="535"/>
      <c r="BE44" s="535"/>
      <c r="BF44" s="535"/>
      <c r="BG44" s="535"/>
      <c r="BH44" s="535"/>
      <c r="BI44" s="535"/>
      <c r="BJ44" s="535"/>
      <c r="BK44" s="535"/>
      <c r="BL44" s="569"/>
      <c r="BM44" s="565"/>
      <c r="BN44" s="565"/>
      <c r="BO44" s="565"/>
      <c r="BP44" s="565"/>
      <c r="BQ44" s="565"/>
      <c r="BR44" s="565"/>
      <c r="BS44" s="565"/>
      <c r="BT44" s="565"/>
      <c r="BU44" s="565"/>
      <c r="BV44" s="565"/>
      <c r="BW44" s="565"/>
      <c r="BX44" s="566"/>
    </row>
    <row r="45" spans="2:123" ht="18.75" customHeight="1" x14ac:dyDescent="0.25">
      <c r="B45" s="534" t="s">
        <v>2047</v>
      </c>
      <c r="C45" s="535"/>
      <c r="D45" s="535"/>
      <c r="E45" s="535"/>
      <c r="F45" s="535"/>
      <c r="G45" s="535"/>
      <c r="H45" s="535"/>
      <c r="I45" s="535"/>
      <c r="J45" s="535"/>
      <c r="K45" s="535"/>
      <c r="L45" s="535"/>
      <c r="M45" s="535"/>
      <c r="N45" s="535"/>
      <c r="O45" s="535"/>
      <c r="P45" s="535"/>
      <c r="Q45" s="535"/>
      <c r="R45" s="535"/>
      <c r="S45" s="535"/>
      <c r="T45" s="535"/>
      <c r="U45" s="535"/>
      <c r="V45" s="535"/>
      <c r="W45" s="535"/>
      <c r="X45" s="535"/>
      <c r="Y45" s="565"/>
      <c r="Z45" s="565"/>
      <c r="AA45" s="565"/>
      <c r="AB45" s="565"/>
      <c r="AC45" s="565"/>
      <c r="AD45" s="565"/>
      <c r="AE45" s="565"/>
      <c r="AF45" s="565"/>
      <c r="AG45" s="565"/>
      <c r="AH45" s="565"/>
      <c r="AI45" s="565"/>
      <c r="AJ45" s="565"/>
      <c r="AK45" s="566"/>
      <c r="AO45" s="171"/>
      <c r="BL45" s="184"/>
      <c r="BM45" s="184"/>
      <c r="BN45" s="184"/>
      <c r="BO45" s="184"/>
      <c r="BP45" s="184"/>
      <c r="BQ45" s="184"/>
      <c r="BR45" s="184"/>
      <c r="BS45" s="184"/>
      <c r="BT45" s="184"/>
      <c r="BU45" s="184"/>
      <c r="BV45" s="184"/>
      <c r="BW45" s="184"/>
      <c r="BX45" s="185"/>
      <c r="CB45" s="428" t="s">
        <v>2428</v>
      </c>
      <c r="CC45" s="428"/>
      <c r="CD45" s="428"/>
      <c r="CE45" s="428"/>
      <c r="CF45" s="428"/>
      <c r="CG45" s="428"/>
      <c r="CH45" s="428"/>
      <c r="CI45" s="428"/>
      <c r="CJ45" s="428"/>
      <c r="CK45" s="428"/>
      <c r="CL45" s="428"/>
      <c r="CM45" s="428"/>
      <c r="CN45" s="428"/>
      <c r="CO45" s="428"/>
      <c r="CP45" s="428"/>
      <c r="CQ45" s="428"/>
      <c r="CR45" s="428"/>
      <c r="CS45" s="428"/>
      <c r="CT45" s="428"/>
      <c r="CU45" s="428"/>
      <c r="CV45" s="428"/>
      <c r="CW45" s="428"/>
      <c r="CX45" s="428"/>
      <c r="CY45" s="428"/>
      <c r="CZ45" s="428"/>
      <c r="DA45" s="428"/>
      <c r="DB45" s="428"/>
      <c r="DC45" s="428"/>
      <c r="DD45" s="428"/>
      <c r="DE45" s="186"/>
      <c r="DF45" s="186"/>
      <c r="DG45" s="186"/>
      <c r="DH45" s="186"/>
      <c r="DI45" s="186"/>
      <c r="DJ45" s="186"/>
      <c r="DK45" s="186"/>
      <c r="DL45" s="186"/>
      <c r="DM45" s="186"/>
    </row>
    <row r="46" spans="2:123" ht="22.5" customHeight="1" x14ac:dyDescent="0.25">
      <c r="B46" s="536" t="s">
        <v>319</v>
      </c>
      <c r="C46" s="615"/>
      <c r="D46" s="615"/>
      <c r="E46" s="615"/>
      <c r="F46" s="615"/>
      <c r="G46" s="615"/>
      <c r="H46" s="615"/>
      <c r="I46" s="615"/>
      <c r="J46" s="615"/>
      <c r="K46" s="615"/>
      <c r="L46" s="615"/>
      <c r="M46" s="615"/>
      <c r="N46" s="615"/>
      <c r="O46" s="615"/>
      <c r="P46" s="615"/>
      <c r="Q46" s="615"/>
      <c r="R46" s="615"/>
      <c r="S46" s="615"/>
      <c r="T46" s="615"/>
      <c r="U46" s="615"/>
      <c r="V46" s="615"/>
      <c r="W46" s="615"/>
      <c r="X46" s="615"/>
      <c r="Y46" s="615"/>
      <c r="Z46" s="615"/>
      <c r="AA46" s="615"/>
      <c r="AB46" s="615"/>
      <c r="AC46" s="615"/>
      <c r="AD46" s="615"/>
      <c r="AE46" s="615"/>
      <c r="AF46" s="615"/>
      <c r="AG46" s="615"/>
      <c r="AH46" s="615"/>
      <c r="AI46" s="615"/>
      <c r="AJ46" s="615"/>
      <c r="AK46" s="616"/>
      <c r="AO46" s="536" t="s">
        <v>322</v>
      </c>
      <c r="AP46" s="537"/>
      <c r="AQ46" s="537"/>
      <c r="AR46" s="537"/>
      <c r="AS46" s="537"/>
      <c r="AT46" s="537"/>
      <c r="AU46" s="537"/>
      <c r="AV46" s="537"/>
      <c r="AW46" s="537"/>
      <c r="AX46" s="537"/>
      <c r="AY46" s="537"/>
      <c r="AZ46" s="537"/>
      <c r="BA46" s="537"/>
      <c r="BB46" s="537"/>
      <c r="BC46" s="537"/>
      <c r="BD46" s="537"/>
      <c r="BE46" s="537"/>
      <c r="BF46" s="537"/>
      <c r="BG46" s="537"/>
      <c r="BH46" s="537"/>
      <c r="BI46" s="537"/>
      <c r="BJ46" s="537"/>
      <c r="BK46" s="537"/>
      <c r="BL46" s="588"/>
      <c r="BM46" s="588"/>
      <c r="BN46" s="588"/>
      <c r="BO46" s="588"/>
      <c r="BP46" s="588"/>
      <c r="BQ46" s="588"/>
      <c r="BR46" s="588"/>
      <c r="BS46" s="588"/>
      <c r="BT46" s="588"/>
      <c r="BU46" s="588"/>
      <c r="BV46" s="588"/>
      <c r="BW46" s="588"/>
      <c r="BX46" s="589"/>
      <c r="CB46" s="452" t="s">
        <v>2410</v>
      </c>
      <c r="CC46" s="452"/>
      <c r="CD46" s="452"/>
      <c r="CE46" s="452"/>
      <c r="CF46" s="452"/>
      <c r="CG46" s="452"/>
      <c r="CH46" s="452"/>
      <c r="CI46" s="452"/>
      <c r="CJ46" s="452"/>
      <c r="CK46" s="452"/>
      <c r="CL46" s="452"/>
      <c r="CM46" s="452"/>
      <c r="CN46" s="452"/>
      <c r="CO46" s="452"/>
      <c r="CP46" s="452"/>
      <c r="CQ46" s="452"/>
      <c r="CR46" s="429" t="s">
        <v>2403</v>
      </c>
      <c r="CS46" s="429"/>
      <c r="CT46" s="429"/>
      <c r="CU46" s="429"/>
      <c r="CV46" s="429"/>
      <c r="CW46" s="429"/>
      <c r="CX46" s="429"/>
      <c r="CY46" s="429"/>
      <c r="CZ46" s="429"/>
      <c r="DA46" s="429"/>
      <c r="DB46" s="429"/>
      <c r="DC46" s="429"/>
      <c r="DD46" s="429"/>
      <c r="DE46" s="171"/>
      <c r="DN46" s="186"/>
      <c r="DO46" s="186"/>
      <c r="DP46" s="186"/>
      <c r="DQ46" s="186"/>
      <c r="DR46" s="186"/>
      <c r="DS46" s="186"/>
    </row>
    <row r="47" spans="2:123" ht="22.5" customHeight="1" x14ac:dyDescent="0.25">
      <c r="B47" s="528" t="s">
        <v>317</v>
      </c>
      <c r="C47" s="529"/>
      <c r="D47" s="529"/>
      <c r="E47" s="529"/>
      <c r="F47" s="529"/>
      <c r="G47" s="529"/>
      <c r="H47" s="529"/>
      <c r="I47" s="529"/>
      <c r="J47" s="529"/>
      <c r="K47" s="529"/>
      <c r="L47" s="529"/>
      <c r="M47" s="529"/>
      <c r="N47" s="529"/>
      <c r="O47" s="529"/>
      <c r="P47" s="529"/>
      <c r="Q47" s="529"/>
      <c r="R47" s="529"/>
      <c r="S47" s="529"/>
      <c r="T47" s="529"/>
      <c r="U47" s="529"/>
      <c r="V47" s="529"/>
      <c r="W47" s="529"/>
      <c r="X47" s="529"/>
      <c r="Y47" s="573">
        <v>436</v>
      </c>
      <c r="Z47" s="573"/>
      <c r="AA47" s="573"/>
      <c r="AB47" s="573"/>
      <c r="AC47" s="573"/>
      <c r="AD47" s="573"/>
      <c r="AE47" s="573"/>
      <c r="AF47" s="573"/>
      <c r="AG47" s="573"/>
      <c r="AH47" s="573"/>
      <c r="AI47" s="573"/>
      <c r="AJ47" s="573"/>
      <c r="AK47" s="574"/>
      <c r="AO47" s="528" t="s">
        <v>323</v>
      </c>
      <c r="AP47" s="529"/>
      <c r="AQ47" s="529"/>
      <c r="AR47" s="529"/>
      <c r="AS47" s="529"/>
      <c r="AT47" s="529"/>
      <c r="AU47" s="529"/>
      <c r="AV47" s="529"/>
      <c r="AW47" s="529"/>
      <c r="AX47" s="529"/>
      <c r="AY47" s="529"/>
      <c r="AZ47" s="529"/>
      <c r="BA47" s="529"/>
      <c r="BB47" s="529"/>
      <c r="BC47" s="529"/>
      <c r="BD47" s="529"/>
      <c r="BE47" s="529"/>
      <c r="BF47" s="529"/>
      <c r="BG47" s="529"/>
      <c r="BH47" s="529"/>
      <c r="BI47" s="529"/>
      <c r="BJ47" s="529"/>
      <c r="BK47" s="529"/>
      <c r="BL47" s="530">
        <v>100</v>
      </c>
      <c r="BM47" s="530"/>
      <c r="BN47" s="530"/>
      <c r="BO47" s="530"/>
      <c r="BP47" s="530"/>
      <c r="BQ47" s="530"/>
      <c r="BR47" s="530"/>
      <c r="BS47" s="530"/>
      <c r="BT47" s="530"/>
      <c r="BU47" s="530"/>
      <c r="BV47" s="530"/>
      <c r="BW47" s="530"/>
      <c r="BX47" s="531"/>
      <c r="CB47" s="427" t="s">
        <v>2411</v>
      </c>
      <c r="CC47" s="427"/>
      <c r="CD47" s="427"/>
      <c r="CE47" s="427"/>
      <c r="CF47" s="427"/>
      <c r="CG47" s="427"/>
      <c r="CH47" s="427"/>
      <c r="CI47" s="427"/>
      <c r="CJ47" s="427"/>
      <c r="CK47" s="427"/>
      <c r="CL47" s="427"/>
      <c r="CM47" s="427"/>
      <c r="CN47" s="427"/>
      <c r="CO47" s="427"/>
      <c r="CP47" s="427"/>
      <c r="CQ47" s="427"/>
      <c r="CR47" s="429" t="s">
        <v>2403</v>
      </c>
      <c r="CS47" s="429"/>
      <c r="CT47" s="429"/>
      <c r="CU47" s="429"/>
      <c r="CV47" s="429"/>
      <c r="CW47" s="429"/>
      <c r="CX47" s="429"/>
      <c r="CY47" s="429"/>
      <c r="CZ47" s="429"/>
      <c r="DA47" s="429"/>
      <c r="DB47" s="429"/>
      <c r="DC47" s="429"/>
      <c r="DD47" s="429"/>
      <c r="DE47" s="171"/>
    </row>
    <row r="48" spans="2:123" ht="22.5" customHeight="1" x14ac:dyDescent="0.25">
      <c r="B48" s="534" t="s">
        <v>261</v>
      </c>
      <c r="C48" s="535"/>
      <c r="D48" s="535"/>
      <c r="E48" s="535"/>
      <c r="F48" s="535"/>
      <c r="G48" s="535"/>
      <c r="H48" s="535"/>
      <c r="I48" s="535"/>
      <c r="J48" s="535"/>
      <c r="K48" s="535"/>
      <c r="L48" s="535"/>
      <c r="M48" s="535"/>
      <c r="N48" s="535"/>
      <c r="O48" s="535"/>
      <c r="P48" s="535"/>
      <c r="Q48" s="535"/>
      <c r="R48" s="535"/>
      <c r="S48" s="535"/>
      <c r="T48" s="535"/>
      <c r="U48" s="535"/>
      <c r="V48" s="535"/>
      <c r="W48" s="535"/>
      <c r="X48" s="535"/>
      <c r="Y48" s="532">
        <v>50</v>
      </c>
      <c r="Z48" s="532"/>
      <c r="AA48" s="532"/>
      <c r="AB48" s="532"/>
      <c r="AC48" s="532"/>
      <c r="AD48" s="532"/>
      <c r="AE48" s="532"/>
      <c r="AF48" s="532"/>
      <c r="AG48" s="532"/>
      <c r="AH48" s="532"/>
      <c r="AI48" s="532"/>
      <c r="AJ48" s="532"/>
      <c r="AK48" s="533"/>
      <c r="AO48" s="534" t="s">
        <v>324</v>
      </c>
      <c r="AP48" s="535"/>
      <c r="AQ48" s="535"/>
      <c r="AR48" s="535"/>
      <c r="AS48" s="535"/>
      <c r="AT48" s="535"/>
      <c r="AU48" s="535"/>
      <c r="AV48" s="535"/>
      <c r="AW48" s="535"/>
      <c r="AX48" s="535"/>
      <c r="AY48" s="535"/>
      <c r="AZ48" s="535"/>
      <c r="BA48" s="535"/>
      <c r="BB48" s="535"/>
      <c r="BC48" s="535"/>
      <c r="BD48" s="535"/>
      <c r="BE48" s="535"/>
      <c r="BF48" s="535"/>
      <c r="BG48" s="535"/>
      <c r="BH48" s="535"/>
      <c r="BI48" s="535"/>
      <c r="BJ48" s="535"/>
      <c r="BK48" s="535"/>
      <c r="BL48" s="553">
        <v>19</v>
      </c>
      <c r="BM48" s="553"/>
      <c r="BN48" s="553"/>
      <c r="BO48" s="553"/>
      <c r="BP48" s="553"/>
      <c r="BQ48" s="553"/>
      <c r="BR48" s="553"/>
      <c r="BS48" s="553"/>
      <c r="BT48" s="553"/>
      <c r="BU48" s="553"/>
      <c r="BV48" s="553"/>
      <c r="BW48" s="553"/>
      <c r="BX48" s="554"/>
      <c r="CB48" s="427" t="s">
        <v>2412</v>
      </c>
      <c r="CC48" s="427"/>
      <c r="CD48" s="427"/>
      <c r="CE48" s="427"/>
      <c r="CF48" s="427"/>
      <c r="CG48" s="427"/>
      <c r="CH48" s="427"/>
      <c r="CI48" s="427"/>
      <c r="CJ48" s="427"/>
      <c r="CK48" s="427"/>
      <c r="CL48" s="427"/>
      <c r="CM48" s="427"/>
      <c r="CN48" s="427"/>
      <c r="CO48" s="427"/>
      <c r="CP48" s="427"/>
      <c r="CQ48" s="427"/>
      <c r="CR48" s="429" t="s">
        <v>2403</v>
      </c>
      <c r="CS48" s="429"/>
      <c r="CT48" s="429"/>
      <c r="CU48" s="429"/>
      <c r="CV48" s="429"/>
      <c r="CW48" s="429"/>
      <c r="CX48" s="429"/>
      <c r="CY48" s="429"/>
      <c r="CZ48" s="429"/>
      <c r="DA48" s="429"/>
      <c r="DB48" s="429"/>
      <c r="DC48" s="429"/>
      <c r="DD48" s="429"/>
      <c r="DE48" s="171"/>
    </row>
    <row r="49" spans="2:109" ht="22.5" customHeight="1" x14ac:dyDescent="0.25">
      <c r="B49" s="577" t="s">
        <v>318</v>
      </c>
      <c r="C49" s="578"/>
      <c r="D49" s="578"/>
      <c r="E49" s="578"/>
      <c r="F49" s="578"/>
      <c r="G49" s="578"/>
      <c r="H49" s="578"/>
      <c r="I49" s="578"/>
      <c r="J49" s="578"/>
      <c r="K49" s="578"/>
      <c r="L49" s="578"/>
      <c r="M49" s="578"/>
      <c r="N49" s="578"/>
      <c r="O49" s="578"/>
      <c r="P49" s="578"/>
      <c r="Q49" s="578"/>
      <c r="R49" s="578"/>
      <c r="S49" s="578"/>
      <c r="T49" s="578"/>
      <c r="U49" s="578"/>
      <c r="V49" s="578"/>
      <c r="W49" s="578"/>
      <c r="X49" s="578"/>
      <c r="Y49" s="617"/>
      <c r="Z49" s="617"/>
      <c r="AA49" s="617"/>
      <c r="AB49" s="617"/>
      <c r="AC49" s="617"/>
      <c r="AD49" s="617"/>
      <c r="AE49" s="617"/>
      <c r="AF49" s="617"/>
      <c r="AG49" s="617"/>
      <c r="AH49" s="617"/>
      <c r="AI49" s="617"/>
      <c r="AJ49" s="617"/>
      <c r="AK49" s="618"/>
      <c r="AO49" s="534" t="s">
        <v>325</v>
      </c>
      <c r="AP49" s="535"/>
      <c r="AQ49" s="535"/>
      <c r="AR49" s="535"/>
      <c r="AS49" s="535"/>
      <c r="AT49" s="535"/>
      <c r="AU49" s="535"/>
      <c r="AV49" s="535"/>
      <c r="AW49" s="535"/>
      <c r="AX49" s="535"/>
      <c r="AY49" s="535"/>
      <c r="AZ49" s="535"/>
      <c r="BA49" s="535"/>
      <c r="BB49" s="535"/>
      <c r="BC49" s="535"/>
      <c r="BD49" s="535"/>
      <c r="BE49" s="535"/>
      <c r="BF49" s="535"/>
      <c r="BG49" s="535"/>
      <c r="BH49" s="535"/>
      <c r="BI49" s="535"/>
      <c r="BJ49" s="535"/>
      <c r="BK49" s="535"/>
      <c r="BL49" s="553">
        <v>0</v>
      </c>
      <c r="BM49" s="553"/>
      <c r="BN49" s="553"/>
      <c r="BO49" s="553"/>
      <c r="BP49" s="553"/>
      <c r="BQ49" s="553"/>
      <c r="BR49" s="553"/>
      <c r="BS49" s="553"/>
      <c r="BT49" s="553"/>
      <c r="BU49" s="553"/>
      <c r="BV49" s="553"/>
      <c r="BW49" s="553"/>
      <c r="BX49" s="554"/>
      <c r="CB49" s="427" t="s">
        <v>2413</v>
      </c>
      <c r="CC49" s="427"/>
      <c r="CD49" s="427"/>
      <c r="CE49" s="427"/>
      <c r="CF49" s="427"/>
      <c r="CG49" s="427"/>
      <c r="CH49" s="427"/>
      <c r="CI49" s="427"/>
      <c r="CJ49" s="427"/>
      <c r="CK49" s="427"/>
      <c r="CL49" s="427"/>
      <c r="CM49" s="427"/>
      <c r="CN49" s="427"/>
      <c r="CO49" s="427"/>
      <c r="CP49" s="427"/>
      <c r="CQ49" s="427"/>
      <c r="CR49" s="429" t="s">
        <v>2403</v>
      </c>
      <c r="CS49" s="429"/>
      <c r="CT49" s="429"/>
      <c r="CU49" s="429"/>
      <c r="CV49" s="429"/>
      <c r="CW49" s="429"/>
      <c r="CX49" s="429"/>
      <c r="CY49" s="429"/>
      <c r="CZ49" s="429"/>
      <c r="DA49" s="429"/>
      <c r="DB49" s="429"/>
      <c r="DC49" s="429"/>
      <c r="DD49" s="429"/>
      <c r="DE49" s="171"/>
    </row>
    <row r="50" spans="2:109" ht="22.5" customHeight="1" x14ac:dyDescent="0.25">
      <c r="B50" s="528" t="s">
        <v>262</v>
      </c>
      <c r="C50" s="529"/>
      <c r="D50" s="529"/>
      <c r="E50" s="529"/>
      <c r="F50" s="529"/>
      <c r="G50" s="529"/>
      <c r="H50" s="529"/>
      <c r="I50" s="529"/>
      <c r="J50" s="529"/>
      <c r="K50" s="529"/>
      <c r="L50" s="529"/>
      <c r="M50" s="529"/>
      <c r="N50" s="529"/>
      <c r="O50" s="529"/>
      <c r="P50" s="529"/>
      <c r="Q50" s="529"/>
      <c r="R50" s="529"/>
      <c r="S50" s="529"/>
      <c r="T50" s="529"/>
      <c r="U50" s="529"/>
      <c r="V50" s="529"/>
      <c r="W50" s="529"/>
      <c r="X50" s="529"/>
      <c r="Y50" s="573">
        <v>45</v>
      </c>
      <c r="Z50" s="573"/>
      <c r="AA50" s="573"/>
      <c r="AB50" s="573"/>
      <c r="AC50" s="573"/>
      <c r="AD50" s="573"/>
      <c r="AE50" s="573"/>
      <c r="AF50" s="573"/>
      <c r="AG50" s="573"/>
      <c r="AH50" s="573"/>
      <c r="AI50" s="573"/>
      <c r="AJ50" s="573"/>
      <c r="AK50" s="574"/>
      <c r="AO50" s="534" t="s">
        <v>326</v>
      </c>
      <c r="AP50" s="535"/>
      <c r="AQ50" s="535"/>
      <c r="AR50" s="535"/>
      <c r="AS50" s="535"/>
      <c r="AT50" s="535"/>
      <c r="AU50" s="535"/>
      <c r="AV50" s="535"/>
      <c r="AW50" s="535"/>
      <c r="AX50" s="535"/>
      <c r="AY50" s="535"/>
      <c r="AZ50" s="535"/>
      <c r="BA50" s="535"/>
      <c r="BB50" s="535"/>
      <c r="BC50" s="535"/>
      <c r="BD50" s="535"/>
      <c r="BE50" s="535"/>
      <c r="BF50" s="535"/>
      <c r="BG50" s="535"/>
      <c r="BH50" s="535"/>
      <c r="BI50" s="535"/>
      <c r="BJ50" s="535"/>
      <c r="BK50" s="535"/>
      <c r="BL50" s="553">
        <v>0</v>
      </c>
      <c r="BM50" s="553"/>
      <c r="BN50" s="553"/>
      <c r="BO50" s="553"/>
      <c r="BP50" s="553"/>
      <c r="BQ50" s="553"/>
      <c r="BR50" s="553"/>
      <c r="BS50" s="553"/>
      <c r="BT50" s="553"/>
      <c r="BU50" s="553"/>
      <c r="BV50" s="553"/>
      <c r="BW50" s="553"/>
      <c r="BX50" s="554"/>
      <c r="CB50" s="427" t="s">
        <v>2414</v>
      </c>
      <c r="CC50" s="427"/>
      <c r="CD50" s="427"/>
      <c r="CE50" s="427"/>
      <c r="CF50" s="427"/>
      <c r="CG50" s="427"/>
      <c r="CH50" s="427"/>
      <c r="CI50" s="427"/>
      <c r="CJ50" s="427"/>
      <c r="CK50" s="427"/>
      <c r="CL50" s="427"/>
      <c r="CM50" s="427"/>
      <c r="CN50" s="427"/>
      <c r="CO50" s="427"/>
      <c r="CP50" s="427"/>
      <c r="CQ50" s="427"/>
      <c r="CR50" s="429" t="s">
        <v>2403</v>
      </c>
      <c r="CS50" s="429"/>
      <c r="CT50" s="429"/>
      <c r="CU50" s="429"/>
      <c r="CV50" s="429"/>
      <c r="CW50" s="429"/>
      <c r="CX50" s="429"/>
      <c r="CY50" s="429"/>
      <c r="CZ50" s="429"/>
      <c r="DA50" s="429"/>
      <c r="DB50" s="429"/>
      <c r="DC50" s="429"/>
      <c r="DD50" s="429"/>
      <c r="DE50" s="171"/>
    </row>
    <row r="51" spans="2:109" ht="22.5" customHeight="1" x14ac:dyDescent="0.25">
      <c r="B51" s="534" t="s">
        <v>263</v>
      </c>
      <c r="C51" s="535"/>
      <c r="D51" s="535"/>
      <c r="E51" s="535"/>
      <c r="F51" s="535"/>
      <c r="G51" s="535"/>
      <c r="H51" s="535"/>
      <c r="I51" s="535"/>
      <c r="J51" s="535"/>
      <c r="K51" s="535"/>
      <c r="L51" s="535"/>
      <c r="M51" s="535"/>
      <c r="N51" s="535"/>
      <c r="O51" s="535"/>
      <c r="P51" s="535"/>
      <c r="Q51" s="535"/>
      <c r="R51" s="535"/>
      <c r="S51" s="535"/>
      <c r="T51" s="535"/>
      <c r="U51" s="535"/>
      <c r="V51" s="535"/>
      <c r="W51" s="535"/>
      <c r="X51" s="535"/>
      <c r="Y51" s="532">
        <v>130</v>
      </c>
      <c r="Z51" s="532"/>
      <c r="AA51" s="532"/>
      <c r="AB51" s="532"/>
      <c r="AC51" s="532"/>
      <c r="AD51" s="532"/>
      <c r="AE51" s="532"/>
      <c r="AF51" s="532"/>
      <c r="AG51" s="532"/>
      <c r="AH51" s="532"/>
      <c r="AI51" s="532"/>
      <c r="AJ51" s="532"/>
      <c r="AK51" s="533"/>
      <c r="AO51" s="534" t="s">
        <v>399</v>
      </c>
      <c r="AP51" s="535"/>
      <c r="AQ51" s="535"/>
      <c r="AR51" s="535"/>
      <c r="AS51" s="535"/>
      <c r="AT51" s="535"/>
      <c r="AU51" s="535"/>
      <c r="AV51" s="535"/>
      <c r="AW51" s="535"/>
      <c r="AX51" s="535"/>
      <c r="AY51" s="535"/>
      <c r="AZ51" s="535"/>
      <c r="BA51" s="535"/>
      <c r="BB51" s="535"/>
      <c r="BC51" s="535"/>
      <c r="BD51" s="535"/>
      <c r="BE51" s="535"/>
      <c r="BF51" s="535"/>
      <c r="BG51" s="535"/>
      <c r="BH51" s="535"/>
      <c r="BI51" s="535"/>
      <c r="BJ51" s="535"/>
      <c r="BK51" s="535"/>
      <c r="BL51" s="553">
        <v>0</v>
      </c>
      <c r="BM51" s="553"/>
      <c r="BN51" s="553"/>
      <c r="BO51" s="553"/>
      <c r="BP51" s="553"/>
      <c r="BQ51" s="553"/>
      <c r="BR51" s="553"/>
      <c r="BS51" s="553"/>
      <c r="BT51" s="553"/>
      <c r="BU51" s="553"/>
      <c r="BV51" s="553"/>
      <c r="BW51" s="553"/>
      <c r="BX51" s="554"/>
      <c r="CB51" s="427" t="s">
        <v>2415</v>
      </c>
      <c r="CC51" s="427"/>
      <c r="CD51" s="427"/>
      <c r="CE51" s="427"/>
      <c r="CF51" s="427"/>
      <c r="CG51" s="427"/>
      <c r="CH51" s="427"/>
      <c r="CI51" s="427"/>
      <c r="CJ51" s="427"/>
      <c r="CK51" s="427"/>
      <c r="CL51" s="427"/>
      <c r="CM51" s="427"/>
      <c r="CN51" s="427"/>
      <c r="CO51" s="427"/>
      <c r="CP51" s="427"/>
      <c r="CQ51" s="427"/>
      <c r="CR51" s="429" t="s">
        <v>1883</v>
      </c>
      <c r="CS51" s="429"/>
      <c r="CT51" s="429"/>
      <c r="CU51" s="429"/>
      <c r="CV51" s="429"/>
      <c r="CW51" s="429"/>
      <c r="CX51" s="429"/>
      <c r="CY51" s="429"/>
      <c r="CZ51" s="429"/>
      <c r="DA51" s="429"/>
      <c r="DB51" s="429"/>
      <c r="DC51" s="429"/>
      <c r="DD51" s="429"/>
      <c r="DE51" s="171"/>
    </row>
    <row r="52" spans="2:109" ht="22.5" customHeight="1" x14ac:dyDescent="0.25">
      <c r="B52" s="534" t="s">
        <v>401</v>
      </c>
      <c r="C52" s="535"/>
      <c r="D52" s="535"/>
      <c r="E52" s="535"/>
      <c r="F52" s="535"/>
      <c r="G52" s="535"/>
      <c r="H52" s="535"/>
      <c r="I52" s="535"/>
      <c r="J52" s="535"/>
      <c r="K52" s="535"/>
      <c r="L52" s="535"/>
      <c r="M52" s="535"/>
      <c r="N52" s="535"/>
      <c r="O52" s="535"/>
      <c r="P52" s="535"/>
      <c r="Q52" s="535"/>
      <c r="R52" s="535"/>
      <c r="S52" s="535"/>
      <c r="T52" s="535"/>
      <c r="U52" s="535"/>
      <c r="V52" s="535"/>
      <c r="W52" s="535"/>
      <c r="X52" s="535"/>
      <c r="Y52" s="532">
        <v>45</v>
      </c>
      <c r="Z52" s="532"/>
      <c r="AA52" s="532"/>
      <c r="AB52" s="532"/>
      <c r="AC52" s="532"/>
      <c r="AD52" s="532"/>
      <c r="AE52" s="532"/>
      <c r="AF52" s="532"/>
      <c r="AG52" s="532"/>
      <c r="AH52" s="532"/>
      <c r="AI52" s="532"/>
      <c r="AJ52" s="532"/>
      <c r="AK52" s="533"/>
      <c r="AO52" s="534" t="s">
        <v>400</v>
      </c>
      <c r="AP52" s="535"/>
      <c r="AQ52" s="535"/>
      <c r="AR52" s="535"/>
      <c r="AS52" s="535"/>
      <c r="AT52" s="535"/>
      <c r="AU52" s="535"/>
      <c r="AV52" s="535"/>
      <c r="AW52" s="535"/>
      <c r="AX52" s="535"/>
      <c r="AY52" s="535"/>
      <c r="AZ52" s="535"/>
      <c r="BA52" s="535"/>
      <c r="BB52" s="535"/>
      <c r="BC52" s="535"/>
      <c r="BD52" s="535"/>
      <c r="BE52" s="535"/>
      <c r="BF52" s="535"/>
      <c r="BG52" s="535"/>
      <c r="BH52" s="535"/>
      <c r="BI52" s="535"/>
      <c r="BJ52" s="535"/>
      <c r="BK52" s="535"/>
      <c r="BL52" s="553">
        <v>25</v>
      </c>
      <c r="BM52" s="553"/>
      <c r="BN52" s="553"/>
      <c r="BO52" s="553"/>
      <c r="BP52" s="553"/>
      <c r="BQ52" s="553"/>
      <c r="BR52" s="553"/>
      <c r="BS52" s="553"/>
      <c r="BT52" s="553"/>
      <c r="BU52" s="553"/>
      <c r="BV52" s="553"/>
      <c r="BW52" s="553"/>
      <c r="BX52" s="554"/>
      <c r="CB52" s="427" t="s">
        <v>2416</v>
      </c>
      <c r="CC52" s="427"/>
      <c r="CD52" s="427"/>
      <c r="CE52" s="427"/>
      <c r="CF52" s="427"/>
      <c r="CG52" s="427"/>
      <c r="CH52" s="427"/>
      <c r="CI52" s="427"/>
      <c r="CJ52" s="427"/>
      <c r="CK52" s="427"/>
      <c r="CL52" s="427"/>
      <c r="CM52" s="427"/>
      <c r="CN52" s="427"/>
      <c r="CO52" s="427"/>
      <c r="CP52" s="427"/>
      <c r="CQ52" s="427"/>
      <c r="CR52" s="429" t="s">
        <v>2403</v>
      </c>
      <c r="CS52" s="429"/>
      <c r="CT52" s="429"/>
      <c r="CU52" s="429"/>
      <c r="CV52" s="429"/>
      <c r="CW52" s="429"/>
      <c r="CX52" s="429"/>
      <c r="CY52" s="429"/>
      <c r="CZ52" s="429"/>
      <c r="DA52" s="429"/>
      <c r="DB52" s="429"/>
      <c r="DC52" s="429"/>
      <c r="DD52" s="429"/>
      <c r="DE52" s="171"/>
    </row>
    <row r="53" spans="2:109" ht="22.5" customHeight="1" x14ac:dyDescent="0.25">
      <c r="B53" s="534" t="s">
        <v>330</v>
      </c>
      <c r="C53" s="535"/>
      <c r="D53" s="535"/>
      <c r="E53" s="535"/>
      <c r="F53" s="535"/>
      <c r="G53" s="535"/>
      <c r="H53" s="535"/>
      <c r="I53" s="535"/>
      <c r="J53" s="535"/>
      <c r="K53" s="535"/>
      <c r="L53" s="535"/>
      <c r="M53" s="535"/>
      <c r="N53" s="535"/>
      <c r="O53" s="535"/>
      <c r="P53" s="535"/>
      <c r="Q53" s="535"/>
      <c r="R53" s="535"/>
      <c r="S53" s="535"/>
      <c r="T53" s="535"/>
      <c r="U53" s="535"/>
      <c r="V53" s="535"/>
      <c r="W53" s="535"/>
      <c r="X53" s="535"/>
      <c r="Y53" s="532">
        <v>50</v>
      </c>
      <c r="Z53" s="532"/>
      <c r="AA53" s="532"/>
      <c r="AB53" s="532"/>
      <c r="AC53" s="532"/>
      <c r="AD53" s="532"/>
      <c r="AE53" s="532"/>
      <c r="AF53" s="532"/>
      <c r="AG53" s="532"/>
      <c r="AH53" s="532"/>
      <c r="AI53" s="532"/>
      <c r="AJ53" s="532"/>
      <c r="AK53" s="533"/>
      <c r="AO53" s="534" t="s">
        <v>327</v>
      </c>
      <c r="AP53" s="535"/>
      <c r="AQ53" s="535"/>
      <c r="AR53" s="535"/>
      <c r="AS53" s="535"/>
      <c r="AT53" s="535"/>
      <c r="AU53" s="535"/>
      <c r="AV53" s="535"/>
      <c r="AW53" s="535"/>
      <c r="AX53" s="535"/>
      <c r="AY53" s="535"/>
      <c r="AZ53" s="535"/>
      <c r="BA53" s="535"/>
      <c r="BB53" s="535"/>
      <c r="BC53" s="535"/>
      <c r="BD53" s="535"/>
      <c r="BE53" s="535"/>
      <c r="BF53" s="535"/>
      <c r="BG53" s="535"/>
      <c r="BH53" s="535"/>
      <c r="BI53" s="535"/>
      <c r="BJ53" s="535"/>
      <c r="BK53" s="535"/>
      <c r="BL53" s="586"/>
      <c r="BM53" s="586"/>
      <c r="BN53" s="586"/>
      <c r="BO53" s="586"/>
      <c r="BP53" s="586"/>
      <c r="BQ53" s="586"/>
      <c r="BR53" s="586"/>
      <c r="BS53" s="586"/>
      <c r="BT53" s="586"/>
      <c r="BU53" s="586"/>
      <c r="BV53" s="586"/>
      <c r="BW53" s="586"/>
      <c r="BX53" s="587"/>
      <c r="CB53" s="427" t="s">
        <v>2421</v>
      </c>
      <c r="CC53" s="427"/>
      <c r="CD53" s="427"/>
      <c r="CE53" s="427"/>
      <c r="CF53" s="427"/>
      <c r="CG53" s="427"/>
      <c r="CH53" s="427"/>
      <c r="CI53" s="427"/>
      <c r="CJ53" s="427"/>
      <c r="CK53" s="427"/>
      <c r="CL53" s="427"/>
      <c r="CM53" s="427"/>
      <c r="CN53" s="427"/>
      <c r="CO53" s="427"/>
      <c r="CP53" s="427"/>
      <c r="CQ53" s="427"/>
      <c r="CR53" s="429" t="s">
        <v>1883</v>
      </c>
      <c r="CS53" s="429"/>
      <c r="CT53" s="429"/>
      <c r="CU53" s="429"/>
      <c r="CV53" s="429"/>
      <c r="CW53" s="429"/>
      <c r="CX53" s="429"/>
      <c r="CY53" s="429"/>
      <c r="CZ53" s="429"/>
      <c r="DA53" s="429"/>
      <c r="DB53" s="429"/>
      <c r="DC53" s="429"/>
      <c r="DD53" s="429"/>
      <c r="DE53" s="171"/>
    </row>
    <row r="54" spans="2:109" ht="18.75" customHeight="1" x14ac:dyDescent="0.25">
      <c r="B54" s="534" t="s">
        <v>331</v>
      </c>
      <c r="C54" s="535"/>
      <c r="D54" s="535"/>
      <c r="E54" s="535"/>
      <c r="F54" s="535"/>
      <c r="G54" s="535"/>
      <c r="H54" s="535"/>
      <c r="I54" s="535"/>
      <c r="J54" s="535"/>
      <c r="K54" s="535"/>
      <c r="L54" s="535"/>
      <c r="M54" s="535"/>
      <c r="N54" s="535"/>
      <c r="O54" s="535"/>
      <c r="P54" s="535"/>
      <c r="Q54" s="535"/>
      <c r="R54" s="535"/>
      <c r="S54" s="535"/>
      <c r="T54" s="535"/>
      <c r="U54" s="535"/>
      <c r="V54" s="535"/>
      <c r="W54" s="535"/>
      <c r="X54" s="535"/>
      <c r="Y54" s="532">
        <v>0</v>
      </c>
      <c r="Z54" s="532"/>
      <c r="AA54" s="532"/>
      <c r="AB54" s="532"/>
      <c r="AC54" s="532"/>
      <c r="AD54" s="532"/>
      <c r="AE54" s="532"/>
      <c r="AF54" s="532"/>
      <c r="AG54" s="532"/>
      <c r="AH54" s="532"/>
      <c r="AI54" s="532"/>
      <c r="AJ54" s="532"/>
      <c r="AK54" s="533"/>
      <c r="AO54" s="555" t="s">
        <v>402</v>
      </c>
      <c r="AP54" s="556"/>
      <c r="AQ54" s="556"/>
      <c r="AR54" s="556"/>
      <c r="AS54" s="556"/>
      <c r="AT54" s="556"/>
      <c r="AU54" s="556"/>
      <c r="AV54" s="556"/>
      <c r="AW54" s="556"/>
      <c r="AX54" s="556"/>
      <c r="AY54" s="556"/>
      <c r="AZ54" s="556"/>
      <c r="BA54" s="556"/>
      <c r="BB54" s="556"/>
      <c r="BC54" s="556"/>
      <c r="BD54" s="556"/>
      <c r="BE54" s="556"/>
      <c r="BF54" s="556"/>
      <c r="BG54" s="556"/>
      <c r="BH54" s="556"/>
      <c r="BI54" s="556"/>
      <c r="BJ54" s="556"/>
      <c r="BK54" s="556"/>
      <c r="BL54" s="567"/>
      <c r="BM54" s="567"/>
      <c r="BN54" s="567"/>
      <c r="BO54" s="567"/>
      <c r="BP54" s="567"/>
      <c r="BQ54" s="567"/>
      <c r="BR54" s="567"/>
      <c r="BS54" s="567"/>
      <c r="BT54" s="567"/>
      <c r="BU54" s="567"/>
      <c r="BV54" s="567"/>
      <c r="BW54" s="567"/>
      <c r="BX54" s="568"/>
      <c r="CB54" s="427" t="s">
        <v>2427</v>
      </c>
      <c r="CC54" s="427"/>
      <c r="CD54" s="427"/>
      <c r="CE54" s="427"/>
      <c r="CF54" s="427"/>
      <c r="CG54" s="427"/>
      <c r="CH54" s="427"/>
      <c r="CI54" s="427"/>
      <c r="CJ54" s="427"/>
      <c r="CK54" s="427"/>
      <c r="CL54" s="427"/>
      <c r="CM54" s="427"/>
      <c r="CN54" s="427"/>
      <c r="CO54" s="427"/>
      <c r="CP54" s="427"/>
      <c r="CQ54" s="427"/>
      <c r="CR54" s="429" t="s">
        <v>1883</v>
      </c>
      <c r="CS54" s="429"/>
      <c r="CT54" s="429"/>
      <c r="CU54" s="429"/>
      <c r="CV54" s="429"/>
      <c r="CW54" s="429"/>
      <c r="CX54" s="429"/>
      <c r="CY54" s="429"/>
      <c r="CZ54" s="429"/>
      <c r="DA54" s="429"/>
      <c r="DB54" s="429"/>
      <c r="DC54" s="429"/>
      <c r="DD54" s="429"/>
      <c r="DE54" s="171"/>
    </row>
    <row r="55" spans="2:109" ht="18.75" customHeight="1" x14ac:dyDescent="0.25">
      <c r="B55" s="619" t="s">
        <v>320</v>
      </c>
      <c r="C55" s="620"/>
      <c r="D55" s="620"/>
      <c r="E55" s="620"/>
      <c r="F55" s="620"/>
      <c r="G55" s="620"/>
      <c r="H55" s="620"/>
      <c r="I55" s="620"/>
      <c r="J55" s="620"/>
      <c r="K55" s="620"/>
      <c r="L55" s="620"/>
      <c r="M55" s="620"/>
      <c r="N55" s="620"/>
      <c r="O55" s="620"/>
      <c r="P55" s="620"/>
      <c r="Q55" s="620"/>
      <c r="R55" s="620"/>
      <c r="S55" s="620"/>
      <c r="T55" s="620"/>
      <c r="U55" s="620"/>
      <c r="V55" s="620"/>
      <c r="W55" s="620"/>
      <c r="X55" s="620"/>
      <c r="Y55" s="582"/>
      <c r="Z55" s="582"/>
      <c r="AA55" s="582"/>
      <c r="AB55" s="582"/>
      <c r="AC55" s="582"/>
      <c r="AD55" s="582"/>
      <c r="AE55" s="582"/>
      <c r="AF55" s="582"/>
      <c r="AG55" s="582"/>
      <c r="AH55" s="582"/>
      <c r="AI55" s="582"/>
      <c r="AJ55" s="582"/>
      <c r="AK55" s="583"/>
      <c r="AO55" s="528" t="s">
        <v>2940</v>
      </c>
      <c r="AP55" s="529"/>
      <c r="AQ55" s="529"/>
      <c r="AR55" s="529"/>
      <c r="AS55" s="529"/>
      <c r="AT55" s="529"/>
      <c r="AU55" s="529"/>
      <c r="AV55" s="529"/>
      <c r="AW55" s="529"/>
      <c r="AX55" s="529"/>
      <c r="AY55" s="529"/>
      <c r="AZ55" s="529"/>
      <c r="BA55" s="529"/>
      <c r="BB55" s="529"/>
      <c r="BC55" s="529"/>
      <c r="BD55" s="529"/>
      <c r="BE55" s="529"/>
      <c r="BF55" s="529"/>
      <c r="BG55" s="529"/>
      <c r="BH55" s="529"/>
      <c r="BI55" s="529"/>
      <c r="BJ55" s="529"/>
      <c r="BK55" s="529"/>
      <c r="BL55" s="530">
        <v>900</v>
      </c>
      <c r="BM55" s="530"/>
      <c r="BN55" s="530"/>
      <c r="BO55" s="530"/>
      <c r="BP55" s="530"/>
      <c r="BQ55" s="530"/>
      <c r="BR55" s="530"/>
      <c r="BS55" s="530"/>
      <c r="BT55" s="530"/>
      <c r="BU55" s="530"/>
      <c r="BV55" s="530"/>
      <c r="BW55" s="530"/>
      <c r="BX55" s="531"/>
      <c r="CB55" s="427" t="s">
        <v>2417</v>
      </c>
      <c r="CC55" s="427"/>
      <c r="CD55" s="427"/>
      <c r="CE55" s="427"/>
      <c r="CF55" s="427"/>
      <c r="CG55" s="427"/>
      <c r="CH55" s="427"/>
      <c r="CI55" s="427"/>
      <c r="CJ55" s="427"/>
      <c r="CK55" s="427"/>
      <c r="CL55" s="427"/>
      <c r="CM55" s="427"/>
      <c r="CN55" s="427"/>
      <c r="CO55" s="427"/>
      <c r="CP55" s="427"/>
      <c r="CQ55" s="427"/>
      <c r="CR55" s="429" t="s">
        <v>2403</v>
      </c>
      <c r="CS55" s="429"/>
      <c r="CT55" s="429"/>
      <c r="CU55" s="429"/>
      <c r="CV55" s="429"/>
      <c r="CW55" s="429"/>
      <c r="CX55" s="429"/>
      <c r="CY55" s="429"/>
      <c r="CZ55" s="429"/>
      <c r="DA55" s="429"/>
      <c r="DB55" s="429"/>
      <c r="DC55" s="429"/>
      <c r="DD55" s="429"/>
    </row>
    <row r="56" spans="2:109" ht="22.5" customHeight="1" x14ac:dyDescent="0.25">
      <c r="B56" s="470" t="s">
        <v>3343</v>
      </c>
      <c r="C56" s="455"/>
      <c r="D56" s="455"/>
      <c r="E56" s="455"/>
      <c r="F56" s="455"/>
      <c r="G56" s="455"/>
      <c r="H56" s="455"/>
      <c r="I56" s="455"/>
      <c r="J56" s="455"/>
      <c r="K56" s="455"/>
      <c r="L56" s="455"/>
      <c r="M56" s="455"/>
      <c r="N56" s="455"/>
      <c r="O56" s="455"/>
      <c r="P56" s="455"/>
      <c r="Q56" s="455"/>
      <c r="R56" s="455"/>
      <c r="S56" s="455"/>
      <c r="T56" s="455"/>
      <c r="U56" s="455"/>
      <c r="V56" s="455"/>
      <c r="W56" s="455"/>
      <c r="X56" s="455"/>
      <c r="Y56" s="571">
        <v>0</v>
      </c>
      <c r="Z56" s="571"/>
      <c r="AA56" s="571"/>
      <c r="AB56" s="571"/>
      <c r="AC56" s="571"/>
      <c r="AD56" s="571"/>
      <c r="AE56" s="571"/>
      <c r="AF56" s="571"/>
      <c r="AG56" s="571"/>
      <c r="AH56" s="571"/>
      <c r="AI56" s="571"/>
      <c r="AJ56" s="571"/>
      <c r="AK56" s="572"/>
      <c r="AO56" s="528" t="s">
        <v>403</v>
      </c>
      <c r="AP56" s="529"/>
      <c r="AQ56" s="529"/>
      <c r="AR56" s="529"/>
      <c r="AS56" s="529"/>
      <c r="AT56" s="529"/>
      <c r="AU56" s="529"/>
      <c r="AV56" s="529"/>
      <c r="AW56" s="529"/>
      <c r="AX56" s="529"/>
      <c r="AY56" s="529"/>
      <c r="AZ56" s="529"/>
      <c r="BA56" s="529"/>
      <c r="BB56" s="529"/>
      <c r="BC56" s="529"/>
      <c r="BD56" s="529"/>
      <c r="BE56" s="529"/>
      <c r="BF56" s="529"/>
      <c r="BG56" s="529"/>
      <c r="BH56" s="529"/>
      <c r="BI56" s="529"/>
      <c r="BJ56" s="529"/>
      <c r="BK56" s="529"/>
      <c r="BL56" s="530">
        <v>0</v>
      </c>
      <c r="BM56" s="530"/>
      <c r="BN56" s="530"/>
      <c r="BO56" s="530"/>
      <c r="BP56" s="530"/>
      <c r="BQ56" s="530"/>
      <c r="BR56" s="530"/>
      <c r="BS56" s="530"/>
      <c r="BT56" s="530"/>
      <c r="BU56" s="530"/>
      <c r="BV56" s="530"/>
      <c r="BW56" s="530"/>
      <c r="BX56" s="531"/>
      <c r="CB56" s="427" t="s">
        <v>2422</v>
      </c>
      <c r="CC56" s="427"/>
      <c r="CD56" s="427"/>
      <c r="CE56" s="427"/>
      <c r="CF56" s="427"/>
      <c r="CG56" s="427"/>
      <c r="CH56" s="427"/>
      <c r="CI56" s="427"/>
      <c r="CJ56" s="427"/>
      <c r="CK56" s="427"/>
      <c r="CL56" s="427"/>
      <c r="CM56" s="427"/>
      <c r="CN56" s="427"/>
      <c r="CO56" s="427"/>
      <c r="CP56" s="427"/>
      <c r="CQ56" s="427"/>
      <c r="CR56" s="429" t="s">
        <v>1883</v>
      </c>
      <c r="CS56" s="429"/>
      <c r="CT56" s="429"/>
      <c r="CU56" s="429"/>
      <c r="CV56" s="429"/>
      <c r="CW56" s="429"/>
      <c r="CX56" s="429"/>
      <c r="CY56" s="429"/>
      <c r="CZ56" s="429"/>
      <c r="DA56" s="429"/>
      <c r="DB56" s="429"/>
      <c r="DC56" s="429"/>
      <c r="DD56" s="429"/>
    </row>
    <row r="57" spans="2:109" ht="22.5" customHeight="1" x14ac:dyDescent="0.25">
      <c r="AO57" s="534" t="s">
        <v>1897</v>
      </c>
      <c r="AP57" s="535"/>
      <c r="AQ57" s="535"/>
      <c r="AR57" s="535"/>
      <c r="AS57" s="535"/>
      <c r="AT57" s="535"/>
      <c r="AU57" s="535"/>
      <c r="AV57" s="535"/>
      <c r="AW57" s="535"/>
      <c r="AX57" s="535"/>
      <c r="AY57" s="535"/>
      <c r="AZ57" s="535"/>
      <c r="BA57" s="535"/>
      <c r="BB57" s="535"/>
      <c r="BC57" s="535"/>
      <c r="BD57" s="535"/>
      <c r="BE57" s="535"/>
      <c r="BF57" s="535"/>
      <c r="BG57" s="535"/>
      <c r="BH57" s="535"/>
      <c r="BI57" s="535"/>
      <c r="BJ57" s="535"/>
      <c r="BK57" s="535"/>
      <c r="BL57" s="530">
        <v>0</v>
      </c>
      <c r="BM57" s="530"/>
      <c r="BN57" s="530"/>
      <c r="BO57" s="530"/>
      <c r="BP57" s="530"/>
      <c r="BQ57" s="530"/>
      <c r="BR57" s="530"/>
      <c r="BS57" s="530"/>
      <c r="BT57" s="530"/>
      <c r="BU57" s="530"/>
      <c r="BV57" s="530"/>
      <c r="BW57" s="530"/>
      <c r="BX57" s="531"/>
      <c r="CB57" s="427" t="s">
        <v>2418</v>
      </c>
      <c r="CC57" s="427"/>
      <c r="CD57" s="427"/>
      <c r="CE57" s="427"/>
      <c r="CF57" s="427"/>
      <c r="CG57" s="427"/>
      <c r="CH57" s="427"/>
      <c r="CI57" s="427"/>
      <c r="CJ57" s="427"/>
      <c r="CK57" s="427"/>
      <c r="CL57" s="427"/>
      <c r="CM57" s="427"/>
      <c r="CN57" s="427"/>
      <c r="CO57" s="427"/>
      <c r="CP57" s="427"/>
      <c r="CQ57" s="427"/>
      <c r="CR57" s="429" t="s">
        <v>2403</v>
      </c>
      <c r="CS57" s="429"/>
      <c r="CT57" s="429"/>
      <c r="CU57" s="429"/>
      <c r="CV57" s="429"/>
      <c r="CW57" s="429"/>
      <c r="CX57" s="429"/>
      <c r="CY57" s="429"/>
      <c r="CZ57" s="429"/>
      <c r="DA57" s="429"/>
      <c r="DB57" s="429"/>
      <c r="DC57" s="429"/>
      <c r="DD57" s="429"/>
      <c r="DE57" s="178" t="s">
        <v>2494</v>
      </c>
    </row>
    <row r="58" spans="2:109" ht="22.5" customHeight="1" x14ac:dyDescent="0.25">
      <c r="B58" s="526" t="s">
        <v>1890</v>
      </c>
      <c r="C58" s="527"/>
      <c r="D58" s="527"/>
      <c r="E58" s="527"/>
      <c r="F58" s="527"/>
      <c r="G58" s="527"/>
      <c r="H58" s="527"/>
      <c r="I58" s="527"/>
      <c r="J58" s="527"/>
      <c r="K58" s="527"/>
      <c r="L58" s="527"/>
      <c r="M58" s="527"/>
      <c r="N58" s="527"/>
      <c r="O58" s="527"/>
      <c r="P58" s="527"/>
      <c r="Q58" s="527"/>
      <c r="R58" s="527"/>
      <c r="S58" s="527"/>
      <c r="T58" s="527"/>
      <c r="U58" s="527"/>
      <c r="V58" s="527"/>
      <c r="W58" s="527"/>
      <c r="X58" s="527"/>
      <c r="Y58" s="579"/>
      <c r="Z58" s="580"/>
      <c r="AA58" s="580"/>
      <c r="AB58" s="580"/>
      <c r="AC58" s="580"/>
      <c r="AD58" s="580"/>
      <c r="AE58" s="580"/>
      <c r="AF58" s="580"/>
      <c r="AG58" s="580"/>
      <c r="AH58" s="580"/>
      <c r="AI58" s="580"/>
      <c r="AJ58" s="580"/>
      <c r="AK58" s="581"/>
      <c r="AO58" s="534" t="s">
        <v>1896</v>
      </c>
      <c r="AP58" s="535"/>
      <c r="AQ58" s="535"/>
      <c r="AR58" s="535"/>
      <c r="AS58" s="535"/>
      <c r="AT58" s="535"/>
      <c r="AU58" s="535"/>
      <c r="AV58" s="535"/>
      <c r="AW58" s="535"/>
      <c r="AX58" s="535"/>
      <c r="AY58" s="535"/>
      <c r="AZ58" s="535"/>
      <c r="BA58" s="535"/>
      <c r="BB58" s="535"/>
      <c r="BC58" s="535"/>
      <c r="BD58" s="535"/>
      <c r="BE58" s="535"/>
      <c r="BF58" s="535"/>
      <c r="BG58" s="535"/>
      <c r="BH58" s="535"/>
      <c r="BI58" s="535"/>
      <c r="BJ58" s="535"/>
      <c r="BK58" s="535"/>
      <c r="BL58" s="530">
        <v>0</v>
      </c>
      <c r="BM58" s="530"/>
      <c r="BN58" s="530"/>
      <c r="BO58" s="530"/>
      <c r="BP58" s="530"/>
      <c r="BQ58" s="530"/>
      <c r="BR58" s="530"/>
      <c r="BS58" s="530"/>
      <c r="BT58" s="530"/>
      <c r="BU58" s="530"/>
      <c r="BV58" s="530"/>
      <c r="BW58" s="530"/>
      <c r="BX58" s="531"/>
      <c r="CB58" s="427" t="s">
        <v>2419</v>
      </c>
      <c r="CC58" s="427"/>
      <c r="CD58" s="427"/>
      <c r="CE58" s="427"/>
      <c r="CF58" s="427"/>
      <c r="CG58" s="427"/>
      <c r="CH58" s="427"/>
      <c r="CI58" s="427"/>
      <c r="CJ58" s="427"/>
      <c r="CK58" s="427"/>
      <c r="CL58" s="427"/>
      <c r="CM58" s="427"/>
      <c r="CN58" s="427"/>
      <c r="CO58" s="427"/>
      <c r="CP58" s="427"/>
      <c r="CQ58" s="427"/>
      <c r="CR58" s="429" t="s">
        <v>2404</v>
      </c>
      <c r="CS58" s="429"/>
      <c r="CT58" s="429"/>
      <c r="CU58" s="429"/>
      <c r="CV58" s="429"/>
      <c r="CW58" s="429"/>
      <c r="CX58" s="429"/>
      <c r="CY58" s="429"/>
      <c r="CZ58" s="429"/>
      <c r="DA58" s="429"/>
      <c r="DB58" s="429"/>
      <c r="DC58" s="429"/>
      <c r="DD58" s="429"/>
    </row>
    <row r="59" spans="2:109" ht="22.5" customHeight="1" x14ac:dyDescent="0.25">
      <c r="B59" s="534" t="s">
        <v>404</v>
      </c>
      <c r="C59" s="535"/>
      <c r="D59" s="535"/>
      <c r="E59" s="535"/>
      <c r="F59" s="535"/>
      <c r="G59" s="535"/>
      <c r="H59" s="535"/>
      <c r="I59" s="535"/>
      <c r="J59" s="535"/>
      <c r="K59" s="535"/>
      <c r="L59" s="535"/>
      <c r="M59" s="535"/>
      <c r="N59" s="535"/>
      <c r="O59" s="535"/>
      <c r="P59" s="535"/>
      <c r="Q59" s="535"/>
      <c r="R59" s="535"/>
      <c r="S59" s="535"/>
      <c r="T59" s="535"/>
      <c r="U59" s="535"/>
      <c r="V59" s="535"/>
      <c r="W59" s="535"/>
      <c r="X59" s="535"/>
      <c r="Y59" s="551"/>
      <c r="Z59" s="551"/>
      <c r="AA59" s="551"/>
      <c r="AB59" s="551"/>
      <c r="AC59" s="551"/>
      <c r="AD59" s="551"/>
      <c r="AE59" s="551"/>
      <c r="AF59" s="551"/>
      <c r="AG59" s="551"/>
      <c r="AH59" s="551"/>
      <c r="AI59" s="551"/>
      <c r="AJ59" s="551"/>
      <c r="AK59" s="552"/>
      <c r="AO59" s="534" t="s">
        <v>1906</v>
      </c>
      <c r="AP59" s="535"/>
      <c r="AQ59" s="535"/>
      <c r="AR59" s="535"/>
      <c r="AS59" s="535"/>
      <c r="AT59" s="535"/>
      <c r="AU59" s="535"/>
      <c r="AV59" s="535"/>
      <c r="AW59" s="535"/>
      <c r="AX59" s="535"/>
      <c r="AY59" s="535"/>
      <c r="AZ59" s="535"/>
      <c r="BA59" s="535"/>
      <c r="BB59" s="535"/>
      <c r="BC59" s="535"/>
      <c r="BD59" s="535"/>
      <c r="BE59" s="535"/>
      <c r="BF59" s="535"/>
      <c r="BG59" s="535"/>
      <c r="BH59" s="535"/>
      <c r="BI59" s="535"/>
      <c r="BJ59" s="535"/>
      <c r="BK59" s="535"/>
      <c r="BL59" s="557">
        <v>0</v>
      </c>
      <c r="BM59" s="557"/>
      <c r="BN59" s="557"/>
      <c r="BO59" s="557"/>
      <c r="BP59" s="557"/>
      <c r="BQ59" s="557"/>
      <c r="BR59" s="557"/>
      <c r="BS59" s="557"/>
      <c r="BT59" s="557"/>
      <c r="BU59" s="557"/>
      <c r="BV59" s="557"/>
      <c r="BW59" s="557"/>
      <c r="BX59" s="558"/>
      <c r="CB59" s="430" t="s">
        <v>2420</v>
      </c>
      <c r="CC59" s="430"/>
      <c r="CD59" s="430"/>
      <c r="CE59" s="430"/>
      <c r="CF59" s="430"/>
      <c r="CG59" s="430"/>
      <c r="CH59" s="430"/>
      <c r="CI59" s="430"/>
      <c r="CJ59" s="430"/>
      <c r="CK59" s="430"/>
      <c r="CL59" s="430"/>
      <c r="CM59" s="430"/>
      <c r="CN59" s="430"/>
      <c r="CO59" s="430"/>
      <c r="CP59" s="430"/>
      <c r="CQ59" s="430"/>
      <c r="CR59" s="429" t="s">
        <v>2424</v>
      </c>
      <c r="CS59" s="429"/>
      <c r="CT59" s="429"/>
      <c r="CU59" s="429"/>
      <c r="CV59" s="429"/>
      <c r="CW59" s="429"/>
      <c r="CX59" s="429"/>
      <c r="CY59" s="429"/>
      <c r="CZ59" s="429"/>
      <c r="DA59" s="429"/>
      <c r="DB59" s="429"/>
      <c r="DC59" s="429"/>
      <c r="DD59" s="429"/>
    </row>
    <row r="60" spans="2:109" ht="22.5" customHeight="1" x14ac:dyDescent="0.25">
      <c r="B60" s="559" t="s">
        <v>405</v>
      </c>
      <c r="C60" s="560"/>
      <c r="D60" s="560"/>
      <c r="E60" s="560"/>
      <c r="F60" s="560"/>
      <c r="G60" s="560"/>
      <c r="H60" s="560"/>
      <c r="I60" s="560"/>
      <c r="J60" s="560"/>
      <c r="K60" s="560"/>
      <c r="L60" s="560"/>
      <c r="M60" s="560"/>
      <c r="N60" s="560"/>
      <c r="O60" s="560"/>
      <c r="P60" s="560"/>
      <c r="Q60" s="560"/>
      <c r="R60" s="560"/>
      <c r="S60" s="560"/>
      <c r="T60" s="560"/>
      <c r="U60" s="560"/>
      <c r="V60" s="560"/>
      <c r="W60" s="560"/>
      <c r="X60" s="560"/>
      <c r="Y60" s="551"/>
      <c r="Z60" s="551"/>
      <c r="AA60" s="551"/>
      <c r="AB60" s="551"/>
      <c r="AC60" s="551"/>
      <c r="AD60" s="551"/>
      <c r="AE60" s="551"/>
      <c r="AF60" s="551"/>
      <c r="AG60" s="551"/>
      <c r="AH60" s="551"/>
      <c r="AI60" s="551"/>
      <c r="AJ60" s="551"/>
      <c r="AK60" s="552"/>
      <c r="AO60" s="534" t="s">
        <v>3341</v>
      </c>
      <c r="AP60" s="535"/>
      <c r="AQ60" s="535"/>
      <c r="AR60" s="535"/>
      <c r="AS60" s="535"/>
      <c r="AT60" s="535"/>
      <c r="AU60" s="535"/>
      <c r="AV60" s="535"/>
      <c r="AW60" s="535"/>
      <c r="AX60" s="535"/>
      <c r="AY60" s="535"/>
      <c r="AZ60" s="535"/>
      <c r="BA60" s="535"/>
      <c r="BB60" s="535"/>
      <c r="BC60" s="535"/>
      <c r="BD60" s="535"/>
      <c r="BE60" s="535"/>
      <c r="BF60" s="535"/>
      <c r="BG60" s="535"/>
      <c r="BH60" s="535"/>
      <c r="BI60" s="535"/>
      <c r="BJ60" s="535"/>
      <c r="BK60" s="535"/>
      <c r="BL60" s="563">
        <f>TitleCurativeFee + ClosingCosts + RecordingFee</f>
        <v>900</v>
      </c>
      <c r="BM60" s="563"/>
      <c r="BN60" s="563"/>
      <c r="BO60" s="563"/>
      <c r="BP60" s="563"/>
      <c r="BQ60" s="563"/>
      <c r="BR60" s="563"/>
      <c r="BS60" s="563"/>
      <c r="BT60" s="563"/>
      <c r="BU60" s="563"/>
      <c r="BV60" s="563"/>
      <c r="BW60" s="563"/>
      <c r="BX60" s="564"/>
    </row>
    <row r="61" spans="2:109" ht="22.5" customHeight="1" x14ac:dyDescent="0.25">
      <c r="B61" s="526" t="s">
        <v>1641</v>
      </c>
      <c r="C61" s="527"/>
      <c r="D61" s="527"/>
      <c r="E61" s="527"/>
      <c r="F61" s="527"/>
      <c r="G61" s="527"/>
      <c r="H61" s="527"/>
      <c r="I61" s="527"/>
      <c r="J61" s="527"/>
      <c r="K61" s="527"/>
      <c r="L61" s="527"/>
      <c r="M61" s="527"/>
      <c r="N61" s="527"/>
      <c r="O61" s="527"/>
      <c r="P61" s="527"/>
      <c r="Q61" s="527"/>
      <c r="R61" s="527"/>
      <c r="S61" s="527"/>
      <c r="T61" s="527"/>
      <c r="U61" s="527"/>
      <c r="V61" s="527"/>
      <c r="W61" s="527"/>
      <c r="X61" s="527"/>
      <c r="Y61" s="549"/>
      <c r="Z61" s="549"/>
      <c r="AA61" s="549"/>
      <c r="AB61" s="549"/>
      <c r="AC61" s="549"/>
      <c r="AD61" s="549"/>
      <c r="AE61" s="549"/>
      <c r="AF61" s="549"/>
      <c r="AG61" s="549"/>
      <c r="AH61" s="549"/>
      <c r="AI61" s="549"/>
      <c r="AJ61" s="549"/>
      <c r="AK61" s="550"/>
      <c r="AO61" s="470" t="s">
        <v>3342</v>
      </c>
      <c r="AP61" s="455"/>
      <c r="AQ61" s="455"/>
      <c r="AR61" s="455"/>
      <c r="AS61" s="455"/>
      <c r="AT61" s="455"/>
      <c r="AU61" s="455"/>
      <c r="AV61" s="455"/>
      <c r="AW61" s="455"/>
      <c r="AX61" s="455"/>
      <c r="AY61" s="455"/>
      <c r="AZ61" s="455"/>
      <c r="BA61" s="455"/>
      <c r="BB61" s="455"/>
      <c r="BC61" s="455"/>
      <c r="BD61" s="455"/>
      <c r="BE61" s="455"/>
      <c r="BF61" s="455"/>
      <c r="BG61" s="455"/>
      <c r="BH61" s="455"/>
      <c r="BI61" s="455"/>
      <c r="BJ61" s="455"/>
      <c r="BK61" s="455"/>
      <c r="BL61" s="561">
        <f>PrincipalPaymentAmount</f>
        <v>900</v>
      </c>
      <c r="BM61" s="561"/>
      <c r="BN61" s="561"/>
      <c r="BO61" s="561"/>
      <c r="BP61" s="561"/>
      <c r="BQ61" s="561"/>
      <c r="BR61" s="561"/>
      <c r="BS61" s="561"/>
      <c r="BT61" s="561"/>
      <c r="BU61" s="561"/>
      <c r="BV61" s="561"/>
      <c r="BW61" s="561"/>
      <c r="BX61" s="562"/>
    </row>
    <row r="62" spans="2:109" ht="22.5" customHeight="1" x14ac:dyDescent="0.25">
      <c r="B62" s="534" t="s">
        <v>1642</v>
      </c>
      <c r="C62" s="535"/>
      <c r="D62" s="535"/>
      <c r="E62" s="535"/>
      <c r="F62" s="535"/>
      <c r="G62" s="535"/>
      <c r="H62" s="535"/>
      <c r="I62" s="535"/>
      <c r="J62" s="535"/>
      <c r="K62" s="535"/>
      <c r="L62" s="535"/>
      <c r="M62" s="535"/>
      <c r="N62" s="535"/>
      <c r="O62" s="535"/>
      <c r="P62" s="535"/>
      <c r="Q62" s="535"/>
      <c r="R62" s="535"/>
      <c r="S62" s="535"/>
      <c r="T62" s="535"/>
      <c r="U62" s="535"/>
      <c r="V62" s="535"/>
      <c r="W62" s="535"/>
      <c r="X62" s="535"/>
      <c r="Y62" s="551"/>
      <c r="Z62" s="551"/>
      <c r="AA62" s="551"/>
      <c r="AB62" s="551"/>
      <c r="AC62" s="551"/>
      <c r="AD62" s="551"/>
      <c r="AE62" s="551"/>
      <c r="AF62" s="551"/>
      <c r="AG62" s="551"/>
      <c r="AH62" s="551"/>
      <c r="AI62" s="551"/>
      <c r="AJ62" s="551"/>
      <c r="AK62" s="552"/>
    </row>
    <row r="63" spans="2:109" ht="22.5" customHeight="1" x14ac:dyDescent="0.25">
      <c r="B63" s="559" t="s">
        <v>1643</v>
      </c>
      <c r="C63" s="560"/>
      <c r="D63" s="560"/>
      <c r="E63" s="560"/>
      <c r="F63" s="560"/>
      <c r="G63" s="560"/>
      <c r="H63" s="560"/>
      <c r="I63" s="560"/>
      <c r="J63" s="560"/>
      <c r="K63" s="560"/>
      <c r="L63" s="560"/>
      <c r="M63" s="560"/>
      <c r="N63" s="560"/>
      <c r="O63" s="560"/>
      <c r="P63" s="560"/>
      <c r="Q63" s="560"/>
      <c r="R63" s="560"/>
      <c r="S63" s="560"/>
      <c r="T63" s="560"/>
      <c r="U63" s="560"/>
      <c r="V63" s="560"/>
      <c r="W63" s="560"/>
      <c r="X63" s="560"/>
      <c r="Y63" s="549"/>
      <c r="Z63" s="549"/>
      <c r="AA63" s="549"/>
      <c r="AB63" s="549"/>
      <c r="AC63" s="549"/>
      <c r="AD63" s="549"/>
      <c r="AE63" s="549"/>
      <c r="AF63" s="549"/>
      <c r="AG63" s="549"/>
      <c r="AH63" s="549"/>
      <c r="AI63" s="549"/>
      <c r="AJ63" s="549"/>
      <c r="AK63" s="550"/>
    </row>
    <row r="64" spans="2:109" ht="18.75" customHeight="1" x14ac:dyDescent="0.25"/>
    <row r="65" spans="2:151" ht="18.75" customHeight="1" x14ac:dyDescent="0.25"/>
    <row r="66" spans="2:151" ht="18.75" customHeight="1" x14ac:dyDescent="0.25"/>
    <row r="67" spans="2:151" ht="22.5" customHeight="1" x14ac:dyDescent="0.35">
      <c r="B67" s="453" t="s">
        <v>277</v>
      </c>
      <c r="C67" s="453"/>
      <c r="D67" s="453"/>
      <c r="E67" s="453"/>
      <c r="F67" s="453"/>
      <c r="G67" s="453"/>
      <c r="H67" s="453"/>
      <c r="I67" s="453"/>
      <c r="J67" s="453"/>
      <c r="K67" s="453"/>
      <c r="L67" s="453"/>
      <c r="M67" s="453"/>
      <c r="N67" s="453"/>
      <c r="O67" s="453"/>
      <c r="P67" s="453"/>
      <c r="Q67" s="453"/>
      <c r="R67" s="453"/>
      <c r="S67" s="453"/>
      <c r="T67" s="453"/>
      <c r="U67" s="453"/>
      <c r="V67" s="453"/>
      <c r="W67" s="453"/>
      <c r="X67" s="453"/>
      <c r="Y67" s="453"/>
      <c r="Z67" s="453"/>
      <c r="AA67" s="453"/>
      <c r="AB67" s="453"/>
      <c r="AC67" s="453"/>
      <c r="AD67" s="453"/>
      <c r="AE67" s="453"/>
      <c r="AF67" s="453"/>
      <c r="AG67" s="453"/>
      <c r="AH67" s="453"/>
      <c r="AI67" s="453"/>
      <c r="AJ67" s="453"/>
      <c r="AK67" s="453"/>
      <c r="AL67" s="453"/>
      <c r="AM67" s="453"/>
      <c r="AN67" s="453"/>
      <c r="AO67" s="453"/>
      <c r="AP67" s="453"/>
      <c r="AQ67" s="453"/>
      <c r="AR67" s="453"/>
      <c r="AS67" s="453"/>
      <c r="AT67" s="453"/>
      <c r="AU67" s="453"/>
      <c r="AV67" s="453"/>
      <c r="AW67" s="453"/>
      <c r="AX67" s="453"/>
      <c r="AY67" s="453"/>
      <c r="AZ67" s="453"/>
      <c r="BA67" s="453"/>
      <c r="BB67" s="453"/>
      <c r="BC67" s="453"/>
      <c r="BD67" s="453"/>
      <c r="BE67" s="453"/>
      <c r="BF67" s="453"/>
      <c r="BG67" s="453"/>
      <c r="BH67" s="453"/>
      <c r="BI67" s="453"/>
      <c r="BJ67" s="453"/>
      <c r="BK67" s="453"/>
      <c r="BL67" s="453"/>
      <c r="BM67" s="453"/>
      <c r="BN67" s="453"/>
      <c r="BO67" s="453"/>
      <c r="BP67" s="453"/>
      <c r="BQ67" s="453"/>
      <c r="BR67" s="453"/>
      <c r="BS67" s="453"/>
      <c r="BT67" s="453"/>
      <c r="BU67" s="453"/>
      <c r="BV67" s="453"/>
      <c r="BW67" s="453"/>
      <c r="BX67" s="453"/>
    </row>
    <row r="68" spans="2:151" ht="18.75" customHeight="1" x14ac:dyDescent="0.25">
      <c r="O68" s="184"/>
      <c r="P68" s="184"/>
      <c r="Q68" s="184"/>
      <c r="T68" s="184"/>
      <c r="U68" s="184"/>
      <c r="Z68" s="184"/>
      <c r="AA68" s="184"/>
      <c r="AB68" s="184"/>
      <c r="AC68" s="184"/>
      <c r="AD68" s="184"/>
      <c r="AE68" s="184"/>
      <c r="AF68" s="184"/>
      <c r="AG68" s="184"/>
      <c r="AH68" s="184"/>
      <c r="AI68" s="184"/>
      <c r="AJ68" s="184"/>
      <c r="AK68" s="184"/>
    </row>
    <row r="69" spans="2:151" ht="18.75" customHeight="1" x14ac:dyDescent="0.25">
      <c r="B69" s="188"/>
      <c r="C69" s="188"/>
      <c r="D69" s="188"/>
      <c r="E69" s="188"/>
      <c r="F69" s="188"/>
      <c r="G69" s="188"/>
      <c r="H69" s="188"/>
      <c r="I69" s="188"/>
      <c r="J69" s="188"/>
      <c r="K69" s="188"/>
      <c r="L69" s="188"/>
      <c r="M69" s="189"/>
      <c r="N69" s="189"/>
      <c r="O69" s="184"/>
      <c r="P69" s="184"/>
      <c r="Q69" s="184"/>
      <c r="T69" s="184"/>
      <c r="U69" s="184"/>
      <c r="Z69" s="184"/>
      <c r="AA69" s="184"/>
      <c r="AB69" s="184"/>
      <c r="AC69" s="184"/>
      <c r="AD69" s="184"/>
      <c r="AE69" s="184"/>
      <c r="AF69" s="184"/>
      <c r="AG69" s="184"/>
      <c r="AH69" s="184"/>
      <c r="AI69" s="184"/>
      <c r="AJ69" s="184"/>
      <c r="AK69" s="184"/>
    </row>
    <row r="70" spans="2:151" ht="22.5" customHeight="1" thickBot="1" x14ac:dyDescent="0.35">
      <c r="B70" s="440" t="s">
        <v>282</v>
      </c>
      <c r="C70" s="440"/>
      <c r="D70" s="440"/>
      <c r="E70" s="440"/>
      <c r="F70" s="440"/>
      <c r="G70" s="440"/>
      <c r="H70" s="440"/>
      <c r="I70" s="440"/>
      <c r="J70" s="440"/>
      <c r="K70" s="440"/>
      <c r="L70" s="440"/>
      <c r="M70" s="440"/>
      <c r="N70" s="440"/>
      <c r="O70" s="440"/>
      <c r="P70" s="440"/>
      <c r="Q70" s="440"/>
      <c r="R70" s="440"/>
      <c r="S70" s="440"/>
      <c r="T70" s="440"/>
      <c r="U70" s="440"/>
      <c r="V70" s="440"/>
      <c r="W70" s="440"/>
      <c r="X70" s="440"/>
      <c r="Y70" s="440"/>
      <c r="Z70" s="440"/>
      <c r="AA70" s="440"/>
      <c r="AB70" s="440"/>
      <c r="AC70" s="440"/>
      <c r="AD70" s="440"/>
      <c r="AE70" s="440"/>
      <c r="AF70" s="440"/>
      <c r="AG70" s="440"/>
      <c r="AH70" s="440"/>
      <c r="AI70" s="440"/>
      <c r="AJ70" s="440"/>
      <c r="AK70" s="440"/>
      <c r="AL70" s="440"/>
      <c r="AM70" s="440"/>
      <c r="AN70" s="440"/>
      <c r="AO70" s="440"/>
      <c r="AP70" s="440"/>
      <c r="AQ70" s="440"/>
      <c r="AR70" s="440"/>
      <c r="AS70" s="440"/>
      <c r="AT70" s="440"/>
      <c r="AU70" s="440"/>
      <c r="AV70" s="440"/>
      <c r="AW70" s="440"/>
      <c r="AX70" s="440"/>
      <c r="AY70" s="440"/>
      <c r="AZ70" s="440"/>
      <c r="BA70" s="440"/>
      <c r="BB70" s="440"/>
      <c r="BC70" s="440"/>
      <c r="BD70" s="440"/>
      <c r="BE70" s="440"/>
      <c r="BF70" s="187"/>
      <c r="BG70" s="187"/>
      <c r="BJ70" s="178" t="s">
        <v>1648</v>
      </c>
    </row>
    <row r="71" spans="2:151" ht="22.5" customHeight="1" x14ac:dyDescent="0.3">
      <c r="B71" s="454" t="s">
        <v>3221</v>
      </c>
      <c r="C71" s="401"/>
      <c r="D71" s="401"/>
      <c r="E71" s="401"/>
      <c r="F71" s="401"/>
      <c r="G71" s="401"/>
      <c r="H71" s="401"/>
      <c r="I71" s="401"/>
      <c r="J71" s="404"/>
      <c r="K71" s="404"/>
      <c r="L71" s="404"/>
      <c r="M71" s="404"/>
      <c r="N71" s="404"/>
      <c r="O71" s="404"/>
      <c r="P71" s="404"/>
      <c r="Q71" s="404"/>
      <c r="R71" s="404"/>
      <c r="S71" s="404"/>
      <c r="T71" s="404"/>
      <c r="U71" s="404"/>
      <c r="V71" s="404"/>
      <c r="W71" s="404"/>
      <c r="X71" s="405"/>
      <c r="Y71" s="400" t="s">
        <v>3222</v>
      </c>
      <c r="Z71" s="401"/>
      <c r="AA71" s="401"/>
      <c r="AB71" s="402"/>
      <c r="AC71" s="402"/>
      <c r="AD71" s="402"/>
      <c r="AE71" s="402"/>
      <c r="AF71" s="402"/>
      <c r="AG71" s="402"/>
      <c r="AH71" s="402"/>
      <c r="AI71" s="402"/>
      <c r="AJ71" s="402"/>
      <c r="AK71" s="403"/>
      <c r="AL71" s="400" t="s">
        <v>3223</v>
      </c>
      <c r="AM71" s="401"/>
      <c r="AN71" s="401"/>
      <c r="AO71" s="404"/>
      <c r="AP71" s="404"/>
      <c r="AQ71" s="404"/>
      <c r="AR71" s="404"/>
      <c r="AS71" s="404"/>
      <c r="AT71" s="404"/>
      <c r="AU71" s="405"/>
      <c r="AV71" s="400" t="s">
        <v>3224</v>
      </c>
      <c r="AW71" s="401"/>
      <c r="AX71" s="404"/>
      <c r="AY71" s="404"/>
      <c r="AZ71" s="404"/>
      <c r="BA71" s="404"/>
      <c r="BB71" s="404"/>
      <c r="BC71" s="404"/>
      <c r="BD71" s="404"/>
      <c r="BE71" s="406"/>
      <c r="BF71" s="190"/>
      <c r="BG71" s="190"/>
      <c r="BH71" s="517" t="s">
        <v>389</v>
      </c>
      <c r="BI71" s="518"/>
      <c r="BJ71" s="489" t="s">
        <v>1649</v>
      </c>
      <c r="BK71" s="490"/>
      <c r="BL71" s="490"/>
      <c r="BM71" s="490"/>
      <c r="BN71" s="490"/>
      <c r="BO71" s="490"/>
      <c r="BP71" s="490"/>
      <c r="BQ71" s="490"/>
      <c r="BR71" s="490"/>
      <c r="BS71" s="490"/>
      <c r="BT71" s="490"/>
      <c r="BU71" s="490"/>
      <c r="BV71" s="483" t="s">
        <v>1644</v>
      </c>
      <c r="BW71" s="484"/>
      <c r="BX71" s="484"/>
      <c r="BY71" s="484"/>
      <c r="BZ71" s="484"/>
      <c r="CA71" s="484"/>
      <c r="CB71" s="484"/>
      <c r="CC71" s="484"/>
      <c r="CD71" s="485"/>
      <c r="CE71" s="513" t="s">
        <v>1675</v>
      </c>
      <c r="CF71" s="513"/>
      <c r="CG71" s="513"/>
      <c r="CH71" s="513"/>
      <c r="CI71" s="513"/>
      <c r="CJ71" s="513"/>
      <c r="CK71" s="513"/>
      <c r="CL71" s="513"/>
      <c r="CM71" s="513"/>
      <c r="CN71" s="513"/>
      <c r="CO71" s="489" t="s">
        <v>1676</v>
      </c>
      <c r="CP71" s="490"/>
      <c r="CQ71" s="490"/>
      <c r="CR71" s="490"/>
      <c r="CS71" s="490"/>
      <c r="CT71" s="490"/>
      <c r="CU71" s="490"/>
      <c r="CV71" s="490"/>
      <c r="CW71" s="490"/>
      <c r="CX71" s="490"/>
      <c r="CY71" s="490"/>
      <c r="CZ71" s="491"/>
      <c r="DA71" s="600" t="s">
        <v>1645</v>
      </c>
      <c r="DB71" s="600"/>
      <c r="DC71" s="600"/>
      <c r="DD71" s="600"/>
      <c r="DE71" s="600"/>
      <c r="DF71" s="600"/>
      <c r="DG71" s="600"/>
      <c r="DH71" s="600"/>
      <c r="DI71" s="600"/>
      <c r="DJ71" s="600"/>
      <c r="DK71" s="489" t="s">
        <v>1646</v>
      </c>
      <c r="DL71" s="490"/>
      <c r="DM71" s="490"/>
      <c r="DN71" s="490"/>
      <c r="DO71" s="490"/>
      <c r="DP71" s="490"/>
      <c r="DQ71" s="490"/>
      <c r="DR71" s="491"/>
    </row>
    <row r="72" spans="2:151" ht="22.5" customHeight="1" x14ac:dyDescent="0.3">
      <c r="B72" s="393" t="s">
        <v>1984</v>
      </c>
      <c r="C72" s="392"/>
      <c r="D72" s="392"/>
      <c r="E72" s="392"/>
      <c r="F72" s="389"/>
      <c r="G72" s="389"/>
      <c r="H72" s="389"/>
      <c r="I72" s="389"/>
      <c r="J72" s="389"/>
      <c r="K72" s="389"/>
      <c r="L72" s="389"/>
      <c r="M72" s="391" t="s">
        <v>307</v>
      </c>
      <c r="N72" s="392"/>
      <c r="O72" s="392"/>
      <c r="P72" s="392"/>
      <c r="Q72" s="392"/>
      <c r="R72" s="392"/>
      <c r="S72" s="392"/>
      <c r="T72" s="392"/>
      <c r="U72" s="433"/>
      <c r="V72" s="433"/>
      <c r="W72" s="433"/>
      <c r="X72" s="433"/>
      <c r="Y72" s="433"/>
      <c r="Z72" s="433"/>
      <c r="AA72" s="391" t="s">
        <v>2084</v>
      </c>
      <c r="AB72" s="392"/>
      <c r="AC72" s="392"/>
      <c r="AD72" s="392"/>
      <c r="AE72" s="392"/>
      <c r="AF72" s="392"/>
      <c r="AG72" s="392"/>
      <c r="AH72" s="392"/>
      <c r="AI72" s="433"/>
      <c r="AJ72" s="433"/>
      <c r="AK72" s="433"/>
      <c r="AL72" s="433"/>
      <c r="AM72" s="433"/>
      <c r="AN72" s="434"/>
      <c r="AO72" s="391" t="s">
        <v>279</v>
      </c>
      <c r="AP72" s="392"/>
      <c r="AQ72" s="392"/>
      <c r="AR72" s="392"/>
      <c r="AS72" s="392"/>
      <c r="AT72" s="437"/>
      <c r="AU72" s="437"/>
      <c r="AV72" s="437"/>
      <c r="AW72" s="437"/>
      <c r="AX72" s="437"/>
      <c r="AY72" s="437"/>
      <c r="AZ72" s="391" t="s">
        <v>2083</v>
      </c>
      <c r="BA72" s="392"/>
      <c r="BB72" s="392"/>
      <c r="BC72" s="392"/>
      <c r="BD72" s="389" t="s">
        <v>2403</v>
      </c>
      <c r="BE72" s="390"/>
      <c r="BF72" s="190"/>
      <c r="BG72" s="190"/>
      <c r="BH72" s="514">
        <v>1</v>
      </c>
      <c r="BI72" s="515"/>
      <c r="BJ72" s="498"/>
      <c r="BK72" s="499"/>
      <c r="BL72" s="499"/>
      <c r="BM72" s="499"/>
      <c r="BN72" s="499"/>
      <c r="BO72" s="499"/>
      <c r="BP72" s="499"/>
      <c r="BQ72" s="499"/>
      <c r="BR72" s="499"/>
      <c r="BS72" s="499"/>
      <c r="BT72" s="499"/>
      <c r="BU72" s="499"/>
      <c r="BV72" s="548"/>
      <c r="BW72" s="548"/>
      <c r="BX72" s="548"/>
      <c r="BY72" s="548"/>
      <c r="BZ72" s="548"/>
      <c r="CA72" s="548"/>
      <c r="CB72" s="548"/>
      <c r="CC72" s="548"/>
      <c r="CD72" s="548"/>
      <c r="CE72" s="547"/>
      <c r="CF72" s="547"/>
      <c r="CG72" s="547"/>
      <c r="CH72" s="547"/>
      <c r="CI72" s="547"/>
      <c r="CJ72" s="547"/>
      <c r="CK72" s="547"/>
      <c r="CL72" s="547"/>
      <c r="CM72" s="547"/>
      <c r="CN72" s="547"/>
      <c r="CO72" s="547"/>
      <c r="CP72" s="547"/>
      <c r="CQ72" s="547"/>
      <c r="CR72" s="547"/>
      <c r="CS72" s="547"/>
      <c r="CT72" s="547"/>
      <c r="CU72" s="547"/>
      <c r="CV72" s="547"/>
      <c r="CW72" s="547"/>
      <c r="CX72" s="547"/>
      <c r="CY72" s="547"/>
      <c r="CZ72" s="547"/>
      <c r="DA72" s="510"/>
      <c r="DB72" s="510"/>
      <c r="DC72" s="510"/>
      <c r="DD72" s="510"/>
      <c r="DE72" s="510"/>
      <c r="DF72" s="510"/>
      <c r="DG72" s="510"/>
      <c r="DH72" s="510"/>
      <c r="DI72" s="510"/>
      <c r="DJ72" s="510"/>
      <c r="DK72" s="492"/>
      <c r="DL72" s="493"/>
      <c r="DM72" s="493"/>
      <c r="DN72" s="493"/>
      <c r="DO72" s="493"/>
      <c r="DP72" s="493"/>
      <c r="DQ72" s="493"/>
      <c r="DR72" s="494"/>
    </row>
    <row r="73" spans="2:151" ht="22.5" customHeight="1" x14ac:dyDescent="0.3">
      <c r="B73" s="393" t="s">
        <v>2091</v>
      </c>
      <c r="C73" s="392"/>
      <c r="D73" s="392"/>
      <c r="E73" s="392"/>
      <c r="F73" s="392"/>
      <c r="G73" s="392"/>
      <c r="H73" s="392"/>
      <c r="I73" s="392"/>
      <c r="J73" s="392"/>
      <c r="K73" s="389" t="s">
        <v>2403</v>
      </c>
      <c r="L73" s="389"/>
      <c r="M73" s="391" t="s">
        <v>2089</v>
      </c>
      <c r="N73" s="392"/>
      <c r="O73" s="392"/>
      <c r="P73" s="392"/>
      <c r="Q73" s="392"/>
      <c r="R73" s="392"/>
      <c r="S73" s="389"/>
      <c r="T73" s="389"/>
      <c r="U73" s="389"/>
      <c r="V73" s="389"/>
      <c r="W73" s="389"/>
      <c r="X73" s="391" t="s">
        <v>2092</v>
      </c>
      <c r="Y73" s="392"/>
      <c r="Z73" s="392"/>
      <c r="AA73" s="392"/>
      <c r="AB73" s="392"/>
      <c r="AC73" s="392"/>
      <c r="AD73" s="392"/>
      <c r="AE73" s="392"/>
      <c r="AF73" s="392"/>
      <c r="AG73" s="392"/>
      <c r="AH73" s="392"/>
      <c r="AI73" s="392"/>
      <c r="AJ73" s="392"/>
      <c r="AK73" s="392"/>
      <c r="AL73" s="392"/>
      <c r="AM73" s="392"/>
      <c r="AN73" s="392"/>
      <c r="AO73" s="392"/>
      <c r="AP73" s="392"/>
      <c r="AQ73" s="392"/>
      <c r="AR73" s="389"/>
      <c r="AS73" s="389"/>
      <c r="AT73" s="389"/>
      <c r="AU73" s="389"/>
      <c r="AV73" s="389"/>
      <c r="AW73" s="432"/>
      <c r="AX73" s="391" t="s">
        <v>796</v>
      </c>
      <c r="AY73" s="392"/>
      <c r="AZ73" s="392"/>
      <c r="BA73" s="392"/>
      <c r="BB73" s="392"/>
      <c r="BC73" s="392"/>
      <c r="BD73" s="389" t="s">
        <v>2403</v>
      </c>
      <c r="BE73" s="390"/>
      <c r="BF73" s="190"/>
      <c r="BG73" s="190"/>
      <c r="BH73" s="443">
        <v>2</v>
      </c>
      <c r="BI73" s="444"/>
      <c r="BJ73" s="498"/>
      <c r="BK73" s="499"/>
      <c r="BL73" s="499"/>
      <c r="BM73" s="499"/>
      <c r="BN73" s="499"/>
      <c r="BO73" s="499"/>
      <c r="BP73" s="499"/>
      <c r="BQ73" s="499"/>
      <c r="BR73" s="499"/>
      <c r="BS73" s="499"/>
      <c r="BT73" s="499"/>
      <c r="BU73" s="499"/>
      <c r="BV73" s="548"/>
      <c r="BW73" s="548"/>
      <c r="BX73" s="548"/>
      <c r="BY73" s="548"/>
      <c r="BZ73" s="548"/>
      <c r="CA73" s="548"/>
      <c r="CB73" s="548"/>
      <c r="CC73" s="548"/>
      <c r="CD73" s="548"/>
      <c r="CE73" s="547"/>
      <c r="CF73" s="547"/>
      <c r="CG73" s="547"/>
      <c r="CH73" s="547"/>
      <c r="CI73" s="547"/>
      <c r="CJ73" s="547"/>
      <c r="CK73" s="547"/>
      <c r="CL73" s="547"/>
      <c r="CM73" s="547"/>
      <c r="CN73" s="547"/>
      <c r="CO73" s="547"/>
      <c r="CP73" s="547"/>
      <c r="CQ73" s="547"/>
      <c r="CR73" s="547"/>
      <c r="CS73" s="547"/>
      <c r="CT73" s="547"/>
      <c r="CU73" s="547"/>
      <c r="CV73" s="547"/>
      <c r="CW73" s="547"/>
      <c r="CX73" s="547"/>
      <c r="CY73" s="547"/>
      <c r="CZ73" s="547"/>
      <c r="DA73" s="510"/>
      <c r="DB73" s="510"/>
      <c r="DC73" s="510"/>
      <c r="DD73" s="510"/>
      <c r="DE73" s="510"/>
      <c r="DF73" s="510"/>
      <c r="DG73" s="510"/>
      <c r="DH73" s="510"/>
      <c r="DI73" s="510"/>
      <c r="DJ73" s="510"/>
      <c r="DK73" s="492"/>
      <c r="DL73" s="493"/>
      <c r="DM73" s="493"/>
      <c r="DN73" s="493"/>
      <c r="DO73" s="493"/>
      <c r="DP73" s="493"/>
      <c r="DQ73" s="493"/>
      <c r="DR73" s="494"/>
    </row>
    <row r="74" spans="2:151" ht="22.5" customHeight="1" x14ac:dyDescent="0.3">
      <c r="B74" s="393" t="s">
        <v>2978</v>
      </c>
      <c r="C74" s="392"/>
      <c r="D74" s="392"/>
      <c r="E74" s="392"/>
      <c r="F74" s="392"/>
      <c r="G74" s="392"/>
      <c r="H74" s="392"/>
      <c r="I74" s="392"/>
      <c r="J74" s="392"/>
      <c r="K74" s="389" t="s">
        <v>2403</v>
      </c>
      <c r="L74" s="389"/>
      <c r="M74" s="391" t="s">
        <v>2089</v>
      </c>
      <c r="N74" s="392"/>
      <c r="O74" s="392"/>
      <c r="P74" s="392"/>
      <c r="Q74" s="392"/>
      <c r="R74" s="392"/>
      <c r="S74" s="389"/>
      <c r="T74" s="389"/>
      <c r="U74" s="389"/>
      <c r="V74" s="389"/>
      <c r="W74" s="389"/>
      <c r="X74" s="391" t="s">
        <v>2118</v>
      </c>
      <c r="Y74" s="392"/>
      <c r="Z74" s="392"/>
      <c r="AA74" s="392"/>
      <c r="AB74" s="392"/>
      <c r="AC74" s="392"/>
      <c r="AD74" s="392"/>
      <c r="AE74" s="442"/>
      <c r="AF74" s="442"/>
      <c r="AG74" s="442"/>
      <c r="AH74" s="442"/>
      <c r="AI74" s="442"/>
      <c r="AJ74" s="391" t="s">
        <v>2090</v>
      </c>
      <c r="AK74" s="392"/>
      <c r="AL74" s="392"/>
      <c r="AM74" s="392"/>
      <c r="AN74" s="392"/>
      <c r="AO74" s="392"/>
      <c r="AP74" s="392"/>
      <c r="AQ74" s="392"/>
      <c r="AR74" s="433"/>
      <c r="AS74" s="433"/>
      <c r="AT74" s="433"/>
      <c r="AU74" s="433"/>
      <c r="AV74" s="433"/>
      <c r="AW74" s="434"/>
      <c r="AX74" s="391" t="s">
        <v>2085</v>
      </c>
      <c r="AY74" s="392"/>
      <c r="AZ74" s="392"/>
      <c r="BA74" s="392"/>
      <c r="BB74" s="392"/>
      <c r="BC74" s="392"/>
      <c r="BD74" s="389" t="s">
        <v>2403</v>
      </c>
      <c r="BE74" s="390"/>
      <c r="BF74" s="190"/>
      <c r="BG74" s="190"/>
      <c r="BH74" s="443">
        <v>3</v>
      </c>
      <c r="BI74" s="444"/>
      <c r="BJ74" s="498"/>
      <c r="BK74" s="499"/>
      <c r="BL74" s="499"/>
      <c r="BM74" s="499"/>
      <c r="BN74" s="499"/>
      <c r="BO74" s="499"/>
      <c r="BP74" s="499"/>
      <c r="BQ74" s="499"/>
      <c r="BR74" s="499"/>
      <c r="BS74" s="499"/>
      <c r="BT74" s="499"/>
      <c r="BU74" s="499"/>
      <c r="BV74" s="548"/>
      <c r="BW74" s="548"/>
      <c r="BX74" s="548"/>
      <c r="BY74" s="548"/>
      <c r="BZ74" s="548"/>
      <c r="CA74" s="548"/>
      <c r="CB74" s="548"/>
      <c r="CC74" s="548"/>
      <c r="CD74" s="548"/>
      <c r="CE74" s="547"/>
      <c r="CF74" s="547"/>
      <c r="CG74" s="547"/>
      <c r="CH74" s="547"/>
      <c r="CI74" s="547"/>
      <c r="CJ74" s="547"/>
      <c r="CK74" s="547"/>
      <c r="CL74" s="547"/>
      <c r="CM74" s="547"/>
      <c r="CN74" s="547"/>
      <c r="CO74" s="547"/>
      <c r="CP74" s="547"/>
      <c r="CQ74" s="547"/>
      <c r="CR74" s="547"/>
      <c r="CS74" s="547"/>
      <c r="CT74" s="547"/>
      <c r="CU74" s="547"/>
      <c r="CV74" s="547"/>
      <c r="CW74" s="547"/>
      <c r="CX74" s="547"/>
      <c r="CY74" s="547"/>
      <c r="CZ74" s="547"/>
      <c r="DA74" s="510"/>
      <c r="DB74" s="510"/>
      <c r="DC74" s="510"/>
      <c r="DD74" s="510"/>
      <c r="DE74" s="510"/>
      <c r="DF74" s="510"/>
      <c r="DG74" s="510"/>
      <c r="DH74" s="510"/>
      <c r="DI74" s="510"/>
      <c r="DJ74" s="510"/>
      <c r="DK74" s="492"/>
      <c r="DL74" s="493"/>
      <c r="DM74" s="493"/>
      <c r="DN74" s="493"/>
      <c r="DO74" s="493"/>
      <c r="DP74" s="493"/>
      <c r="DQ74" s="493"/>
      <c r="DR74" s="494"/>
      <c r="EA74"/>
      <c r="EB74"/>
      <c r="EC74"/>
      <c r="ED74"/>
      <c r="EE74"/>
      <c r="EF74"/>
      <c r="EG74"/>
      <c r="EH74"/>
      <c r="EI74"/>
      <c r="EJ74"/>
      <c r="EK74"/>
      <c r="EL74"/>
      <c r="EM74"/>
      <c r="EN74"/>
      <c r="EO74"/>
      <c r="EP74"/>
      <c r="EQ74"/>
      <c r="ER74"/>
      <c r="ES74"/>
      <c r="ET74"/>
      <c r="EU74"/>
    </row>
    <row r="75" spans="2:151" ht="22.5" customHeight="1" x14ac:dyDescent="0.3">
      <c r="B75" s="438" t="s">
        <v>2916</v>
      </c>
      <c r="C75" s="436"/>
      <c r="D75" s="436"/>
      <c r="E75" s="436"/>
      <c r="F75" s="436"/>
      <c r="G75" s="436"/>
      <c r="H75" s="436"/>
      <c r="I75" s="436"/>
      <c r="J75" s="436"/>
      <c r="K75" s="387" t="s">
        <v>2403</v>
      </c>
      <c r="L75" s="387"/>
      <c r="M75" s="435" t="s">
        <v>2086</v>
      </c>
      <c r="N75" s="436"/>
      <c r="O75" s="436"/>
      <c r="P75" s="436"/>
      <c r="Q75" s="436"/>
      <c r="R75" s="436"/>
      <c r="S75" s="439"/>
      <c r="T75" s="387"/>
      <c r="U75" s="387"/>
      <c r="V75" s="387"/>
      <c r="W75" s="387"/>
      <c r="X75" s="435" t="s">
        <v>2087</v>
      </c>
      <c r="Y75" s="436"/>
      <c r="Z75" s="436"/>
      <c r="AA75" s="436"/>
      <c r="AB75" s="436"/>
      <c r="AC75" s="436"/>
      <c r="AD75" s="436"/>
      <c r="AE75" s="387" t="s">
        <v>2403</v>
      </c>
      <c r="AF75" s="387"/>
      <c r="AG75" s="387"/>
      <c r="AH75" s="387"/>
      <c r="AI75" s="387"/>
      <c r="AJ75" s="435" t="s">
        <v>2088</v>
      </c>
      <c r="AK75" s="436"/>
      <c r="AL75" s="436"/>
      <c r="AM75" s="436"/>
      <c r="AN75" s="436"/>
      <c r="AO75" s="436"/>
      <c r="AP75" s="436"/>
      <c r="AQ75" s="436"/>
      <c r="AR75" s="387"/>
      <c r="AS75" s="387"/>
      <c r="AT75" s="387"/>
      <c r="AU75" s="387"/>
      <c r="AV75" s="387"/>
      <c r="AW75" s="387"/>
      <c r="AX75" s="387"/>
      <c r="AY75" s="387"/>
      <c r="AZ75" s="387"/>
      <c r="BA75" s="387"/>
      <c r="BB75" s="387"/>
      <c r="BC75" s="387"/>
      <c r="BD75" s="387"/>
      <c r="BE75" s="388"/>
      <c r="BF75" s="202"/>
      <c r="BG75" s="203"/>
      <c r="BH75" s="445">
        <v>4</v>
      </c>
      <c r="BI75" s="446"/>
      <c r="BJ75" s="498"/>
      <c r="BK75" s="499"/>
      <c r="BL75" s="499"/>
      <c r="BM75" s="499"/>
      <c r="BN75" s="499"/>
      <c r="BO75" s="499"/>
      <c r="BP75" s="499"/>
      <c r="BQ75" s="499"/>
      <c r="BR75" s="499"/>
      <c r="BS75" s="499"/>
      <c r="BT75" s="499"/>
      <c r="BU75" s="499"/>
      <c r="BV75" s="548"/>
      <c r="BW75" s="548"/>
      <c r="BX75" s="548"/>
      <c r="BY75" s="548"/>
      <c r="BZ75" s="548"/>
      <c r="CA75" s="548"/>
      <c r="CB75" s="548"/>
      <c r="CC75" s="548"/>
      <c r="CD75" s="548"/>
      <c r="CE75" s="547"/>
      <c r="CF75" s="547"/>
      <c r="CG75" s="547"/>
      <c r="CH75" s="547"/>
      <c r="CI75" s="547"/>
      <c r="CJ75" s="547"/>
      <c r="CK75" s="547"/>
      <c r="CL75" s="547"/>
      <c r="CM75" s="547"/>
      <c r="CN75" s="547"/>
      <c r="CO75" s="547"/>
      <c r="CP75" s="547"/>
      <c r="CQ75" s="547"/>
      <c r="CR75" s="547"/>
      <c r="CS75" s="547"/>
      <c r="CT75" s="547"/>
      <c r="CU75" s="547"/>
      <c r="CV75" s="547"/>
      <c r="CW75" s="547"/>
      <c r="CX75" s="547"/>
      <c r="CY75" s="547"/>
      <c r="CZ75" s="547"/>
      <c r="DA75" s="510"/>
      <c r="DB75" s="510"/>
      <c r="DC75" s="510"/>
      <c r="DD75" s="510"/>
      <c r="DE75" s="510"/>
      <c r="DF75" s="510"/>
      <c r="DG75" s="510"/>
      <c r="DH75" s="510"/>
      <c r="DI75" s="510"/>
      <c r="DJ75" s="510"/>
      <c r="DK75" s="492"/>
      <c r="DL75" s="493"/>
      <c r="DM75" s="493"/>
      <c r="DN75" s="493"/>
      <c r="DO75" s="493"/>
      <c r="DP75" s="493"/>
      <c r="DQ75" s="493"/>
      <c r="DR75" s="494"/>
      <c r="EA75"/>
      <c r="EB75"/>
      <c r="EC75"/>
      <c r="ED75"/>
      <c r="EE75"/>
      <c r="EF75"/>
      <c r="EG75"/>
      <c r="EH75"/>
      <c r="EI75"/>
      <c r="EJ75"/>
      <c r="EK75"/>
      <c r="EL75"/>
      <c r="EM75"/>
      <c r="EN75"/>
      <c r="EO75"/>
      <c r="EP75"/>
      <c r="EQ75"/>
      <c r="ER75"/>
      <c r="ES75"/>
      <c r="ET75"/>
      <c r="EU75"/>
    </row>
    <row r="76" spans="2:151" ht="22.5" customHeight="1" x14ac:dyDescent="0.25">
      <c r="B76" s="381" t="s">
        <v>2942</v>
      </c>
      <c r="C76" s="382"/>
      <c r="D76" s="382"/>
      <c r="E76" s="382"/>
      <c r="F76" s="382"/>
      <c r="G76" s="382"/>
      <c r="H76" s="382"/>
      <c r="I76" s="382"/>
      <c r="J76" s="421"/>
      <c r="K76" s="592"/>
      <c r="L76" s="592"/>
      <c r="M76" s="592"/>
      <c r="N76" s="592"/>
      <c r="O76" s="592"/>
      <c r="P76" s="592"/>
      <c r="Q76" s="592"/>
      <c r="R76" s="592"/>
      <c r="S76" s="592"/>
      <c r="T76" s="592"/>
      <c r="U76" s="592"/>
      <c r="V76" s="592"/>
      <c r="W76" s="592"/>
      <c r="X76" s="592"/>
      <c r="Y76" s="592"/>
      <c r="Z76" s="592"/>
      <c r="AA76" s="592"/>
      <c r="AB76" s="592"/>
      <c r="AC76" s="592"/>
      <c r="AD76" s="592"/>
      <c r="AE76" s="592"/>
      <c r="AF76" s="592"/>
      <c r="AG76" s="592"/>
      <c r="AH76" s="592"/>
      <c r="AI76" s="592"/>
      <c r="AJ76" s="592"/>
      <c r="AK76" s="592"/>
      <c r="AL76" s="592"/>
      <c r="AM76" s="592"/>
      <c r="AN76" s="592"/>
      <c r="AO76" s="592"/>
      <c r="AP76" s="592"/>
      <c r="AQ76" s="592"/>
      <c r="AR76" s="592"/>
      <c r="AS76" s="592"/>
      <c r="AT76" s="592"/>
      <c r="AU76" s="592"/>
      <c r="AV76" s="592"/>
      <c r="AW76" s="592"/>
      <c r="AX76" s="592"/>
      <c r="AY76" s="592"/>
      <c r="AZ76" s="592"/>
      <c r="BA76" s="592"/>
      <c r="BB76" s="592"/>
      <c r="BC76" s="592"/>
      <c r="BD76" s="592"/>
      <c r="BE76" s="593"/>
      <c r="BF76" s="201"/>
      <c r="BG76" s="201"/>
      <c r="BH76" s="200"/>
      <c r="BI76" s="200"/>
      <c r="BJ76" s="200"/>
      <c r="BK76" s="200"/>
      <c r="BL76" s="200"/>
      <c r="BM76" s="200"/>
      <c r="BN76" s="200"/>
      <c r="BO76" s="200"/>
      <c r="BP76" s="200"/>
      <c r="BQ76" s="200"/>
      <c r="BR76" s="200"/>
      <c r="BS76" s="200"/>
      <c r="BT76" s="200"/>
      <c r="BU76" s="200"/>
      <c r="BV76" s="201"/>
      <c r="DA76" s="598" t="s">
        <v>1647</v>
      </c>
      <c r="DB76" s="599"/>
      <c r="DC76" s="599"/>
      <c r="DD76" s="599"/>
      <c r="DE76" s="599"/>
      <c r="DF76" s="599"/>
      <c r="DG76" s="599"/>
      <c r="DH76" s="599"/>
      <c r="DI76" s="599"/>
      <c r="DJ76" s="599"/>
      <c r="DK76" s="418">
        <f>SUM(DK72:DR75)</f>
        <v>0</v>
      </c>
      <c r="DL76" s="419"/>
      <c r="DM76" s="419"/>
      <c r="DN76" s="419"/>
      <c r="DO76" s="419"/>
      <c r="DP76" s="419"/>
      <c r="DQ76" s="419"/>
      <c r="DR76" s="420"/>
      <c r="EA76"/>
      <c r="EB76"/>
      <c r="EC76"/>
      <c r="ED76"/>
      <c r="EE76"/>
      <c r="EF76"/>
      <c r="EG76"/>
      <c r="EH76"/>
      <c r="EI76"/>
      <c r="EJ76"/>
      <c r="EK76"/>
      <c r="EL76"/>
      <c r="EM76"/>
      <c r="EN76"/>
      <c r="EO76"/>
      <c r="EP76"/>
      <c r="EQ76"/>
      <c r="ER76"/>
      <c r="ES76"/>
      <c r="ET76"/>
      <c r="EU76"/>
    </row>
    <row r="77" spans="2:151" ht="24" customHeight="1" x14ac:dyDescent="0.25">
      <c r="B77" s="383"/>
      <c r="C77" s="384"/>
      <c r="D77" s="384"/>
      <c r="E77" s="384"/>
      <c r="F77" s="384"/>
      <c r="G77" s="384"/>
      <c r="H77" s="384"/>
      <c r="I77" s="384"/>
      <c r="J77" s="594"/>
      <c r="K77" s="594"/>
      <c r="L77" s="594"/>
      <c r="M77" s="594"/>
      <c r="N77" s="594"/>
      <c r="O77" s="594"/>
      <c r="P77" s="594"/>
      <c r="Q77" s="594"/>
      <c r="R77" s="594"/>
      <c r="S77" s="594"/>
      <c r="T77" s="594"/>
      <c r="U77" s="594"/>
      <c r="V77" s="594"/>
      <c r="W77" s="594"/>
      <c r="X77" s="594"/>
      <c r="Y77" s="594"/>
      <c r="Z77" s="594"/>
      <c r="AA77" s="594"/>
      <c r="AB77" s="594"/>
      <c r="AC77" s="594"/>
      <c r="AD77" s="594"/>
      <c r="AE77" s="594"/>
      <c r="AF77" s="594"/>
      <c r="AG77" s="594"/>
      <c r="AH77" s="594"/>
      <c r="AI77" s="594"/>
      <c r="AJ77" s="594"/>
      <c r="AK77" s="594"/>
      <c r="AL77" s="594"/>
      <c r="AM77" s="594"/>
      <c r="AN77" s="594"/>
      <c r="AO77" s="594"/>
      <c r="AP77" s="594"/>
      <c r="AQ77" s="594"/>
      <c r="AR77" s="594"/>
      <c r="AS77" s="594"/>
      <c r="AT77" s="594"/>
      <c r="AU77" s="594"/>
      <c r="AV77" s="594"/>
      <c r="AW77" s="594"/>
      <c r="AX77" s="594"/>
      <c r="AY77" s="594"/>
      <c r="AZ77" s="594"/>
      <c r="BA77" s="594"/>
      <c r="BB77" s="594"/>
      <c r="BC77" s="594"/>
      <c r="BD77" s="594"/>
      <c r="BE77" s="595"/>
      <c r="BF77"/>
      <c r="BG77"/>
      <c r="BH77"/>
      <c r="BI77"/>
      <c r="BJ77"/>
      <c r="BK77"/>
      <c r="BL77"/>
      <c r="BM77"/>
      <c r="BN77"/>
      <c r="BO77"/>
      <c r="BP77"/>
      <c r="BQ77"/>
      <c r="BR77"/>
      <c r="BS77"/>
      <c r="BT77"/>
      <c r="BU77"/>
      <c r="BV77"/>
    </row>
    <row r="78" spans="2:151" ht="24" customHeight="1" thickBot="1" x14ac:dyDescent="0.3">
      <c r="B78" s="383"/>
      <c r="C78" s="384"/>
      <c r="D78" s="384"/>
      <c r="E78" s="384"/>
      <c r="F78" s="384"/>
      <c r="G78" s="384"/>
      <c r="H78" s="384"/>
      <c r="I78" s="384"/>
      <c r="J78" s="596"/>
      <c r="K78" s="596"/>
      <c r="L78" s="596"/>
      <c r="M78" s="596"/>
      <c r="N78" s="596"/>
      <c r="O78" s="596"/>
      <c r="P78" s="596"/>
      <c r="Q78" s="596"/>
      <c r="R78" s="596"/>
      <c r="S78" s="596"/>
      <c r="T78" s="596"/>
      <c r="U78" s="596"/>
      <c r="V78" s="596"/>
      <c r="W78" s="596"/>
      <c r="X78" s="596"/>
      <c r="Y78" s="596"/>
      <c r="Z78" s="596"/>
      <c r="AA78" s="596"/>
      <c r="AB78" s="596"/>
      <c r="AC78" s="596"/>
      <c r="AD78" s="596"/>
      <c r="AE78" s="596"/>
      <c r="AF78" s="596"/>
      <c r="AG78" s="596"/>
      <c r="AH78" s="596"/>
      <c r="AI78" s="596"/>
      <c r="AJ78" s="596"/>
      <c r="AK78" s="596"/>
      <c r="AL78" s="596"/>
      <c r="AM78" s="596"/>
      <c r="AN78" s="596"/>
      <c r="AO78" s="596"/>
      <c r="AP78" s="596"/>
      <c r="AQ78" s="596"/>
      <c r="AR78" s="596"/>
      <c r="AS78" s="596"/>
      <c r="AT78" s="596"/>
      <c r="AU78" s="596"/>
      <c r="AV78" s="596"/>
      <c r="AW78" s="596"/>
      <c r="AX78" s="596"/>
      <c r="AY78" s="596"/>
      <c r="AZ78" s="596"/>
      <c r="BA78" s="596"/>
      <c r="BB78" s="596"/>
      <c r="BC78" s="596"/>
      <c r="BD78" s="596"/>
      <c r="BE78" s="597"/>
      <c r="BF78"/>
      <c r="BG78"/>
      <c r="BH78"/>
      <c r="BI78"/>
      <c r="BJ78"/>
      <c r="BK78"/>
      <c r="BL78"/>
      <c r="BM78"/>
      <c r="BN78"/>
      <c r="BO78"/>
      <c r="BP78"/>
      <c r="BQ78"/>
      <c r="BR78"/>
      <c r="BS78"/>
      <c r="BT78"/>
      <c r="BU78"/>
      <c r="BV78"/>
    </row>
    <row r="79" spans="2:151" ht="24" customHeight="1" x14ac:dyDescent="0.25">
      <c r="B79" s="360"/>
      <c r="C79" s="360"/>
      <c r="D79" s="360"/>
      <c r="E79" s="360"/>
      <c r="F79" s="360"/>
      <c r="G79" s="360"/>
      <c r="H79" s="360"/>
      <c r="I79" s="360"/>
      <c r="BF79"/>
      <c r="BG79"/>
      <c r="BH79"/>
      <c r="BI79"/>
      <c r="BJ79"/>
      <c r="BK79"/>
      <c r="BL79"/>
      <c r="BM79"/>
      <c r="BN79"/>
      <c r="BO79"/>
      <c r="BP79"/>
      <c r="BQ79"/>
      <c r="BR79"/>
    </row>
    <row r="80" spans="2:151" ht="18.75" customHeight="1" x14ac:dyDescent="0.3">
      <c r="B80" s="190"/>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190"/>
      <c r="AC80" s="190"/>
      <c r="AD80" s="190"/>
      <c r="AE80" s="190"/>
      <c r="AF80" s="190"/>
      <c r="AG80" s="190"/>
      <c r="AH80" s="190"/>
      <c r="AI80" s="190"/>
      <c r="AJ80" s="190"/>
      <c r="AK80" s="190"/>
      <c r="AL80" s="190"/>
      <c r="AM80" s="190"/>
      <c r="AN80" s="190"/>
      <c r="AO80" s="190"/>
      <c r="AP80" s="190"/>
      <c r="AQ80" s="190"/>
      <c r="AR80" s="190"/>
      <c r="AS80" s="190"/>
      <c r="AT80" s="190"/>
      <c r="AU80" s="190"/>
      <c r="AV80" s="190"/>
      <c r="AW80" s="190"/>
      <c r="AX80" s="190"/>
      <c r="AY80" s="190"/>
      <c r="AZ80" s="190"/>
      <c r="BA80" s="190"/>
      <c r="BB80" s="190"/>
      <c r="BC80" s="190"/>
      <c r="BD80" s="190"/>
      <c r="BE80" s="190"/>
      <c r="BF80" s="190"/>
      <c r="BG80" s="190"/>
      <c r="BH80" s="190"/>
    </row>
    <row r="81" spans="2:160" ht="22.5" hidden="1" customHeight="1" thickBot="1" x14ac:dyDescent="0.35">
      <c r="B81" s="479" t="s">
        <v>283</v>
      </c>
      <c r="C81" s="479"/>
      <c r="D81" s="479"/>
      <c r="E81" s="479"/>
      <c r="F81" s="479"/>
      <c r="G81" s="479"/>
      <c r="H81" s="479"/>
      <c r="I81" s="479"/>
      <c r="J81" s="479"/>
      <c r="K81" s="479"/>
      <c r="L81" s="479"/>
      <c r="M81" s="479"/>
      <c r="N81" s="479"/>
      <c r="O81" s="479"/>
      <c r="P81" s="479"/>
      <c r="Q81" s="479"/>
      <c r="R81" s="479"/>
      <c r="S81" s="479"/>
      <c r="T81" s="479"/>
      <c r="U81" s="479"/>
      <c r="V81" s="479"/>
      <c r="W81" s="479"/>
      <c r="X81" s="479"/>
      <c r="Y81" s="479"/>
      <c r="Z81" s="479"/>
      <c r="AA81" s="479"/>
      <c r="AB81" s="479"/>
      <c r="AC81" s="479"/>
      <c r="AD81" s="479"/>
      <c r="AE81" s="479"/>
      <c r="AF81" s="479"/>
      <c r="AG81" s="479"/>
      <c r="AH81" s="479"/>
      <c r="AI81" s="479"/>
      <c r="AJ81" s="479"/>
      <c r="AK81" s="479"/>
      <c r="AL81" s="479"/>
      <c r="AM81" s="479"/>
      <c r="AN81" s="479"/>
      <c r="AO81" s="479"/>
      <c r="AP81" s="479"/>
      <c r="AQ81" s="479"/>
      <c r="AR81" s="479"/>
      <c r="AS81" s="479"/>
      <c r="AT81" s="479"/>
      <c r="AU81" s="479"/>
      <c r="AV81" s="479"/>
      <c r="AW81" s="479"/>
      <c r="AX81" s="479"/>
      <c r="AY81" s="479"/>
      <c r="AZ81" s="479"/>
      <c r="BA81" s="479"/>
      <c r="BB81" s="479"/>
      <c r="BC81" s="479"/>
      <c r="BD81" s="479"/>
      <c r="BE81" s="479"/>
      <c r="BF81" s="190"/>
      <c r="BG81" s="190"/>
      <c r="BJ81" s="178" t="s">
        <v>1648</v>
      </c>
    </row>
    <row r="82" spans="2:160" ht="22.5" hidden="1" customHeight="1" x14ac:dyDescent="0.3">
      <c r="B82" s="454" t="s">
        <v>3221</v>
      </c>
      <c r="C82" s="401"/>
      <c r="D82" s="401"/>
      <c r="E82" s="401"/>
      <c r="F82" s="401"/>
      <c r="G82" s="401"/>
      <c r="H82" s="401"/>
      <c r="I82" s="401"/>
      <c r="J82" s="404"/>
      <c r="K82" s="404"/>
      <c r="L82" s="404"/>
      <c r="M82" s="404"/>
      <c r="N82" s="404"/>
      <c r="O82" s="404"/>
      <c r="P82" s="404"/>
      <c r="Q82" s="404"/>
      <c r="R82" s="404"/>
      <c r="S82" s="404"/>
      <c r="T82" s="404"/>
      <c r="U82" s="404"/>
      <c r="V82" s="404"/>
      <c r="W82" s="404"/>
      <c r="X82" s="405"/>
      <c r="Y82" s="400" t="s">
        <v>2074</v>
      </c>
      <c r="Z82" s="401"/>
      <c r="AA82" s="401"/>
      <c r="AB82" s="402"/>
      <c r="AC82" s="402"/>
      <c r="AD82" s="402"/>
      <c r="AE82" s="402"/>
      <c r="AF82" s="402"/>
      <c r="AG82" s="402"/>
      <c r="AH82" s="402"/>
      <c r="AI82" s="402"/>
      <c r="AJ82" s="402"/>
      <c r="AK82" s="403"/>
      <c r="AL82" s="400" t="s">
        <v>1982</v>
      </c>
      <c r="AM82" s="401"/>
      <c r="AN82" s="401"/>
      <c r="AO82" s="404"/>
      <c r="AP82" s="404"/>
      <c r="AQ82" s="404"/>
      <c r="AR82" s="404"/>
      <c r="AS82" s="404"/>
      <c r="AT82" s="404"/>
      <c r="AU82" s="405"/>
      <c r="AV82" s="400" t="s">
        <v>1983</v>
      </c>
      <c r="AW82" s="401"/>
      <c r="AX82" s="404"/>
      <c r="AY82" s="404"/>
      <c r="AZ82" s="404"/>
      <c r="BA82" s="404"/>
      <c r="BB82" s="404"/>
      <c r="BC82" s="404"/>
      <c r="BD82" s="404"/>
      <c r="BE82" s="406"/>
      <c r="BF82" s="190"/>
      <c r="BG82" s="190"/>
      <c r="BH82" s="517" t="s">
        <v>389</v>
      </c>
      <c r="BI82" s="518"/>
      <c r="BJ82" s="489" t="s">
        <v>1649</v>
      </c>
      <c r="BK82" s="490"/>
      <c r="BL82" s="490"/>
      <c r="BM82" s="490"/>
      <c r="BN82" s="490"/>
      <c r="BO82" s="490"/>
      <c r="BP82" s="490"/>
      <c r="BQ82" s="490"/>
      <c r="BR82" s="490"/>
      <c r="BS82" s="490"/>
      <c r="BT82" s="490"/>
      <c r="BU82" s="490"/>
      <c r="BV82" s="483" t="s">
        <v>1644</v>
      </c>
      <c r="BW82" s="484"/>
      <c r="BX82" s="484"/>
      <c r="BY82" s="484"/>
      <c r="BZ82" s="484"/>
      <c r="CA82" s="484"/>
      <c r="CB82" s="484"/>
      <c r="CC82" s="484"/>
      <c r="CD82" s="485"/>
      <c r="CE82" s="513" t="s">
        <v>1675</v>
      </c>
      <c r="CF82" s="513"/>
      <c r="CG82" s="513"/>
      <c r="CH82" s="513"/>
      <c r="CI82" s="513"/>
      <c r="CJ82" s="513"/>
      <c r="CK82" s="513"/>
      <c r="CL82" s="513"/>
      <c r="CM82" s="513"/>
      <c r="CN82" s="513"/>
      <c r="CO82" s="489" t="s">
        <v>1676</v>
      </c>
      <c r="CP82" s="490"/>
      <c r="CQ82" s="490"/>
      <c r="CR82" s="490"/>
      <c r="CS82" s="490"/>
      <c r="CT82" s="490"/>
      <c r="CU82" s="490"/>
      <c r="CV82" s="490"/>
      <c r="CW82" s="490"/>
      <c r="CX82" s="490"/>
      <c r="CY82" s="490"/>
      <c r="CZ82" s="491"/>
      <c r="DA82" s="600" t="s">
        <v>1645</v>
      </c>
      <c r="DB82" s="600"/>
      <c r="DC82" s="600"/>
      <c r="DD82" s="600"/>
      <c r="DE82" s="600"/>
      <c r="DF82" s="600"/>
      <c r="DG82" s="600"/>
      <c r="DH82" s="600"/>
      <c r="DI82" s="600"/>
      <c r="DJ82" s="600"/>
      <c r="DK82" s="489" t="s">
        <v>1646</v>
      </c>
      <c r="DL82" s="490"/>
      <c r="DM82" s="490"/>
      <c r="DN82" s="490"/>
      <c r="DO82" s="490"/>
      <c r="DP82" s="490"/>
      <c r="DQ82" s="490"/>
      <c r="DR82" s="491"/>
    </row>
    <row r="83" spans="2:160" ht="22.5" hidden="1" customHeight="1" x14ac:dyDescent="0.25">
      <c r="B83" s="393" t="s">
        <v>1984</v>
      </c>
      <c r="C83" s="392"/>
      <c r="D83" s="392"/>
      <c r="E83" s="392"/>
      <c r="F83" s="389"/>
      <c r="G83" s="389"/>
      <c r="H83" s="389"/>
      <c r="I83" s="389"/>
      <c r="J83" s="389"/>
      <c r="K83" s="389"/>
      <c r="L83" s="389"/>
      <c r="M83" s="391" t="s">
        <v>307</v>
      </c>
      <c r="N83" s="392"/>
      <c r="O83" s="392"/>
      <c r="P83" s="392"/>
      <c r="Q83" s="392"/>
      <c r="R83" s="392"/>
      <c r="S83" s="392"/>
      <c r="T83" s="392"/>
      <c r="U83" s="433"/>
      <c r="V83" s="433"/>
      <c r="W83" s="433"/>
      <c r="X83" s="433"/>
      <c r="Y83" s="433"/>
      <c r="Z83" s="433"/>
      <c r="AA83" s="391" t="s">
        <v>2084</v>
      </c>
      <c r="AB83" s="392"/>
      <c r="AC83" s="392"/>
      <c r="AD83" s="392"/>
      <c r="AE83" s="392"/>
      <c r="AF83" s="392"/>
      <c r="AG83" s="392"/>
      <c r="AH83" s="392"/>
      <c r="AI83" s="433"/>
      <c r="AJ83" s="433"/>
      <c r="AK83" s="433"/>
      <c r="AL83" s="433"/>
      <c r="AM83" s="433"/>
      <c r="AN83" s="434"/>
      <c r="AO83" s="391" t="s">
        <v>279</v>
      </c>
      <c r="AP83" s="392"/>
      <c r="AQ83" s="392"/>
      <c r="AR83" s="392"/>
      <c r="AS83" s="392"/>
      <c r="AT83" s="437"/>
      <c r="AU83" s="437"/>
      <c r="AV83" s="437"/>
      <c r="AW83" s="437"/>
      <c r="AX83" s="437"/>
      <c r="AY83" s="437"/>
      <c r="AZ83" s="391" t="s">
        <v>2083</v>
      </c>
      <c r="BA83" s="392"/>
      <c r="BB83" s="392"/>
      <c r="BC83" s="392"/>
      <c r="BD83" s="389"/>
      <c r="BE83" s="390"/>
      <c r="BH83" s="514">
        <v>1</v>
      </c>
      <c r="BI83" s="515"/>
      <c r="BJ83" s="498"/>
      <c r="BK83" s="499"/>
      <c r="BL83" s="499"/>
      <c r="BM83" s="499"/>
      <c r="BN83" s="499"/>
      <c r="BO83" s="499"/>
      <c r="BP83" s="499"/>
      <c r="BQ83" s="499"/>
      <c r="BR83" s="499"/>
      <c r="BS83" s="499"/>
      <c r="BT83" s="499"/>
      <c r="BU83" s="499"/>
      <c r="BV83" s="500"/>
      <c r="BW83" s="501"/>
      <c r="BX83" s="501"/>
      <c r="BY83" s="501"/>
      <c r="BZ83" s="501"/>
      <c r="CA83" s="501"/>
      <c r="CB83" s="501"/>
      <c r="CC83" s="501"/>
      <c r="CD83" s="502"/>
      <c r="CE83" s="519"/>
      <c r="CF83" s="519"/>
      <c r="CG83" s="519"/>
      <c r="CH83" s="519"/>
      <c r="CI83" s="519"/>
      <c r="CJ83" s="519"/>
      <c r="CK83" s="519"/>
      <c r="CL83" s="519"/>
      <c r="CM83" s="519"/>
      <c r="CN83" s="519"/>
      <c r="CO83" s="507"/>
      <c r="CP83" s="508"/>
      <c r="CQ83" s="508"/>
      <c r="CR83" s="508"/>
      <c r="CS83" s="508"/>
      <c r="CT83" s="508"/>
      <c r="CU83" s="508"/>
      <c r="CV83" s="508"/>
      <c r="CW83" s="508"/>
      <c r="CX83" s="508"/>
      <c r="CY83" s="508"/>
      <c r="CZ83" s="509"/>
      <c r="DA83" s="510"/>
      <c r="DB83" s="510"/>
      <c r="DC83" s="510"/>
      <c r="DD83" s="510"/>
      <c r="DE83" s="510"/>
      <c r="DF83" s="510"/>
      <c r="DG83" s="510"/>
      <c r="DH83" s="510"/>
      <c r="DI83" s="510"/>
      <c r="DJ83" s="510"/>
      <c r="DK83" s="492"/>
      <c r="DL83" s="493"/>
      <c r="DM83" s="493"/>
      <c r="DN83" s="493"/>
      <c r="DO83" s="493"/>
      <c r="DP83" s="493"/>
      <c r="DQ83" s="493"/>
      <c r="DR83" s="494"/>
    </row>
    <row r="84" spans="2:160" ht="22.5" hidden="1" customHeight="1" x14ac:dyDescent="0.25">
      <c r="B84" s="393" t="s">
        <v>2091</v>
      </c>
      <c r="C84" s="392"/>
      <c r="D84" s="392"/>
      <c r="E84" s="392"/>
      <c r="F84" s="392"/>
      <c r="G84" s="392"/>
      <c r="H84" s="392"/>
      <c r="I84" s="392"/>
      <c r="J84" s="392"/>
      <c r="K84" s="389"/>
      <c r="L84" s="389"/>
      <c r="M84" s="391" t="s">
        <v>2089</v>
      </c>
      <c r="N84" s="392"/>
      <c r="O84" s="392"/>
      <c r="P84" s="392"/>
      <c r="Q84" s="392"/>
      <c r="R84" s="392"/>
      <c r="S84" s="389"/>
      <c r="T84" s="389"/>
      <c r="U84" s="389"/>
      <c r="V84" s="389"/>
      <c r="W84" s="389"/>
      <c r="X84" s="391" t="s">
        <v>2092</v>
      </c>
      <c r="Y84" s="392"/>
      <c r="Z84" s="392"/>
      <c r="AA84" s="392"/>
      <c r="AB84" s="392"/>
      <c r="AC84" s="392"/>
      <c r="AD84" s="392"/>
      <c r="AE84" s="392"/>
      <c r="AF84" s="392"/>
      <c r="AG84" s="392"/>
      <c r="AH84" s="392"/>
      <c r="AI84" s="392"/>
      <c r="AJ84" s="392"/>
      <c r="AK84" s="392"/>
      <c r="AL84" s="392"/>
      <c r="AM84" s="392"/>
      <c r="AN84" s="392"/>
      <c r="AO84" s="392"/>
      <c r="AP84" s="392"/>
      <c r="AQ84" s="392"/>
      <c r="AR84" s="389"/>
      <c r="AS84" s="389"/>
      <c r="AT84" s="389"/>
      <c r="AU84" s="389"/>
      <c r="AV84" s="389"/>
      <c r="AW84" s="432"/>
      <c r="AX84" s="391" t="s">
        <v>796</v>
      </c>
      <c r="AY84" s="392"/>
      <c r="AZ84" s="392"/>
      <c r="BA84" s="392"/>
      <c r="BB84" s="392"/>
      <c r="BC84" s="392"/>
      <c r="BD84" s="389"/>
      <c r="BE84" s="390"/>
      <c r="BH84" s="443">
        <v>2</v>
      </c>
      <c r="BI84" s="444"/>
      <c r="BJ84" s="486"/>
      <c r="BK84" s="487"/>
      <c r="BL84" s="487"/>
      <c r="BM84" s="487"/>
      <c r="BN84" s="487"/>
      <c r="BO84" s="487"/>
      <c r="BP84" s="487"/>
      <c r="BQ84" s="487"/>
      <c r="BR84" s="487"/>
      <c r="BS84" s="487"/>
      <c r="BT84" s="487"/>
      <c r="BU84" s="487"/>
      <c r="BV84" s="500"/>
      <c r="BW84" s="501"/>
      <c r="BX84" s="501"/>
      <c r="BY84" s="501"/>
      <c r="BZ84" s="501"/>
      <c r="CA84" s="501"/>
      <c r="CB84" s="501"/>
      <c r="CC84" s="501"/>
      <c r="CD84" s="502"/>
      <c r="CE84" s="495"/>
      <c r="CF84" s="495"/>
      <c r="CG84" s="495"/>
      <c r="CH84" s="495"/>
      <c r="CI84" s="495"/>
      <c r="CJ84" s="495"/>
      <c r="CK84" s="495"/>
      <c r="CL84" s="495"/>
      <c r="CM84" s="495"/>
      <c r="CN84" s="495"/>
      <c r="CO84" s="486"/>
      <c r="CP84" s="487"/>
      <c r="CQ84" s="487"/>
      <c r="CR84" s="487"/>
      <c r="CS84" s="487"/>
      <c r="CT84" s="487"/>
      <c r="CU84" s="487"/>
      <c r="CV84" s="487"/>
      <c r="CW84" s="487"/>
      <c r="CX84" s="487"/>
      <c r="CY84" s="487"/>
      <c r="CZ84" s="488"/>
      <c r="DA84" s="495"/>
      <c r="DB84" s="495"/>
      <c r="DC84" s="495"/>
      <c r="DD84" s="495"/>
      <c r="DE84" s="495"/>
      <c r="DF84" s="495"/>
      <c r="DG84" s="495"/>
      <c r="DH84" s="495"/>
      <c r="DI84" s="495"/>
      <c r="DJ84" s="495"/>
      <c r="DK84" s="480"/>
      <c r="DL84" s="481"/>
      <c r="DM84" s="481"/>
      <c r="DN84" s="481"/>
      <c r="DO84" s="481"/>
      <c r="DP84" s="481"/>
      <c r="DQ84" s="481"/>
      <c r="DR84" s="482"/>
    </row>
    <row r="85" spans="2:160" ht="22.5" hidden="1" customHeight="1" x14ac:dyDescent="0.25">
      <c r="B85" s="393" t="s">
        <v>2978</v>
      </c>
      <c r="C85" s="392"/>
      <c r="D85" s="392"/>
      <c r="E85" s="392"/>
      <c r="F85" s="392"/>
      <c r="G85" s="392"/>
      <c r="H85" s="392"/>
      <c r="I85" s="392"/>
      <c r="J85" s="392"/>
      <c r="K85" s="389"/>
      <c r="L85" s="389"/>
      <c r="M85" s="391" t="s">
        <v>2089</v>
      </c>
      <c r="N85" s="392"/>
      <c r="O85" s="392"/>
      <c r="P85" s="392"/>
      <c r="Q85" s="392"/>
      <c r="R85" s="392"/>
      <c r="S85" s="389"/>
      <c r="T85" s="389"/>
      <c r="U85" s="389"/>
      <c r="V85" s="389"/>
      <c r="W85" s="389"/>
      <c r="X85" s="391" t="s">
        <v>2118</v>
      </c>
      <c r="Y85" s="392"/>
      <c r="Z85" s="392"/>
      <c r="AA85" s="392"/>
      <c r="AB85" s="392"/>
      <c r="AC85" s="392"/>
      <c r="AD85" s="392"/>
      <c r="AE85" s="442"/>
      <c r="AF85" s="442"/>
      <c r="AG85" s="442"/>
      <c r="AH85" s="442"/>
      <c r="AI85" s="442"/>
      <c r="AJ85" s="391" t="s">
        <v>2090</v>
      </c>
      <c r="AK85" s="392"/>
      <c r="AL85" s="392"/>
      <c r="AM85" s="392"/>
      <c r="AN85" s="392"/>
      <c r="AO85" s="392"/>
      <c r="AP85" s="392"/>
      <c r="AQ85" s="392"/>
      <c r="AR85" s="433"/>
      <c r="AS85" s="433"/>
      <c r="AT85" s="433"/>
      <c r="AU85" s="433"/>
      <c r="AV85" s="433"/>
      <c r="AW85" s="434"/>
      <c r="AX85" s="391" t="s">
        <v>2085</v>
      </c>
      <c r="AY85" s="392"/>
      <c r="AZ85" s="392"/>
      <c r="BA85" s="392"/>
      <c r="BB85" s="392"/>
      <c r="BC85" s="392"/>
      <c r="BD85" s="389"/>
      <c r="BE85" s="390"/>
      <c r="BH85" s="443">
        <v>3</v>
      </c>
      <c r="BI85" s="444"/>
      <c r="BJ85" s="486"/>
      <c r="BK85" s="487"/>
      <c r="BL85" s="487"/>
      <c r="BM85" s="487"/>
      <c r="BN85" s="487"/>
      <c r="BO85" s="487"/>
      <c r="BP85" s="487"/>
      <c r="BQ85" s="487"/>
      <c r="BR85" s="487"/>
      <c r="BS85" s="487"/>
      <c r="BT85" s="487"/>
      <c r="BU85" s="487"/>
      <c r="BV85" s="500"/>
      <c r="BW85" s="501"/>
      <c r="BX85" s="501"/>
      <c r="BY85" s="501"/>
      <c r="BZ85" s="501"/>
      <c r="CA85" s="501"/>
      <c r="CB85" s="501"/>
      <c r="CC85" s="501"/>
      <c r="CD85" s="502"/>
      <c r="CE85" s="506"/>
      <c r="CF85" s="506"/>
      <c r="CG85" s="506"/>
      <c r="CH85" s="506"/>
      <c r="CI85" s="506"/>
      <c r="CJ85" s="506"/>
      <c r="CK85" s="506"/>
      <c r="CL85" s="506"/>
      <c r="CM85" s="506"/>
      <c r="CN85" s="506"/>
      <c r="CO85" s="500"/>
      <c r="CP85" s="501"/>
      <c r="CQ85" s="501"/>
      <c r="CR85" s="501"/>
      <c r="CS85" s="501"/>
      <c r="CT85" s="501"/>
      <c r="CU85" s="501"/>
      <c r="CV85" s="501"/>
      <c r="CW85" s="501"/>
      <c r="CX85" s="501"/>
      <c r="CY85" s="501"/>
      <c r="CZ85" s="502"/>
      <c r="DA85" s="495"/>
      <c r="DB85" s="495"/>
      <c r="DC85" s="495"/>
      <c r="DD85" s="495"/>
      <c r="DE85" s="495"/>
      <c r="DF85" s="495"/>
      <c r="DG85" s="495"/>
      <c r="DH85" s="495"/>
      <c r="DI85" s="495"/>
      <c r="DJ85" s="495"/>
      <c r="DK85" s="480"/>
      <c r="DL85" s="481"/>
      <c r="DM85" s="481"/>
      <c r="DN85" s="481"/>
      <c r="DO85" s="481"/>
      <c r="DP85" s="481"/>
      <c r="DQ85" s="481"/>
      <c r="DR85" s="482"/>
    </row>
    <row r="86" spans="2:160" ht="22.5" hidden="1" customHeight="1" x14ac:dyDescent="0.25">
      <c r="B86" s="438" t="s">
        <v>2916</v>
      </c>
      <c r="C86" s="436"/>
      <c r="D86" s="436"/>
      <c r="E86" s="436"/>
      <c r="F86" s="436"/>
      <c r="G86" s="436"/>
      <c r="H86" s="436"/>
      <c r="I86" s="436"/>
      <c r="J86" s="436"/>
      <c r="K86" s="387"/>
      <c r="L86" s="387"/>
      <c r="M86" s="435" t="s">
        <v>2086</v>
      </c>
      <c r="N86" s="436"/>
      <c r="O86" s="436"/>
      <c r="P86" s="436"/>
      <c r="Q86" s="436"/>
      <c r="R86" s="436"/>
      <c r="S86" s="439"/>
      <c r="T86" s="387"/>
      <c r="U86" s="387"/>
      <c r="V86" s="387"/>
      <c r="W86" s="387"/>
      <c r="X86" s="435" t="s">
        <v>2087</v>
      </c>
      <c r="Y86" s="436"/>
      <c r="Z86" s="436"/>
      <c r="AA86" s="436"/>
      <c r="AB86" s="436"/>
      <c r="AC86" s="436"/>
      <c r="AD86" s="436"/>
      <c r="AE86" s="387"/>
      <c r="AF86" s="387"/>
      <c r="AG86" s="387"/>
      <c r="AH86" s="387"/>
      <c r="AI86" s="387"/>
      <c r="AJ86" s="435" t="s">
        <v>2088</v>
      </c>
      <c r="AK86" s="436"/>
      <c r="AL86" s="436"/>
      <c r="AM86" s="436"/>
      <c r="AN86" s="436"/>
      <c r="AO86" s="436"/>
      <c r="AP86" s="436"/>
      <c r="AQ86" s="436"/>
      <c r="AR86" s="387"/>
      <c r="AS86" s="387"/>
      <c r="AT86" s="387"/>
      <c r="AU86" s="387"/>
      <c r="AV86" s="387"/>
      <c r="AW86" s="387"/>
      <c r="AX86" s="387"/>
      <c r="AY86" s="387"/>
      <c r="AZ86" s="387"/>
      <c r="BA86" s="387"/>
      <c r="BB86" s="387"/>
      <c r="BC86" s="387"/>
      <c r="BD86" s="387"/>
      <c r="BE86" s="388"/>
      <c r="BH86" s="445">
        <v>4</v>
      </c>
      <c r="BI86" s="446"/>
      <c r="BJ86" s="496"/>
      <c r="BK86" s="461"/>
      <c r="BL86" s="461"/>
      <c r="BM86" s="461"/>
      <c r="BN86" s="461"/>
      <c r="BO86" s="461"/>
      <c r="BP86" s="461"/>
      <c r="BQ86" s="461"/>
      <c r="BR86" s="461"/>
      <c r="BS86" s="461"/>
      <c r="BT86" s="461"/>
      <c r="BU86" s="461"/>
      <c r="BV86" s="521"/>
      <c r="BW86" s="522"/>
      <c r="BX86" s="522"/>
      <c r="BY86" s="522"/>
      <c r="BZ86" s="522"/>
      <c r="CA86" s="522"/>
      <c r="CB86" s="522"/>
      <c r="CC86" s="522"/>
      <c r="CD86" s="523"/>
      <c r="CE86" s="497"/>
      <c r="CF86" s="497"/>
      <c r="CG86" s="497"/>
      <c r="CH86" s="497"/>
      <c r="CI86" s="497"/>
      <c r="CJ86" s="497"/>
      <c r="CK86" s="497"/>
      <c r="CL86" s="497"/>
      <c r="CM86" s="497"/>
      <c r="CN86" s="497"/>
      <c r="CO86" s="496"/>
      <c r="CP86" s="461"/>
      <c r="CQ86" s="461"/>
      <c r="CR86" s="461"/>
      <c r="CS86" s="461"/>
      <c r="CT86" s="461"/>
      <c r="CU86" s="461"/>
      <c r="CV86" s="461"/>
      <c r="CW86" s="461"/>
      <c r="CX86" s="461"/>
      <c r="CY86" s="461"/>
      <c r="CZ86" s="520"/>
      <c r="DA86" s="497"/>
      <c r="DB86" s="497"/>
      <c r="DC86" s="497"/>
      <c r="DD86" s="497"/>
      <c r="DE86" s="497"/>
      <c r="DF86" s="497"/>
      <c r="DG86" s="497"/>
      <c r="DH86" s="497"/>
      <c r="DI86" s="497"/>
      <c r="DJ86" s="497"/>
      <c r="DK86" s="503"/>
      <c r="DL86" s="504"/>
      <c r="DM86" s="504"/>
      <c r="DN86" s="504"/>
      <c r="DO86" s="504"/>
      <c r="DP86" s="504"/>
      <c r="DQ86" s="504"/>
      <c r="DR86" s="505"/>
    </row>
    <row r="87" spans="2:160" ht="22.5" hidden="1" customHeight="1" x14ac:dyDescent="0.25">
      <c r="B87" s="381" t="s">
        <v>278</v>
      </c>
      <c r="C87" s="382"/>
      <c r="D87" s="382"/>
      <c r="E87" s="382"/>
      <c r="F87" s="382"/>
      <c r="G87" s="382"/>
      <c r="H87" s="382"/>
      <c r="I87" s="382"/>
      <c r="J87" s="421"/>
      <c r="K87" s="421"/>
      <c r="L87" s="421"/>
      <c r="M87" s="421"/>
      <c r="N87" s="421"/>
      <c r="O87" s="421"/>
      <c r="P87" s="421"/>
      <c r="Q87" s="421"/>
      <c r="R87" s="421"/>
      <c r="S87" s="421"/>
      <c r="T87" s="421"/>
      <c r="U87" s="421"/>
      <c r="V87" s="421"/>
      <c r="W87" s="421"/>
      <c r="X87" s="421"/>
      <c r="Y87" s="421"/>
      <c r="Z87" s="421"/>
      <c r="AA87" s="421"/>
      <c r="AB87" s="421"/>
      <c r="AC87" s="421"/>
      <c r="AD87" s="421"/>
      <c r="AE87" s="421"/>
      <c r="AF87" s="421"/>
      <c r="AG87" s="421"/>
      <c r="AH87" s="421"/>
      <c r="AI87" s="421"/>
      <c r="AJ87" s="421"/>
      <c r="AK87" s="421"/>
      <c r="AL87" s="421"/>
      <c r="AM87" s="421"/>
      <c r="AN87" s="421"/>
      <c r="AO87" s="421"/>
      <c r="AP87" s="421"/>
      <c r="AQ87" s="421"/>
      <c r="AR87" s="421"/>
      <c r="AS87" s="421"/>
      <c r="AT87" s="421"/>
      <c r="AU87" s="421"/>
      <c r="AV87" s="421"/>
      <c r="AW87" s="421"/>
      <c r="AX87" s="421"/>
      <c r="AY87" s="421"/>
      <c r="AZ87" s="421"/>
      <c r="BA87" s="421"/>
      <c r="BB87" s="421"/>
      <c r="BC87" s="421"/>
      <c r="BD87" s="421"/>
      <c r="BE87" s="422"/>
      <c r="DA87" s="598" t="s">
        <v>1647</v>
      </c>
      <c r="DB87" s="599"/>
      <c r="DC87" s="599"/>
      <c r="DD87" s="599"/>
      <c r="DE87" s="599"/>
      <c r="DF87" s="599"/>
      <c r="DG87" s="599"/>
      <c r="DH87" s="599"/>
      <c r="DI87" s="599"/>
      <c r="DJ87" s="599"/>
      <c r="DK87" s="418">
        <f>SUM(DK83:DR86)</f>
        <v>0</v>
      </c>
      <c r="DL87" s="419"/>
      <c r="DM87" s="419"/>
      <c r="DN87" s="419"/>
      <c r="DO87" s="419"/>
      <c r="DP87" s="419"/>
      <c r="DQ87" s="419"/>
      <c r="DR87" s="420"/>
    </row>
    <row r="88" spans="2:160" ht="24" hidden="1" customHeight="1" x14ac:dyDescent="0.25">
      <c r="B88" s="383"/>
      <c r="C88" s="384"/>
      <c r="D88" s="384"/>
      <c r="E88" s="384"/>
      <c r="F88" s="384"/>
      <c r="G88" s="384"/>
      <c r="H88" s="384"/>
      <c r="I88" s="384"/>
      <c r="J88" s="423"/>
      <c r="K88" s="423"/>
      <c r="L88" s="423"/>
      <c r="M88" s="423"/>
      <c r="N88" s="423"/>
      <c r="O88" s="423"/>
      <c r="P88" s="423"/>
      <c r="Q88" s="423"/>
      <c r="R88" s="423"/>
      <c r="S88" s="423"/>
      <c r="T88" s="423"/>
      <c r="U88" s="423"/>
      <c r="V88" s="423"/>
      <c r="W88" s="423"/>
      <c r="X88" s="423"/>
      <c r="Y88" s="423"/>
      <c r="Z88" s="423"/>
      <c r="AA88" s="423"/>
      <c r="AB88" s="423"/>
      <c r="AC88" s="423"/>
      <c r="AD88" s="423"/>
      <c r="AE88" s="423"/>
      <c r="AF88" s="423"/>
      <c r="AG88" s="423"/>
      <c r="AH88" s="423"/>
      <c r="AI88" s="423"/>
      <c r="AJ88" s="423"/>
      <c r="AK88" s="423"/>
      <c r="AL88" s="423"/>
      <c r="AM88" s="423"/>
      <c r="AN88" s="423"/>
      <c r="AO88" s="423"/>
      <c r="AP88" s="423"/>
      <c r="AQ88" s="423"/>
      <c r="AR88" s="423"/>
      <c r="AS88" s="423"/>
      <c r="AT88" s="423"/>
      <c r="AU88" s="423"/>
      <c r="AV88" s="423"/>
      <c r="AW88" s="423"/>
      <c r="AX88" s="423"/>
      <c r="AY88" s="423"/>
      <c r="AZ88" s="423"/>
      <c r="BA88" s="423"/>
      <c r="BB88" s="423"/>
      <c r="BC88" s="423"/>
      <c r="BD88" s="423"/>
      <c r="BE88" s="424"/>
    </row>
    <row r="89" spans="2:160" ht="24" hidden="1" customHeight="1" thickBot="1" x14ac:dyDescent="0.3">
      <c r="B89" s="383"/>
      <c r="C89" s="384"/>
      <c r="D89" s="384"/>
      <c r="E89" s="384"/>
      <c r="F89" s="384"/>
      <c r="G89" s="384"/>
      <c r="H89" s="384"/>
      <c r="I89" s="384"/>
      <c r="J89" s="425"/>
      <c r="K89" s="425"/>
      <c r="L89" s="425"/>
      <c r="M89" s="425"/>
      <c r="N89" s="425"/>
      <c r="O89" s="425"/>
      <c r="P89" s="425"/>
      <c r="Q89" s="425"/>
      <c r="R89" s="425"/>
      <c r="S89" s="425"/>
      <c r="T89" s="425"/>
      <c r="U89" s="425"/>
      <c r="V89" s="425"/>
      <c r="W89" s="425"/>
      <c r="X89" s="425"/>
      <c r="Y89" s="425"/>
      <c r="Z89" s="425"/>
      <c r="AA89" s="425"/>
      <c r="AB89" s="425"/>
      <c r="AC89" s="425"/>
      <c r="AD89" s="425"/>
      <c r="AE89" s="425"/>
      <c r="AF89" s="425"/>
      <c r="AG89" s="425"/>
      <c r="AH89" s="425"/>
      <c r="AI89" s="425"/>
      <c r="AJ89" s="425"/>
      <c r="AK89" s="425"/>
      <c r="AL89" s="425"/>
      <c r="AM89" s="425"/>
      <c r="AN89" s="425"/>
      <c r="AO89" s="425"/>
      <c r="AP89" s="425"/>
      <c r="AQ89" s="425"/>
      <c r="AR89" s="425"/>
      <c r="AS89" s="425"/>
      <c r="AT89" s="425"/>
      <c r="AU89" s="425"/>
      <c r="AV89" s="425"/>
      <c r="AW89" s="425"/>
      <c r="AX89" s="425"/>
      <c r="AY89" s="425"/>
      <c r="AZ89" s="425"/>
      <c r="BA89" s="425"/>
      <c r="BB89" s="425"/>
      <c r="BC89" s="425"/>
      <c r="BD89" s="425"/>
      <c r="BE89" s="426"/>
      <c r="EJ89"/>
      <c r="EK89"/>
      <c r="EL89"/>
      <c r="EM89"/>
      <c r="EN89"/>
      <c r="EO89"/>
      <c r="EP89"/>
      <c r="EQ89"/>
      <c r="ER89"/>
      <c r="ES89"/>
      <c r="ET89"/>
      <c r="EU89"/>
      <c r="EV89"/>
      <c r="EW89"/>
      <c r="EX89"/>
      <c r="EY89"/>
      <c r="EZ89"/>
      <c r="FA89"/>
      <c r="FB89"/>
      <c r="FC89"/>
      <c r="FD89"/>
    </row>
    <row r="90" spans="2:160" ht="24" hidden="1" customHeight="1" x14ac:dyDescent="0.25">
      <c r="B90" s="360"/>
      <c r="C90" s="360"/>
      <c r="D90" s="360"/>
      <c r="E90" s="360"/>
      <c r="F90" s="360"/>
      <c r="G90" s="360"/>
      <c r="H90" s="360"/>
      <c r="I90" s="360"/>
      <c r="EJ90"/>
      <c r="EK90"/>
      <c r="EL90"/>
      <c r="EM90"/>
      <c r="EN90"/>
      <c r="EO90"/>
      <c r="EP90"/>
      <c r="EQ90"/>
      <c r="ER90"/>
      <c r="ES90"/>
      <c r="ET90"/>
      <c r="EU90"/>
      <c r="EV90"/>
      <c r="EW90"/>
      <c r="EX90"/>
      <c r="EY90"/>
      <c r="EZ90"/>
      <c r="FA90"/>
      <c r="FB90"/>
      <c r="FC90"/>
      <c r="FD90"/>
    </row>
    <row r="91" spans="2:160" ht="18.75" hidden="1" customHeight="1" x14ac:dyDescent="0.25">
      <c r="EJ91"/>
      <c r="EK91"/>
      <c r="EL91"/>
      <c r="EM91"/>
      <c r="EN91"/>
      <c r="EO91"/>
      <c r="EP91"/>
      <c r="EQ91"/>
      <c r="ER91"/>
      <c r="ES91"/>
      <c r="ET91"/>
      <c r="EU91"/>
      <c r="EV91"/>
      <c r="EW91"/>
      <c r="EX91"/>
      <c r="EY91"/>
      <c r="EZ91"/>
      <c r="FA91"/>
      <c r="FB91"/>
      <c r="FC91"/>
      <c r="FD91"/>
    </row>
    <row r="92" spans="2:160" ht="22.5" hidden="1" customHeight="1" thickBot="1" x14ac:dyDescent="0.35">
      <c r="B92" s="479" t="s">
        <v>284</v>
      </c>
      <c r="C92" s="479"/>
      <c r="D92" s="479"/>
      <c r="E92" s="479"/>
      <c r="F92" s="479"/>
      <c r="G92" s="479"/>
      <c r="H92" s="479"/>
      <c r="I92" s="479"/>
      <c r="J92" s="479"/>
      <c r="K92" s="479"/>
      <c r="L92" s="479"/>
      <c r="M92" s="479"/>
      <c r="N92" s="479"/>
      <c r="O92" s="479"/>
      <c r="P92" s="479"/>
      <c r="Q92" s="479"/>
      <c r="R92" s="479"/>
      <c r="S92" s="479"/>
      <c r="T92" s="479"/>
      <c r="U92" s="479"/>
      <c r="V92" s="479"/>
      <c r="W92" s="479"/>
      <c r="X92" s="479"/>
      <c r="Y92" s="479"/>
      <c r="Z92" s="479"/>
      <c r="AA92" s="479"/>
      <c r="AB92" s="479"/>
      <c r="AC92" s="479"/>
      <c r="AD92" s="479"/>
      <c r="AE92" s="479"/>
      <c r="AF92" s="479"/>
      <c r="AG92" s="479"/>
      <c r="AH92" s="479"/>
      <c r="AI92" s="479"/>
      <c r="AJ92" s="479"/>
      <c r="AK92" s="479"/>
      <c r="AL92" s="479"/>
      <c r="AM92" s="479"/>
      <c r="AN92" s="479"/>
      <c r="AO92" s="479"/>
      <c r="AP92" s="479"/>
      <c r="AQ92" s="479"/>
      <c r="AR92" s="479"/>
      <c r="AS92" s="479"/>
      <c r="AT92" s="479"/>
      <c r="AU92" s="479"/>
      <c r="AV92" s="479"/>
      <c r="AW92" s="479"/>
      <c r="AX92" s="479"/>
      <c r="AY92" s="479"/>
      <c r="AZ92" s="479"/>
      <c r="BA92" s="479"/>
      <c r="BB92" s="479"/>
      <c r="BC92" s="479"/>
      <c r="BD92" s="479"/>
      <c r="BE92" s="479"/>
      <c r="BF92" s="187"/>
      <c r="BG92" s="187"/>
      <c r="BJ92" s="178" t="s">
        <v>1648</v>
      </c>
      <c r="EJ92"/>
      <c r="EK92"/>
      <c r="EL92"/>
      <c r="EM92"/>
      <c r="EN92"/>
      <c r="EO92"/>
      <c r="EP92"/>
      <c r="EQ92"/>
      <c r="ER92"/>
      <c r="ES92"/>
      <c r="ET92"/>
      <c r="EU92"/>
      <c r="EV92"/>
      <c r="EW92"/>
      <c r="EX92"/>
      <c r="EY92"/>
      <c r="EZ92"/>
      <c r="FA92"/>
      <c r="FB92"/>
      <c r="FC92"/>
      <c r="FD92"/>
    </row>
    <row r="93" spans="2:160" ht="22.5" hidden="1" customHeight="1" x14ac:dyDescent="0.25">
      <c r="B93" s="454" t="s">
        <v>3221</v>
      </c>
      <c r="C93" s="401"/>
      <c r="D93" s="401"/>
      <c r="E93" s="401"/>
      <c r="F93" s="401"/>
      <c r="G93" s="401"/>
      <c r="H93" s="401"/>
      <c r="I93" s="401"/>
      <c r="J93" s="404">
        <v>0</v>
      </c>
      <c r="K93" s="404"/>
      <c r="L93" s="404"/>
      <c r="M93" s="404"/>
      <c r="N93" s="404"/>
      <c r="O93" s="404"/>
      <c r="P93" s="404"/>
      <c r="Q93" s="404"/>
      <c r="R93" s="404"/>
      <c r="S93" s="404"/>
      <c r="T93" s="404"/>
      <c r="U93" s="404"/>
      <c r="V93" s="404"/>
      <c r="W93" s="404"/>
      <c r="X93" s="405"/>
      <c r="Y93" s="400" t="s">
        <v>2074</v>
      </c>
      <c r="Z93" s="401"/>
      <c r="AA93" s="401"/>
      <c r="AB93" s="402">
        <v>0</v>
      </c>
      <c r="AC93" s="402"/>
      <c r="AD93" s="402"/>
      <c r="AE93" s="402"/>
      <c r="AF93" s="402"/>
      <c r="AG93" s="402"/>
      <c r="AH93" s="402"/>
      <c r="AI93" s="402"/>
      <c r="AJ93" s="402"/>
      <c r="AK93" s="403"/>
      <c r="AL93" s="400" t="s">
        <v>1982</v>
      </c>
      <c r="AM93" s="401"/>
      <c r="AN93" s="401"/>
      <c r="AO93" s="404">
        <v>0</v>
      </c>
      <c r="AP93" s="404"/>
      <c r="AQ93" s="404"/>
      <c r="AR93" s="404"/>
      <c r="AS93" s="404"/>
      <c r="AT93" s="404"/>
      <c r="AU93" s="405"/>
      <c r="AV93" s="400" t="s">
        <v>1983</v>
      </c>
      <c r="AW93" s="401"/>
      <c r="AX93" s="404">
        <v>0</v>
      </c>
      <c r="AY93" s="404"/>
      <c r="AZ93" s="404"/>
      <c r="BA93" s="404"/>
      <c r="BB93" s="404"/>
      <c r="BC93" s="404"/>
      <c r="BD93" s="404"/>
      <c r="BE93" s="406"/>
      <c r="BH93" s="517" t="s">
        <v>389</v>
      </c>
      <c r="BI93" s="518"/>
      <c r="BJ93" s="489" t="s">
        <v>1649</v>
      </c>
      <c r="BK93" s="490"/>
      <c r="BL93" s="490"/>
      <c r="BM93" s="490"/>
      <c r="BN93" s="490"/>
      <c r="BO93" s="490"/>
      <c r="BP93" s="490"/>
      <c r="BQ93" s="490"/>
      <c r="BR93" s="490"/>
      <c r="BS93" s="490"/>
      <c r="BT93" s="490"/>
      <c r="BU93" s="490"/>
      <c r="BV93" s="483" t="s">
        <v>1644</v>
      </c>
      <c r="BW93" s="484"/>
      <c r="BX93" s="484"/>
      <c r="BY93" s="484"/>
      <c r="BZ93" s="484"/>
      <c r="CA93" s="484"/>
      <c r="CB93" s="484"/>
      <c r="CC93" s="484"/>
      <c r="CD93" s="485"/>
      <c r="CE93" s="513" t="s">
        <v>1675</v>
      </c>
      <c r="CF93" s="513"/>
      <c r="CG93" s="513"/>
      <c r="CH93" s="513"/>
      <c r="CI93" s="513"/>
      <c r="CJ93" s="513"/>
      <c r="CK93" s="513"/>
      <c r="CL93" s="513"/>
      <c r="CM93" s="513"/>
      <c r="CN93" s="513"/>
      <c r="CO93" s="489" t="s">
        <v>1676</v>
      </c>
      <c r="CP93" s="490"/>
      <c r="CQ93" s="490"/>
      <c r="CR93" s="490"/>
      <c r="CS93" s="490"/>
      <c r="CT93" s="490"/>
      <c r="CU93" s="490"/>
      <c r="CV93" s="490"/>
      <c r="CW93" s="490"/>
      <c r="CX93" s="490"/>
      <c r="CY93" s="490"/>
      <c r="CZ93" s="491"/>
      <c r="DA93" s="483" t="s">
        <v>1645</v>
      </c>
      <c r="DB93" s="484"/>
      <c r="DC93" s="484"/>
      <c r="DD93" s="484"/>
      <c r="DE93" s="484"/>
      <c r="DF93" s="484"/>
      <c r="DG93" s="484"/>
      <c r="DH93" s="484"/>
      <c r="DI93" s="484"/>
      <c r="DJ93" s="485"/>
      <c r="DK93" s="483" t="s">
        <v>1646</v>
      </c>
      <c r="DL93" s="484"/>
      <c r="DM93" s="484"/>
      <c r="DN93" s="484"/>
      <c r="DO93" s="484"/>
      <c r="DP93" s="484"/>
      <c r="DQ93" s="484"/>
      <c r="DR93" s="485"/>
    </row>
    <row r="94" spans="2:160" ht="22.5" hidden="1" customHeight="1" x14ac:dyDescent="0.25">
      <c r="B94" s="393" t="s">
        <v>1984</v>
      </c>
      <c r="C94" s="392"/>
      <c r="D94" s="392"/>
      <c r="E94" s="392"/>
      <c r="F94" s="389">
        <v>0</v>
      </c>
      <c r="G94" s="389"/>
      <c r="H94" s="389"/>
      <c r="I94" s="389"/>
      <c r="J94" s="389"/>
      <c r="K94" s="389"/>
      <c r="L94" s="389"/>
      <c r="M94" s="391" t="s">
        <v>307</v>
      </c>
      <c r="N94" s="392"/>
      <c r="O94" s="392"/>
      <c r="P94" s="392"/>
      <c r="Q94" s="392"/>
      <c r="R94" s="392"/>
      <c r="S94" s="392"/>
      <c r="T94" s="392"/>
      <c r="U94" s="433">
        <v>0</v>
      </c>
      <c r="V94" s="433"/>
      <c r="W94" s="433"/>
      <c r="X94" s="433"/>
      <c r="Y94" s="433"/>
      <c r="Z94" s="433"/>
      <c r="AA94" s="391" t="s">
        <v>2084</v>
      </c>
      <c r="AB94" s="392"/>
      <c r="AC94" s="392"/>
      <c r="AD94" s="392"/>
      <c r="AE94" s="392"/>
      <c r="AF94" s="392"/>
      <c r="AG94" s="392"/>
      <c r="AH94" s="392"/>
      <c r="AI94" s="433">
        <v>0</v>
      </c>
      <c r="AJ94" s="433"/>
      <c r="AK94" s="433"/>
      <c r="AL94" s="433"/>
      <c r="AM94" s="433"/>
      <c r="AN94" s="434"/>
      <c r="AO94" s="391" t="s">
        <v>279</v>
      </c>
      <c r="AP94" s="392"/>
      <c r="AQ94" s="392"/>
      <c r="AR94" s="392"/>
      <c r="AS94" s="392"/>
      <c r="AT94" s="437">
        <v>0</v>
      </c>
      <c r="AU94" s="437"/>
      <c r="AV94" s="437"/>
      <c r="AW94" s="437"/>
      <c r="AX94" s="437"/>
      <c r="AY94" s="437"/>
      <c r="AZ94" s="391" t="s">
        <v>2083</v>
      </c>
      <c r="BA94" s="392"/>
      <c r="BB94" s="392"/>
      <c r="BC94" s="392"/>
      <c r="BD94" s="389">
        <v>0</v>
      </c>
      <c r="BE94" s="390"/>
      <c r="BH94" s="514">
        <v>1</v>
      </c>
      <c r="BI94" s="515"/>
      <c r="BJ94" s="498">
        <v>0</v>
      </c>
      <c r="BK94" s="499"/>
      <c r="BL94" s="499"/>
      <c r="BM94" s="499"/>
      <c r="BN94" s="499"/>
      <c r="BO94" s="499"/>
      <c r="BP94" s="499"/>
      <c r="BQ94" s="499"/>
      <c r="BR94" s="499"/>
      <c r="BS94" s="499"/>
      <c r="BT94" s="499"/>
      <c r="BU94" s="499"/>
      <c r="BV94" s="500">
        <v>0</v>
      </c>
      <c r="BW94" s="501"/>
      <c r="BX94" s="501"/>
      <c r="BY94" s="501"/>
      <c r="BZ94" s="501"/>
      <c r="CA94" s="501"/>
      <c r="CB94" s="501"/>
      <c r="CC94" s="501"/>
      <c r="CD94" s="502"/>
      <c r="CE94" s="519">
        <v>0</v>
      </c>
      <c r="CF94" s="519"/>
      <c r="CG94" s="519"/>
      <c r="CH94" s="519"/>
      <c r="CI94" s="519"/>
      <c r="CJ94" s="519"/>
      <c r="CK94" s="519"/>
      <c r="CL94" s="519"/>
      <c r="CM94" s="519"/>
      <c r="CN94" s="519"/>
      <c r="CO94" s="507">
        <v>0</v>
      </c>
      <c r="CP94" s="508"/>
      <c r="CQ94" s="508"/>
      <c r="CR94" s="508"/>
      <c r="CS94" s="508"/>
      <c r="CT94" s="508"/>
      <c r="CU94" s="508"/>
      <c r="CV94" s="508"/>
      <c r="CW94" s="508"/>
      <c r="CX94" s="508"/>
      <c r="CY94" s="508"/>
      <c r="CZ94" s="509"/>
      <c r="DA94" s="510">
        <v>0</v>
      </c>
      <c r="DB94" s="510"/>
      <c r="DC94" s="510"/>
      <c r="DD94" s="510"/>
      <c r="DE94" s="510"/>
      <c r="DF94" s="510"/>
      <c r="DG94" s="510"/>
      <c r="DH94" s="510"/>
      <c r="DI94" s="510"/>
      <c r="DJ94" s="510"/>
      <c r="DK94" s="492">
        <v>0</v>
      </c>
      <c r="DL94" s="493"/>
      <c r="DM94" s="493"/>
      <c r="DN94" s="493"/>
      <c r="DO94" s="493"/>
      <c r="DP94" s="493"/>
      <c r="DQ94" s="493"/>
      <c r="DR94" s="494"/>
    </row>
    <row r="95" spans="2:160" ht="22.5" hidden="1" customHeight="1" x14ac:dyDescent="0.25">
      <c r="B95" s="393" t="s">
        <v>2091</v>
      </c>
      <c r="C95" s="392"/>
      <c r="D95" s="392"/>
      <c r="E95" s="392"/>
      <c r="F95" s="392"/>
      <c r="G95" s="392"/>
      <c r="H95" s="392"/>
      <c r="I95" s="392"/>
      <c r="J95" s="392"/>
      <c r="K95" s="389">
        <v>0</v>
      </c>
      <c r="L95" s="389"/>
      <c r="M95" s="391" t="s">
        <v>2089</v>
      </c>
      <c r="N95" s="392"/>
      <c r="O95" s="392"/>
      <c r="P95" s="392"/>
      <c r="Q95" s="392"/>
      <c r="R95" s="392"/>
      <c r="S95" s="389">
        <v>0</v>
      </c>
      <c r="T95" s="389"/>
      <c r="U95" s="389"/>
      <c r="V95" s="389"/>
      <c r="W95" s="389"/>
      <c r="X95" s="391" t="s">
        <v>2092</v>
      </c>
      <c r="Y95" s="392"/>
      <c r="Z95" s="392"/>
      <c r="AA95" s="392"/>
      <c r="AB95" s="392"/>
      <c r="AC95" s="392"/>
      <c r="AD95" s="392"/>
      <c r="AE95" s="392"/>
      <c r="AF95" s="392"/>
      <c r="AG95" s="392"/>
      <c r="AH95" s="392"/>
      <c r="AI95" s="392"/>
      <c r="AJ95" s="392"/>
      <c r="AK95" s="392"/>
      <c r="AL95" s="392"/>
      <c r="AM95" s="392"/>
      <c r="AN95" s="392"/>
      <c r="AO95" s="392"/>
      <c r="AP95" s="392"/>
      <c r="AQ95" s="392"/>
      <c r="AR95" s="389">
        <v>0</v>
      </c>
      <c r="AS95" s="389"/>
      <c r="AT95" s="389"/>
      <c r="AU95" s="389"/>
      <c r="AV95" s="389"/>
      <c r="AW95" s="432"/>
      <c r="AX95" s="391" t="s">
        <v>796</v>
      </c>
      <c r="AY95" s="392"/>
      <c r="AZ95" s="392"/>
      <c r="BA95" s="392"/>
      <c r="BB95" s="392"/>
      <c r="BC95" s="392"/>
      <c r="BD95" s="389">
        <v>0</v>
      </c>
      <c r="BE95" s="390"/>
      <c r="BH95" s="443">
        <v>2</v>
      </c>
      <c r="BI95" s="444"/>
      <c r="BJ95" s="486">
        <v>0</v>
      </c>
      <c r="BK95" s="487"/>
      <c r="BL95" s="487"/>
      <c r="BM95" s="487"/>
      <c r="BN95" s="487"/>
      <c r="BO95" s="487"/>
      <c r="BP95" s="487"/>
      <c r="BQ95" s="487"/>
      <c r="BR95" s="487"/>
      <c r="BS95" s="487"/>
      <c r="BT95" s="487"/>
      <c r="BU95" s="487"/>
      <c r="BV95" s="500">
        <v>0</v>
      </c>
      <c r="BW95" s="501"/>
      <c r="BX95" s="501"/>
      <c r="BY95" s="501"/>
      <c r="BZ95" s="501"/>
      <c r="CA95" s="501"/>
      <c r="CB95" s="501"/>
      <c r="CC95" s="501"/>
      <c r="CD95" s="502"/>
      <c r="CE95" s="495">
        <v>0</v>
      </c>
      <c r="CF95" s="495"/>
      <c r="CG95" s="495"/>
      <c r="CH95" s="495"/>
      <c r="CI95" s="495"/>
      <c r="CJ95" s="495"/>
      <c r="CK95" s="495"/>
      <c r="CL95" s="495"/>
      <c r="CM95" s="495"/>
      <c r="CN95" s="495"/>
      <c r="CO95" s="486">
        <v>0</v>
      </c>
      <c r="CP95" s="487"/>
      <c r="CQ95" s="487"/>
      <c r="CR95" s="487"/>
      <c r="CS95" s="487"/>
      <c r="CT95" s="487"/>
      <c r="CU95" s="487"/>
      <c r="CV95" s="487"/>
      <c r="CW95" s="487"/>
      <c r="CX95" s="487"/>
      <c r="CY95" s="487"/>
      <c r="CZ95" s="488"/>
      <c r="DA95" s="495">
        <v>0</v>
      </c>
      <c r="DB95" s="495"/>
      <c r="DC95" s="495"/>
      <c r="DD95" s="495"/>
      <c r="DE95" s="495"/>
      <c r="DF95" s="495"/>
      <c r="DG95" s="495"/>
      <c r="DH95" s="495"/>
      <c r="DI95" s="495"/>
      <c r="DJ95" s="495"/>
      <c r="DK95" s="480">
        <v>0</v>
      </c>
      <c r="DL95" s="481"/>
      <c r="DM95" s="481"/>
      <c r="DN95" s="481"/>
      <c r="DO95" s="481"/>
      <c r="DP95" s="481"/>
      <c r="DQ95" s="481"/>
      <c r="DR95" s="482"/>
    </row>
    <row r="96" spans="2:160" ht="22.5" hidden="1" customHeight="1" x14ac:dyDescent="0.25">
      <c r="B96" s="393" t="s">
        <v>2978</v>
      </c>
      <c r="C96" s="392"/>
      <c r="D96" s="392"/>
      <c r="E96" s="392"/>
      <c r="F96" s="392"/>
      <c r="G96" s="392"/>
      <c r="H96" s="392"/>
      <c r="I96" s="392"/>
      <c r="J96" s="392"/>
      <c r="K96" s="389">
        <v>0</v>
      </c>
      <c r="L96" s="389"/>
      <c r="M96" s="391" t="s">
        <v>2089</v>
      </c>
      <c r="N96" s="392"/>
      <c r="O96" s="392"/>
      <c r="P96" s="392"/>
      <c r="Q96" s="392"/>
      <c r="R96" s="392"/>
      <c r="S96" s="389">
        <v>0</v>
      </c>
      <c r="T96" s="389"/>
      <c r="U96" s="389"/>
      <c r="V96" s="389"/>
      <c r="W96" s="389"/>
      <c r="X96" s="391" t="s">
        <v>2118</v>
      </c>
      <c r="Y96" s="392"/>
      <c r="Z96" s="392"/>
      <c r="AA96" s="392"/>
      <c r="AB96" s="392"/>
      <c r="AC96" s="392"/>
      <c r="AD96" s="392"/>
      <c r="AE96" s="442">
        <v>0</v>
      </c>
      <c r="AF96" s="442"/>
      <c r="AG96" s="442"/>
      <c r="AH96" s="442"/>
      <c r="AI96" s="442"/>
      <c r="AJ96" s="391" t="s">
        <v>2090</v>
      </c>
      <c r="AK96" s="392"/>
      <c r="AL96" s="392"/>
      <c r="AM96" s="392"/>
      <c r="AN96" s="392"/>
      <c r="AO96" s="392"/>
      <c r="AP96" s="392"/>
      <c r="AQ96" s="392"/>
      <c r="AR96" s="433">
        <v>0</v>
      </c>
      <c r="AS96" s="433"/>
      <c r="AT96" s="433"/>
      <c r="AU96" s="433"/>
      <c r="AV96" s="433"/>
      <c r="AW96" s="434"/>
      <c r="AX96" s="391" t="s">
        <v>2085</v>
      </c>
      <c r="AY96" s="392"/>
      <c r="AZ96" s="392"/>
      <c r="BA96" s="392"/>
      <c r="BB96" s="392"/>
      <c r="BC96" s="392"/>
      <c r="BD96" s="389">
        <v>0</v>
      </c>
      <c r="BE96" s="390"/>
      <c r="BH96" s="443">
        <v>3</v>
      </c>
      <c r="BI96" s="444"/>
      <c r="BJ96" s="486">
        <v>0</v>
      </c>
      <c r="BK96" s="487"/>
      <c r="BL96" s="487"/>
      <c r="BM96" s="487"/>
      <c r="BN96" s="487"/>
      <c r="BO96" s="487"/>
      <c r="BP96" s="487"/>
      <c r="BQ96" s="487"/>
      <c r="BR96" s="487"/>
      <c r="BS96" s="487"/>
      <c r="BT96" s="487"/>
      <c r="BU96" s="487"/>
      <c r="BV96" s="500">
        <v>0</v>
      </c>
      <c r="BW96" s="501"/>
      <c r="BX96" s="501"/>
      <c r="BY96" s="501"/>
      <c r="BZ96" s="501"/>
      <c r="CA96" s="501"/>
      <c r="CB96" s="501"/>
      <c r="CC96" s="501"/>
      <c r="CD96" s="502"/>
      <c r="CE96" s="506">
        <v>0</v>
      </c>
      <c r="CF96" s="506"/>
      <c r="CG96" s="506"/>
      <c r="CH96" s="506"/>
      <c r="CI96" s="506"/>
      <c r="CJ96" s="506"/>
      <c r="CK96" s="506"/>
      <c r="CL96" s="506"/>
      <c r="CM96" s="506"/>
      <c r="CN96" s="506"/>
      <c r="CO96" s="500">
        <v>0</v>
      </c>
      <c r="CP96" s="501"/>
      <c r="CQ96" s="501"/>
      <c r="CR96" s="501"/>
      <c r="CS96" s="501"/>
      <c r="CT96" s="501"/>
      <c r="CU96" s="501"/>
      <c r="CV96" s="501"/>
      <c r="CW96" s="501"/>
      <c r="CX96" s="501"/>
      <c r="CY96" s="501"/>
      <c r="CZ96" s="502"/>
      <c r="DA96" s="495">
        <v>0</v>
      </c>
      <c r="DB96" s="495"/>
      <c r="DC96" s="495"/>
      <c r="DD96" s="495"/>
      <c r="DE96" s="495"/>
      <c r="DF96" s="495"/>
      <c r="DG96" s="495"/>
      <c r="DH96" s="495"/>
      <c r="DI96" s="495"/>
      <c r="DJ96" s="495"/>
      <c r="DK96" s="480">
        <v>0</v>
      </c>
      <c r="DL96" s="481"/>
      <c r="DM96" s="481"/>
      <c r="DN96" s="481"/>
      <c r="DO96" s="481"/>
      <c r="DP96" s="481"/>
      <c r="DQ96" s="481"/>
      <c r="DR96" s="482"/>
    </row>
    <row r="97" spans="2:154" ht="22.5" hidden="1" customHeight="1" x14ac:dyDescent="0.25">
      <c r="B97" s="438" t="s">
        <v>2916</v>
      </c>
      <c r="C97" s="436"/>
      <c r="D97" s="436"/>
      <c r="E97" s="436"/>
      <c r="F97" s="436"/>
      <c r="G97" s="436"/>
      <c r="H97" s="436"/>
      <c r="I97" s="436"/>
      <c r="J97" s="436"/>
      <c r="K97" s="387">
        <v>0</v>
      </c>
      <c r="L97" s="387"/>
      <c r="M97" s="435" t="s">
        <v>2086</v>
      </c>
      <c r="N97" s="436"/>
      <c r="O97" s="436"/>
      <c r="P97" s="436"/>
      <c r="Q97" s="436"/>
      <c r="R97" s="436"/>
      <c r="S97" s="439">
        <v>0</v>
      </c>
      <c r="T97" s="387"/>
      <c r="U97" s="387"/>
      <c r="V97" s="387"/>
      <c r="W97" s="387"/>
      <c r="X97" s="435" t="s">
        <v>2087</v>
      </c>
      <c r="Y97" s="436"/>
      <c r="Z97" s="436"/>
      <c r="AA97" s="436"/>
      <c r="AB97" s="436"/>
      <c r="AC97" s="436"/>
      <c r="AD97" s="436"/>
      <c r="AE97" s="387">
        <v>0</v>
      </c>
      <c r="AF97" s="387"/>
      <c r="AG97" s="387"/>
      <c r="AH97" s="387"/>
      <c r="AI97" s="387"/>
      <c r="AJ97" s="435" t="s">
        <v>2088</v>
      </c>
      <c r="AK97" s="436"/>
      <c r="AL97" s="436"/>
      <c r="AM97" s="436"/>
      <c r="AN97" s="436"/>
      <c r="AO97" s="436"/>
      <c r="AP97" s="436"/>
      <c r="AQ97" s="436"/>
      <c r="AR97" s="387">
        <v>0</v>
      </c>
      <c r="AS97" s="387"/>
      <c r="AT97" s="387"/>
      <c r="AU97" s="387"/>
      <c r="AV97" s="387"/>
      <c r="AW97" s="387"/>
      <c r="AX97" s="387"/>
      <c r="AY97" s="387"/>
      <c r="AZ97" s="387"/>
      <c r="BA97" s="387"/>
      <c r="BB97" s="387"/>
      <c r="BC97" s="387"/>
      <c r="BD97" s="387"/>
      <c r="BE97" s="388"/>
      <c r="BH97" s="445">
        <v>4</v>
      </c>
      <c r="BI97" s="446"/>
      <c r="BJ97" s="496">
        <v>0</v>
      </c>
      <c r="BK97" s="461"/>
      <c r="BL97" s="461"/>
      <c r="BM97" s="461"/>
      <c r="BN97" s="461"/>
      <c r="BO97" s="461"/>
      <c r="BP97" s="461"/>
      <c r="BQ97" s="461"/>
      <c r="BR97" s="461"/>
      <c r="BS97" s="461"/>
      <c r="BT97" s="461"/>
      <c r="BU97" s="461"/>
      <c r="BV97" s="521">
        <v>0</v>
      </c>
      <c r="BW97" s="522"/>
      <c r="BX97" s="522"/>
      <c r="BY97" s="522"/>
      <c r="BZ97" s="522"/>
      <c r="CA97" s="522"/>
      <c r="CB97" s="522"/>
      <c r="CC97" s="522"/>
      <c r="CD97" s="523"/>
      <c r="CE97" s="497">
        <v>0</v>
      </c>
      <c r="CF97" s="497"/>
      <c r="CG97" s="497"/>
      <c r="CH97" s="497"/>
      <c r="CI97" s="497"/>
      <c r="CJ97" s="497"/>
      <c r="CK97" s="497"/>
      <c r="CL97" s="497"/>
      <c r="CM97" s="497"/>
      <c r="CN97" s="497"/>
      <c r="CO97" s="496">
        <v>0</v>
      </c>
      <c r="CP97" s="461"/>
      <c r="CQ97" s="461"/>
      <c r="CR97" s="461"/>
      <c r="CS97" s="461"/>
      <c r="CT97" s="461"/>
      <c r="CU97" s="461"/>
      <c r="CV97" s="461"/>
      <c r="CW97" s="461"/>
      <c r="CX97" s="461"/>
      <c r="CY97" s="461"/>
      <c r="CZ97" s="520"/>
      <c r="DA97" s="497">
        <v>0</v>
      </c>
      <c r="DB97" s="497"/>
      <c r="DC97" s="497"/>
      <c r="DD97" s="497"/>
      <c r="DE97" s="497"/>
      <c r="DF97" s="497"/>
      <c r="DG97" s="497"/>
      <c r="DH97" s="497"/>
      <c r="DI97" s="497"/>
      <c r="DJ97" s="497"/>
      <c r="DK97" s="503">
        <v>0</v>
      </c>
      <c r="DL97" s="504"/>
      <c r="DM97" s="504"/>
      <c r="DN97" s="504"/>
      <c r="DO97" s="504"/>
      <c r="DP97" s="504"/>
      <c r="DQ97" s="504"/>
      <c r="DR97" s="505"/>
    </row>
    <row r="98" spans="2:154" ht="22.5" hidden="1" customHeight="1" x14ac:dyDescent="0.25">
      <c r="B98" s="381" t="s">
        <v>278</v>
      </c>
      <c r="C98" s="382"/>
      <c r="D98" s="382"/>
      <c r="E98" s="382"/>
      <c r="F98" s="382"/>
      <c r="G98" s="382"/>
      <c r="H98" s="382"/>
      <c r="I98" s="382"/>
      <c r="J98" s="421">
        <v>0</v>
      </c>
      <c r="K98" s="421"/>
      <c r="L98" s="421"/>
      <c r="M98" s="421"/>
      <c r="N98" s="421"/>
      <c r="O98" s="421"/>
      <c r="P98" s="421"/>
      <c r="Q98" s="421"/>
      <c r="R98" s="421"/>
      <c r="S98" s="421"/>
      <c r="T98" s="421"/>
      <c r="U98" s="421"/>
      <c r="V98" s="421"/>
      <c r="W98" s="421"/>
      <c r="X98" s="421"/>
      <c r="Y98" s="421"/>
      <c r="Z98" s="421"/>
      <c r="AA98" s="421"/>
      <c r="AB98" s="421"/>
      <c r="AC98" s="421"/>
      <c r="AD98" s="421"/>
      <c r="AE98" s="421"/>
      <c r="AF98" s="421"/>
      <c r="AG98" s="421"/>
      <c r="AH98" s="421"/>
      <c r="AI98" s="421"/>
      <c r="AJ98" s="421"/>
      <c r="AK98" s="421"/>
      <c r="AL98" s="421"/>
      <c r="AM98" s="421"/>
      <c r="AN98" s="421"/>
      <c r="AO98" s="421"/>
      <c r="AP98" s="421"/>
      <c r="AQ98" s="421"/>
      <c r="AR98" s="421"/>
      <c r="AS98" s="421"/>
      <c r="AT98" s="421"/>
      <c r="AU98" s="421"/>
      <c r="AV98" s="421"/>
      <c r="AW98" s="421"/>
      <c r="AX98" s="421"/>
      <c r="AY98" s="421"/>
      <c r="AZ98" s="421"/>
      <c r="BA98" s="421"/>
      <c r="BB98" s="421"/>
      <c r="BC98" s="421"/>
      <c r="BD98" s="421"/>
      <c r="BE98" s="422"/>
      <c r="DA98" s="511" t="s">
        <v>1647</v>
      </c>
      <c r="DB98" s="512"/>
      <c r="DC98" s="512"/>
      <c r="DD98" s="512"/>
      <c r="DE98" s="512"/>
      <c r="DF98" s="512"/>
      <c r="DG98" s="512"/>
      <c r="DH98" s="512"/>
      <c r="DI98" s="512"/>
      <c r="DJ98" s="601"/>
      <c r="DK98" s="418">
        <f>SUM(DK94:DR97)</f>
        <v>0</v>
      </c>
      <c r="DL98" s="419"/>
      <c r="DM98" s="419"/>
      <c r="DN98" s="419"/>
      <c r="DO98" s="419"/>
      <c r="DP98" s="419"/>
      <c r="DQ98" s="419"/>
      <c r="DR98" s="420"/>
    </row>
    <row r="99" spans="2:154" ht="24" hidden="1" customHeight="1" x14ac:dyDescent="0.25">
      <c r="B99" s="383"/>
      <c r="C99" s="384"/>
      <c r="D99" s="384"/>
      <c r="E99" s="384"/>
      <c r="F99" s="384"/>
      <c r="G99" s="384"/>
      <c r="H99" s="384"/>
      <c r="I99" s="384"/>
      <c r="J99" s="423"/>
      <c r="K99" s="423"/>
      <c r="L99" s="423"/>
      <c r="M99" s="423"/>
      <c r="N99" s="423"/>
      <c r="O99" s="423"/>
      <c r="P99" s="423"/>
      <c r="Q99" s="423"/>
      <c r="R99" s="423"/>
      <c r="S99" s="423"/>
      <c r="T99" s="423"/>
      <c r="U99" s="423"/>
      <c r="V99" s="423"/>
      <c r="W99" s="423"/>
      <c r="X99" s="423"/>
      <c r="Y99" s="423"/>
      <c r="Z99" s="423"/>
      <c r="AA99" s="423"/>
      <c r="AB99" s="423"/>
      <c r="AC99" s="423"/>
      <c r="AD99" s="423"/>
      <c r="AE99" s="423"/>
      <c r="AF99" s="423"/>
      <c r="AG99" s="423"/>
      <c r="AH99" s="423"/>
      <c r="AI99" s="423"/>
      <c r="AJ99" s="423"/>
      <c r="AK99" s="423"/>
      <c r="AL99" s="423"/>
      <c r="AM99" s="423"/>
      <c r="AN99" s="423"/>
      <c r="AO99" s="423"/>
      <c r="AP99" s="423"/>
      <c r="AQ99" s="423"/>
      <c r="AR99" s="423"/>
      <c r="AS99" s="423"/>
      <c r="AT99" s="423"/>
      <c r="AU99" s="423"/>
      <c r="AV99" s="423"/>
      <c r="AW99" s="423"/>
      <c r="AX99" s="423"/>
      <c r="AY99" s="423"/>
      <c r="AZ99" s="423"/>
      <c r="BA99" s="423"/>
      <c r="BB99" s="423"/>
      <c r="BC99" s="423"/>
      <c r="BD99" s="423"/>
      <c r="BE99" s="424"/>
      <c r="ED99"/>
      <c r="EE99"/>
      <c r="EF99"/>
      <c r="EG99"/>
      <c r="EH99"/>
      <c r="EI99"/>
      <c r="EJ99"/>
      <c r="EK99"/>
      <c r="EL99"/>
      <c r="EM99"/>
      <c r="EN99"/>
      <c r="EO99"/>
      <c r="EP99"/>
      <c r="EQ99"/>
      <c r="ER99"/>
      <c r="ES99"/>
      <c r="ET99"/>
      <c r="EU99"/>
      <c r="EV99"/>
      <c r="EW99"/>
      <c r="EX99"/>
    </row>
    <row r="100" spans="2:154" ht="24" hidden="1" customHeight="1" thickBot="1" x14ac:dyDescent="0.3">
      <c r="B100" s="385"/>
      <c r="C100" s="386"/>
      <c r="D100" s="386"/>
      <c r="E100" s="386"/>
      <c r="F100" s="386"/>
      <c r="G100" s="386"/>
      <c r="H100" s="386"/>
      <c r="I100" s="386"/>
      <c r="J100" s="425"/>
      <c r="K100" s="425"/>
      <c r="L100" s="425"/>
      <c r="M100" s="425"/>
      <c r="N100" s="425"/>
      <c r="O100" s="425"/>
      <c r="P100" s="425"/>
      <c r="Q100" s="425"/>
      <c r="R100" s="425"/>
      <c r="S100" s="425"/>
      <c r="T100" s="425"/>
      <c r="U100" s="425"/>
      <c r="V100" s="425"/>
      <c r="W100" s="425"/>
      <c r="X100" s="425"/>
      <c r="Y100" s="425"/>
      <c r="Z100" s="425"/>
      <c r="AA100" s="425"/>
      <c r="AB100" s="425"/>
      <c r="AC100" s="425"/>
      <c r="AD100" s="425"/>
      <c r="AE100" s="425"/>
      <c r="AF100" s="425"/>
      <c r="AG100" s="425"/>
      <c r="AH100" s="425"/>
      <c r="AI100" s="425"/>
      <c r="AJ100" s="425"/>
      <c r="AK100" s="425"/>
      <c r="AL100" s="425"/>
      <c r="AM100" s="425"/>
      <c r="AN100" s="425"/>
      <c r="AO100" s="425"/>
      <c r="AP100" s="425"/>
      <c r="AQ100" s="425"/>
      <c r="AR100" s="425"/>
      <c r="AS100" s="425"/>
      <c r="AT100" s="425"/>
      <c r="AU100" s="425"/>
      <c r="AV100" s="425"/>
      <c r="AW100" s="425"/>
      <c r="AX100" s="425"/>
      <c r="AY100" s="425"/>
      <c r="AZ100" s="425"/>
      <c r="BA100" s="425"/>
      <c r="BB100" s="425"/>
      <c r="BC100" s="425"/>
      <c r="BD100" s="425"/>
      <c r="BE100" s="426"/>
      <c r="ED100"/>
      <c r="EE100"/>
      <c r="EF100"/>
      <c r="EG100"/>
      <c r="EH100"/>
      <c r="EI100"/>
      <c r="EJ100"/>
      <c r="EK100"/>
      <c r="EL100"/>
      <c r="EM100"/>
      <c r="EN100"/>
      <c r="EO100"/>
      <c r="EP100"/>
      <c r="EQ100"/>
      <c r="ER100"/>
      <c r="ES100"/>
      <c r="ET100"/>
      <c r="EU100"/>
      <c r="EV100"/>
      <c r="EW100"/>
      <c r="EX100"/>
    </row>
    <row r="101" spans="2:154" ht="24" hidden="1" customHeight="1" x14ac:dyDescent="0.25">
      <c r="B101" s="360"/>
      <c r="C101" s="360"/>
      <c r="D101" s="360"/>
      <c r="E101" s="360"/>
      <c r="F101" s="360"/>
      <c r="G101" s="360"/>
      <c r="H101" s="360"/>
      <c r="I101" s="360"/>
      <c r="ED101"/>
      <c r="EE101"/>
      <c r="EF101"/>
      <c r="EG101"/>
      <c r="EH101"/>
      <c r="EI101"/>
      <c r="EJ101"/>
      <c r="EK101"/>
      <c r="EL101"/>
      <c r="EM101"/>
      <c r="EN101"/>
      <c r="EO101"/>
      <c r="EP101"/>
      <c r="EQ101"/>
      <c r="ER101"/>
      <c r="ES101"/>
      <c r="ET101"/>
      <c r="EU101"/>
      <c r="EV101"/>
      <c r="EW101"/>
      <c r="EX101"/>
    </row>
    <row r="102" spans="2:154" ht="18.75" hidden="1" customHeight="1" x14ac:dyDescent="0.25">
      <c r="ED102"/>
      <c r="EE102"/>
      <c r="EF102"/>
      <c r="EG102"/>
      <c r="EH102"/>
      <c r="EI102"/>
      <c r="EJ102"/>
      <c r="EK102"/>
      <c r="EL102"/>
      <c r="EM102"/>
      <c r="EN102"/>
      <c r="EO102"/>
      <c r="EP102"/>
      <c r="EQ102"/>
      <c r="ER102"/>
      <c r="ES102"/>
      <c r="ET102"/>
      <c r="EU102"/>
      <c r="EV102"/>
      <c r="EW102"/>
      <c r="EX102"/>
    </row>
    <row r="103" spans="2:154" ht="22.5" hidden="1" customHeight="1" thickBot="1" x14ac:dyDescent="0.35">
      <c r="B103" s="479" t="s">
        <v>285</v>
      </c>
      <c r="C103" s="479"/>
      <c r="D103" s="479"/>
      <c r="E103" s="479"/>
      <c r="F103" s="479"/>
      <c r="G103" s="479"/>
      <c r="H103" s="479"/>
      <c r="I103" s="479"/>
      <c r="J103" s="479"/>
      <c r="K103" s="479"/>
      <c r="L103" s="479"/>
      <c r="M103" s="479"/>
      <c r="N103" s="479"/>
      <c r="O103" s="479"/>
      <c r="P103" s="479"/>
      <c r="Q103" s="479"/>
      <c r="R103" s="479"/>
      <c r="S103" s="479"/>
      <c r="T103" s="479"/>
      <c r="U103" s="479"/>
      <c r="V103" s="479"/>
      <c r="W103" s="479"/>
      <c r="X103" s="479"/>
      <c r="Y103" s="479"/>
      <c r="Z103" s="479"/>
      <c r="AA103" s="479"/>
      <c r="AB103" s="479"/>
      <c r="AC103" s="479"/>
      <c r="AD103" s="479"/>
      <c r="AE103" s="479"/>
      <c r="AF103" s="479"/>
      <c r="AG103" s="479"/>
      <c r="AH103" s="479"/>
      <c r="AI103" s="479"/>
      <c r="AJ103" s="479"/>
      <c r="AK103" s="479"/>
      <c r="AL103" s="479"/>
      <c r="AM103" s="479"/>
      <c r="AN103" s="479"/>
      <c r="AO103" s="479"/>
      <c r="AP103" s="479"/>
      <c r="AQ103" s="479"/>
      <c r="AR103" s="479"/>
      <c r="AS103" s="479"/>
      <c r="AT103" s="479"/>
      <c r="AU103" s="479"/>
      <c r="AV103" s="479"/>
      <c r="AW103" s="479"/>
      <c r="AX103" s="479"/>
      <c r="AY103" s="479"/>
      <c r="AZ103" s="479"/>
      <c r="BA103" s="479"/>
      <c r="BB103" s="479"/>
      <c r="BC103" s="479"/>
      <c r="BD103" s="479"/>
      <c r="BE103" s="479"/>
      <c r="BF103" s="187"/>
      <c r="BG103" s="187"/>
      <c r="BJ103" s="178" t="s">
        <v>1648</v>
      </c>
    </row>
    <row r="104" spans="2:154" ht="22.5" hidden="1" customHeight="1" x14ac:dyDescent="0.25">
      <c r="B104" s="454" t="s">
        <v>3221</v>
      </c>
      <c r="C104" s="401"/>
      <c r="D104" s="401"/>
      <c r="E104" s="401"/>
      <c r="F104" s="401"/>
      <c r="G104" s="401"/>
      <c r="H104" s="401"/>
      <c r="I104" s="401"/>
      <c r="J104" s="404"/>
      <c r="K104" s="404"/>
      <c r="L104" s="404"/>
      <c r="M104" s="404"/>
      <c r="N104" s="404"/>
      <c r="O104" s="404"/>
      <c r="P104" s="404"/>
      <c r="Q104" s="404"/>
      <c r="R104" s="404"/>
      <c r="S104" s="404"/>
      <c r="T104" s="404"/>
      <c r="U104" s="404"/>
      <c r="V104" s="404"/>
      <c r="W104" s="404"/>
      <c r="X104" s="405"/>
      <c r="Y104" s="400" t="s">
        <v>2074</v>
      </c>
      <c r="Z104" s="401"/>
      <c r="AA104" s="401"/>
      <c r="AB104" s="402"/>
      <c r="AC104" s="402"/>
      <c r="AD104" s="402"/>
      <c r="AE104" s="402"/>
      <c r="AF104" s="402"/>
      <c r="AG104" s="402"/>
      <c r="AH104" s="402"/>
      <c r="AI104" s="402"/>
      <c r="AJ104" s="402"/>
      <c r="AK104" s="403"/>
      <c r="AL104" s="400" t="s">
        <v>1982</v>
      </c>
      <c r="AM104" s="401"/>
      <c r="AN104" s="401"/>
      <c r="AO104" s="404"/>
      <c r="AP104" s="404"/>
      <c r="AQ104" s="404"/>
      <c r="AR104" s="404"/>
      <c r="AS104" s="404"/>
      <c r="AT104" s="404"/>
      <c r="AU104" s="405"/>
      <c r="AV104" s="400" t="s">
        <v>1983</v>
      </c>
      <c r="AW104" s="401"/>
      <c r="AX104" s="404"/>
      <c r="AY104" s="404"/>
      <c r="AZ104" s="404"/>
      <c r="BA104" s="404"/>
      <c r="BB104" s="404"/>
      <c r="BC104" s="404"/>
      <c r="BD104" s="404"/>
      <c r="BE104" s="406"/>
      <c r="BH104" s="517" t="s">
        <v>389</v>
      </c>
      <c r="BI104" s="518"/>
      <c r="BJ104" s="489" t="s">
        <v>1649</v>
      </c>
      <c r="BK104" s="490"/>
      <c r="BL104" s="490"/>
      <c r="BM104" s="490"/>
      <c r="BN104" s="490"/>
      <c r="BO104" s="490"/>
      <c r="BP104" s="490"/>
      <c r="BQ104" s="490"/>
      <c r="BR104" s="490"/>
      <c r="BS104" s="490"/>
      <c r="BT104" s="490"/>
      <c r="BU104" s="490"/>
      <c r="BV104" s="483" t="s">
        <v>1644</v>
      </c>
      <c r="BW104" s="484"/>
      <c r="BX104" s="484"/>
      <c r="BY104" s="484"/>
      <c r="BZ104" s="484"/>
      <c r="CA104" s="484"/>
      <c r="CB104" s="484"/>
      <c r="CC104" s="484"/>
      <c r="CD104" s="485"/>
      <c r="CE104" s="513" t="s">
        <v>1675</v>
      </c>
      <c r="CF104" s="513"/>
      <c r="CG104" s="513"/>
      <c r="CH104" s="513"/>
      <c r="CI104" s="513"/>
      <c r="CJ104" s="513"/>
      <c r="CK104" s="513"/>
      <c r="CL104" s="513"/>
      <c r="CM104" s="513"/>
      <c r="CN104" s="513"/>
      <c r="CO104" s="489" t="s">
        <v>1676</v>
      </c>
      <c r="CP104" s="490"/>
      <c r="CQ104" s="490"/>
      <c r="CR104" s="490"/>
      <c r="CS104" s="490"/>
      <c r="CT104" s="490"/>
      <c r="CU104" s="490"/>
      <c r="CV104" s="490"/>
      <c r="CW104" s="490"/>
      <c r="CX104" s="490"/>
      <c r="CY104" s="490"/>
      <c r="CZ104" s="491"/>
      <c r="DA104" s="516" t="s">
        <v>1645</v>
      </c>
      <c r="DB104" s="516"/>
      <c r="DC104" s="516"/>
      <c r="DD104" s="516"/>
      <c r="DE104" s="516"/>
      <c r="DF104" s="516"/>
      <c r="DG104" s="516"/>
      <c r="DH104" s="516"/>
      <c r="DI104" s="516"/>
      <c r="DJ104" s="516"/>
      <c r="DK104" s="483" t="s">
        <v>1646</v>
      </c>
      <c r="DL104" s="484"/>
      <c r="DM104" s="484"/>
      <c r="DN104" s="484"/>
      <c r="DO104" s="484"/>
      <c r="DP104" s="484"/>
      <c r="DQ104" s="484"/>
      <c r="DR104" s="485"/>
    </row>
    <row r="105" spans="2:154" ht="22.5" hidden="1" customHeight="1" x14ac:dyDescent="0.25">
      <c r="B105" s="393" t="s">
        <v>1984</v>
      </c>
      <c r="C105" s="392"/>
      <c r="D105" s="392"/>
      <c r="E105" s="392"/>
      <c r="F105" s="389"/>
      <c r="G105" s="389"/>
      <c r="H105" s="389"/>
      <c r="I105" s="389"/>
      <c r="J105" s="389"/>
      <c r="K105" s="389"/>
      <c r="L105" s="389"/>
      <c r="M105" s="391" t="s">
        <v>307</v>
      </c>
      <c r="N105" s="392"/>
      <c r="O105" s="392"/>
      <c r="P105" s="392"/>
      <c r="Q105" s="392"/>
      <c r="R105" s="392"/>
      <c r="S105" s="392"/>
      <c r="T105" s="392"/>
      <c r="U105" s="433"/>
      <c r="V105" s="433"/>
      <c r="W105" s="433"/>
      <c r="X105" s="433"/>
      <c r="Y105" s="433"/>
      <c r="Z105" s="433"/>
      <c r="AA105" s="391" t="s">
        <v>2084</v>
      </c>
      <c r="AB105" s="392"/>
      <c r="AC105" s="392"/>
      <c r="AD105" s="392"/>
      <c r="AE105" s="392"/>
      <c r="AF105" s="392"/>
      <c r="AG105" s="392"/>
      <c r="AH105" s="392"/>
      <c r="AI105" s="433"/>
      <c r="AJ105" s="433"/>
      <c r="AK105" s="433"/>
      <c r="AL105" s="433"/>
      <c r="AM105" s="433"/>
      <c r="AN105" s="434"/>
      <c r="AO105" s="391" t="s">
        <v>279</v>
      </c>
      <c r="AP105" s="392"/>
      <c r="AQ105" s="392"/>
      <c r="AR105" s="392"/>
      <c r="AS105" s="392"/>
      <c r="AT105" s="437"/>
      <c r="AU105" s="437"/>
      <c r="AV105" s="437"/>
      <c r="AW105" s="437"/>
      <c r="AX105" s="437"/>
      <c r="AY105" s="437"/>
      <c r="AZ105" s="391" t="s">
        <v>2083</v>
      </c>
      <c r="BA105" s="392"/>
      <c r="BB105" s="392"/>
      <c r="BC105" s="392"/>
      <c r="BD105" s="389"/>
      <c r="BE105" s="390"/>
      <c r="BH105" s="514">
        <v>1</v>
      </c>
      <c r="BI105" s="515"/>
      <c r="BJ105" s="498"/>
      <c r="BK105" s="499"/>
      <c r="BL105" s="499"/>
      <c r="BM105" s="499"/>
      <c r="BN105" s="499"/>
      <c r="BO105" s="499"/>
      <c r="BP105" s="499"/>
      <c r="BQ105" s="499"/>
      <c r="BR105" s="499"/>
      <c r="BS105" s="499"/>
      <c r="BT105" s="499"/>
      <c r="BU105" s="499"/>
      <c r="BV105" s="500"/>
      <c r="BW105" s="501"/>
      <c r="BX105" s="501"/>
      <c r="BY105" s="501"/>
      <c r="BZ105" s="501"/>
      <c r="CA105" s="501"/>
      <c r="CB105" s="501"/>
      <c r="CC105" s="501"/>
      <c r="CD105" s="502"/>
      <c r="CE105" s="519"/>
      <c r="CF105" s="519"/>
      <c r="CG105" s="519"/>
      <c r="CH105" s="519"/>
      <c r="CI105" s="519"/>
      <c r="CJ105" s="519"/>
      <c r="CK105" s="519"/>
      <c r="CL105" s="519"/>
      <c r="CM105" s="519"/>
      <c r="CN105" s="519"/>
      <c r="CO105" s="507"/>
      <c r="CP105" s="508"/>
      <c r="CQ105" s="508"/>
      <c r="CR105" s="508"/>
      <c r="CS105" s="508"/>
      <c r="CT105" s="508"/>
      <c r="CU105" s="508"/>
      <c r="CV105" s="508"/>
      <c r="CW105" s="508"/>
      <c r="CX105" s="508"/>
      <c r="CY105" s="508"/>
      <c r="CZ105" s="509"/>
      <c r="DA105" s="510"/>
      <c r="DB105" s="510"/>
      <c r="DC105" s="510"/>
      <c r="DD105" s="510"/>
      <c r="DE105" s="510"/>
      <c r="DF105" s="510"/>
      <c r="DG105" s="510"/>
      <c r="DH105" s="510"/>
      <c r="DI105" s="510"/>
      <c r="DJ105" s="510"/>
      <c r="DK105" s="492"/>
      <c r="DL105" s="493"/>
      <c r="DM105" s="493"/>
      <c r="DN105" s="493"/>
      <c r="DO105" s="493"/>
      <c r="DP105" s="493"/>
      <c r="DQ105" s="493"/>
      <c r="DR105" s="494"/>
    </row>
    <row r="106" spans="2:154" ht="22.5" hidden="1" customHeight="1" x14ac:dyDescent="0.25">
      <c r="B106" s="393" t="s">
        <v>2091</v>
      </c>
      <c r="C106" s="392"/>
      <c r="D106" s="392"/>
      <c r="E106" s="392"/>
      <c r="F106" s="392"/>
      <c r="G106" s="392"/>
      <c r="H106" s="392"/>
      <c r="I106" s="392"/>
      <c r="J106" s="392"/>
      <c r="K106" s="389"/>
      <c r="L106" s="389"/>
      <c r="M106" s="391" t="s">
        <v>2089</v>
      </c>
      <c r="N106" s="392"/>
      <c r="O106" s="392"/>
      <c r="P106" s="392"/>
      <c r="Q106" s="392"/>
      <c r="R106" s="392"/>
      <c r="S106" s="389"/>
      <c r="T106" s="389"/>
      <c r="U106" s="389"/>
      <c r="V106" s="389"/>
      <c r="W106" s="389"/>
      <c r="X106" s="391" t="s">
        <v>2092</v>
      </c>
      <c r="Y106" s="392"/>
      <c r="Z106" s="392"/>
      <c r="AA106" s="392"/>
      <c r="AB106" s="392"/>
      <c r="AC106" s="392"/>
      <c r="AD106" s="392"/>
      <c r="AE106" s="392"/>
      <c r="AF106" s="392"/>
      <c r="AG106" s="392"/>
      <c r="AH106" s="392"/>
      <c r="AI106" s="392"/>
      <c r="AJ106" s="392"/>
      <c r="AK106" s="392"/>
      <c r="AL106" s="392"/>
      <c r="AM106" s="392"/>
      <c r="AN106" s="392"/>
      <c r="AO106" s="392"/>
      <c r="AP106" s="392"/>
      <c r="AQ106" s="392"/>
      <c r="AR106" s="389"/>
      <c r="AS106" s="389"/>
      <c r="AT106" s="389"/>
      <c r="AU106" s="389"/>
      <c r="AV106" s="389"/>
      <c r="AW106" s="432"/>
      <c r="AX106" s="391" t="s">
        <v>796</v>
      </c>
      <c r="AY106" s="392"/>
      <c r="AZ106" s="392"/>
      <c r="BA106" s="392"/>
      <c r="BB106" s="392"/>
      <c r="BC106" s="392"/>
      <c r="BD106" s="389"/>
      <c r="BE106" s="390"/>
      <c r="BH106" s="443">
        <v>2</v>
      </c>
      <c r="BI106" s="444"/>
      <c r="BJ106" s="486"/>
      <c r="BK106" s="487"/>
      <c r="BL106" s="487"/>
      <c r="BM106" s="487"/>
      <c r="BN106" s="487"/>
      <c r="BO106" s="487"/>
      <c r="BP106" s="487"/>
      <c r="BQ106" s="487"/>
      <c r="BR106" s="487"/>
      <c r="BS106" s="487"/>
      <c r="BT106" s="487"/>
      <c r="BU106" s="487"/>
      <c r="BV106" s="500"/>
      <c r="BW106" s="501"/>
      <c r="BX106" s="501"/>
      <c r="BY106" s="501"/>
      <c r="BZ106" s="501"/>
      <c r="CA106" s="501"/>
      <c r="CB106" s="501"/>
      <c r="CC106" s="501"/>
      <c r="CD106" s="502"/>
      <c r="CE106" s="495"/>
      <c r="CF106" s="495"/>
      <c r="CG106" s="495"/>
      <c r="CH106" s="495"/>
      <c r="CI106" s="495"/>
      <c r="CJ106" s="495"/>
      <c r="CK106" s="495"/>
      <c r="CL106" s="495"/>
      <c r="CM106" s="495"/>
      <c r="CN106" s="495"/>
      <c r="CO106" s="486"/>
      <c r="CP106" s="487"/>
      <c r="CQ106" s="487"/>
      <c r="CR106" s="487"/>
      <c r="CS106" s="487"/>
      <c r="CT106" s="487"/>
      <c r="CU106" s="487"/>
      <c r="CV106" s="487"/>
      <c r="CW106" s="487"/>
      <c r="CX106" s="487"/>
      <c r="CY106" s="487"/>
      <c r="CZ106" s="488"/>
      <c r="DA106" s="495"/>
      <c r="DB106" s="495"/>
      <c r="DC106" s="495"/>
      <c r="DD106" s="495"/>
      <c r="DE106" s="495"/>
      <c r="DF106" s="495"/>
      <c r="DG106" s="495"/>
      <c r="DH106" s="495"/>
      <c r="DI106" s="495"/>
      <c r="DJ106" s="495"/>
      <c r="DK106" s="480"/>
      <c r="DL106" s="481"/>
      <c r="DM106" s="481"/>
      <c r="DN106" s="481"/>
      <c r="DO106" s="481"/>
      <c r="DP106" s="481"/>
      <c r="DQ106" s="481"/>
      <c r="DR106" s="482"/>
    </row>
    <row r="107" spans="2:154" ht="22.5" hidden="1" customHeight="1" x14ac:dyDescent="0.25">
      <c r="B107" s="393" t="s">
        <v>2978</v>
      </c>
      <c r="C107" s="392"/>
      <c r="D107" s="392"/>
      <c r="E107" s="392"/>
      <c r="F107" s="392"/>
      <c r="G107" s="392"/>
      <c r="H107" s="392"/>
      <c r="I107" s="392"/>
      <c r="J107" s="392"/>
      <c r="K107" s="389"/>
      <c r="L107" s="389"/>
      <c r="M107" s="391" t="s">
        <v>2089</v>
      </c>
      <c r="N107" s="392"/>
      <c r="O107" s="392"/>
      <c r="P107" s="392"/>
      <c r="Q107" s="392"/>
      <c r="R107" s="392"/>
      <c r="S107" s="389"/>
      <c r="T107" s="389"/>
      <c r="U107" s="389"/>
      <c r="V107" s="389"/>
      <c r="W107" s="389"/>
      <c r="X107" s="391" t="s">
        <v>2118</v>
      </c>
      <c r="Y107" s="392"/>
      <c r="Z107" s="392"/>
      <c r="AA107" s="392"/>
      <c r="AB107" s="392"/>
      <c r="AC107" s="392"/>
      <c r="AD107" s="392"/>
      <c r="AE107" s="442"/>
      <c r="AF107" s="442"/>
      <c r="AG107" s="442"/>
      <c r="AH107" s="442"/>
      <c r="AI107" s="442"/>
      <c r="AJ107" s="391" t="s">
        <v>2090</v>
      </c>
      <c r="AK107" s="392"/>
      <c r="AL107" s="392"/>
      <c r="AM107" s="392"/>
      <c r="AN107" s="392"/>
      <c r="AO107" s="392"/>
      <c r="AP107" s="392"/>
      <c r="AQ107" s="392"/>
      <c r="AR107" s="433"/>
      <c r="AS107" s="433"/>
      <c r="AT107" s="433"/>
      <c r="AU107" s="433"/>
      <c r="AV107" s="433"/>
      <c r="AW107" s="434"/>
      <c r="AX107" s="391" t="s">
        <v>2085</v>
      </c>
      <c r="AY107" s="392"/>
      <c r="AZ107" s="392"/>
      <c r="BA107" s="392"/>
      <c r="BB107" s="392"/>
      <c r="BC107" s="392"/>
      <c r="BD107" s="389"/>
      <c r="BE107" s="390"/>
      <c r="BH107" s="443">
        <v>3</v>
      </c>
      <c r="BI107" s="444"/>
      <c r="BJ107" s="486"/>
      <c r="BK107" s="487"/>
      <c r="BL107" s="487"/>
      <c r="BM107" s="487"/>
      <c r="BN107" s="487"/>
      <c r="BO107" s="487"/>
      <c r="BP107" s="487"/>
      <c r="BQ107" s="487"/>
      <c r="BR107" s="487"/>
      <c r="BS107" s="487"/>
      <c r="BT107" s="487"/>
      <c r="BU107" s="487"/>
      <c r="BV107" s="500"/>
      <c r="BW107" s="501"/>
      <c r="BX107" s="501"/>
      <c r="BY107" s="501"/>
      <c r="BZ107" s="501"/>
      <c r="CA107" s="501"/>
      <c r="CB107" s="501"/>
      <c r="CC107" s="501"/>
      <c r="CD107" s="502"/>
      <c r="CE107" s="506"/>
      <c r="CF107" s="506"/>
      <c r="CG107" s="506"/>
      <c r="CH107" s="506"/>
      <c r="CI107" s="506"/>
      <c r="CJ107" s="506"/>
      <c r="CK107" s="506"/>
      <c r="CL107" s="506"/>
      <c r="CM107" s="506"/>
      <c r="CN107" s="506"/>
      <c r="CO107" s="500"/>
      <c r="CP107" s="501"/>
      <c r="CQ107" s="501"/>
      <c r="CR107" s="501"/>
      <c r="CS107" s="501"/>
      <c r="CT107" s="501"/>
      <c r="CU107" s="501"/>
      <c r="CV107" s="501"/>
      <c r="CW107" s="501"/>
      <c r="CX107" s="501"/>
      <c r="CY107" s="501"/>
      <c r="CZ107" s="502"/>
      <c r="DA107" s="495"/>
      <c r="DB107" s="495"/>
      <c r="DC107" s="495"/>
      <c r="DD107" s="495"/>
      <c r="DE107" s="495"/>
      <c r="DF107" s="495"/>
      <c r="DG107" s="495"/>
      <c r="DH107" s="495"/>
      <c r="DI107" s="495"/>
      <c r="DJ107" s="495"/>
      <c r="DK107" s="480"/>
      <c r="DL107" s="481"/>
      <c r="DM107" s="481"/>
      <c r="DN107" s="481"/>
      <c r="DO107" s="481"/>
      <c r="DP107" s="481"/>
      <c r="DQ107" s="481"/>
      <c r="DR107" s="482"/>
    </row>
    <row r="108" spans="2:154" ht="22.5" hidden="1" customHeight="1" x14ac:dyDescent="0.25">
      <c r="B108" s="438" t="s">
        <v>2916</v>
      </c>
      <c r="C108" s="436"/>
      <c r="D108" s="436"/>
      <c r="E108" s="436"/>
      <c r="F108" s="436"/>
      <c r="G108" s="436"/>
      <c r="H108" s="436"/>
      <c r="I108" s="436"/>
      <c r="J108" s="436"/>
      <c r="K108" s="387"/>
      <c r="L108" s="387"/>
      <c r="M108" s="435" t="s">
        <v>2086</v>
      </c>
      <c r="N108" s="436"/>
      <c r="O108" s="436"/>
      <c r="P108" s="436"/>
      <c r="Q108" s="436"/>
      <c r="R108" s="436"/>
      <c r="S108" s="439"/>
      <c r="T108" s="387"/>
      <c r="U108" s="387"/>
      <c r="V108" s="387"/>
      <c r="W108" s="387"/>
      <c r="X108" s="435" t="s">
        <v>2087</v>
      </c>
      <c r="Y108" s="436"/>
      <c r="Z108" s="436"/>
      <c r="AA108" s="436"/>
      <c r="AB108" s="436"/>
      <c r="AC108" s="436"/>
      <c r="AD108" s="436"/>
      <c r="AE108" s="387"/>
      <c r="AF108" s="387"/>
      <c r="AG108" s="387"/>
      <c r="AH108" s="387"/>
      <c r="AI108" s="387"/>
      <c r="AJ108" s="435" t="s">
        <v>2088</v>
      </c>
      <c r="AK108" s="436"/>
      <c r="AL108" s="436"/>
      <c r="AM108" s="436"/>
      <c r="AN108" s="436"/>
      <c r="AO108" s="436"/>
      <c r="AP108" s="436"/>
      <c r="AQ108" s="436"/>
      <c r="AR108" s="387"/>
      <c r="AS108" s="387"/>
      <c r="AT108" s="387"/>
      <c r="AU108" s="387"/>
      <c r="AV108" s="387"/>
      <c r="AW108" s="387"/>
      <c r="AX108" s="387"/>
      <c r="AY108" s="387"/>
      <c r="AZ108" s="387"/>
      <c r="BA108" s="387"/>
      <c r="BB108" s="387"/>
      <c r="BC108" s="387"/>
      <c r="BD108" s="387"/>
      <c r="BE108" s="388"/>
      <c r="BH108" s="445">
        <v>4</v>
      </c>
      <c r="BI108" s="446"/>
      <c r="BJ108" s="496"/>
      <c r="BK108" s="461"/>
      <c r="BL108" s="461"/>
      <c r="BM108" s="461"/>
      <c r="BN108" s="461"/>
      <c r="BO108" s="461"/>
      <c r="BP108" s="461"/>
      <c r="BQ108" s="461"/>
      <c r="BR108" s="461"/>
      <c r="BS108" s="461"/>
      <c r="BT108" s="461"/>
      <c r="BU108" s="461"/>
      <c r="BV108" s="521"/>
      <c r="BW108" s="522"/>
      <c r="BX108" s="522"/>
      <c r="BY108" s="522"/>
      <c r="BZ108" s="522"/>
      <c r="CA108" s="522"/>
      <c r="CB108" s="522"/>
      <c r="CC108" s="522"/>
      <c r="CD108" s="523"/>
      <c r="CE108" s="497"/>
      <c r="CF108" s="497"/>
      <c r="CG108" s="497"/>
      <c r="CH108" s="497"/>
      <c r="CI108" s="497"/>
      <c r="CJ108" s="497"/>
      <c r="CK108" s="497"/>
      <c r="CL108" s="497"/>
      <c r="CM108" s="497"/>
      <c r="CN108" s="497"/>
      <c r="CO108" s="496"/>
      <c r="CP108" s="461"/>
      <c r="CQ108" s="461"/>
      <c r="CR108" s="461"/>
      <c r="CS108" s="461"/>
      <c r="CT108" s="461"/>
      <c r="CU108" s="461"/>
      <c r="CV108" s="461"/>
      <c r="CW108" s="461"/>
      <c r="CX108" s="461"/>
      <c r="CY108" s="461"/>
      <c r="CZ108" s="520"/>
      <c r="DA108" s="497"/>
      <c r="DB108" s="497"/>
      <c r="DC108" s="497"/>
      <c r="DD108" s="497"/>
      <c r="DE108" s="497"/>
      <c r="DF108" s="497"/>
      <c r="DG108" s="497"/>
      <c r="DH108" s="497"/>
      <c r="DI108" s="497"/>
      <c r="DJ108" s="497"/>
      <c r="DK108" s="503"/>
      <c r="DL108" s="504"/>
      <c r="DM108" s="504"/>
      <c r="DN108" s="504"/>
      <c r="DO108" s="504"/>
      <c r="DP108" s="504"/>
      <c r="DQ108" s="504"/>
      <c r="DR108" s="505"/>
    </row>
    <row r="109" spans="2:154" ht="22.5" hidden="1" customHeight="1" x14ac:dyDescent="0.25">
      <c r="B109" s="381" t="s">
        <v>278</v>
      </c>
      <c r="C109" s="382"/>
      <c r="D109" s="382"/>
      <c r="E109" s="382"/>
      <c r="F109" s="382"/>
      <c r="G109" s="382"/>
      <c r="H109" s="382"/>
      <c r="I109" s="382"/>
      <c r="J109" s="421"/>
      <c r="K109" s="421"/>
      <c r="L109" s="421"/>
      <c r="M109" s="421"/>
      <c r="N109" s="421"/>
      <c r="O109" s="421"/>
      <c r="P109" s="421"/>
      <c r="Q109" s="421"/>
      <c r="R109" s="421"/>
      <c r="S109" s="421"/>
      <c r="T109" s="421"/>
      <c r="U109" s="421"/>
      <c r="V109" s="421"/>
      <c r="W109" s="421"/>
      <c r="X109" s="421"/>
      <c r="Y109" s="421"/>
      <c r="Z109" s="421"/>
      <c r="AA109" s="421"/>
      <c r="AB109" s="421"/>
      <c r="AC109" s="421"/>
      <c r="AD109" s="421"/>
      <c r="AE109" s="421"/>
      <c r="AF109" s="421"/>
      <c r="AG109" s="421"/>
      <c r="AH109" s="421"/>
      <c r="AI109" s="421"/>
      <c r="AJ109" s="421"/>
      <c r="AK109" s="421"/>
      <c r="AL109" s="421"/>
      <c r="AM109" s="421"/>
      <c r="AN109" s="421"/>
      <c r="AO109" s="421"/>
      <c r="AP109" s="421"/>
      <c r="AQ109" s="421"/>
      <c r="AR109" s="421"/>
      <c r="AS109" s="421"/>
      <c r="AT109" s="421"/>
      <c r="AU109" s="421"/>
      <c r="AV109" s="421"/>
      <c r="AW109" s="421"/>
      <c r="AX109" s="421"/>
      <c r="AY109" s="421"/>
      <c r="AZ109" s="421"/>
      <c r="BA109" s="421"/>
      <c r="BB109" s="421"/>
      <c r="BC109" s="421"/>
      <c r="BD109" s="421"/>
      <c r="BE109" s="422"/>
      <c r="BH109" s="191"/>
      <c r="BI109" s="191"/>
      <c r="BJ109" s="191"/>
      <c r="BK109" s="191"/>
      <c r="BL109" s="191"/>
      <c r="BM109" s="191"/>
      <c r="BN109" s="191"/>
      <c r="BO109" s="191"/>
      <c r="BP109" s="191"/>
      <c r="BQ109" s="191"/>
      <c r="BR109" s="191"/>
      <c r="BS109" s="191"/>
      <c r="BT109" s="191"/>
      <c r="BU109" s="191"/>
      <c r="BV109" s="191"/>
      <c r="BW109" s="191"/>
      <c r="BX109" s="191"/>
      <c r="BY109" s="191"/>
      <c r="BZ109" s="191"/>
      <c r="CA109" s="191"/>
      <c r="CB109" s="191"/>
      <c r="CC109" s="191"/>
      <c r="CD109" s="191"/>
      <c r="CE109" s="191"/>
      <c r="CF109" s="191"/>
      <c r="CG109" s="191"/>
      <c r="DA109" s="511" t="s">
        <v>1647</v>
      </c>
      <c r="DB109" s="512"/>
      <c r="DC109" s="512"/>
      <c r="DD109" s="512"/>
      <c r="DE109" s="512"/>
      <c r="DF109" s="512"/>
      <c r="DG109" s="512"/>
      <c r="DH109" s="512"/>
      <c r="DI109" s="512"/>
      <c r="DJ109" s="512"/>
      <c r="DK109" s="418">
        <f>SUM(DK105:DR108)</f>
        <v>0</v>
      </c>
      <c r="DL109" s="419"/>
      <c r="DM109" s="419"/>
      <c r="DN109" s="419"/>
      <c r="DO109" s="419"/>
      <c r="DP109" s="419"/>
      <c r="DQ109" s="419"/>
      <c r="DR109" s="420"/>
    </row>
    <row r="110" spans="2:154" ht="24" hidden="1" customHeight="1" x14ac:dyDescent="0.25">
      <c r="B110" s="383"/>
      <c r="C110" s="384"/>
      <c r="D110" s="384"/>
      <c r="E110" s="384"/>
      <c r="F110" s="384"/>
      <c r="G110" s="384"/>
      <c r="H110" s="384"/>
      <c r="I110" s="384"/>
      <c r="J110" s="423"/>
      <c r="K110" s="423"/>
      <c r="L110" s="423"/>
      <c r="M110" s="423"/>
      <c r="N110" s="423"/>
      <c r="O110" s="423"/>
      <c r="P110" s="423"/>
      <c r="Q110" s="423"/>
      <c r="R110" s="423"/>
      <c r="S110" s="423"/>
      <c r="T110" s="423"/>
      <c r="U110" s="423"/>
      <c r="V110" s="423"/>
      <c r="W110" s="423"/>
      <c r="X110" s="423"/>
      <c r="Y110" s="423"/>
      <c r="Z110" s="423"/>
      <c r="AA110" s="423"/>
      <c r="AB110" s="423"/>
      <c r="AC110" s="423"/>
      <c r="AD110" s="423"/>
      <c r="AE110" s="423"/>
      <c r="AF110" s="423"/>
      <c r="AG110" s="423"/>
      <c r="AH110" s="423"/>
      <c r="AI110" s="423"/>
      <c r="AJ110" s="423"/>
      <c r="AK110" s="423"/>
      <c r="AL110" s="423"/>
      <c r="AM110" s="423"/>
      <c r="AN110" s="423"/>
      <c r="AO110" s="423"/>
      <c r="AP110" s="423"/>
      <c r="AQ110" s="423"/>
      <c r="AR110" s="423"/>
      <c r="AS110" s="423"/>
      <c r="AT110" s="423"/>
      <c r="AU110" s="423"/>
      <c r="AV110" s="423"/>
      <c r="AW110" s="423"/>
      <c r="AX110" s="423"/>
      <c r="AY110" s="423"/>
      <c r="AZ110" s="423"/>
      <c r="BA110" s="423"/>
      <c r="BB110" s="423"/>
      <c r="BC110" s="423"/>
      <c r="BD110" s="423"/>
      <c r="BE110" s="424"/>
      <c r="DZ110"/>
      <c r="EA110"/>
      <c r="EB110"/>
      <c r="EC110"/>
      <c r="ED110"/>
      <c r="EE110"/>
      <c r="EF110"/>
      <c r="EG110"/>
      <c r="EH110"/>
      <c r="EI110"/>
      <c r="EJ110"/>
      <c r="EK110"/>
      <c r="EL110"/>
      <c r="EM110"/>
      <c r="EN110"/>
      <c r="EO110"/>
      <c r="EP110"/>
      <c r="EQ110"/>
      <c r="ER110"/>
      <c r="ES110"/>
      <c r="ET110"/>
    </row>
    <row r="111" spans="2:154" ht="24" hidden="1" customHeight="1" thickBot="1" x14ac:dyDescent="0.3">
      <c r="B111" s="385"/>
      <c r="C111" s="386"/>
      <c r="D111" s="386"/>
      <c r="E111" s="386"/>
      <c r="F111" s="386"/>
      <c r="G111" s="386"/>
      <c r="H111" s="386"/>
      <c r="I111" s="386"/>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c r="AU111" s="425"/>
      <c r="AV111" s="425"/>
      <c r="AW111" s="425"/>
      <c r="AX111" s="425"/>
      <c r="AY111" s="425"/>
      <c r="AZ111" s="425"/>
      <c r="BA111" s="425"/>
      <c r="BB111" s="425"/>
      <c r="BC111" s="425"/>
      <c r="BD111" s="425"/>
      <c r="BE111" s="426"/>
      <c r="DZ111"/>
      <c r="EA111"/>
      <c r="EB111"/>
      <c r="EC111"/>
      <c r="ED111"/>
      <c r="EE111"/>
      <c r="EF111"/>
      <c r="EG111"/>
      <c r="EH111"/>
      <c r="EI111"/>
      <c r="EJ111"/>
      <c r="EK111"/>
      <c r="EL111"/>
      <c r="EM111"/>
      <c r="EN111"/>
      <c r="EO111"/>
      <c r="EP111"/>
      <c r="EQ111"/>
      <c r="ER111"/>
      <c r="ES111"/>
      <c r="ET111"/>
    </row>
    <row r="112" spans="2:154" ht="24" hidden="1" customHeight="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DZ112"/>
      <c r="EA112"/>
      <c r="EB112"/>
      <c r="EC112"/>
      <c r="ED112"/>
      <c r="EE112"/>
      <c r="EF112"/>
      <c r="EG112"/>
      <c r="EH112"/>
      <c r="EI112"/>
      <c r="EJ112"/>
      <c r="EK112"/>
      <c r="EL112"/>
      <c r="EM112"/>
      <c r="EN112"/>
      <c r="EO112"/>
      <c r="EP112"/>
      <c r="EQ112"/>
      <c r="ER112"/>
      <c r="ES112"/>
      <c r="ET112"/>
    </row>
    <row r="113" spans="2:153" ht="18.75" hidden="1" customHeight="1" x14ac:dyDescent="0.25">
      <c r="DZ113"/>
      <c r="EA113"/>
      <c r="EB113"/>
      <c r="EC113"/>
      <c r="ED113"/>
      <c r="EE113"/>
      <c r="EF113"/>
      <c r="EG113"/>
      <c r="EH113"/>
      <c r="EI113"/>
      <c r="EJ113"/>
      <c r="EK113"/>
      <c r="EL113"/>
      <c r="EM113"/>
      <c r="EN113"/>
      <c r="EO113"/>
      <c r="EP113"/>
      <c r="EQ113"/>
      <c r="ER113"/>
      <c r="ES113"/>
      <c r="ET113"/>
    </row>
    <row r="114" spans="2:153" ht="22.5" hidden="1" customHeight="1" thickBot="1" x14ac:dyDescent="0.35">
      <c r="B114" s="440" t="s">
        <v>286</v>
      </c>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c r="AI114" s="440"/>
      <c r="AJ114" s="440"/>
      <c r="AK114" s="440"/>
      <c r="AL114" s="440"/>
      <c r="AM114" s="440"/>
      <c r="AN114" s="440"/>
      <c r="AO114" s="440"/>
      <c r="AP114" s="440"/>
      <c r="AQ114" s="440"/>
      <c r="AR114" s="440"/>
      <c r="AS114" s="440"/>
      <c r="AT114" s="440"/>
      <c r="AU114" s="440"/>
      <c r="AV114" s="440"/>
      <c r="AW114" s="440"/>
      <c r="AX114" s="440"/>
      <c r="AY114" s="440"/>
      <c r="AZ114" s="440"/>
      <c r="BA114" s="440"/>
      <c r="BB114" s="440"/>
      <c r="BC114" s="440"/>
      <c r="BD114" s="440"/>
      <c r="BE114" s="440"/>
      <c r="BF114" s="187"/>
      <c r="BG114" s="187"/>
      <c r="BJ114" s="178" t="s">
        <v>1648</v>
      </c>
    </row>
    <row r="115" spans="2:153" ht="22.5" hidden="1" customHeight="1" x14ac:dyDescent="0.3">
      <c r="B115" s="454" t="s">
        <v>3221</v>
      </c>
      <c r="C115" s="401"/>
      <c r="D115" s="401"/>
      <c r="E115" s="401"/>
      <c r="F115" s="401"/>
      <c r="G115" s="401"/>
      <c r="H115" s="401"/>
      <c r="I115" s="401"/>
      <c r="J115" s="404"/>
      <c r="K115" s="404"/>
      <c r="L115" s="404"/>
      <c r="M115" s="404"/>
      <c r="N115" s="404"/>
      <c r="O115" s="404"/>
      <c r="P115" s="404"/>
      <c r="Q115" s="404"/>
      <c r="R115" s="404"/>
      <c r="S115" s="404"/>
      <c r="T115" s="404"/>
      <c r="U115" s="404"/>
      <c r="V115" s="404"/>
      <c r="W115" s="404"/>
      <c r="X115" s="405"/>
      <c r="Y115" s="400" t="s">
        <v>2074</v>
      </c>
      <c r="Z115" s="401"/>
      <c r="AA115" s="401"/>
      <c r="AB115" s="402"/>
      <c r="AC115" s="402"/>
      <c r="AD115" s="402"/>
      <c r="AE115" s="402"/>
      <c r="AF115" s="402"/>
      <c r="AG115" s="402"/>
      <c r="AH115" s="402"/>
      <c r="AI115" s="402"/>
      <c r="AJ115" s="402"/>
      <c r="AK115" s="403"/>
      <c r="AL115" s="400" t="s">
        <v>1982</v>
      </c>
      <c r="AM115" s="401"/>
      <c r="AN115" s="401"/>
      <c r="AO115" s="404"/>
      <c r="AP115" s="404"/>
      <c r="AQ115" s="404"/>
      <c r="AR115" s="404"/>
      <c r="AS115" s="404"/>
      <c r="AT115" s="404"/>
      <c r="AU115" s="405"/>
      <c r="AV115" s="400" t="s">
        <v>1983</v>
      </c>
      <c r="AW115" s="401"/>
      <c r="AX115" s="404"/>
      <c r="AY115" s="404"/>
      <c r="AZ115" s="404"/>
      <c r="BA115" s="404"/>
      <c r="BB115" s="404"/>
      <c r="BC115" s="404"/>
      <c r="BD115" s="404"/>
      <c r="BE115" s="406"/>
      <c r="BF115" s="190"/>
      <c r="BG115" s="190"/>
      <c r="BH115" s="517" t="s">
        <v>389</v>
      </c>
      <c r="BI115" s="518"/>
      <c r="BJ115" s="489" t="s">
        <v>1649</v>
      </c>
      <c r="BK115" s="490"/>
      <c r="BL115" s="490"/>
      <c r="BM115" s="490"/>
      <c r="BN115" s="490"/>
      <c r="BO115" s="490"/>
      <c r="BP115" s="490"/>
      <c r="BQ115" s="490"/>
      <c r="BR115" s="490"/>
      <c r="BS115" s="490"/>
      <c r="BT115" s="490"/>
      <c r="BU115" s="490"/>
      <c r="BV115" s="483" t="s">
        <v>1644</v>
      </c>
      <c r="BW115" s="484"/>
      <c r="BX115" s="484"/>
      <c r="BY115" s="484"/>
      <c r="BZ115" s="484"/>
      <c r="CA115" s="484"/>
      <c r="CB115" s="484"/>
      <c r="CC115" s="484"/>
      <c r="CD115" s="485"/>
      <c r="CE115" s="513" t="s">
        <v>1675</v>
      </c>
      <c r="CF115" s="513"/>
      <c r="CG115" s="513"/>
      <c r="CH115" s="513"/>
      <c r="CI115" s="513"/>
      <c r="CJ115" s="513"/>
      <c r="CK115" s="513"/>
      <c r="CL115" s="513"/>
      <c r="CM115" s="513"/>
      <c r="CN115" s="513"/>
      <c r="CO115" s="489" t="s">
        <v>1676</v>
      </c>
      <c r="CP115" s="490"/>
      <c r="CQ115" s="490"/>
      <c r="CR115" s="490"/>
      <c r="CS115" s="490"/>
      <c r="CT115" s="490"/>
      <c r="CU115" s="490"/>
      <c r="CV115" s="490"/>
      <c r="CW115" s="490"/>
      <c r="CX115" s="490"/>
      <c r="CY115" s="490"/>
      <c r="CZ115" s="491"/>
      <c r="DA115" s="516" t="s">
        <v>1645</v>
      </c>
      <c r="DB115" s="516"/>
      <c r="DC115" s="516"/>
      <c r="DD115" s="516"/>
      <c r="DE115" s="516"/>
      <c r="DF115" s="516"/>
      <c r="DG115" s="516"/>
      <c r="DH115" s="516"/>
      <c r="DI115" s="516"/>
      <c r="DJ115" s="516"/>
      <c r="DK115" s="483" t="s">
        <v>1646</v>
      </c>
      <c r="DL115" s="484"/>
      <c r="DM115" s="484"/>
      <c r="DN115" s="484"/>
      <c r="DO115" s="484"/>
      <c r="DP115" s="484"/>
      <c r="DQ115" s="484"/>
      <c r="DR115" s="485"/>
    </row>
    <row r="116" spans="2:153" ht="22.5" hidden="1" customHeight="1" x14ac:dyDescent="0.3">
      <c r="B116" s="393" t="s">
        <v>1984</v>
      </c>
      <c r="C116" s="392"/>
      <c r="D116" s="392"/>
      <c r="E116" s="392"/>
      <c r="F116" s="389"/>
      <c r="G116" s="389"/>
      <c r="H116" s="389"/>
      <c r="I116" s="389"/>
      <c r="J116" s="389"/>
      <c r="K116" s="389"/>
      <c r="L116" s="389"/>
      <c r="M116" s="391" t="s">
        <v>307</v>
      </c>
      <c r="N116" s="392"/>
      <c r="O116" s="392"/>
      <c r="P116" s="392"/>
      <c r="Q116" s="392"/>
      <c r="R116" s="392"/>
      <c r="S116" s="392"/>
      <c r="T116" s="392"/>
      <c r="U116" s="433"/>
      <c r="V116" s="433"/>
      <c r="W116" s="433"/>
      <c r="X116" s="433"/>
      <c r="Y116" s="433"/>
      <c r="Z116" s="433"/>
      <c r="AA116" s="391" t="s">
        <v>2084</v>
      </c>
      <c r="AB116" s="392"/>
      <c r="AC116" s="392"/>
      <c r="AD116" s="392"/>
      <c r="AE116" s="392"/>
      <c r="AF116" s="392"/>
      <c r="AG116" s="392"/>
      <c r="AH116" s="392"/>
      <c r="AI116" s="433"/>
      <c r="AJ116" s="433"/>
      <c r="AK116" s="433"/>
      <c r="AL116" s="433"/>
      <c r="AM116" s="433"/>
      <c r="AN116" s="434"/>
      <c r="AO116" s="391" t="s">
        <v>279</v>
      </c>
      <c r="AP116" s="392"/>
      <c r="AQ116" s="392"/>
      <c r="AR116" s="392"/>
      <c r="AS116" s="392"/>
      <c r="AT116" s="437"/>
      <c r="AU116" s="437"/>
      <c r="AV116" s="437"/>
      <c r="AW116" s="437"/>
      <c r="AX116" s="437"/>
      <c r="AY116" s="437"/>
      <c r="AZ116" s="391" t="s">
        <v>2083</v>
      </c>
      <c r="BA116" s="392"/>
      <c r="BB116" s="392"/>
      <c r="BC116" s="392"/>
      <c r="BD116" s="389"/>
      <c r="BE116" s="390"/>
      <c r="BF116" s="190"/>
      <c r="BG116" s="190"/>
      <c r="BH116" s="514">
        <v>1</v>
      </c>
      <c r="BI116" s="515"/>
      <c r="BJ116" s="498"/>
      <c r="BK116" s="499"/>
      <c r="BL116" s="499"/>
      <c r="BM116" s="499"/>
      <c r="BN116" s="499"/>
      <c r="BO116" s="499"/>
      <c r="BP116" s="499"/>
      <c r="BQ116" s="499"/>
      <c r="BR116" s="499"/>
      <c r="BS116" s="499"/>
      <c r="BT116" s="499"/>
      <c r="BU116" s="499"/>
      <c r="BV116" s="500"/>
      <c r="BW116" s="501"/>
      <c r="BX116" s="501"/>
      <c r="BY116" s="501"/>
      <c r="BZ116" s="501"/>
      <c r="CA116" s="501"/>
      <c r="CB116" s="501"/>
      <c r="CC116" s="501"/>
      <c r="CD116" s="502"/>
      <c r="CE116" s="519"/>
      <c r="CF116" s="519"/>
      <c r="CG116" s="519"/>
      <c r="CH116" s="519"/>
      <c r="CI116" s="519"/>
      <c r="CJ116" s="519"/>
      <c r="CK116" s="519"/>
      <c r="CL116" s="519"/>
      <c r="CM116" s="519"/>
      <c r="CN116" s="519"/>
      <c r="CO116" s="507"/>
      <c r="CP116" s="508"/>
      <c r="CQ116" s="508"/>
      <c r="CR116" s="508"/>
      <c r="CS116" s="508"/>
      <c r="CT116" s="508"/>
      <c r="CU116" s="508"/>
      <c r="CV116" s="508"/>
      <c r="CW116" s="508"/>
      <c r="CX116" s="508"/>
      <c r="CY116" s="508"/>
      <c r="CZ116" s="509"/>
      <c r="DA116" s="510"/>
      <c r="DB116" s="510"/>
      <c r="DC116" s="510"/>
      <c r="DD116" s="510"/>
      <c r="DE116" s="510"/>
      <c r="DF116" s="510"/>
      <c r="DG116" s="510"/>
      <c r="DH116" s="510"/>
      <c r="DI116" s="510"/>
      <c r="DJ116" s="510"/>
      <c r="DK116" s="492"/>
      <c r="DL116" s="493"/>
      <c r="DM116" s="493"/>
      <c r="DN116" s="493"/>
      <c r="DO116" s="493"/>
      <c r="DP116" s="493"/>
      <c r="DQ116" s="493"/>
      <c r="DR116" s="494"/>
    </row>
    <row r="117" spans="2:153" ht="22.5" hidden="1" customHeight="1" x14ac:dyDescent="0.3">
      <c r="B117" s="393" t="s">
        <v>2091</v>
      </c>
      <c r="C117" s="392"/>
      <c r="D117" s="392"/>
      <c r="E117" s="392"/>
      <c r="F117" s="392"/>
      <c r="G117" s="392"/>
      <c r="H117" s="392"/>
      <c r="I117" s="392"/>
      <c r="J117" s="392"/>
      <c r="K117" s="389"/>
      <c r="L117" s="389"/>
      <c r="M117" s="391" t="s">
        <v>2089</v>
      </c>
      <c r="N117" s="392"/>
      <c r="O117" s="392"/>
      <c r="P117" s="392"/>
      <c r="Q117" s="392"/>
      <c r="R117" s="392"/>
      <c r="S117" s="389"/>
      <c r="T117" s="389"/>
      <c r="U117" s="389"/>
      <c r="V117" s="389"/>
      <c r="W117" s="389"/>
      <c r="X117" s="391" t="s">
        <v>2092</v>
      </c>
      <c r="Y117" s="392"/>
      <c r="Z117" s="392"/>
      <c r="AA117" s="392"/>
      <c r="AB117" s="392"/>
      <c r="AC117" s="392"/>
      <c r="AD117" s="392"/>
      <c r="AE117" s="392"/>
      <c r="AF117" s="392"/>
      <c r="AG117" s="392"/>
      <c r="AH117" s="392"/>
      <c r="AI117" s="392"/>
      <c r="AJ117" s="392"/>
      <c r="AK117" s="392"/>
      <c r="AL117" s="392"/>
      <c r="AM117" s="392"/>
      <c r="AN117" s="392"/>
      <c r="AO117" s="392"/>
      <c r="AP117" s="392"/>
      <c r="AQ117" s="392"/>
      <c r="AR117" s="389"/>
      <c r="AS117" s="389"/>
      <c r="AT117" s="389"/>
      <c r="AU117" s="389"/>
      <c r="AV117" s="389"/>
      <c r="AW117" s="432"/>
      <c r="AX117" s="391" t="s">
        <v>796</v>
      </c>
      <c r="AY117" s="392"/>
      <c r="AZ117" s="392"/>
      <c r="BA117" s="392"/>
      <c r="BB117" s="392"/>
      <c r="BC117" s="392"/>
      <c r="BD117" s="389"/>
      <c r="BE117" s="390"/>
      <c r="BF117" s="190"/>
      <c r="BG117" s="190"/>
      <c r="BH117" s="443">
        <v>2</v>
      </c>
      <c r="BI117" s="444"/>
      <c r="BJ117" s="486"/>
      <c r="BK117" s="487"/>
      <c r="BL117" s="487"/>
      <c r="BM117" s="487"/>
      <c r="BN117" s="487"/>
      <c r="BO117" s="487"/>
      <c r="BP117" s="487"/>
      <c r="BQ117" s="487"/>
      <c r="BR117" s="487"/>
      <c r="BS117" s="487"/>
      <c r="BT117" s="487"/>
      <c r="BU117" s="487"/>
      <c r="BV117" s="500"/>
      <c r="BW117" s="501"/>
      <c r="BX117" s="501"/>
      <c r="BY117" s="501"/>
      <c r="BZ117" s="501"/>
      <c r="CA117" s="501"/>
      <c r="CB117" s="501"/>
      <c r="CC117" s="501"/>
      <c r="CD117" s="502"/>
      <c r="CE117" s="495"/>
      <c r="CF117" s="495"/>
      <c r="CG117" s="495"/>
      <c r="CH117" s="495"/>
      <c r="CI117" s="495"/>
      <c r="CJ117" s="495"/>
      <c r="CK117" s="495"/>
      <c r="CL117" s="495"/>
      <c r="CM117" s="495"/>
      <c r="CN117" s="495"/>
      <c r="CO117" s="486"/>
      <c r="CP117" s="487"/>
      <c r="CQ117" s="487"/>
      <c r="CR117" s="487"/>
      <c r="CS117" s="487"/>
      <c r="CT117" s="487"/>
      <c r="CU117" s="487"/>
      <c r="CV117" s="487"/>
      <c r="CW117" s="487"/>
      <c r="CX117" s="487"/>
      <c r="CY117" s="487"/>
      <c r="CZ117" s="488"/>
      <c r="DA117" s="495"/>
      <c r="DB117" s="495"/>
      <c r="DC117" s="495"/>
      <c r="DD117" s="495"/>
      <c r="DE117" s="495"/>
      <c r="DF117" s="495"/>
      <c r="DG117" s="495"/>
      <c r="DH117" s="495"/>
      <c r="DI117" s="495"/>
      <c r="DJ117" s="495"/>
      <c r="DK117" s="480"/>
      <c r="DL117" s="481"/>
      <c r="DM117" s="481"/>
      <c r="DN117" s="481"/>
      <c r="DO117" s="481"/>
      <c r="DP117" s="481"/>
      <c r="DQ117" s="481"/>
      <c r="DR117" s="482"/>
    </row>
    <row r="118" spans="2:153" ht="22.5" hidden="1" customHeight="1" x14ac:dyDescent="0.3">
      <c r="B118" s="393" t="s">
        <v>2978</v>
      </c>
      <c r="C118" s="392"/>
      <c r="D118" s="392"/>
      <c r="E118" s="392"/>
      <c r="F118" s="392"/>
      <c r="G118" s="392"/>
      <c r="H118" s="392"/>
      <c r="I118" s="392"/>
      <c r="J118" s="392"/>
      <c r="K118" s="389"/>
      <c r="L118" s="389"/>
      <c r="M118" s="391" t="s">
        <v>2089</v>
      </c>
      <c r="N118" s="392"/>
      <c r="O118" s="392"/>
      <c r="P118" s="392"/>
      <c r="Q118" s="392"/>
      <c r="R118" s="392"/>
      <c r="S118" s="389"/>
      <c r="T118" s="389"/>
      <c r="U118" s="389"/>
      <c r="V118" s="389"/>
      <c r="W118" s="389"/>
      <c r="X118" s="391" t="s">
        <v>2118</v>
      </c>
      <c r="Y118" s="392"/>
      <c r="Z118" s="392"/>
      <c r="AA118" s="392"/>
      <c r="AB118" s="392"/>
      <c r="AC118" s="392"/>
      <c r="AD118" s="392"/>
      <c r="AE118" s="442"/>
      <c r="AF118" s="442"/>
      <c r="AG118" s="442"/>
      <c r="AH118" s="442"/>
      <c r="AI118" s="442"/>
      <c r="AJ118" s="391" t="s">
        <v>2090</v>
      </c>
      <c r="AK118" s="392"/>
      <c r="AL118" s="392"/>
      <c r="AM118" s="392"/>
      <c r="AN118" s="392"/>
      <c r="AO118" s="392"/>
      <c r="AP118" s="392"/>
      <c r="AQ118" s="392"/>
      <c r="AR118" s="433"/>
      <c r="AS118" s="433"/>
      <c r="AT118" s="433"/>
      <c r="AU118" s="433"/>
      <c r="AV118" s="433"/>
      <c r="AW118" s="434"/>
      <c r="AX118" s="391" t="s">
        <v>2085</v>
      </c>
      <c r="AY118" s="392"/>
      <c r="AZ118" s="392"/>
      <c r="BA118" s="392"/>
      <c r="BB118" s="392"/>
      <c r="BC118" s="392"/>
      <c r="BD118" s="389"/>
      <c r="BE118" s="390"/>
      <c r="BF118" s="190"/>
      <c r="BG118" s="190"/>
      <c r="BH118" s="443">
        <v>3</v>
      </c>
      <c r="BI118" s="444"/>
      <c r="BJ118" s="486"/>
      <c r="BK118" s="487"/>
      <c r="BL118" s="487"/>
      <c r="BM118" s="487"/>
      <c r="BN118" s="487"/>
      <c r="BO118" s="487"/>
      <c r="BP118" s="487"/>
      <c r="BQ118" s="487"/>
      <c r="BR118" s="487"/>
      <c r="BS118" s="487"/>
      <c r="BT118" s="487"/>
      <c r="BU118" s="487"/>
      <c r="BV118" s="500"/>
      <c r="BW118" s="501"/>
      <c r="BX118" s="501"/>
      <c r="BY118" s="501"/>
      <c r="BZ118" s="501"/>
      <c r="CA118" s="501"/>
      <c r="CB118" s="501"/>
      <c r="CC118" s="501"/>
      <c r="CD118" s="502"/>
      <c r="CE118" s="506"/>
      <c r="CF118" s="506"/>
      <c r="CG118" s="506"/>
      <c r="CH118" s="506"/>
      <c r="CI118" s="506"/>
      <c r="CJ118" s="506"/>
      <c r="CK118" s="506"/>
      <c r="CL118" s="506"/>
      <c r="CM118" s="506"/>
      <c r="CN118" s="506"/>
      <c r="CO118" s="500"/>
      <c r="CP118" s="501"/>
      <c r="CQ118" s="501"/>
      <c r="CR118" s="501"/>
      <c r="CS118" s="501"/>
      <c r="CT118" s="501"/>
      <c r="CU118" s="501"/>
      <c r="CV118" s="501"/>
      <c r="CW118" s="501"/>
      <c r="CX118" s="501"/>
      <c r="CY118" s="501"/>
      <c r="CZ118" s="502"/>
      <c r="DA118" s="495"/>
      <c r="DB118" s="495"/>
      <c r="DC118" s="495"/>
      <c r="DD118" s="495"/>
      <c r="DE118" s="495"/>
      <c r="DF118" s="495"/>
      <c r="DG118" s="495"/>
      <c r="DH118" s="495"/>
      <c r="DI118" s="495"/>
      <c r="DJ118" s="495"/>
      <c r="DK118" s="480"/>
      <c r="DL118" s="481"/>
      <c r="DM118" s="481"/>
      <c r="DN118" s="481"/>
      <c r="DO118" s="481"/>
      <c r="DP118" s="481"/>
      <c r="DQ118" s="481"/>
      <c r="DR118" s="482"/>
    </row>
    <row r="119" spans="2:153" ht="22.5" hidden="1" customHeight="1" x14ac:dyDescent="0.3">
      <c r="B119" s="438" t="s">
        <v>2916</v>
      </c>
      <c r="C119" s="436"/>
      <c r="D119" s="436"/>
      <c r="E119" s="436"/>
      <c r="F119" s="436"/>
      <c r="G119" s="436"/>
      <c r="H119" s="436"/>
      <c r="I119" s="436"/>
      <c r="J119" s="436"/>
      <c r="K119" s="387"/>
      <c r="L119" s="387"/>
      <c r="M119" s="435" t="s">
        <v>2086</v>
      </c>
      <c r="N119" s="436"/>
      <c r="O119" s="436"/>
      <c r="P119" s="436"/>
      <c r="Q119" s="436"/>
      <c r="R119" s="436"/>
      <c r="S119" s="439"/>
      <c r="T119" s="387"/>
      <c r="U119" s="387"/>
      <c r="V119" s="387"/>
      <c r="W119" s="387"/>
      <c r="X119" s="435" t="s">
        <v>2087</v>
      </c>
      <c r="Y119" s="436"/>
      <c r="Z119" s="436"/>
      <c r="AA119" s="436"/>
      <c r="AB119" s="436"/>
      <c r="AC119" s="436"/>
      <c r="AD119" s="436"/>
      <c r="AE119" s="387"/>
      <c r="AF119" s="387"/>
      <c r="AG119" s="387"/>
      <c r="AH119" s="387"/>
      <c r="AI119" s="387"/>
      <c r="AJ119" s="435" t="s">
        <v>2088</v>
      </c>
      <c r="AK119" s="436"/>
      <c r="AL119" s="436"/>
      <c r="AM119" s="436"/>
      <c r="AN119" s="436"/>
      <c r="AO119" s="436"/>
      <c r="AP119" s="436"/>
      <c r="AQ119" s="436"/>
      <c r="AR119" s="387"/>
      <c r="AS119" s="387"/>
      <c r="AT119" s="387"/>
      <c r="AU119" s="387"/>
      <c r="AV119" s="387"/>
      <c r="AW119" s="387"/>
      <c r="AX119" s="387"/>
      <c r="AY119" s="387"/>
      <c r="AZ119" s="387"/>
      <c r="BA119" s="387"/>
      <c r="BB119" s="387"/>
      <c r="BC119" s="387"/>
      <c r="BD119" s="387"/>
      <c r="BE119" s="388"/>
      <c r="BF119" s="190"/>
      <c r="BG119" s="190"/>
      <c r="BH119" s="445">
        <v>4</v>
      </c>
      <c r="BI119" s="446"/>
      <c r="BJ119" s="496"/>
      <c r="BK119" s="461"/>
      <c r="BL119" s="461"/>
      <c r="BM119" s="461"/>
      <c r="BN119" s="461"/>
      <c r="BO119" s="461"/>
      <c r="BP119" s="461"/>
      <c r="BQ119" s="461"/>
      <c r="BR119" s="461"/>
      <c r="BS119" s="461"/>
      <c r="BT119" s="461"/>
      <c r="BU119" s="461"/>
      <c r="BV119" s="521"/>
      <c r="BW119" s="522"/>
      <c r="BX119" s="522"/>
      <c r="BY119" s="522"/>
      <c r="BZ119" s="522"/>
      <c r="CA119" s="522"/>
      <c r="CB119" s="522"/>
      <c r="CC119" s="522"/>
      <c r="CD119" s="523"/>
      <c r="CE119" s="497"/>
      <c r="CF119" s="497"/>
      <c r="CG119" s="497"/>
      <c r="CH119" s="497"/>
      <c r="CI119" s="497"/>
      <c r="CJ119" s="497"/>
      <c r="CK119" s="497"/>
      <c r="CL119" s="497"/>
      <c r="CM119" s="497"/>
      <c r="CN119" s="497"/>
      <c r="CO119" s="496"/>
      <c r="CP119" s="461"/>
      <c r="CQ119" s="461"/>
      <c r="CR119" s="461"/>
      <c r="CS119" s="461"/>
      <c r="CT119" s="461"/>
      <c r="CU119" s="461"/>
      <c r="CV119" s="461"/>
      <c r="CW119" s="461"/>
      <c r="CX119" s="461"/>
      <c r="CY119" s="461"/>
      <c r="CZ119" s="520"/>
      <c r="DA119" s="497"/>
      <c r="DB119" s="497"/>
      <c r="DC119" s="497"/>
      <c r="DD119" s="497"/>
      <c r="DE119" s="497"/>
      <c r="DF119" s="497"/>
      <c r="DG119" s="497"/>
      <c r="DH119" s="497"/>
      <c r="DI119" s="497"/>
      <c r="DJ119" s="497"/>
      <c r="DK119" s="503"/>
      <c r="DL119" s="504"/>
      <c r="DM119" s="504"/>
      <c r="DN119" s="504"/>
      <c r="DO119" s="504"/>
      <c r="DP119" s="504"/>
      <c r="DQ119" s="504"/>
      <c r="DR119" s="505"/>
    </row>
    <row r="120" spans="2:153" ht="22.5" hidden="1" customHeight="1" x14ac:dyDescent="0.3">
      <c r="B120" s="381" t="s">
        <v>278</v>
      </c>
      <c r="C120" s="382"/>
      <c r="D120" s="382"/>
      <c r="E120" s="382"/>
      <c r="F120" s="382"/>
      <c r="G120" s="382"/>
      <c r="H120" s="382"/>
      <c r="I120" s="382"/>
      <c r="J120" s="421"/>
      <c r="K120" s="421"/>
      <c r="L120" s="421"/>
      <c r="M120" s="421"/>
      <c r="N120" s="421"/>
      <c r="O120" s="421"/>
      <c r="P120" s="421"/>
      <c r="Q120" s="421"/>
      <c r="R120" s="421"/>
      <c r="S120" s="421"/>
      <c r="T120" s="421"/>
      <c r="U120" s="421"/>
      <c r="V120" s="421"/>
      <c r="W120" s="421"/>
      <c r="X120" s="421"/>
      <c r="Y120" s="421"/>
      <c r="Z120" s="421"/>
      <c r="AA120" s="421"/>
      <c r="AB120" s="421"/>
      <c r="AC120" s="421"/>
      <c r="AD120" s="421"/>
      <c r="AE120" s="421"/>
      <c r="AF120" s="421"/>
      <c r="AG120" s="421"/>
      <c r="AH120" s="421"/>
      <c r="AI120" s="421"/>
      <c r="AJ120" s="421"/>
      <c r="AK120" s="421"/>
      <c r="AL120" s="421"/>
      <c r="AM120" s="421"/>
      <c r="AN120" s="421"/>
      <c r="AO120" s="421"/>
      <c r="AP120" s="421"/>
      <c r="AQ120" s="421"/>
      <c r="AR120" s="421"/>
      <c r="AS120" s="421"/>
      <c r="AT120" s="421"/>
      <c r="AU120" s="421"/>
      <c r="AV120" s="421"/>
      <c r="AW120" s="421"/>
      <c r="AX120" s="421"/>
      <c r="AY120" s="421"/>
      <c r="AZ120" s="421"/>
      <c r="BA120" s="421"/>
      <c r="BB120" s="421"/>
      <c r="BC120" s="421"/>
      <c r="BD120" s="421"/>
      <c r="BE120" s="422"/>
      <c r="BF120" s="190"/>
      <c r="BG120" s="190"/>
      <c r="DA120" s="511" t="s">
        <v>1647</v>
      </c>
      <c r="DB120" s="512"/>
      <c r="DC120" s="512"/>
      <c r="DD120" s="512"/>
      <c r="DE120" s="512"/>
      <c r="DF120" s="512"/>
      <c r="DG120" s="512"/>
      <c r="DH120" s="512"/>
      <c r="DI120" s="512"/>
      <c r="DJ120" s="512"/>
      <c r="DK120" s="418">
        <f>SUM(DK116:DR119)</f>
        <v>0</v>
      </c>
      <c r="DL120" s="419"/>
      <c r="DM120" s="419"/>
      <c r="DN120" s="419"/>
      <c r="DO120" s="419"/>
      <c r="DP120" s="419"/>
      <c r="DQ120" s="419"/>
      <c r="DR120" s="420"/>
      <c r="EC120"/>
      <c r="ED120"/>
      <c r="EE120"/>
      <c r="EF120"/>
      <c r="EG120"/>
      <c r="EH120"/>
      <c r="EI120"/>
      <c r="EJ120"/>
      <c r="EK120"/>
      <c r="EL120"/>
      <c r="EM120"/>
      <c r="EN120"/>
      <c r="EO120"/>
      <c r="EP120"/>
      <c r="EQ120"/>
      <c r="ER120"/>
      <c r="ES120"/>
      <c r="ET120"/>
      <c r="EU120"/>
      <c r="EV120"/>
      <c r="EW120"/>
    </row>
    <row r="121" spans="2:153" ht="24" hidden="1" customHeight="1" x14ac:dyDescent="0.25">
      <c r="B121" s="383"/>
      <c r="C121" s="384"/>
      <c r="D121" s="384"/>
      <c r="E121" s="384"/>
      <c r="F121" s="384"/>
      <c r="G121" s="384"/>
      <c r="H121" s="384"/>
      <c r="I121" s="384"/>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c r="AU121" s="423"/>
      <c r="AV121" s="423"/>
      <c r="AW121" s="423"/>
      <c r="AX121" s="423"/>
      <c r="AY121" s="423"/>
      <c r="AZ121" s="423"/>
      <c r="BA121" s="423"/>
      <c r="BB121" s="423"/>
      <c r="BC121" s="423"/>
      <c r="BD121" s="423"/>
      <c r="BE121" s="424"/>
      <c r="EC121"/>
      <c r="ED121"/>
      <c r="EE121"/>
      <c r="EF121"/>
      <c r="EG121"/>
      <c r="EH121"/>
      <c r="EI121"/>
      <c r="EJ121"/>
      <c r="EK121"/>
      <c r="EL121"/>
      <c r="EM121"/>
      <c r="EN121"/>
      <c r="EO121"/>
      <c r="EP121"/>
      <c r="EQ121"/>
      <c r="ER121"/>
      <c r="ES121"/>
      <c r="ET121"/>
      <c r="EU121"/>
      <c r="EV121"/>
      <c r="EW121"/>
    </row>
    <row r="122" spans="2:153" ht="24" hidden="1" customHeight="1" thickBot="1" x14ac:dyDescent="0.3">
      <c r="B122" s="385"/>
      <c r="C122" s="386"/>
      <c r="D122" s="386"/>
      <c r="E122" s="386"/>
      <c r="F122" s="386"/>
      <c r="G122" s="386"/>
      <c r="H122" s="386"/>
      <c r="I122" s="386"/>
      <c r="J122" s="425"/>
      <c r="K122" s="425"/>
      <c r="L122" s="425"/>
      <c r="M122" s="425"/>
      <c r="N122" s="425"/>
      <c r="O122" s="425"/>
      <c r="P122" s="425"/>
      <c r="Q122" s="425"/>
      <c r="R122" s="425"/>
      <c r="S122" s="425"/>
      <c r="T122" s="425"/>
      <c r="U122" s="425"/>
      <c r="V122" s="425"/>
      <c r="W122" s="425"/>
      <c r="X122" s="425"/>
      <c r="Y122" s="425"/>
      <c r="Z122" s="425"/>
      <c r="AA122" s="425"/>
      <c r="AB122" s="425"/>
      <c r="AC122" s="425"/>
      <c r="AD122" s="425"/>
      <c r="AE122" s="425"/>
      <c r="AF122" s="425"/>
      <c r="AG122" s="425"/>
      <c r="AH122" s="425"/>
      <c r="AI122" s="425"/>
      <c r="AJ122" s="425"/>
      <c r="AK122" s="425"/>
      <c r="AL122" s="425"/>
      <c r="AM122" s="425"/>
      <c r="AN122" s="425"/>
      <c r="AO122" s="425"/>
      <c r="AP122" s="425"/>
      <c r="AQ122" s="425"/>
      <c r="AR122" s="425"/>
      <c r="AS122" s="425"/>
      <c r="AT122" s="425"/>
      <c r="AU122" s="425"/>
      <c r="AV122" s="425"/>
      <c r="AW122" s="425"/>
      <c r="AX122" s="425"/>
      <c r="AY122" s="425"/>
      <c r="AZ122" s="425"/>
      <c r="BA122" s="425"/>
      <c r="BB122" s="425"/>
      <c r="BC122" s="425"/>
      <c r="BD122" s="425"/>
      <c r="BE122" s="426"/>
      <c r="EC122"/>
      <c r="ED122"/>
      <c r="EE122"/>
      <c r="EF122"/>
      <c r="EG122"/>
      <c r="EH122"/>
      <c r="EI122"/>
      <c r="EJ122"/>
      <c r="EK122"/>
      <c r="EL122"/>
      <c r="EM122"/>
      <c r="EN122"/>
      <c r="EO122"/>
      <c r="EP122"/>
      <c r="EQ122"/>
      <c r="ER122"/>
      <c r="ES122"/>
      <c r="ET122"/>
      <c r="EU122"/>
      <c r="EV122"/>
      <c r="EW122"/>
    </row>
    <row r="123" spans="2:153" ht="24" hidden="1" customHeight="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EC123"/>
      <c r="ED123"/>
      <c r="EE123"/>
      <c r="EF123"/>
      <c r="EG123"/>
      <c r="EH123"/>
      <c r="EI123"/>
      <c r="EJ123"/>
      <c r="EK123"/>
      <c r="EL123"/>
      <c r="EM123"/>
      <c r="EN123"/>
      <c r="EO123"/>
      <c r="EP123"/>
      <c r="EQ123"/>
      <c r="ER123"/>
      <c r="ES123"/>
      <c r="ET123"/>
      <c r="EU123"/>
      <c r="EV123"/>
      <c r="EW123"/>
    </row>
    <row r="124" spans="2:153" ht="18.75" hidden="1" customHeight="1" x14ac:dyDescent="0.3">
      <c r="B124" s="190"/>
      <c r="C124" s="190"/>
      <c r="D124" s="190"/>
      <c r="E124" s="190"/>
      <c r="F124" s="190"/>
      <c r="G124" s="190"/>
      <c r="H124" s="190"/>
      <c r="I124" s="190"/>
      <c r="J124" s="190"/>
      <c r="K124" s="190"/>
      <c r="L124" s="190"/>
      <c r="M124" s="190"/>
      <c r="N124" s="190"/>
      <c r="O124" s="190"/>
      <c r="P124" s="190"/>
      <c r="Q124" s="190"/>
      <c r="R124" s="190"/>
      <c r="S124" s="190"/>
      <c r="T124" s="190"/>
      <c r="U124" s="190"/>
      <c r="V124" s="190"/>
      <c r="W124" s="190"/>
      <c r="X124" s="190"/>
      <c r="Y124" s="190"/>
      <c r="Z124" s="190"/>
      <c r="AA124" s="190"/>
      <c r="AB124" s="190"/>
      <c r="AC124" s="190"/>
      <c r="AD124" s="190"/>
      <c r="AE124" s="190"/>
      <c r="AF124" s="190"/>
      <c r="AG124" s="190"/>
      <c r="AH124" s="190"/>
      <c r="AI124" s="190"/>
      <c r="AJ124" s="190"/>
      <c r="AK124" s="190"/>
      <c r="AL124" s="190"/>
      <c r="AM124" s="190"/>
      <c r="AN124" s="190"/>
      <c r="AO124" s="190"/>
      <c r="AP124" s="190"/>
      <c r="AQ124" s="190"/>
      <c r="AR124" s="190"/>
      <c r="AS124" s="190"/>
      <c r="AT124" s="190"/>
      <c r="AU124" s="190"/>
      <c r="AV124" s="190"/>
      <c r="AW124" s="190"/>
      <c r="AX124" s="190"/>
      <c r="AY124" s="190"/>
      <c r="AZ124" s="190"/>
      <c r="BA124" s="190"/>
      <c r="BB124" s="190"/>
      <c r="BC124" s="190"/>
      <c r="BD124" s="190"/>
      <c r="BE124" s="190"/>
      <c r="BF124" s="190"/>
      <c r="BG124" s="190"/>
      <c r="BH124" s="190"/>
      <c r="BI124" s="190"/>
      <c r="BJ124" s="190"/>
      <c r="BK124" s="190"/>
      <c r="BL124" s="190"/>
      <c r="BM124" s="190"/>
      <c r="BN124" s="190"/>
      <c r="BO124" s="190"/>
      <c r="BP124" s="190"/>
      <c r="BQ124" s="190"/>
      <c r="BR124" s="190"/>
      <c r="BS124" s="190"/>
      <c r="BT124" s="190"/>
      <c r="BU124" s="190"/>
      <c r="BV124" s="190"/>
      <c r="BW124" s="190"/>
      <c r="BX124" s="190"/>
    </row>
    <row r="125" spans="2:153" ht="22.5" hidden="1" customHeight="1" thickBot="1" x14ac:dyDescent="0.35">
      <c r="B125" s="440" t="s">
        <v>287</v>
      </c>
      <c r="C125" s="440"/>
      <c r="D125" s="440"/>
      <c r="E125" s="440"/>
      <c r="F125" s="440"/>
      <c r="G125" s="440"/>
      <c r="H125" s="440"/>
      <c r="I125" s="440"/>
      <c r="J125" s="440"/>
      <c r="K125" s="440"/>
      <c r="L125" s="440"/>
      <c r="M125" s="440"/>
      <c r="N125" s="440"/>
      <c r="O125" s="440"/>
      <c r="P125" s="440"/>
      <c r="Q125" s="440"/>
      <c r="R125" s="440"/>
      <c r="S125" s="440"/>
      <c r="T125" s="440"/>
      <c r="U125" s="440"/>
      <c r="V125" s="440"/>
      <c r="W125" s="440"/>
      <c r="X125" s="440"/>
      <c r="Y125" s="440"/>
      <c r="Z125" s="440"/>
      <c r="AA125" s="440"/>
      <c r="AB125" s="440"/>
      <c r="AC125" s="440"/>
      <c r="AD125" s="440"/>
      <c r="AE125" s="440"/>
      <c r="AF125" s="440"/>
      <c r="AG125" s="440"/>
      <c r="AH125" s="440"/>
      <c r="AI125" s="440"/>
      <c r="AJ125" s="440"/>
      <c r="AK125" s="440"/>
      <c r="AL125" s="440"/>
      <c r="AM125" s="440"/>
      <c r="AN125" s="440"/>
      <c r="AO125" s="440"/>
      <c r="AP125" s="440"/>
      <c r="AQ125" s="440"/>
      <c r="AR125" s="440"/>
      <c r="AS125" s="440"/>
      <c r="AT125" s="440"/>
      <c r="AU125" s="440"/>
      <c r="AV125" s="440"/>
      <c r="AW125" s="440"/>
      <c r="AX125" s="440"/>
      <c r="AY125" s="440"/>
      <c r="AZ125" s="440"/>
      <c r="BA125" s="440"/>
      <c r="BB125" s="440"/>
      <c r="BC125" s="440"/>
      <c r="BD125" s="440"/>
      <c r="BE125" s="440"/>
      <c r="BF125" s="187"/>
      <c r="BG125" s="187"/>
      <c r="BJ125" s="178" t="s">
        <v>1648</v>
      </c>
    </row>
    <row r="126" spans="2:153" ht="22.5" hidden="1" customHeight="1" x14ac:dyDescent="0.3">
      <c r="B126" s="454" t="s">
        <v>3221</v>
      </c>
      <c r="C126" s="401"/>
      <c r="D126" s="401"/>
      <c r="E126" s="401"/>
      <c r="F126" s="401"/>
      <c r="G126" s="401"/>
      <c r="H126" s="401"/>
      <c r="I126" s="401"/>
      <c r="J126" s="404"/>
      <c r="K126" s="404"/>
      <c r="L126" s="404"/>
      <c r="M126" s="404"/>
      <c r="N126" s="404"/>
      <c r="O126" s="404"/>
      <c r="P126" s="404"/>
      <c r="Q126" s="404"/>
      <c r="R126" s="404"/>
      <c r="S126" s="404"/>
      <c r="T126" s="404"/>
      <c r="U126" s="404"/>
      <c r="V126" s="404"/>
      <c r="W126" s="404"/>
      <c r="X126" s="405"/>
      <c r="Y126" s="400" t="s">
        <v>2074</v>
      </c>
      <c r="Z126" s="401"/>
      <c r="AA126" s="401"/>
      <c r="AB126" s="402"/>
      <c r="AC126" s="402"/>
      <c r="AD126" s="402"/>
      <c r="AE126" s="402"/>
      <c r="AF126" s="402"/>
      <c r="AG126" s="402"/>
      <c r="AH126" s="402"/>
      <c r="AI126" s="402"/>
      <c r="AJ126" s="402"/>
      <c r="AK126" s="403"/>
      <c r="AL126" s="400" t="s">
        <v>1982</v>
      </c>
      <c r="AM126" s="401"/>
      <c r="AN126" s="401"/>
      <c r="AO126" s="404"/>
      <c r="AP126" s="404"/>
      <c r="AQ126" s="404"/>
      <c r="AR126" s="404"/>
      <c r="AS126" s="404"/>
      <c r="AT126" s="404"/>
      <c r="AU126" s="405"/>
      <c r="AV126" s="400"/>
      <c r="AW126" s="401"/>
      <c r="AX126" s="404"/>
      <c r="AY126" s="404"/>
      <c r="AZ126" s="404"/>
      <c r="BA126" s="404"/>
      <c r="BB126" s="404"/>
      <c r="BC126" s="404"/>
      <c r="BD126" s="404"/>
      <c r="BE126" s="406"/>
      <c r="BF126" s="190"/>
      <c r="BG126" s="190"/>
      <c r="BH126" s="517" t="s">
        <v>389</v>
      </c>
      <c r="BI126" s="518"/>
      <c r="BJ126" s="489" t="s">
        <v>1649</v>
      </c>
      <c r="BK126" s="490"/>
      <c r="BL126" s="490"/>
      <c r="BM126" s="490"/>
      <c r="BN126" s="490"/>
      <c r="BO126" s="490"/>
      <c r="BP126" s="490"/>
      <c r="BQ126" s="490"/>
      <c r="BR126" s="490"/>
      <c r="BS126" s="490"/>
      <c r="BT126" s="490"/>
      <c r="BU126" s="490"/>
      <c r="BV126" s="483" t="s">
        <v>1644</v>
      </c>
      <c r="BW126" s="484"/>
      <c r="BX126" s="484"/>
      <c r="BY126" s="484"/>
      <c r="BZ126" s="484"/>
      <c r="CA126" s="484"/>
      <c r="CB126" s="484"/>
      <c r="CC126" s="484"/>
      <c r="CD126" s="485"/>
      <c r="CE126" s="513" t="s">
        <v>1675</v>
      </c>
      <c r="CF126" s="513"/>
      <c r="CG126" s="513"/>
      <c r="CH126" s="513"/>
      <c r="CI126" s="513"/>
      <c r="CJ126" s="513"/>
      <c r="CK126" s="513"/>
      <c r="CL126" s="513"/>
      <c r="CM126" s="513"/>
      <c r="CN126" s="513"/>
      <c r="CO126" s="489" t="s">
        <v>1676</v>
      </c>
      <c r="CP126" s="490"/>
      <c r="CQ126" s="490"/>
      <c r="CR126" s="490"/>
      <c r="CS126" s="490"/>
      <c r="CT126" s="490"/>
      <c r="CU126" s="490"/>
      <c r="CV126" s="490"/>
      <c r="CW126" s="490"/>
      <c r="CX126" s="490"/>
      <c r="CY126" s="490"/>
      <c r="CZ126" s="491"/>
      <c r="DA126" s="516" t="s">
        <v>1645</v>
      </c>
      <c r="DB126" s="516"/>
      <c r="DC126" s="516"/>
      <c r="DD126" s="516"/>
      <c r="DE126" s="516"/>
      <c r="DF126" s="516"/>
      <c r="DG126" s="516"/>
      <c r="DH126" s="516"/>
      <c r="DI126" s="516"/>
      <c r="DJ126" s="516"/>
      <c r="DK126" s="483" t="s">
        <v>1646</v>
      </c>
      <c r="DL126" s="484"/>
      <c r="DM126" s="484"/>
      <c r="DN126" s="484"/>
      <c r="DO126" s="484"/>
      <c r="DP126" s="484"/>
      <c r="DQ126" s="484"/>
      <c r="DR126" s="485"/>
    </row>
    <row r="127" spans="2:153" ht="22.5" hidden="1" customHeight="1" x14ac:dyDescent="0.3">
      <c r="B127" s="393" t="s">
        <v>1984</v>
      </c>
      <c r="C127" s="392"/>
      <c r="D127" s="392"/>
      <c r="E127" s="392"/>
      <c r="F127" s="389"/>
      <c r="G127" s="389"/>
      <c r="H127" s="389"/>
      <c r="I127" s="389"/>
      <c r="J127" s="389"/>
      <c r="K127" s="389"/>
      <c r="L127" s="389"/>
      <c r="M127" s="391" t="s">
        <v>307</v>
      </c>
      <c r="N127" s="392"/>
      <c r="O127" s="392"/>
      <c r="P127" s="392"/>
      <c r="Q127" s="392"/>
      <c r="R127" s="392"/>
      <c r="S127" s="392"/>
      <c r="T127" s="392"/>
      <c r="U127" s="433"/>
      <c r="V127" s="433"/>
      <c r="W127" s="433"/>
      <c r="X127" s="433"/>
      <c r="Y127" s="433"/>
      <c r="Z127" s="433"/>
      <c r="AA127" s="391" t="s">
        <v>2084</v>
      </c>
      <c r="AB127" s="392"/>
      <c r="AC127" s="392"/>
      <c r="AD127" s="392"/>
      <c r="AE127" s="392"/>
      <c r="AF127" s="392"/>
      <c r="AG127" s="392"/>
      <c r="AH127" s="392"/>
      <c r="AI127" s="433"/>
      <c r="AJ127" s="433"/>
      <c r="AK127" s="433"/>
      <c r="AL127" s="433"/>
      <c r="AM127" s="433"/>
      <c r="AN127" s="434"/>
      <c r="AO127" s="391" t="s">
        <v>279</v>
      </c>
      <c r="AP127" s="392"/>
      <c r="AQ127" s="392"/>
      <c r="AR127" s="392"/>
      <c r="AS127" s="392"/>
      <c r="AT127" s="437"/>
      <c r="AU127" s="437"/>
      <c r="AV127" s="437"/>
      <c r="AW127" s="437"/>
      <c r="AX127" s="437"/>
      <c r="AY127" s="437"/>
      <c r="AZ127" s="391" t="s">
        <v>2083</v>
      </c>
      <c r="BA127" s="392"/>
      <c r="BB127" s="392"/>
      <c r="BC127" s="392"/>
      <c r="BD127" s="389"/>
      <c r="BE127" s="390"/>
      <c r="BF127" s="190"/>
      <c r="BG127" s="190"/>
      <c r="BH127" s="514">
        <v>1</v>
      </c>
      <c r="BI127" s="515"/>
      <c r="BJ127" s="498"/>
      <c r="BK127" s="499"/>
      <c r="BL127" s="499"/>
      <c r="BM127" s="499"/>
      <c r="BN127" s="499"/>
      <c r="BO127" s="499"/>
      <c r="BP127" s="499"/>
      <c r="BQ127" s="499"/>
      <c r="BR127" s="499"/>
      <c r="BS127" s="499"/>
      <c r="BT127" s="499"/>
      <c r="BU127" s="499"/>
      <c r="BV127" s="500"/>
      <c r="BW127" s="501"/>
      <c r="BX127" s="501"/>
      <c r="BY127" s="501"/>
      <c r="BZ127" s="501"/>
      <c r="CA127" s="501"/>
      <c r="CB127" s="501"/>
      <c r="CC127" s="501"/>
      <c r="CD127" s="502"/>
      <c r="CE127" s="519"/>
      <c r="CF127" s="519"/>
      <c r="CG127" s="519"/>
      <c r="CH127" s="519"/>
      <c r="CI127" s="519"/>
      <c r="CJ127" s="519"/>
      <c r="CK127" s="519"/>
      <c r="CL127" s="519"/>
      <c r="CM127" s="519"/>
      <c r="CN127" s="519"/>
      <c r="CO127" s="507"/>
      <c r="CP127" s="508"/>
      <c r="CQ127" s="508"/>
      <c r="CR127" s="508"/>
      <c r="CS127" s="508"/>
      <c r="CT127" s="508"/>
      <c r="CU127" s="508"/>
      <c r="CV127" s="508"/>
      <c r="CW127" s="508"/>
      <c r="CX127" s="508"/>
      <c r="CY127" s="508"/>
      <c r="CZ127" s="509"/>
      <c r="DA127" s="510"/>
      <c r="DB127" s="510"/>
      <c r="DC127" s="510"/>
      <c r="DD127" s="510"/>
      <c r="DE127" s="510"/>
      <c r="DF127" s="510"/>
      <c r="DG127" s="510"/>
      <c r="DH127" s="510"/>
      <c r="DI127" s="510"/>
      <c r="DJ127" s="510"/>
      <c r="DK127" s="492"/>
      <c r="DL127" s="493"/>
      <c r="DM127" s="493"/>
      <c r="DN127" s="493"/>
      <c r="DO127" s="493"/>
      <c r="DP127" s="493"/>
      <c r="DQ127" s="493"/>
      <c r="DR127" s="494"/>
    </row>
    <row r="128" spans="2:153" ht="22.5" hidden="1" customHeight="1" x14ac:dyDescent="0.3">
      <c r="B128" s="393" t="s">
        <v>2091</v>
      </c>
      <c r="C128" s="392"/>
      <c r="D128" s="392"/>
      <c r="E128" s="392"/>
      <c r="F128" s="392"/>
      <c r="G128" s="392"/>
      <c r="H128" s="392"/>
      <c r="I128" s="392"/>
      <c r="J128" s="392"/>
      <c r="K128" s="389"/>
      <c r="L128" s="389"/>
      <c r="M128" s="391" t="s">
        <v>2089</v>
      </c>
      <c r="N128" s="392"/>
      <c r="O128" s="392"/>
      <c r="P128" s="392"/>
      <c r="Q128" s="392"/>
      <c r="R128" s="392"/>
      <c r="S128" s="389"/>
      <c r="T128" s="389"/>
      <c r="U128" s="389"/>
      <c r="V128" s="389"/>
      <c r="W128" s="389"/>
      <c r="X128" s="391" t="s">
        <v>2092</v>
      </c>
      <c r="Y128" s="392"/>
      <c r="Z128" s="392"/>
      <c r="AA128" s="392"/>
      <c r="AB128" s="392"/>
      <c r="AC128" s="392"/>
      <c r="AD128" s="392"/>
      <c r="AE128" s="392"/>
      <c r="AF128" s="392"/>
      <c r="AG128" s="392"/>
      <c r="AH128" s="392"/>
      <c r="AI128" s="392"/>
      <c r="AJ128" s="392"/>
      <c r="AK128" s="392"/>
      <c r="AL128" s="392"/>
      <c r="AM128" s="392"/>
      <c r="AN128" s="392"/>
      <c r="AO128" s="392"/>
      <c r="AP128" s="392"/>
      <c r="AQ128" s="392"/>
      <c r="AR128" s="389"/>
      <c r="AS128" s="389"/>
      <c r="AT128" s="389"/>
      <c r="AU128" s="389"/>
      <c r="AV128" s="389"/>
      <c r="AW128" s="432"/>
      <c r="AX128" s="391" t="s">
        <v>796</v>
      </c>
      <c r="AY128" s="392"/>
      <c r="AZ128" s="392"/>
      <c r="BA128" s="392"/>
      <c r="BB128" s="392"/>
      <c r="BC128" s="392"/>
      <c r="BD128" s="389"/>
      <c r="BE128" s="390"/>
      <c r="BF128" s="190"/>
      <c r="BG128" s="190"/>
      <c r="BH128" s="443">
        <v>2</v>
      </c>
      <c r="BI128" s="444"/>
      <c r="BJ128" s="486"/>
      <c r="BK128" s="487"/>
      <c r="BL128" s="487"/>
      <c r="BM128" s="487"/>
      <c r="BN128" s="487"/>
      <c r="BO128" s="487"/>
      <c r="BP128" s="487"/>
      <c r="BQ128" s="487"/>
      <c r="BR128" s="487"/>
      <c r="BS128" s="487"/>
      <c r="BT128" s="487"/>
      <c r="BU128" s="487"/>
      <c r="BV128" s="500"/>
      <c r="BW128" s="501"/>
      <c r="BX128" s="501"/>
      <c r="BY128" s="501"/>
      <c r="BZ128" s="501"/>
      <c r="CA128" s="501"/>
      <c r="CB128" s="501"/>
      <c r="CC128" s="501"/>
      <c r="CD128" s="502"/>
      <c r="CE128" s="495"/>
      <c r="CF128" s="495"/>
      <c r="CG128" s="495"/>
      <c r="CH128" s="495"/>
      <c r="CI128" s="495"/>
      <c r="CJ128" s="495"/>
      <c r="CK128" s="495"/>
      <c r="CL128" s="495"/>
      <c r="CM128" s="495"/>
      <c r="CN128" s="495"/>
      <c r="CO128" s="486"/>
      <c r="CP128" s="487"/>
      <c r="CQ128" s="487"/>
      <c r="CR128" s="487"/>
      <c r="CS128" s="487"/>
      <c r="CT128" s="487"/>
      <c r="CU128" s="487"/>
      <c r="CV128" s="487"/>
      <c r="CW128" s="487"/>
      <c r="CX128" s="487"/>
      <c r="CY128" s="487"/>
      <c r="CZ128" s="488"/>
      <c r="DA128" s="495"/>
      <c r="DB128" s="495"/>
      <c r="DC128" s="495"/>
      <c r="DD128" s="495"/>
      <c r="DE128" s="495"/>
      <c r="DF128" s="495"/>
      <c r="DG128" s="495"/>
      <c r="DH128" s="495"/>
      <c r="DI128" s="495"/>
      <c r="DJ128" s="495"/>
      <c r="DK128" s="480"/>
      <c r="DL128" s="481"/>
      <c r="DM128" s="481"/>
      <c r="DN128" s="481"/>
      <c r="DO128" s="481"/>
      <c r="DP128" s="481"/>
      <c r="DQ128" s="481"/>
      <c r="DR128" s="482"/>
    </row>
    <row r="129" spans="2:156" ht="22.5" hidden="1" customHeight="1" x14ac:dyDescent="0.3">
      <c r="B129" s="393" t="s">
        <v>2978</v>
      </c>
      <c r="C129" s="392"/>
      <c r="D129" s="392"/>
      <c r="E129" s="392"/>
      <c r="F129" s="392"/>
      <c r="G129" s="392"/>
      <c r="H129" s="392"/>
      <c r="I129" s="392"/>
      <c r="J129" s="392"/>
      <c r="K129" s="389"/>
      <c r="L129" s="389"/>
      <c r="M129" s="391" t="s">
        <v>2089</v>
      </c>
      <c r="N129" s="392"/>
      <c r="O129" s="392"/>
      <c r="P129" s="392"/>
      <c r="Q129" s="392"/>
      <c r="R129" s="392"/>
      <c r="S129" s="389"/>
      <c r="T129" s="389"/>
      <c r="U129" s="389"/>
      <c r="V129" s="389"/>
      <c r="W129" s="389"/>
      <c r="X129" s="391" t="s">
        <v>2118</v>
      </c>
      <c r="Y129" s="392"/>
      <c r="Z129" s="392"/>
      <c r="AA129" s="392"/>
      <c r="AB129" s="392"/>
      <c r="AC129" s="392"/>
      <c r="AD129" s="392"/>
      <c r="AE129" s="442"/>
      <c r="AF129" s="442"/>
      <c r="AG129" s="442"/>
      <c r="AH129" s="442"/>
      <c r="AI129" s="442"/>
      <c r="AJ129" s="391" t="s">
        <v>2090</v>
      </c>
      <c r="AK129" s="392"/>
      <c r="AL129" s="392"/>
      <c r="AM129" s="392"/>
      <c r="AN129" s="392"/>
      <c r="AO129" s="392"/>
      <c r="AP129" s="392"/>
      <c r="AQ129" s="392"/>
      <c r="AR129" s="433"/>
      <c r="AS129" s="433"/>
      <c r="AT129" s="433"/>
      <c r="AU129" s="433"/>
      <c r="AV129" s="433"/>
      <c r="AW129" s="434"/>
      <c r="AX129" s="391" t="s">
        <v>2085</v>
      </c>
      <c r="AY129" s="392"/>
      <c r="AZ129" s="392"/>
      <c r="BA129" s="392"/>
      <c r="BB129" s="392"/>
      <c r="BC129" s="392"/>
      <c r="BD129" s="389"/>
      <c r="BE129" s="390"/>
      <c r="BF129" s="190"/>
      <c r="BG129" s="190"/>
      <c r="BH129" s="443">
        <v>3</v>
      </c>
      <c r="BI129" s="444"/>
      <c r="BJ129" s="486"/>
      <c r="BK129" s="487"/>
      <c r="BL129" s="487"/>
      <c r="BM129" s="487"/>
      <c r="BN129" s="487"/>
      <c r="BO129" s="487"/>
      <c r="BP129" s="487"/>
      <c r="BQ129" s="487"/>
      <c r="BR129" s="487"/>
      <c r="BS129" s="487"/>
      <c r="BT129" s="487"/>
      <c r="BU129" s="487"/>
      <c r="BV129" s="500"/>
      <c r="BW129" s="501"/>
      <c r="BX129" s="501"/>
      <c r="BY129" s="501"/>
      <c r="BZ129" s="501"/>
      <c r="CA129" s="501"/>
      <c r="CB129" s="501"/>
      <c r="CC129" s="501"/>
      <c r="CD129" s="502"/>
      <c r="CE129" s="506"/>
      <c r="CF129" s="506"/>
      <c r="CG129" s="506"/>
      <c r="CH129" s="506"/>
      <c r="CI129" s="506"/>
      <c r="CJ129" s="506"/>
      <c r="CK129" s="506"/>
      <c r="CL129" s="506"/>
      <c r="CM129" s="506"/>
      <c r="CN129" s="506"/>
      <c r="CO129" s="500"/>
      <c r="CP129" s="501"/>
      <c r="CQ129" s="501"/>
      <c r="CR129" s="501"/>
      <c r="CS129" s="501"/>
      <c r="CT129" s="501"/>
      <c r="CU129" s="501"/>
      <c r="CV129" s="501"/>
      <c r="CW129" s="501"/>
      <c r="CX129" s="501"/>
      <c r="CY129" s="501"/>
      <c r="CZ129" s="502"/>
      <c r="DA129" s="495"/>
      <c r="DB129" s="495"/>
      <c r="DC129" s="495"/>
      <c r="DD129" s="495"/>
      <c r="DE129" s="495"/>
      <c r="DF129" s="495"/>
      <c r="DG129" s="495"/>
      <c r="DH129" s="495"/>
      <c r="DI129" s="495"/>
      <c r="DJ129" s="495"/>
      <c r="DK129" s="480"/>
      <c r="DL129" s="481"/>
      <c r="DM129" s="481"/>
      <c r="DN129" s="481"/>
      <c r="DO129" s="481"/>
      <c r="DP129" s="481"/>
      <c r="DQ129" s="481"/>
      <c r="DR129" s="482"/>
    </row>
    <row r="130" spans="2:156" ht="22.5" hidden="1" customHeight="1" x14ac:dyDescent="0.3">
      <c r="B130" s="438" t="s">
        <v>2916</v>
      </c>
      <c r="C130" s="436"/>
      <c r="D130" s="436"/>
      <c r="E130" s="436"/>
      <c r="F130" s="436"/>
      <c r="G130" s="436"/>
      <c r="H130" s="436"/>
      <c r="I130" s="436"/>
      <c r="J130" s="436"/>
      <c r="K130" s="387"/>
      <c r="L130" s="387"/>
      <c r="M130" s="435" t="s">
        <v>2086</v>
      </c>
      <c r="N130" s="436"/>
      <c r="O130" s="436"/>
      <c r="P130" s="436"/>
      <c r="Q130" s="436"/>
      <c r="R130" s="436"/>
      <c r="S130" s="439"/>
      <c r="T130" s="387"/>
      <c r="U130" s="387"/>
      <c r="V130" s="387"/>
      <c r="W130" s="387"/>
      <c r="X130" s="435" t="s">
        <v>2087</v>
      </c>
      <c r="Y130" s="436"/>
      <c r="Z130" s="436"/>
      <c r="AA130" s="436"/>
      <c r="AB130" s="436"/>
      <c r="AC130" s="436"/>
      <c r="AD130" s="436"/>
      <c r="AE130" s="387"/>
      <c r="AF130" s="387"/>
      <c r="AG130" s="387"/>
      <c r="AH130" s="387"/>
      <c r="AI130" s="387"/>
      <c r="AJ130" s="435" t="s">
        <v>2088</v>
      </c>
      <c r="AK130" s="436"/>
      <c r="AL130" s="436"/>
      <c r="AM130" s="436"/>
      <c r="AN130" s="436"/>
      <c r="AO130" s="436"/>
      <c r="AP130" s="436"/>
      <c r="AQ130" s="436"/>
      <c r="AR130" s="387"/>
      <c r="AS130" s="387"/>
      <c r="AT130" s="387"/>
      <c r="AU130" s="387"/>
      <c r="AV130" s="387"/>
      <c r="AW130" s="387"/>
      <c r="AX130" s="387"/>
      <c r="AY130" s="387"/>
      <c r="AZ130" s="387"/>
      <c r="BA130" s="387"/>
      <c r="BB130" s="387"/>
      <c r="BC130" s="387"/>
      <c r="BD130" s="387"/>
      <c r="BE130" s="388"/>
      <c r="BF130" s="190"/>
      <c r="BG130" s="190"/>
      <c r="BH130" s="445">
        <v>4</v>
      </c>
      <c r="BI130" s="446"/>
      <c r="BJ130" s="496"/>
      <c r="BK130" s="461"/>
      <c r="BL130" s="461"/>
      <c r="BM130" s="461"/>
      <c r="BN130" s="461"/>
      <c r="BO130" s="461"/>
      <c r="BP130" s="461"/>
      <c r="BQ130" s="461"/>
      <c r="BR130" s="461"/>
      <c r="BS130" s="461"/>
      <c r="BT130" s="461"/>
      <c r="BU130" s="461"/>
      <c r="BV130" s="521"/>
      <c r="BW130" s="522"/>
      <c r="BX130" s="522"/>
      <c r="BY130" s="522"/>
      <c r="BZ130" s="522"/>
      <c r="CA130" s="522"/>
      <c r="CB130" s="522"/>
      <c r="CC130" s="522"/>
      <c r="CD130" s="523"/>
      <c r="CE130" s="497"/>
      <c r="CF130" s="497"/>
      <c r="CG130" s="497"/>
      <c r="CH130" s="497"/>
      <c r="CI130" s="497"/>
      <c r="CJ130" s="497"/>
      <c r="CK130" s="497"/>
      <c r="CL130" s="497"/>
      <c r="CM130" s="497"/>
      <c r="CN130" s="497"/>
      <c r="CO130" s="496"/>
      <c r="CP130" s="461"/>
      <c r="CQ130" s="461"/>
      <c r="CR130" s="461"/>
      <c r="CS130" s="461"/>
      <c r="CT130" s="461"/>
      <c r="CU130" s="461"/>
      <c r="CV130" s="461"/>
      <c r="CW130" s="461"/>
      <c r="CX130" s="461"/>
      <c r="CY130" s="461"/>
      <c r="CZ130" s="520"/>
      <c r="DA130" s="497"/>
      <c r="DB130" s="497"/>
      <c r="DC130" s="497"/>
      <c r="DD130" s="497"/>
      <c r="DE130" s="497"/>
      <c r="DF130" s="497"/>
      <c r="DG130" s="497"/>
      <c r="DH130" s="497"/>
      <c r="DI130" s="497"/>
      <c r="DJ130" s="497"/>
      <c r="DK130" s="503"/>
      <c r="DL130" s="504"/>
      <c r="DM130" s="504"/>
      <c r="DN130" s="504"/>
      <c r="DO130" s="504"/>
      <c r="DP130" s="504"/>
      <c r="DQ130" s="504"/>
      <c r="DR130" s="505"/>
    </row>
    <row r="131" spans="2:156" ht="22.5" hidden="1" customHeight="1" x14ac:dyDescent="0.3">
      <c r="B131" s="381" t="s">
        <v>278</v>
      </c>
      <c r="C131" s="382"/>
      <c r="D131" s="382"/>
      <c r="E131" s="382"/>
      <c r="F131" s="382"/>
      <c r="G131" s="382"/>
      <c r="H131" s="382"/>
      <c r="I131" s="382"/>
      <c r="J131" s="421"/>
      <c r="K131" s="421"/>
      <c r="L131" s="421"/>
      <c r="M131" s="421"/>
      <c r="N131" s="421"/>
      <c r="O131" s="421"/>
      <c r="P131" s="421"/>
      <c r="Q131" s="421"/>
      <c r="R131" s="421"/>
      <c r="S131" s="421"/>
      <c r="T131" s="421"/>
      <c r="U131" s="421"/>
      <c r="V131" s="421"/>
      <c r="W131" s="421"/>
      <c r="X131" s="421"/>
      <c r="Y131" s="421"/>
      <c r="Z131" s="421"/>
      <c r="AA131" s="421"/>
      <c r="AB131" s="421"/>
      <c r="AC131" s="421"/>
      <c r="AD131" s="421"/>
      <c r="AE131" s="421"/>
      <c r="AF131" s="421"/>
      <c r="AG131" s="421"/>
      <c r="AH131" s="421"/>
      <c r="AI131" s="421"/>
      <c r="AJ131" s="421"/>
      <c r="AK131" s="421"/>
      <c r="AL131" s="421"/>
      <c r="AM131" s="421"/>
      <c r="AN131" s="421"/>
      <c r="AO131" s="421"/>
      <c r="AP131" s="421"/>
      <c r="AQ131" s="421"/>
      <c r="AR131" s="421"/>
      <c r="AS131" s="421"/>
      <c r="AT131" s="421"/>
      <c r="AU131" s="421"/>
      <c r="AV131" s="421"/>
      <c r="AW131" s="421"/>
      <c r="AX131" s="421"/>
      <c r="AY131" s="421"/>
      <c r="AZ131" s="421"/>
      <c r="BA131" s="421"/>
      <c r="BB131" s="421"/>
      <c r="BC131" s="421"/>
      <c r="BD131" s="421"/>
      <c r="BE131" s="422"/>
      <c r="BF131" s="190"/>
      <c r="BG131" s="190"/>
      <c r="DA131" s="511" t="s">
        <v>1647</v>
      </c>
      <c r="DB131" s="512"/>
      <c r="DC131" s="512"/>
      <c r="DD131" s="512"/>
      <c r="DE131" s="512"/>
      <c r="DF131" s="512"/>
      <c r="DG131" s="512"/>
      <c r="DH131" s="512"/>
      <c r="DI131" s="512"/>
      <c r="DJ131" s="512"/>
      <c r="DK131" s="418">
        <f>SUM(DK127:DR130)</f>
        <v>0</v>
      </c>
      <c r="DL131" s="419"/>
      <c r="DM131" s="419"/>
      <c r="DN131" s="419"/>
      <c r="DO131" s="419"/>
      <c r="DP131" s="419"/>
      <c r="DQ131" s="419"/>
      <c r="DR131" s="420"/>
      <c r="EB131"/>
      <c r="EC131"/>
      <c r="ED131"/>
      <c r="EE131"/>
      <c r="EF131"/>
      <c r="EG131"/>
      <c r="EH131"/>
      <c r="EI131"/>
      <c r="EJ131"/>
      <c r="EK131"/>
      <c r="EL131"/>
      <c r="EM131"/>
      <c r="EN131"/>
      <c r="EO131"/>
      <c r="EP131"/>
      <c r="EQ131"/>
      <c r="ER131"/>
      <c r="ES131"/>
      <c r="ET131"/>
      <c r="EU131"/>
      <c r="EV131"/>
    </row>
    <row r="132" spans="2:156" ht="24" hidden="1" customHeight="1" x14ac:dyDescent="0.25">
      <c r="B132" s="383"/>
      <c r="C132" s="384"/>
      <c r="D132" s="384"/>
      <c r="E132" s="384"/>
      <c r="F132" s="384"/>
      <c r="G132" s="384"/>
      <c r="H132" s="384"/>
      <c r="I132" s="384"/>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4"/>
      <c r="EB132"/>
      <c r="EC132"/>
      <c r="ED132"/>
      <c r="EE132"/>
      <c r="EF132"/>
      <c r="EG132"/>
      <c r="EH132"/>
      <c r="EI132"/>
      <c r="EJ132"/>
      <c r="EK132"/>
      <c r="EL132"/>
      <c r="EM132"/>
      <c r="EN132"/>
      <c r="EO132"/>
      <c r="EP132"/>
      <c r="EQ132"/>
      <c r="ER132"/>
      <c r="ES132"/>
      <c r="ET132"/>
      <c r="EU132"/>
      <c r="EV132"/>
    </row>
    <row r="133" spans="2:156" ht="24" hidden="1" customHeight="1" thickBot="1" x14ac:dyDescent="0.3">
      <c r="B133" s="385"/>
      <c r="C133" s="386"/>
      <c r="D133" s="386"/>
      <c r="E133" s="386"/>
      <c r="F133" s="386"/>
      <c r="G133" s="386"/>
      <c r="H133" s="386"/>
      <c r="I133" s="386"/>
      <c r="J133" s="425"/>
      <c r="K133" s="425"/>
      <c r="L133" s="425"/>
      <c r="M133" s="425"/>
      <c r="N133" s="425"/>
      <c r="O133" s="425"/>
      <c r="P133" s="425"/>
      <c r="Q133" s="425"/>
      <c r="R133" s="425"/>
      <c r="S133" s="425"/>
      <c r="T133" s="425"/>
      <c r="U133" s="425"/>
      <c r="V133" s="425"/>
      <c r="W133" s="425"/>
      <c r="X133" s="425"/>
      <c r="Y133" s="425"/>
      <c r="Z133" s="425"/>
      <c r="AA133" s="425"/>
      <c r="AB133" s="425"/>
      <c r="AC133" s="425"/>
      <c r="AD133" s="425"/>
      <c r="AE133" s="425"/>
      <c r="AF133" s="425"/>
      <c r="AG133" s="425"/>
      <c r="AH133" s="425"/>
      <c r="AI133" s="425"/>
      <c r="AJ133" s="425"/>
      <c r="AK133" s="425"/>
      <c r="AL133" s="425"/>
      <c r="AM133" s="425"/>
      <c r="AN133" s="425"/>
      <c r="AO133" s="425"/>
      <c r="AP133" s="425"/>
      <c r="AQ133" s="425"/>
      <c r="AR133" s="425"/>
      <c r="AS133" s="425"/>
      <c r="AT133" s="425"/>
      <c r="AU133" s="425"/>
      <c r="AV133" s="425"/>
      <c r="AW133" s="425"/>
      <c r="AX133" s="425"/>
      <c r="AY133" s="425"/>
      <c r="AZ133" s="425"/>
      <c r="BA133" s="425"/>
      <c r="BB133" s="425"/>
      <c r="BC133" s="425"/>
      <c r="BD133" s="425"/>
      <c r="BE133" s="426"/>
      <c r="EB133"/>
      <c r="EC133"/>
      <c r="ED133"/>
      <c r="EE133"/>
      <c r="EF133"/>
      <c r="EG133"/>
      <c r="EH133"/>
      <c r="EI133"/>
      <c r="EJ133"/>
      <c r="EK133"/>
      <c r="EL133"/>
      <c r="EM133"/>
      <c r="EN133"/>
      <c r="EO133"/>
      <c r="EP133"/>
      <c r="EQ133"/>
      <c r="ER133"/>
      <c r="ES133"/>
      <c r="ET133"/>
      <c r="EU133"/>
      <c r="EV133"/>
    </row>
    <row r="134" spans="2:156" ht="24" hidden="1" customHeight="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EB134"/>
      <c r="EC134"/>
      <c r="ED134"/>
      <c r="EE134"/>
      <c r="EF134"/>
      <c r="EG134"/>
      <c r="EH134"/>
      <c r="EI134"/>
      <c r="EJ134"/>
      <c r="EK134"/>
      <c r="EL134"/>
      <c r="EM134"/>
      <c r="EN134"/>
      <c r="EO134"/>
      <c r="EP134"/>
      <c r="EQ134"/>
      <c r="ER134"/>
      <c r="ES134"/>
      <c r="ET134"/>
      <c r="EU134"/>
      <c r="EV134"/>
    </row>
    <row r="135" spans="2:156" ht="18.75" hidden="1" customHeight="1" x14ac:dyDescent="0.3">
      <c r="B135" s="190"/>
      <c r="C135" s="190"/>
      <c r="D135" s="190"/>
      <c r="E135" s="190"/>
      <c r="F135" s="190"/>
      <c r="G135" s="190"/>
      <c r="H135" s="190"/>
      <c r="I135" s="190"/>
      <c r="J135" s="190"/>
      <c r="K135" s="190"/>
      <c r="L135" s="190"/>
      <c r="M135" s="190"/>
      <c r="N135" s="190"/>
      <c r="O135" s="190"/>
      <c r="P135" s="190"/>
      <c r="Q135" s="190"/>
      <c r="R135" s="190"/>
      <c r="S135" s="190"/>
      <c r="T135" s="190"/>
      <c r="U135" s="190"/>
      <c r="V135" s="190"/>
      <c r="W135" s="190"/>
      <c r="X135" s="190"/>
      <c r="Y135" s="190"/>
      <c r="Z135" s="190"/>
      <c r="AA135" s="190"/>
      <c r="AB135" s="190"/>
      <c r="AC135" s="190"/>
      <c r="AD135" s="190"/>
      <c r="AE135" s="190"/>
      <c r="AF135" s="190"/>
      <c r="AG135" s="190"/>
      <c r="AH135" s="190"/>
      <c r="AI135" s="190"/>
      <c r="AJ135" s="190"/>
      <c r="AK135" s="190"/>
      <c r="AL135" s="190"/>
      <c r="AM135" s="190"/>
      <c r="AN135" s="190"/>
      <c r="AO135" s="190"/>
      <c r="AP135" s="190"/>
      <c r="AQ135" s="190"/>
      <c r="AR135" s="190"/>
      <c r="AS135" s="190"/>
      <c r="AT135" s="190"/>
      <c r="AU135" s="190"/>
      <c r="AV135" s="190"/>
      <c r="AW135" s="190"/>
      <c r="AX135" s="190"/>
      <c r="AY135" s="190"/>
      <c r="AZ135" s="190"/>
      <c r="BA135" s="190"/>
      <c r="BB135" s="190"/>
      <c r="BC135" s="190"/>
      <c r="BD135" s="190"/>
      <c r="BE135" s="190"/>
      <c r="BF135" s="190"/>
      <c r="BG135" s="190"/>
      <c r="BH135" s="190"/>
      <c r="BI135" s="190"/>
      <c r="BJ135" s="190"/>
      <c r="BK135" s="190"/>
      <c r="BL135" s="190"/>
      <c r="BM135" s="190"/>
      <c r="BN135" s="190"/>
      <c r="BO135" s="190"/>
      <c r="BP135" s="190"/>
      <c r="BQ135" s="190"/>
      <c r="BR135" s="190"/>
      <c r="BS135" s="190"/>
      <c r="BT135" s="190"/>
      <c r="BU135" s="190"/>
      <c r="BV135" s="190"/>
      <c r="BW135" s="190"/>
      <c r="BX135" s="190"/>
    </row>
    <row r="136" spans="2:156" ht="22.5" hidden="1" customHeight="1" thickBot="1" x14ac:dyDescent="0.35">
      <c r="B136" s="440" t="s">
        <v>288</v>
      </c>
      <c r="C136" s="440"/>
      <c r="D136" s="440"/>
      <c r="E136" s="440"/>
      <c r="F136" s="440"/>
      <c r="G136" s="440"/>
      <c r="H136" s="440"/>
      <c r="I136" s="440"/>
      <c r="J136" s="440"/>
      <c r="K136" s="440"/>
      <c r="L136" s="440"/>
      <c r="M136" s="440"/>
      <c r="N136" s="440"/>
      <c r="O136" s="440"/>
      <c r="P136" s="440"/>
      <c r="Q136" s="440"/>
      <c r="R136" s="440"/>
      <c r="S136" s="440"/>
      <c r="T136" s="440"/>
      <c r="U136" s="440"/>
      <c r="V136" s="440"/>
      <c r="W136" s="440"/>
      <c r="X136" s="440"/>
      <c r="Y136" s="440"/>
      <c r="Z136" s="440"/>
      <c r="AA136" s="440"/>
      <c r="AB136" s="440"/>
      <c r="AC136" s="440"/>
      <c r="AD136" s="440"/>
      <c r="AE136" s="440"/>
      <c r="AF136" s="440"/>
      <c r="AG136" s="440"/>
      <c r="AH136" s="440"/>
      <c r="AI136" s="440"/>
      <c r="AJ136" s="440"/>
      <c r="AK136" s="440"/>
      <c r="AL136" s="440"/>
      <c r="AM136" s="440"/>
      <c r="AN136" s="440"/>
      <c r="AO136" s="440"/>
      <c r="AP136" s="440"/>
      <c r="AQ136" s="440"/>
      <c r="AR136" s="440"/>
      <c r="AS136" s="440"/>
      <c r="AT136" s="440"/>
      <c r="AU136" s="440"/>
      <c r="AV136" s="440"/>
      <c r="AW136" s="440"/>
      <c r="AX136" s="440"/>
      <c r="AY136" s="440"/>
      <c r="AZ136" s="440"/>
      <c r="BA136" s="440"/>
      <c r="BB136" s="440"/>
      <c r="BC136" s="440"/>
      <c r="BD136" s="440"/>
      <c r="BE136" s="440"/>
      <c r="BF136" s="187"/>
      <c r="BG136" s="187"/>
      <c r="BJ136" s="178" t="s">
        <v>1648</v>
      </c>
    </row>
    <row r="137" spans="2:156" ht="22.5" hidden="1" customHeight="1" x14ac:dyDescent="0.3">
      <c r="B137" s="454" t="s">
        <v>3221</v>
      </c>
      <c r="C137" s="401"/>
      <c r="D137" s="401"/>
      <c r="E137" s="401"/>
      <c r="F137" s="401"/>
      <c r="G137" s="401"/>
      <c r="H137" s="401"/>
      <c r="I137" s="401"/>
      <c r="J137" s="404"/>
      <c r="K137" s="404"/>
      <c r="L137" s="404"/>
      <c r="M137" s="404"/>
      <c r="N137" s="404"/>
      <c r="O137" s="404"/>
      <c r="P137" s="404"/>
      <c r="Q137" s="404"/>
      <c r="R137" s="404"/>
      <c r="S137" s="404"/>
      <c r="T137" s="404"/>
      <c r="U137" s="404"/>
      <c r="V137" s="404"/>
      <c r="W137" s="404"/>
      <c r="X137" s="405"/>
      <c r="Y137" s="400" t="s">
        <v>2074</v>
      </c>
      <c r="Z137" s="401"/>
      <c r="AA137" s="401"/>
      <c r="AB137" s="402"/>
      <c r="AC137" s="402"/>
      <c r="AD137" s="402"/>
      <c r="AE137" s="402"/>
      <c r="AF137" s="402"/>
      <c r="AG137" s="402"/>
      <c r="AH137" s="402"/>
      <c r="AI137" s="402"/>
      <c r="AJ137" s="402"/>
      <c r="AK137" s="403"/>
      <c r="AL137" s="400" t="s">
        <v>1982</v>
      </c>
      <c r="AM137" s="401"/>
      <c r="AN137" s="401"/>
      <c r="AO137" s="404"/>
      <c r="AP137" s="404"/>
      <c r="AQ137" s="404"/>
      <c r="AR137" s="404"/>
      <c r="AS137" s="404"/>
      <c r="AT137" s="404"/>
      <c r="AU137" s="405"/>
      <c r="AV137" s="400" t="s">
        <v>1983</v>
      </c>
      <c r="AW137" s="401"/>
      <c r="AX137" s="404"/>
      <c r="AY137" s="404"/>
      <c r="AZ137" s="404"/>
      <c r="BA137" s="404"/>
      <c r="BB137" s="404"/>
      <c r="BC137" s="404"/>
      <c r="BD137" s="404"/>
      <c r="BE137" s="406"/>
      <c r="BF137" s="190"/>
      <c r="BG137" s="190"/>
      <c r="BH137" s="517" t="s">
        <v>389</v>
      </c>
      <c r="BI137" s="518"/>
      <c r="BJ137" s="489" t="s">
        <v>1649</v>
      </c>
      <c r="BK137" s="490"/>
      <c r="BL137" s="490"/>
      <c r="BM137" s="490"/>
      <c r="BN137" s="490"/>
      <c r="BO137" s="490"/>
      <c r="BP137" s="490"/>
      <c r="BQ137" s="490"/>
      <c r="BR137" s="490"/>
      <c r="BS137" s="490"/>
      <c r="BT137" s="490"/>
      <c r="BU137" s="490"/>
      <c r="BV137" s="483" t="s">
        <v>1644</v>
      </c>
      <c r="BW137" s="484"/>
      <c r="BX137" s="484"/>
      <c r="BY137" s="484"/>
      <c r="BZ137" s="484"/>
      <c r="CA137" s="484"/>
      <c r="CB137" s="484"/>
      <c r="CC137" s="484"/>
      <c r="CD137" s="485"/>
      <c r="CE137" s="513" t="s">
        <v>1675</v>
      </c>
      <c r="CF137" s="513"/>
      <c r="CG137" s="513"/>
      <c r="CH137" s="513"/>
      <c r="CI137" s="513"/>
      <c r="CJ137" s="513"/>
      <c r="CK137" s="513"/>
      <c r="CL137" s="513"/>
      <c r="CM137" s="513"/>
      <c r="CN137" s="513"/>
      <c r="CO137" s="489" t="s">
        <v>1676</v>
      </c>
      <c r="CP137" s="490"/>
      <c r="CQ137" s="490"/>
      <c r="CR137" s="490"/>
      <c r="CS137" s="490"/>
      <c r="CT137" s="490"/>
      <c r="CU137" s="490"/>
      <c r="CV137" s="490"/>
      <c r="CW137" s="490"/>
      <c r="CX137" s="490"/>
      <c r="CY137" s="490"/>
      <c r="CZ137" s="491"/>
      <c r="DA137" s="516" t="s">
        <v>1645</v>
      </c>
      <c r="DB137" s="516"/>
      <c r="DC137" s="516"/>
      <c r="DD137" s="516"/>
      <c r="DE137" s="516"/>
      <c r="DF137" s="516"/>
      <c r="DG137" s="516"/>
      <c r="DH137" s="516"/>
      <c r="DI137" s="516"/>
      <c r="DJ137" s="516"/>
      <c r="DK137" s="483" t="s">
        <v>1646</v>
      </c>
      <c r="DL137" s="484"/>
      <c r="DM137" s="484"/>
      <c r="DN137" s="484"/>
      <c r="DO137" s="484"/>
      <c r="DP137" s="484"/>
      <c r="DQ137" s="484"/>
      <c r="DR137" s="485"/>
    </row>
    <row r="138" spans="2:156" ht="22.5" hidden="1" customHeight="1" x14ac:dyDescent="0.3">
      <c r="B138" s="393" t="s">
        <v>1984</v>
      </c>
      <c r="C138" s="392"/>
      <c r="D138" s="392"/>
      <c r="E138" s="392"/>
      <c r="F138" s="389"/>
      <c r="G138" s="389"/>
      <c r="H138" s="389"/>
      <c r="I138" s="389"/>
      <c r="J138" s="389"/>
      <c r="K138" s="389"/>
      <c r="L138" s="389"/>
      <c r="M138" s="391" t="s">
        <v>307</v>
      </c>
      <c r="N138" s="392"/>
      <c r="O138" s="392"/>
      <c r="P138" s="392"/>
      <c r="Q138" s="392"/>
      <c r="R138" s="392"/>
      <c r="S138" s="392"/>
      <c r="T138" s="392"/>
      <c r="U138" s="433"/>
      <c r="V138" s="433"/>
      <c r="W138" s="433"/>
      <c r="X138" s="433"/>
      <c r="Y138" s="433"/>
      <c r="Z138" s="433"/>
      <c r="AA138" s="391" t="s">
        <v>2084</v>
      </c>
      <c r="AB138" s="392"/>
      <c r="AC138" s="392"/>
      <c r="AD138" s="392"/>
      <c r="AE138" s="392"/>
      <c r="AF138" s="392"/>
      <c r="AG138" s="392"/>
      <c r="AH138" s="392"/>
      <c r="AI138" s="433"/>
      <c r="AJ138" s="433"/>
      <c r="AK138" s="433"/>
      <c r="AL138" s="433"/>
      <c r="AM138" s="433"/>
      <c r="AN138" s="434"/>
      <c r="AO138" s="391" t="s">
        <v>279</v>
      </c>
      <c r="AP138" s="392"/>
      <c r="AQ138" s="392"/>
      <c r="AR138" s="392"/>
      <c r="AS138" s="392"/>
      <c r="AT138" s="437"/>
      <c r="AU138" s="437"/>
      <c r="AV138" s="437"/>
      <c r="AW138" s="437"/>
      <c r="AX138" s="437"/>
      <c r="AY138" s="437"/>
      <c r="AZ138" s="391" t="s">
        <v>2083</v>
      </c>
      <c r="BA138" s="392"/>
      <c r="BB138" s="392"/>
      <c r="BC138" s="392"/>
      <c r="BD138" s="389"/>
      <c r="BE138" s="390"/>
      <c r="BF138" s="190"/>
      <c r="BG138" s="190"/>
      <c r="BH138" s="514">
        <v>1</v>
      </c>
      <c r="BI138" s="515"/>
      <c r="BJ138" s="498"/>
      <c r="BK138" s="499"/>
      <c r="BL138" s="499"/>
      <c r="BM138" s="499"/>
      <c r="BN138" s="499"/>
      <c r="BO138" s="499"/>
      <c r="BP138" s="499"/>
      <c r="BQ138" s="499"/>
      <c r="BR138" s="499"/>
      <c r="BS138" s="499"/>
      <c r="BT138" s="499"/>
      <c r="BU138" s="499"/>
      <c r="BV138" s="500"/>
      <c r="BW138" s="501"/>
      <c r="BX138" s="501"/>
      <c r="BY138" s="501"/>
      <c r="BZ138" s="501"/>
      <c r="CA138" s="501"/>
      <c r="CB138" s="501"/>
      <c r="CC138" s="501"/>
      <c r="CD138" s="502"/>
      <c r="CE138" s="519"/>
      <c r="CF138" s="519"/>
      <c r="CG138" s="519"/>
      <c r="CH138" s="519"/>
      <c r="CI138" s="519"/>
      <c r="CJ138" s="519"/>
      <c r="CK138" s="519"/>
      <c r="CL138" s="519"/>
      <c r="CM138" s="519"/>
      <c r="CN138" s="519"/>
      <c r="CO138" s="507"/>
      <c r="CP138" s="508"/>
      <c r="CQ138" s="508"/>
      <c r="CR138" s="508"/>
      <c r="CS138" s="508"/>
      <c r="CT138" s="508"/>
      <c r="CU138" s="508"/>
      <c r="CV138" s="508"/>
      <c r="CW138" s="508"/>
      <c r="CX138" s="508"/>
      <c r="CY138" s="508"/>
      <c r="CZ138" s="509"/>
      <c r="DA138" s="510"/>
      <c r="DB138" s="510"/>
      <c r="DC138" s="510"/>
      <c r="DD138" s="510"/>
      <c r="DE138" s="510"/>
      <c r="DF138" s="510"/>
      <c r="DG138" s="510"/>
      <c r="DH138" s="510"/>
      <c r="DI138" s="510"/>
      <c r="DJ138" s="510"/>
      <c r="DK138" s="492"/>
      <c r="DL138" s="493"/>
      <c r="DM138" s="493"/>
      <c r="DN138" s="493"/>
      <c r="DO138" s="493"/>
      <c r="DP138" s="493"/>
      <c r="DQ138" s="493"/>
      <c r="DR138" s="494"/>
    </row>
    <row r="139" spans="2:156" ht="22.5" hidden="1" customHeight="1" x14ac:dyDescent="0.3">
      <c r="B139" s="393" t="s">
        <v>2091</v>
      </c>
      <c r="C139" s="392"/>
      <c r="D139" s="392"/>
      <c r="E139" s="392"/>
      <c r="F139" s="392"/>
      <c r="G139" s="392"/>
      <c r="H139" s="392"/>
      <c r="I139" s="392"/>
      <c r="J139" s="392"/>
      <c r="K139" s="389"/>
      <c r="L139" s="389"/>
      <c r="M139" s="391" t="s">
        <v>2089</v>
      </c>
      <c r="N139" s="392"/>
      <c r="O139" s="392"/>
      <c r="P139" s="392"/>
      <c r="Q139" s="392"/>
      <c r="R139" s="392"/>
      <c r="S139" s="389"/>
      <c r="T139" s="389"/>
      <c r="U139" s="389"/>
      <c r="V139" s="389"/>
      <c r="W139" s="389"/>
      <c r="X139" s="391" t="s">
        <v>2092</v>
      </c>
      <c r="Y139" s="392"/>
      <c r="Z139" s="392"/>
      <c r="AA139" s="392"/>
      <c r="AB139" s="392"/>
      <c r="AC139" s="392"/>
      <c r="AD139" s="392"/>
      <c r="AE139" s="392"/>
      <c r="AF139" s="392"/>
      <c r="AG139" s="392"/>
      <c r="AH139" s="392"/>
      <c r="AI139" s="392"/>
      <c r="AJ139" s="392"/>
      <c r="AK139" s="392"/>
      <c r="AL139" s="392"/>
      <c r="AM139" s="392"/>
      <c r="AN139" s="392"/>
      <c r="AO139" s="392"/>
      <c r="AP139" s="392"/>
      <c r="AQ139" s="392"/>
      <c r="AR139" s="389"/>
      <c r="AS139" s="389"/>
      <c r="AT139" s="389"/>
      <c r="AU139" s="389"/>
      <c r="AV139" s="389"/>
      <c r="AW139" s="432"/>
      <c r="AX139" s="391" t="s">
        <v>796</v>
      </c>
      <c r="AY139" s="392"/>
      <c r="AZ139" s="392"/>
      <c r="BA139" s="392"/>
      <c r="BB139" s="392"/>
      <c r="BC139" s="392"/>
      <c r="BD139" s="389"/>
      <c r="BE139" s="390"/>
      <c r="BF139" s="190"/>
      <c r="BG139" s="190"/>
      <c r="BH139" s="443">
        <v>2</v>
      </c>
      <c r="BI139" s="444"/>
      <c r="BJ139" s="486"/>
      <c r="BK139" s="487"/>
      <c r="BL139" s="487"/>
      <c r="BM139" s="487"/>
      <c r="BN139" s="487"/>
      <c r="BO139" s="487"/>
      <c r="BP139" s="487"/>
      <c r="BQ139" s="487"/>
      <c r="BR139" s="487"/>
      <c r="BS139" s="487"/>
      <c r="BT139" s="487"/>
      <c r="BU139" s="487"/>
      <c r="BV139" s="500"/>
      <c r="BW139" s="501"/>
      <c r="BX139" s="501"/>
      <c r="BY139" s="501"/>
      <c r="BZ139" s="501"/>
      <c r="CA139" s="501"/>
      <c r="CB139" s="501"/>
      <c r="CC139" s="501"/>
      <c r="CD139" s="502"/>
      <c r="CE139" s="495"/>
      <c r="CF139" s="495"/>
      <c r="CG139" s="495"/>
      <c r="CH139" s="495"/>
      <c r="CI139" s="495"/>
      <c r="CJ139" s="495"/>
      <c r="CK139" s="495"/>
      <c r="CL139" s="495"/>
      <c r="CM139" s="495"/>
      <c r="CN139" s="495"/>
      <c r="CO139" s="486"/>
      <c r="CP139" s="487"/>
      <c r="CQ139" s="487"/>
      <c r="CR139" s="487"/>
      <c r="CS139" s="487"/>
      <c r="CT139" s="487"/>
      <c r="CU139" s="487"/>
      <c r="CV139" s="487"/>
      <c r="CW139" s="487"/>
      <c r="CX139" s="487"/>
      <c r="CY139" s="487"/>
      <c r="CZ139" s="488"/>
      <c r="DA139" s="495"/>
      <c r="DB139" s="495"/>
      <c r="DC139" s="495"/>
      <c r="DD139" s="495"/>
      <c r="DE139" s="495"/>
      <c r="DF139" s="495"/>
      <c r="DG139" s="495"/>
      <c r="DH139" s="495"/>
      <c r="DI139" s="495"/>
      <c r="DJ139" s="495"/>
      <c r="DK139" s="480"/>
      <c r="DL139" s="481"/>
      <c r="DM139" s="481"/>
      <c r="DN139" s="481"/>
      <c r="DO139" s="481"/>
      <c r="DP139" s="481"/>
      <c r="DQ139" s="481"/>
      <c r="DR139" s="482"/>
    </row>
    <row r="140" spans="2:156" ht="22.5" hidden="1" customHeight="1" x14ac:dyDescent="0.3">
      <c r="B140" s="393" t="s">
        <v>2978</v>
      </c>
      <c r="C140" s="392"/>
      <c r="D140" s="392"/>
      <c r="E140" s="392"/>
      <c r="F140" s="392"/>
      <c r="G140" s="392"/>
      <c r="H140" s="392"/>
      <c r="I140" s="392"/>
      <c r="J140" s="392"/>
      <c r="K140" s="389"/>
      <c r="L140" s="389"/>
      <c r="M140" s="391" t="s">
        <v>2089</v>
      </c>
      <c r="N140" s="392"/>
      <c r="O140" s="392"/>
      <c r="P140" s="392"/>
      <c r="Q140" s="392"/>
      <c r="R140" s="392"/>
      <c r="S140" s="389"/>
      <c r="T140" s="389"/>
      <c r="U140" s="389"/>
      <c r="V140" s="389"/>
      <c r="W140" s="389"/>
      <c r="X140" s="391" t="s">
        <v>2118</v>
      </c>
      <c r="Y140" s="392"/>
      <c r="Z140" s="392"/>
      <c r="AA140" s="392"/>
      <c r="AB140" s="392"/>
      <c r="AC140" s="392"/>
      <c r="AD140" s="392"/>
      <c r="AE140" s="442"/>
      <c r="AF140" s="442"/>
      <c r="AG140" s="442"/>
      <c r="AH140" s="442"/>
      <c r="AI140" s="442"/>
      <c r="AJ140" s="391" t="s">
        <v>2090</v>
      </c>
      <c r="AK140" s="392"/>
      <c r="AL140" s="392"/>
      <c r="AM140" s="392"/>
      <c r="AN140" s="392"/>
      <c r="AO140" s="392"/>
      <c r="AP140" s="392"/>
      <c r="AQ140" s="392"/>
      <c r="AR140" s="433"/>
      <c r="AS140" s="433"/>
      <c r="AT140" s="433"/>
      <c r="AU140" s="433"/>
      <c r="AV140" s="433"/>
      <c r="AW140" s="434"/>
      <c r="AX140" s="391" t="s">
        <v>2085</v>
      </c>
      <c r="AY140" s="392"/>
      <c r="AZ140" s="392"/>
      <c r="BA140" s="392"/>
      <c r="BB140" s="392"/>
      <c r="BC140" s="392"/>
      <c r="BD140" s="389"/>
      <c r="BE140" s="390"/>
      <c r="BF140" s="190"/>
      <c r="BG140" s="190"/>
      <c r="BH140" s="443">
        <v>3</v>
      </c>
      <c r="BI140" s="444"/>
      <c r="BJ140" s="486"/>
      <c r="BK140" s="487"/>
      <c r="BL140" s="487"/>
      <c r="BM140" s="487"/>
      <c r="BN140" s="487"/>
      <c r="BO140" s="487"/>
      <c r="BP140" s="487"/>
      <c r="BQ140" s="487"/>
      <c r="BR140" s="487"/>
      <c r="BS140" s="487"/>
      <c r="BT140" s="487"/>
      <c r="BU140" s="487"/>
      <c r="BV140" s="500"/>
      <c r="BW140" s="501"/>
      <c r="BX140" s="501"/>
      <c r="BY140" s="501"/>
      <c r="BZ140" s="501"/>
      <c r="CA140" s="501"/>
      <c r="CB140" s="501"/>
      <c r="CC140" s="501"/>
      <c r="CD140" s="502"/>
      <c r="CE140" s="506"/>
      <c r="CF140" s="506"/>
      <c r="CG140" s="506"/>
      <c r="CH140" s="506"/>
      <c r="CI140" s="506"/>
      <c r="CJ140" s="506"/>
      <c r="CK140" s="506"/>
      <c r="CL140" s="506"/>
      <c r="CM140" s="506"/>
      <c r="CN140" s="506"/>
      <c r="CO140" s="500"/>
      <c r="CP140" s="501"/>
      <c r="CQ140" s="501"/>
      <c r="CR140" s="501"/>
      <c r="CS140" s="501"/>
      <c r="CT140" s="501"/>
      <c r="CU140" s="501"/>
      <c r="CV140" s="501"/>
      <c r="CW140" s="501"/>
      <c r="CX140" s="501"/>
      <c r="CY140" s="501"/>
      <c r="CZ140" s="502"/>
      <c r="DA140" s="495"/>
      <c r="DB140" s="495"/>
      <c r="DC140" s="495"/>
      <c r="DD140" s="495"/>
      <c r="DE140" s="495"/>
      <c r="DF140" s="495"/>
      <c r="DG140" s="495"/>
      <c r="DH140" s="495"/>
      <c r="DI140" s="495"/>
      <c r="DJ140" s="495"/>
      <c r="DK140" s="480"/>
      <c r="DL140" s="481"/>
      <c r="DM140" s="481"/>
      <c r="DN140" s="481"/>
      <c r="DO140" s="481"/>
      <c r="DP140" s="481"/>
      <c r="DQ140" s="481"/>
      <c r="DR140" s="482"/>
    </row>
    <row r="141" spans="2:156" ht="22.5" hidden="1" customHeight="1" x14ac:dyDescent="0.3">
      <c r="B141" s="438" t="s">
        <v>2916</v>
      </c>
      <c r="C141" s="436"/>
      <c r="D141" s="436"/>
      <c r="E141" s="436"/>
      <c r="F141" s="436"/>
      <c r="G141" s="436"/>
      <c r="H141" s="436"/>
      <c r="I141" s="436"/>
      <c r="J141" s="436"/>
      <c r="K141" s="387"/>
      <c r="L141" s="387"/>
      <c r="M141" s="435" t="s">
        <v>2086</v>
      </c>
      <c r="N141" s="436"/>
      <c r="O141" s="436"/>
      <c r="P141" s="436"/>
      <c r="Q141" s="436"/>
      <c r="R141" s="436"/>
      <c r="S141" s="439"/>
      <c r="T141" s="387"/>
      <c r="U141" s="387"/>
      <c r="V141" s="387"/>
      <c r="W141" s="387"/>
      <c r="X141" s="435" t="s">
        <v>2087</v>
      </c>
      <c r="Y141" s="436"/>
      <c r="Z141" s="436"/>
      <c r="AA141" s="436"/>
      <c r="AB141" s="436"/>
      <c r="AC141" s="436"/>
      <c r="AD141" s="436"/>
      <c r="AE141" s="387"/>
      <c r="AF141" s="387"/>
      <c r="AG141" s="387"/>
      <c r="AH141" s="387"/>
      <c r="AI141" s="387"/>
      <c r="AJ141" s="435" t="s">
        <v>2088</v>
      </c>
      <c r="AK141" s="436"/>
      <c r="AL141" s="436"/>
      <c r="AM141" s="436"/>
      <c r="AN141" s="436"/>
      <c r="AO141" s="436"/>
      <c r="AP141" s="436"/>
      <c r="AQ141" s="436"/>
      <c r="AR141" s="387"/>
      <c r="AS141" s="387"/>
      <c r="AT141" s="387"/>
      <c r="AU141" s="387"/>
      <c r="AV141" s="387"/>
      <c r="AW141" s="387"/>
      <c r="AX141" s="387"/>
      <c r="AY141" s="387"/>
      <c r="AZ141" s="387"/>
      <c r="BA141" s="387"/>
      <c r="BB141" s="387"/>
      <c r="BC141" s="387"/>
      <c r="BD141" s="387"/>
      <c r="BE141" s="388"/>
      <c r="BF141" s="190"/>
      <c r="BG141" s="190"/>
      <c r="BH141" s="445">
        <v>4</v>
      </c>
      <c r="BI141" s="446"/>
      <c r="BJ141" s="496"/>
      <c r="BK141" s="461"/>
      <c r="BL141" s="461"/>
      <c r="BM141" s="461"/>
      <c r="BN141" s="461"/>
      <c r="BO141" s="461"/>
      <c r="BP141" s="461"/>
      <c r="BQ141" s="461"/>
      <c r="BR141" s="461"/>
      <c r="BS141" s="461"/>
      <c r="BT141" s="461"/>
      <c r="BU141" s="461"/>
      <c r="BV141" s="521"/>
      <c r="BW141" s="522"/>
      <c r="BX141" s="522"/>
      <c r="BY141" s="522"/>
      <c r="BZ141" s="522"/>
      <c r="CA141" s="522"/>
      <c r="CB141" s="522"/>
      <c r="CC141" s="522"/>
      <c r="CD141" s="523"/>
      <c r="CE141" s="497"/>
      <c r="CF141" s="497"/>
      <c r="CG141" s="497"/>
      <c r="CH141" s="497"/>
      <c r="CI141" s="497"/>
      <c r="CJ141" s="497"/>
      <c r="CK141" s="497"/>
      <c r="CL141" s="497"/>
      <c r="CM141" s="497"/>
      <c r="CN141" s="497"/>
      <c r="CO141" s="496"/>
      <c r="CP141" s="461"/>
      <c r="CQ141" s="461"/>
      <c r="CR141" s="461"/>
      <c r="CS141" s="461"/>
      <c r="CT141" s="461"/>
      <c r="CU141" s="461"/>
      <c r="CV141" s="461"/>
      <c r="CW141" s="461"/>
      <c r="CX141" s="461"/>
      <c r="CY141" s="461"/>
      <c r="CZ141" s="520"/>
      <c r="DA141" s="497"/>
      <c r="DB141" s="497"/>
      <c r="DC141" s="497"/>
      <c r="DD141" s="497"/>
      <c r="DE141" s="497"/>
      <c r="DF141" s="497"/>
      <c r="DG141" s="497"/>
      <c r="DH141" s="497"/>
      <c r="DI141" s="497"/>
      <c r="DJ141" s="497"/>
      <c r="DK141" s="503"/>
      <c r="DL141" s="504"/>
      <c r="DM141" s="504"/>
      <c r="DN141" s="504"/>
      <c r="DO141" s="504"/>
      <c r="DP141" s="504"/>
      <c r="DQ141" s="504"/>
      <c r="DR141" s="505"/>
    </row>
    <row r="142" spans="2:156" ht="22.5" hidden="1" customHeight="1" x14ac:dyDescent="0.3">
      <c r="B142" s="381" t="s">
        <v>278</v>
      </c>
      <c r="C142" s="382"/>
      <c r="D142" s="382"/>
      <c r="E142" s="382"/>
      <c r="F142" s="382"/>
      <c r="G142" s="382"/>
      <c r="H142" s="382"/>
      <c r="I142" s="382"/>
      <c r="J142" s="421"/>
      <c r="K142" s="421"/>
      <c r="L142" s="421"/>
      <c r="M142" s="421"/>
      <c r="N142" s="421"/>
      <c r="O142" s="421"/>
      <c r="P142" s="421"/>
      <c r="Q142" s="421"/>
      <c r="R142" s="421"/>
      <c r="S142" s="421"/>
      <c r="T142" s="421"/>
      <c r="U142" s="421"/>
      <c r="V142" s="421"/>
      <c r="W142" s="421"/>
      <c r="X142" s="421"/>
      <c r="Y142" s="421"/>
      <c r="Z142" s="421"/>
      <c r="AA142" s="421"/>
      <c r="AB142" s="421"/>
      <c r="AC142" s="421"/>
      <c r="AD142" s="421"/>
      <c r="AE142" s="421"/>
      <c r="AF142" s="421"/>
      <c r="AG142" s="421"/>
      <c r="AH142" s="421"/>
      <c r="AI142" s="421"/>
      <c r="AJ142" s="421"/>
      <c r="AK142" s="421"/>
      <c r="AL142" s="421"/>
      <c r="AM142" s="421"/>
      <c r="AN142" s="421"/>
      <c r="AO142" s="421"/>
      <c r="AP142" s="421"/>
      <c r="AQ142" s="421"/>
      <c r="AR142" s="421"/>
      <c r="AS142" s="421"/>
      <c r="AT142" s="421"/>
      <c r="AU142" s="421"/>
      <c r="AV142" s="421"/>
      <c r="AW142" s="421"/>
      <c r="AX142" s="421"/>
      <c r="AY142" s="421"/>
      <c r="AZ142" s="421"/>
      <c r="BA142" s="421"/>
      <c r="BB142" s="421"/>
      <c r="BC142" s="421"/>
      <c r="BD142" s="421"/>
      <c r="BE142" s="422"/>
      <c r="BF142" s="190"/>
      <c r="DA142" s="511" t="s">
        <v>1647</v>
      </c>
      <c r="DB142" s="512"/>
      <c r="DC142" s="512"/>
      <c r="DD142" s="512"/>
      <c r="DE142" s="512"/>
      <c r="DF142" s="512"/>
      <c r="DG142" s="512"/>
      <c r="DH142" s="512"/>
      <c r="DI142" s="512"/>
      <c r="DJ142" s="512"/>
      <c r="DK142" s="418">
        <f>SUM(DK138:DR141)</f>
        <v>0</v>
      </c>
      <c r="DL142" s="419"/>
      <c r="DM142" s="419"/>
      <c r="DN142" s="419"/>
      <c r="DO142" s="419"/>
      <c r="DP142" s="419"/>
      <c r="DQ142" s="419"/>
      <c r="DR142" s="420"/>
    </row>
    <row r="143" spans="2:156" ht="24" hidden="1" customHeight="1" x14ac:dyDescent="0.25">
      <c r="B143" s="383" t="s">
        <v>2944</v>
      </c>
      <c r="C143" s="384"/>
      <c r="D143" s="384"/>
      <c r="E143" s="384"/>
      <c r="F143" s="384"/>
      <c r="G143" s="384"/>
      <c r="H143" s="384"/>
      <c r="I143" s="384"/>
      <c r="J143" s="423"/>
      <c r="K143" s="423"/>
      <c r="L143" s="423"/>
      <c r="M143" s="423"/>
      <c r="N143" s="423"/>
      <c r="O143" s="423"/>
      <c r="P143" s="423"/>
      <c r="Q143" s="423"/>
      <c r="R143" s="423"/>
      <c r="S143" s="423"/>
      <c r="T143" s="423"/>
      <c r="U143" s="423"/>
      <c r="V143" s="423"/>
      <c r="W143" s="423"/>
      <c r="X143" s="423"/>
      <c r="Y143" s="423"/>
      <c r="Z143" s="423"/>
      <c r="AA143" s="423"/>
      <c r="AB143" s="423"/>
      <c r="AC143" s="423"/>
      <c r="AD143" s="423"/>
      <c r="AE143" s="423"/>
      <c r="AF143" s="423"/>
      <c r="AG143" s="423"/>
      <c r="AH143" s="423"/>
      <c r="AI143" s="423"/>
      <c r="AJ143" s="423"/>
      <c r="AK143" s="423"/>
      <c r="AL143" s="423"/>
      <c r="AM143" s="423"/>
      <c r="AN143" s="423"/>
      <c r="AO143" s="423"/>
      <c r="AP143" s="423"/>
      <c r="AQ143" s="423"/>
      <c r="AR143" s="423"/>
      <c r="AS143" s="423"/>
      <c r="AT143" s="423"/>
      <c r="AU143" s="423"/>
      <c r="AV143" s="423"/>
      <c r="AW143" s="423"/>
      <c r="AX143" s="423"/>
      <c r="AY143" s="423"/>
      <c r="AZ143" s="423"/>
      <c r="BA143" s="423"/>
      <c r="BB143" s="423"/>
      <c r="BC143" s="423"/>
      <c r="BD143" s="423"/>
      <c r="BE143" s="424"/>
      <c r="EF143"/>
      <c r="EG143"/>
      <c r="EH143"/>
      <c r="EI143"/>
      <c r="EJ143"/>
      <c r="EK143"/>
      <c r="EL143"/>
      <c r="EM143"/>
      <c r="EN143"/>
      <c r="EO143"/>
      <c r="EP143"/>
      <c r="EQ143"/>
      <c r="ER143"/>
      <c r="ES143"/>
      <c r="ET143"/>
      <c r="EU143"/>
      <c r="EV143"/>
      <c r="EW143"/>
      <c r="EX143"/>
      <c r="EY143"/>
      <c r="EZ143"/>
    </row>
    <row r="144" spans="2:156" ht="24" hidden="1" customHeight="1" thickBot="1" x14ac:dyDescent="0.3">
      <c r="B144" s="385"/>
      <c r="C144" s="386"/>
      <c r="D144" s="386"/>
      <c r="E144" s="386"/>
      <c r="F144" s="386"/>
      <c r="G144" s="386"/>
      <c r="H144" s="386"/>
      <c r="I144" s="386"/>
      <c r="J144" s="425"/>
      <c r="K144" s="425"/>
      <c r="L144" s="425"/>
      <c r="M144" s="425"/>
      <c r="N144" s="425"/>
      <c r="O144" s="425"/>
      <c r="P144" s="425"/>
      <c r="Q144" s="425"/>
      <c r="R144" s="425"/>
      <c r="S144" s="425"/>
      <c r="T144" s="425"/>
      <c r="U144" s="425"/>
      <c r="V144" s="425"/>
      <c r="W144" s="425"/>
      <c r="X144" s="425"/>
      <c r="Y144" s="425"/>
      <c r="Z144" s="425"/>
      <c r="AA144" s="425"/>
      <c r="AB144" s="425"/>
      <c r="AC144" s="425"/>
      <c r="AD144" s="425"/>
      <c r="AE144" s="425"/>
      <c r="AF144" s="425"/>
      <c r="AG144" s="425"/>
      <c r="AH144" s="425"/>
      <c r="AI144" s="425"/>
      <c r="AJ144" s="425"/>
      <c r="AK144" s="425"/>
      <c r="AL144" s="425"/>
      <c r="AM144" s="425"/>
      <c r="AN144" s="425"/>
      <c r="AO144" s="425"/>
      <c r="AP144" s="425"/>
      <c r="AQ144" s="425"/>
      <c r="AR144" s="425"/>
      <c r="AS144" s="425"/>
      <c r="AT144" s="425"/>
      <c r="AU144" s="425"/>
      <c r="AV144" s="425"/>
      <c r="AW144" s="425"/>
      <c r="AX144" s="425"/>
      <c r="AY144" s="425"/>
      <c r="AZ144" s="425"/>
      <c r="BA144" s="425"/>
      <c r="BB144" s="425"/>
      <c r="BC144" s="425"/>
      <c r="BD144" s="425"/>
      <c r="BE144" s="426"/>
      <c r="EF144"/>
      <c r="EG144"/>
      <c r="EH144"/>
      <c r="EI144"/>
      <c r="EJ144"/>
      <c r="EK144"/>
      <c r="EL144"/>
      <c r="EM144"/>
      <c r="EN144"/>
      <c r="EO144"/>
      <c r="EP144"/>
      <c r="EQ144"/>
      <c r="ER144"/>
      <c r="ES144"/>
      <c r="ET144"/>
      <c r="EU144"/>
      <c r="EV144"/>
      <c r="EW144"/>
      <c r="EX144"/>
      <c r="EY144"/>
      <c r="EZ144"/>
    </row>
    <row r="145" spans="2:159" ht="24" hidden="1" customHeight="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EF145"/>
      <c r="EG145"/>
      <c r="EH145"/>
      <c r="EI145"/>
      <c r="EJ145"/>
      <c r="EK145"/>
      <c r="EL145"/>
      <c r="EM145"/>
      <c r="EN145"/>
      <c r="EO145"/>
      <c r="EP145"/>
      <c r="EQ145"/>
      <c r="ER145"/>
      <c r="ES145"/>
      <c r="ET145"/>
      <c r="EU145"/>
      <c r="EV145"/>
      <c r="EW145"/>
      <c r="EX145"/>
      <c r="EY145"/>
      <c r="EZ145"/>
    </row>
    <row r="146" spans="2:159" ht="18.75" hidden="1" customHeight="1" x14ac:dyDescent="0.3">
      <c r="B146" s="190"/>
      <c r="C146" s="190"/>
      <c r="D146" s="190"/>
      <c r="E146" s="190"/>
      <c r="F146" s="190"/>
      <c r="G146" s="190"/>
      <c r="H146" s="190"/>
      <c r="I146" s="190"/>
      <c r="J146" s="190"/>
      <c r="K146" s="190"/>
      <c r="L146" s="190"/>
      <c r="M146" s="190"/>
      <c r="N146" s="190"/>
      <c r="O146" s="190"/>
      <c r="P146" s="190"/>
      <c r="Q146" s="190"/>
      <c r="R146" s="190"/>
      <c r="S146" s="190"/>
      <c r="T146" s="190"/>
      <c r="U146" s="190"/>
      <c r="V146" s="190"/>
      <c r="W146" s="190"/>
      <c r="X146" s="190"/>
      <c r="Y146" s="190"/>
      <c r="Z146" s="190"/>
      <c r="AA146" s="190"/>
      <c r="AB146" s="190"/>
      <c r="AC146" s="190"/>
      <c r="AD146" s="190"/>
      <c r="AE146" s="190"/>
      <c r="AF146" s="190"/>
      <c r="AG146" s="190"/>
      <c r="AH146" s="190"/>
      <c r="AI146" s="190"/>
      <c r="AJ146" s="190"/>
      <c r="AK146" s="190"/>
      <c r="AL146" s="190"/>
      <c r="AM146" s="190"/>
      <c r="AN146" s="190"/>
      <c r="AO146" s="190"/>
      <c r="AP146" s="190"/>
      <c r="AQ146" s="190"/>
      <c r="AR146" s="190"/>
      <c r="AS146" s="190"/>
      <c r="AT146" s="190"/>
      <c r="AU146" s="190"/>
      <c r="AV146" s="190"/>
      <c r="AW146" s="190"/>
      <c r="AX146" s="190"/>
      <c r="AY146" s="190"/>
      <c r="AZ146" s="190"/>
      <c r="BA146" s="190"/>
      <c r="BB146" s="190"/>
      <c r="BC146" s="190"/>
      <c r="BD146" s="190"/>
      <c r="BE146" s="190"/>
      <c r="BF146" s="190"/>
      <c r="BG146" s="190"/>
      <c r="BH146" s="190"/>
      <c r="BI146" s="190"/>
      <c r="BJ146" s="190"/>
      <c r="BK146" s="190"/>
      <c r="BL146" s="190"/>
      <c r="BM146" s="190"/>
      <c r="BN146" s="190"/>
      <c r="BO146" s="190"/>
      <c r="BP146" s="190"/>
      <c r="BQ146" s="190"/>
      <c r="BR146" s="190"/>
      <c r="BS146" s="190"/>
      <c r="BT146" s="190"/>
      <c r="BU146" s="190"/>
      <c r="BV146" s="190"/>
      <c r="BW146" s="190"/>
      <c r="BX146" s="190"/>
      <c r="EF146"/>
      <c r="EG146"/>
      <c r="EH146"/>
      <c r="EI146"/>
      <c r="EJ146"/>
      <c r="EK146"/>
      <c r="EL146"/>
      <c r="EM146"/>
      <c r="EN146"/>
      <c r="EO146"/>
      <c r="EP146"/>
      <c r="EQ146"/>
      <c r="ER146"/>
      <c r="ES146"/>
      <c r="ET146"/>
      <c r="EU146"/>
      <c r="EV146"/>
      <c r="EW146"/>
      <c r="EX146"/>
      <c r="EY146"/>
      <c r="EZ146"/>
    </row>
    <row r="147" spans="2:159" ht="22.5" hidden="1" customHeight="1" thickBot="1" x14ac:dyDescent="0.35">
      <c r="B147" s="440" t="s">
        <v>289</v>
      </c>
      <c r="C147" s="440"/>
      <c r="D147" s="440"/>
      <c r="E147" s="440"/>
      <c r="F147" s="440"/>
      <c r="G147" s="440"/>
      <c r="H147" s="440"/>
      <c r="I147" s="440"/>
      <c r="J147" s="440"/>
      <c r="K147" s="440"/>
      <c r="L147" s="440"/>
      <c r="M147" s="440"/>
      <c r="N147" s="440"/>
      <c r="O147" s="440"/>
      <c r="P147" s="440"/>
      <c r="Q147" s="440"/>
      <c r="R147" s="440"/>
      <c r="S147" s="440"/>
      <c r="T147" s="440"/>
      <c r="U147" s="440"/>
      <c r="V147" s="440"/>
      <c r="W147" s="440"/>
      <c r="X147" s="440"/>
      <c r="Y147" s="440"/>
      <c r="Z147" s="440"/>
      <c r="AA147" s="440"/>
      <c r="AB147" s="440"/>
      <c r="AC147" s="440"/>
      <c r="AD147" s="440"/>
      <c r="AE147" s="440"/>
      <c r="AF147" s="440"/>
      <c r="AG147" s="440"/>
      <c r="AH147" s="440"/>
      <c r="AI147" s="440"/>
      <c r="AJ147" s="440"/>
      <c r="AK147" s="440"/>
      <c r="AL147" s="440"/>
      <c r="AM147" s="440"/>
      <c r="AN147" s="440"/>
      <c r="AO147" s="440"/>
      <c r="AP147" s="440"/>
      <c r="AQ147" s="440"/>
      <c r="AR147" s="440"/>
      <c r="AS147" s="440"/>
      <c r="AT147" s="440"/>
      <c r="AU147" s="440"/>
      <c r="AV147" s="440"/>
      <c r="AW147" s="440"/>
      <c r="AX147" s="440"/>
      <c r="AY147" s="440"/>
      <c r="AZ147" s="440"/>
      <c r="BA147" s="440"/>
      <c r="BB147" s="440"/>
      <c r="BC147" s="440"/>
      <c r="BD147" s="440"/>
      <c r="BE147" s="440"/>
      <c r="BF147" s="187"/>
      <c r="BG147" s="187"/>
      <c r="BJ147" s="178" t="s">
        <v>1648</v>
      </c>
    </row>
    <row r="148" spans="2:159" ht="22.5" hidden="1" customHeight="1" x14ac:dyDescent="0.3">
      <c r="B148" s="454" t="s">
        <v>3221</v>
      </c>
      <c r="C148" s="401"/>
      <c r="D148" s="401"/>
      <c r="E148" s="401"/>
      <c r="F148" s="401"/>
      <c r="G148" s="401"/>
      <c r="H148" s="401"/>
      <c r="I148" s="401"/>
      <c r="J148" s="404"/>
      <c r="K148" s="404"/>
      <c r="L148" s="404"/>
      <c r="M148" s="404"/>
      <c r="N148" s="404"/>
      <c r="O148" s="404"/>
      <c r="P148" s="404"/>
      <c r="Q148" s="404"/>
      <c r="R148" s="404"/>
      <c r="S148" s="404"/>
      <c r="T148" s="404"/>
      <c r="U148" s="404"/>
      <c r="V148" s="404"/>
      <c r="W148" s="404"/>
      <c r="X148" s="405"/>
      <c r="Y148" s="400" t="s">
        <v>2074</v>
      </c>
      <c r="Z148" s="401"/>
      <c r="AA148" s="401"/>
      <c r="AB148" s="402"/>
      <c r="AC148" s="402"/>
      <c r="AD148" s="402"/>
      <c r="AE148" s="402"/>
      <c r="AF148" s="402"/>
      <c r="AG148" s="402"/>
      <c r="AH148" s="402"/>
      <c r="AI148" s="402"/>
      <c r="AJ148" s="402"/>
      <c r="AK148" s="403"/>
      <c r="AL148" s="400" t="s">
        <v>1982</v>
      </c>
      <c r="AM148" s="401"/>
      <c r="AN148" s="401"/>
      <c r="AO148" s="404"/>
      <c r="AP148" s="404"/>
      <c r="AQ148" s="404"/>
      <c r="AR148" s="404"/>
      <c r="AS148" s="404"/>
      <c r="AT148" s="404"/>
      <c r="AU148" s="405"/>
      <c r="AV148" s="400" t="s">
        <v>1983</v>
      </c>
      <c r="AW148" s="401"/>
      <c r="AX148" s="404"/>
      <c r="AY148" s="404"/>
      <c r="AZ148" s="404"/>
      <c r="BA148" s="404"/>
      <c r="BB148" s="404"/>
      <c r="BC148" s="404"/>
      <c r="BD148" s="404"/>
      <c r="BE148" s="406"/>
      <c r="BF148" s="190"/>
      <c r="BG148" s="190"/>
      <c r="BH148" s="517" t="s">
        <v>389</v>
      </c>
      <c r="BI148" s="518"/>
      <c r="BJ148" s="489" t="s">
        <v>1649</v>
      </c>
      <c r="BK148" s="490"/>
      <c r="BL148" s="490"/>
      <c r="BM148" s="490"/>
      <c r="BN148" s="490"/>
      <c r="BO148" s="490"/>
      <c r="BP148" s="490"/>
      <c r="BQ148" s="490"/>
      <c r="BR148" s="490"/>
      <c r="BS148" s="490"/>
      <c r="BT148" s="490"/>
      <c r="BU148" s="490"/>
      <c r="BV148" s="483" t="s">
        <v>1644</v>
      </c>
      <c r="BW148" s="484"/>
      <c r="BX148" s="484"/>
      <c r="BY148" s="484"/>
      <c r="BZ148" s="484"/>
      <c r="CA148" s="484"/>
      <c r="CB148" s="484"/>
      <c r="CC148" s="484"/>
      <c r="CD148" s="485"/>
      <c r="CE148" s="513" t="s">
        <v>1675</v>
      </c>
      <c r="CF148" s="513"/>
      <c r="CG148" s="513"/>
      <c r="CH148" s="513"/>
      <c r="CI148" s="513"/>
      <c r="CJ148" s="513"/>
      <c r="CK148" s="513"/>
      <c r="CL148" s="513"/>
      <c r="CM148" s="513"/>
      <c r="CN148" s="513"/>
      <c r="CO148" s="489" t="s">
        <v>1676</v>
      </c>
      <c r="CP148" s="490"/>
      <c r="CQ148" s="490"/>
      <c r="CR148" s="490"/>
      <c r="CS148" s="490"/>
      <c r="CT148" s="490"/>
      <c r="CU148" s="490"/>
      <c r="CV148" s="490"/>
      <c r="CW148" s="490"/>
      <c r="CX148" s="490"/>
      <c r="CY148" s="490"/>
      <c r="CZ148" s="491"/>
      <c r="DA148" s="516" t="s">
        <v>1645</v>
      </c>
      <c r="DB148" s="516"/>
      <c r="DC148" s="516"/>
      <c r="DD148" s="516"/>
      <c r="DE148" s="516"/>
      <c r="DF148" s="516"/>
      <c r="DG148" s="516"/>
      <c r="DH148" s="516"/>
      <c r="DI148" s="516"/>
      <c r="DJ148" s="516"/>
      <c r="DK148" s="483" t="s">
        <v>1646</v>
      </c>
      <c r="DL148" s="484"/>
      <c r="DM148" s="484"/>
      <c r="DN148" s="484"/>
      <c r="DO148" s="484"/>
      <c r="DP148" s="484"/>
      <c r="DQ148" s="484"/>
      <c r="DR148" s="485"/>
    </row>
    <row r="149" spans="2:159" ht="22.5" hidden="1" customHeight="1" x14ac:dyDescent="0.3">
      <c r="B149" s="393" t="s">
        <v>1984</v>
      </c>
      <c r="C149" s="392"/>
      <c r="D149" s="392"/>
      <c r="E149" s="392"/>
      <c r="F149" s="389"/>
      <c r="G149" s="389"/>
      <c r="H149" s="389"/>
      <c r="I149" s="389"/>
      <c r="J149" s="389"/>
      <c r="K149" s="389"/>
      <c r="L149" s="389"/>
      <c r="M149" s="391" t="s">
        <v>307</v>
      </c>
      <c r="N149" s="392"/>
      <c r="O149" s="392"/>
      <c r="P149" s="392"/>
      <c r="Q149" s="392"/>
      <c r="R149" s="392"/>
      <c r="S149" s="392"/>
      <c r="T149" s="392"/>
      <c r="U149" s="433"/>
      <c r="V149" s="433"/>
      <c r="W149" s="433"/>
      <c r="X149" s="433"/>
      <c r="Y149" s="433"/>
      <c r="Z149" s="433"/>
      <c r="AA149" s="391" t="s">
        <v>2084</v>
      </c>
      <c r="AB149" s="392"/>
      <c r="AC149" s="392"/>
      <c r="AD149" s="392"/>
      <c r="AE149" s="392"/>
      <c r="AF149" s="392"/>
      <c r="AG149" s="392"/>
      <c r="AH149" s="392"/>
      <c r="AI149" s="433"/>
      <c r="AJ149" s="433"/>
      <c r="AK149" s="433"/>
      <c r="AL149" s="433"/>
      <c r="AM149" s="433"/>
      <c r="AN149" s="434"/>
      <c r="AO149" s="391" t="s">
        <v>279</v>
      </c>
      <c r="AP149" s="392"/>
      <c r="AQ149" s="392"/>
      <c r="AR149" s="392"/>
      <c r="AS149" s="392"/>
      <c r="AT149" s="437"/>
      <c r="AU149" s="437"/>
      <c r="AV149" s="437"/>
      <c r="AW149" s="437"/>
      <c r="AX149" s="437"/>
      <c r="AY149" s="437"/>
      <c r="AZ149" s="391" t="s">
        <v>2083</v>
      </c>
      <c r="BA149" s="392"/>
      <c r="BB149" s="392"/>
      <c r="BC149" s="392"/>
      <c r="BD149" s="389"/>
      <c r="BE149" s="390"/>
      <c r="BF149" s="190"/>
      <c r="BG149" s="190"/>
      <c r="BH149" s="514">
        <v>1</v>
      </c>
      <c r="BI149" s="515"/>
      <c r="BJ149" s="498"/>
      <c r="BK149" s="499"/>
      <c r="BL149" s="499"/>
      <c r="BM149" s="499"/>
      <c r="BN149" s="499"/>
      <c r="BO149" s="499"/>
      <c r="BP149" s="499"/>
      <c r="BQ149" s="499"/>
      <c r="BR149" s="499"/>
      <c r="BS149" s="499"/>
      <c r="BT149" s="499"/>
      <c r="BU149" s="499"/>
      <c r="BV149" s="500"/>
      <c r="BW149" s="501"/>
      <c r="BX149" s="501"/>
      <c r="BY149" s="501"/>
      <c r="BZ149" s="501"/>
      <c r="CA149" s="501"/>
      <c r="CB149" s="501"/>
      <c r="CC149" s="501"/>
      <c r="CD149" s="502"/>
      <c r="CE149" s="519"/>
      <c r="CF149" s="519"/>
      <c r="CG149" s="519"/>
      <c r="CH149" s="519"/>
      <c r="CI149" s="519"/>
      <c r="CJ149" s="519"/>
      <c r="CK149" s="519"/>
      <c r="CL149" s="519"/>
      <c r="CM149" s="519"/>
      <c r="CN149" s="519"/>
      <c r="CO149" s="507"/>
      <c r="CP149" s="508"/>
      <c r="CQ149" s="508"/>
      <c r="CR149" s="508"/>
      <c r="CS149" s="508"/>
      <c r="CT149" s="508"/>
      <c r="CU149" s="508"/>
      <c r="CV149" s="508"/>
      <c r="CW149" s="508"/>
      <c r="CX149" s="508"/>
      <c r="CY149" s="508"/>
      <c r="CZ149" s="509"/>
      <c r="DA149" s="510"/>
      <c r="DB149" s="510"/>
      <c r="DC149" s="510"/>
      <c r="DD149" s="510"/>
      <c r="DE149" s="510"/>
      <c r="DF149" s="510"/>
      <c r="DG149" s="510"/>
      <c r="DH149" s="510"/>
      <c r="DI149" s="510"/>
      <c r="DJ149" s="510"/>
      <c r="DK149" s="492"/>
      <c r="DL149" s="493"/>
      <c r="DM149" s="493"/>
      <c r="DN149" s="493"/>
      <c r="DO149" s="493"/>
      <c r="DP149" s="493"/>
      <c r="DQ149" s="493"/>
      <c r="DR149" s="494"/>
    </row>
    <row r="150" spans="2:159" ht="22.5" hidden="1" customHeight="1" x14ac:dyDescent="0.3">
      <c r="B150" s="393" t="s">
        <v>2091</v>
      </c>
      <c r="C150" s="392"/>
      <c r="D150" s="392"/>
      <c r="E150" s="392"/>
      <c r="F150" s="392"/>
      <c r="G150" s="392"/>
      <c r="H150" s="392"/>
      <c r="I150" s="392"/>
      <c r="J150" s="392"/>
      <c r="K150" s="389"/>
      <c r="L150" s="389"/>
      <c r="M150" s="391" t="s">
        <v>2089</v>
      </c>
      <c r="N150" s="392"/>
      <c r="O150" s="392"/>
      <c r="P150" s="392"/>
      <c r="Q150" s="392"/>
      <c r="R150" s="392"/>
      <c r="S150" s="389"/>
      <c r="T150" s="389"/>
      <c r="U150" s="389"/>
      <c r="V150" s="389"/>
      <c r="W150" s="389"/>
      <c r="X150" s="391" t="s">
        <v>2092</v>
      </c>
      <c r="Y150" s="392"/>
      <c r="Z150" s="392"/>
      <c r="AA150" s="392"/>
      <c r="AB150" s="392"/>
      <c r="AC150" s="392"/>
      <c r="AD150" s="392"/>
      <c r="AE150" s="392"/>
      <c r="AF150" s="392"/>
      <c r="AG150" s="392"/>
      <c r="AH150" s="392"/>
      <c r="AI150" s="392"/>
      <c r="AJ150" s="392"/>
      <c r="AK150" s="392"/>
      <c r="AL150" s="392"/>
      <c r="AM150" s="392"/>
      <c r="AN150" s="392"/>
      <c r="AO150" s="392"/>
      <c r="AP150" s="392"/>
      <c r="AQ150" s="392"/>
      <c r="AR150" s="389"/>
      <c r="AS150" s="389"/>
      <c r="AT150" s="389"/>
      <c r="AU150" s="389"/>
      <c r="AV150" s="389"/>
      <c r="AW150" s="432"/>
      <c r="AX150" s="391" t="s">
        <v>796</v>
      </c>
      <c r="AY150" s="392"/>
      <c r="AZ150" s="392"/>
      <c r="BA150" s="392"/>
      <c r="BB150" s="392"/>
      <c r="BC150" s="392"/>
      <c r="BD150" s="389"/>
      <c r="BE150" s="390"/>
      <c r="BF150" s="190"/>
      <c r="BG150" s="190"/>
      <c r="BH150" s="443">
        <v>2</v>
      </c>
      <c r="BI150" s="444"/>
      <c r="BJ150" s="486"/>
      <c r="BK150" s="487"/>
      <c r="BL150" s="487"/>
      <c r="BM150" s="487"/>
      <c r="BN150" s="487"/>
      <c r="BO150" s="487"/>
      <c r="BP150" s="487"/>
      <c r="BQ150" s="487"/>
      <c r="BR150" s="487"/>
      <c r="BS150" s="487"/>
      <c r="BT150" s="487"/>
      <c r="BU150" s="487"/>
      <c r="BV150" s="500"/>
      <c r="BW150" s="501"/>
      <c r="BX150" s="501"/>
      <c r="BY150" s="501"/>
      <c r="BZ150" s="501"/>
      <c r="CA150" s="501"/>
      <c r="CB150" s="501"/>
      <c r="CC150" s="501"/>
      <c r="CD150" s="502"/>
      <c r="CE150" s="495"/>
      <c r="CF150" s="495"/>
      <c r="CG150" s="495"/>
      <c r="CH150" s="495"/>
      <c r="CI150" s="495"/>
      <c r="CJ150" s="495"/>
      <c r="CK150" s="495"/>
      <c r="CL150" s="495"/>
      <c r="CM150" s="495"/>
      <c r="CN150" s="495"/>
      <c r="CO150" s="486"/>
      <c r="CP150" s="487"/>
      <c r="CQ150" s="487"/>
      <c r="CR150" s="487"/>
      <c r="CS150" s="487"/>
      <c r="CT150" s="487"/>
      <c r="CU150" s="487"/>
      <c r="CV150" s="487"/>
      <c r="CW150" s="487"/>
      <c r="CX150" s="487"/>
      <c r="CY150" s="487"/>
      <c r="CZ150" s="488"/>
      <c r="DA150" s="495"/>
      <c r="DB150" s="495"/>
      <c r="DC150" s="495"/>
      <c r="DD150" s="495"/>
      <c r="DE150" s="495"/>
      <c r="DF150" s="495"/>
      <c r="DG150" s="495"/>
      <c r="DH150" s="495"/>
      <c r="DI150" s="495"/>
      <c r="DJ150" s="495"/>
      <c r="DK150" s="480"/>
      <c r="DL150" s="481"/>
      <c r="DM150" s="481"/>
      <c r="DN150" s="481"/>
      <c r="DO150" s="481"/>
      <c r="DP150" s="481"/>
      <c r="DQ150" s="481"/>
      <c r="DR150" s="482"/>
    </row>
    <row r="151" spans="2:159" ht="22.5" hidden="1" customHeight="1" x14ac:dyDescent="0.3">
      <c r="B151" s="393" t="s">
        <v>2978</v>
      </c>
      <c r="C151" s="392"/>
      <c r="D151" s="392"/>
      <c r="E151" s="392"/>
      <c r="F151" s="392"/>
      <c r="G151" s="392"/>
      <c r="H151" s="392"/>
      <c r="I151" s="392"/>
      <c r="J151" s="392"/>
      <c r="K151" s="389"/>
      <c r="L151" s="389"/>
      <c r="M151" s="391" t="s">
        <v>2089</v>
      </c>
      <c r="N151" s="392"/>
      <c r="O151" s="392"/>
      <c r="P151" s="392"/>
      <c r="Q151" s="392"/>
      <c r="R151" s="392"/>
      <c r="S151" s="389"/>
      <c r="T151" s="389"/>
      <c r="U151" s="389"/>
      <c r="V151" s="389"/>
      <c r="W151" s="389"/>
      <c r="X151" s="391" t="s">
        <v>2118</v>
      </c>
      <c r="Y151" s="392"/>
      <c r="Z151" s="392"/>
      <c r="AA151" s="392"/>
      <c r="AB151" s="392"/>
      <c r="AC151" s="392"/>
      <c r="AD151" s="392"/>
      <c r="AE151" s="442"/>
      <c r="AF151" s="442"/>
      <c r="AG151" s="442"/>
      <c r="AH151" s="442"/>
      <c r="AI151" s="442"/>
      <c r="AJ151" s="391" t="s">
        <v>2090</v>
      </c>
      <c r="AK151" s="392"/>
      <c r="AL151" s="392"/>
      <c r="AM151" s="392"/>
      <c r="AN151" s="392"/>
      <c r="AO151" s="392"/>
      <c r="AP151" s="392"/>
      <c r="AQ151" s="392"/>
      <c r="AR151" s="433"/>
      <c r="AS151" s="433"/>
      <c r="AT151" s="433"/>
      <c r="AU151" s="433"/>
      <c r="AV151" s="433"/>
      <c r="AW151" s="434"/>
      <c r="AX151" s="391" t="s">
        <v>2085</v>
      </c>
      <c r="AY151" s="392"/>
      <c r="AZ151" s="392"/>
      <c r="BA151" s="392"/>
      <c r="BB151" s="392"/>
      <c r="BC151" s="392"/>
      <c r="BD151" s="389"/>
      <c r="BE151" s="390"/>
      <c r="BF151" s="190"/>
      <c r="BG151" s="190"/>
      <c r="BH151" s="443">
        <v>3</v>
      </c>
      <c r="BI151" s="444"/>
      <c r="BJ151" s="486"/>
      <c r="BK151" s="487"/>
      <c r="BL151" s="487"/>
      <c r="BM151" s="487"/>
      <c r="BN151" s="487"/>
      <c r="BO151" s="487"/>
      <c r="BP151" s="487"/>
      <c r="BQ151" s="487"/>
      <c r="BR151" s="487"/>
      <c r="BS151" s="487"/>
      <c r="BT151" s="487"/>
      <c r="BU151" s="487"/>
      <c r="BV151" s="500"/>
      <c r="BW151" s="501"/>
      <c r="BX151" s="501"/>
      <c r="BY151" s="501"/>
      <c r="BZ151" s="501"/>
      <c r="CA151" s="501"/>
      <c r="CB151" s="501"/>
      <c r="CC151" s="501"/>
      <c r="CD151" s="502"/>
      <c r="CE151" s="506"/>
      <c r="CF151" s="506"/>
      <c r="CG151" s="506"/>
      <c r="CH151" s="506"/>
      <c r="CI151" s="506"/>
      <c r="CJ151" s="506"/>
      <c r="CK151" s="506"/>
      <c r="CL151" s="506"/>
      <c r="CM151" s="506"/>
      <c r="CN151" s="506"/>
      <c r="CO151" s="500"/>
      <c r="CP151" s="501"/>
      <c r="CQ151" s="501"/>
      <c r="CR151" s="501"/>
      <c r="CS151" s="501"/>
      <c r="CT151" s="501"/>
      <c r="CU151" s="501"/>
      <c r="CV151" s="501"/>
      <c r="CW151" s="501"/>
      <c r="CX151" s="501"/>
      <c r="CY151" s="501"/>
      <c r="CZ151" s="502"/>
      <c r="DA151" s="495"/>
      <c r="DB151" s="495"/>
      <c r="DC151" s="495"/>
      <c r="DD151" s="495"/>
      <c r="DE151" s="495"/>
      <c r="DF151" s="495"/>
      <c r="DG151" s="495"/>
      <c r="DH151" s="495"/>
      <c r="DI151" s="495"/>
      <c r="DJ151" s="495"/>
      <c r="DK151" s="480"/>
      <c r="DL151" s="481"/>
      <c r="DM151" s="481"/>
      <c r="DN151" s="481"/>
      <c r="DO151" s="481"/>
      <c r="DP151" s="481"/>
      <c r="DQ151" s="481"/>
      <c r="DR151" s="482"/>
    </row>
    <row r="152" spans="2:159" ht="22.5" hidden="1" customHeight="1" x14ac:dyDescent="0.3">
      <c r="B152" s="438" t="s">
        <v>2916</v>
      </c>
      <c r="C152" s="436"/>
      <c r="D152" s="436"/>
      <c r="E152" s="436"/>
      <c r="F152" s="436"/>
      <c r="G152" s="436"/>
      <c r="H152" s="436"/>
      <c r="I152" s="436"/>
      <c r="J152" s="436"/>
      <c r="K152" s="387"/>
      <c r="L152" s="387"/>
      <c r="M152" s="435" t="s">
        <v>2086</v>
      </c>
      <c r="N152" s="436"/>
      <c r="O152" s="436"/>
      <c r="P152" s="436"/>
      <c r="Q152" s="436"/>
      <c r="R152" s="436"/>
      <c r="S152" s="439"/>
      <c r="T152" s="387"/>
      <c r="U152" s="387"/>
      <c r="V152" s="387"/>
      <c r="W152" s="387"/>
      <c r="X152" s="435" t="s">
        <v>2087</v>
      </c>
      <c r="Y152" s="436"/>
      <c r="Z152" s="436"/>
      <c r="AA152" s="436"/>
      <c r="AB152" s="436"/>
      <c r="AC152" s="436"/>
      <c r="AD152" s="436"/>
      <c r="AE152" s="387"/>
      <c r="AF152" s="387"/>
      <c r="AG152" s="387"/>
      <c r="AH152" s="387"/>
      <c r="AI152" s="387"/>
      <c r="AJ152" s="435" t="s">
        <v>2088</v>
      </c>
      <c r="AK152" s="436"/>
      <c r="AL152" s="436"/>
      <c r="AM152" s="436"/>
      <c r="AN152" s="436"/>
      <c r="AO152" s="436"/>
      <c r="AP152" s="436"/>
      <c r="AQ152" s="436"/>
      <c r="AR152" s="387"/>
      <c r="AS152" s="387"/>
      <c r="AT152" s="387"/>
      <c r="AU152" s="387"/>
      <c r="AV152" s="387"/>
      <c r="AW152" s="387"/>
      <c r="AX152" s="387"/>
      <c r="AY152" s="387"/>
      <c r="AZ152" s="387"/>
      <c r="BA152" s="387"/>
      <c r="BB152" s="387"/>
      <c r="BC152" s="387"/>
      <c r="BD152" s="387"/>
      <c r="BE152" s="388"/>
      <c r="BF152" s="190"/>
      <c r="BG152" s="190"/>
      <c r="BH152" s="445">
        <v>4</v>
      </c>
      <c r="BI152" s="446"/>
      <c r="BJ152" s="496"/>
      <c r="BK152" s="461"/>
      <c r="BL152" s="461"/>
      <c r="BM152" s="461"/>
      <c r="BN152" s="461"/>
      <c r="BO152" s="461"/>
      <c r="BP152" s="461"/>
      <c r="BQ152" s="461"/>
      <c r="BR152" s="461"/>
      <c r="BS152" s="461"/>
      <c r="BT152" s="461"/>
      <c r="BU152" s="461"/>
      <c r="BV152" s="521"/>
      <c r="BW152" s="522"/>
      <c r="BX152" s="522"/>
      <c r="BY152" s="522"/>
      <c r="BZ152" s="522"/>
      <c r="CA152" s="522"/>
      <c r="CB152" s="522"/>
      <c r="CC152" s="522"/>
      <c r="CD152" s="523"/>
      <c r="CE152" s="497"/>
      <c r="CF152" s="497"/>
      <c r="CG152" s="497"/>
      <c r="CH152" s="497"/>
      <c r="CI152" s="497"/>
      <c r="CJ152" s="497"/>
      <c r="CK152" s="497"/>
      <c r="CL152" s="497"/>
      <c r="CM152" s="497"/>
      <c r="CN152" s="497"/>
      <c r="CO152" s="496"/>
      <c r="CP152" s="461"/>
      <c r="CQ152" s="461"/>
      <c r="CR152" s="461"/>
      <c r="CS152" s="461"/>
      <c r="CT152" s="461"/>
      <c r="CU152" s="461"/>
      <c r="CV152" s="461"/>
      <c r="CW152" s="461"/>
      <c r="CX152" s="461"/>
      <c r="CY152" s="461"/>
      <c r="CZ152" s="520"/>
      <c r="DA152" s="497"/>
      <c r="DB152" s="497"/>
      <c r="DC152" s="497"/>
      <c r="DD152" s="497"/>
      <c r="DE152" s="497"/>
      <c r="DF152" s="497"/>
      <c r="DG152" s="497"/>
      <c r="DH152" s="497"/>
      <c r="DI152" s="497"/>
      <c r="DJ152" s="497"/>
      <c r="DK152" s="503"/>
      <c r="DL152" s="504"/>
      <c r="DM152" s="504"/>
      <c r="DN152" s="504"/>
      <c r="DO152" s="504"/>
      <c r="DP152" s="504"/>
      <c r="DQ152" s="504"/>
      <c r="DR152" s="505"/>
    </row>
    <row r="153" spans="2:159" ht="22.5" hidden="1" customHeight="1" x14ac:dyDescent="0.3">
      <c r="B153" s="381" t="s">
        <v>278</v>
      </c>
      <c r="C153" s="382"/>
      <c r="D153" s="382"/>
      <c r="E153" s="382"/>
      <c r="F153" s="382"/>
      <c r="G153" s="382"/>
      <c r="H153" s="382"/>
      <c r="I153" s="382"/>
      <c r="J153" s="421"/>
      <c r="K153" s="421"/>
      <c r="L153" s="421"/>
      <c r="M153" s="421"/>
      <c r="N153" s="421"/>
      <c r="O153" s="421"/>
      <c r="P153" s="421"/>
      <c r="Q153" s="421"/>
      <c r="R153" s="421"/>
      <c r="S153" s="421"/>
      <c r="T153" s="421"/>
      <c r="U153" s="421"/>
      <c r="V153" s="421"/>
      <c r="W153" s="421"/>
      <c r="X153" s="421"/>
      <c r="Y153" s="421"/>
      <c r="Z153" s="421"/>
      <c r="AA153" s="421"/>
      <c r="AB153" s="421"/>
      <c r="AC153" s="421"/>
      <c r="AD153" s="421"/>
      <c r="AE153" s="421"/>
      <c r="AF153" s="421"/>
      <c r="AG153" s="421"/>
      <c r="AH153" s="421"/>
      <c r="AI153" s="421"/>
      <c r="AJ153" s="421"/>
      <c r="AK153" s="421"/>
      <c r="AL153" s="421"/>
      <c r="AM153" s="421"/>
      <c r="AN153" s="421"/>
      <c r="AO153" s="421"/>
      <c r="AP153" s="421"/>
      <c r="AQ153" s="421"/>
      <c r="AR153" s="421"/>
      <c r="AS153" s="421"/>
      <c r="AT153" s="421"/>
      <c r="AU153" s="421"/>
      <c r="AV153" s="421"/>
      <c r="AW153" s="421"/>
      <c r="AX153" s="421"/>
      <c r="AY153" s="421"/>
      <c r="AZ153" s="421"/>
      <c r="BA153" s="421"/>
      <c r="BB153" s="421"/>
      <c r="BC153" s="421"/>
      <c r="BD153" s="421"/>
      <c r="BE153" s="422"/>
      <c r="BF153" s="190"/>
      <c r="BG153" s="190"/>
      <c r="DA153" s="511" t="s">
        <v>1647</v>
      </c>
      <c r="DB153" s="512"/>
      <c r="DC153" s="512"/>
      <c r="DD153" s="512"/>
      <c r="DE153" s="512"/>
      <c r="DF153" s="512"/>
      <c r="DG153" s="512"/>
      <c r="DH153" s="512"/>
      <c r="DI153" s="512"/>
      <c r="DJ153" s="512"/>
      <c r="DK153" s="418">
        <f>SUM(DK149:DR152)</f>
        <v>0</v>
      </c>
      <c r="DL153" s="419"/>
      <c r="DM153" s="419"/>
      <c r="DN153" s="419"/>
      <c r="DO153" s="419"/>
      <c r="DP153" s="419"/>
      <c r="DQ153" s="419"/>
      <c r="DR153" s="420"/>
    </row>
    <row r="154" spans="2:159" ht="24" hidden="1" customHeight="1" x14ac:dyDescent="0.25">
      <c r="B154" s="383" t="s">
        <v>2944</v>
      </c>
      <c r="C154" s="384"/>
      <c r="D154" s="384"/>
      <c r="E154" s="384"/>
      <c r="F154" s="384"/>
      <c r="G154" s="384"/>
      <c r="H154" s="384"/>
      <c r="I154" s="384"/>
      <c r="J154" s="423"/>
      <c r="K154" s="423"/>
      <c r="L154" s="423"/>
      <c r="M154" s="423"/>
      <c r="N154" s="423"/>
      <c r="O154" s="423"/>
      <c r="P154" s="423"/>
      <c r="Q154" s="423"/>
      <c r="R154" s="423"/>
      <c r="S154" s="423"/>
      <c r="T154" s="423"/>
      <c r="U154" s="423"/>
      <c r="V154" s="423"/>
      <c r="W154" s="423"/>
      <c r="X154" s="423"/>
      <c r="Y154" s="423"/>
      <c r="Z154" s="423"/>
      <c r="AA154" s="423"/>
      <c r="AB154" s="423"/>
      <c r="AC154" s="423"/>
      <c r="AD154" s="423"/>
      <c r="AE154" s="423"/>
      <c r="AF154" s="423"/>
      <c r="AG154" s="423"/>
      <c r="AH154" s="423"/>
      <c r="AI154" s="423"/>
      <c r="AJ154" s="423"/>
      <c r="AK154" s="423"/>
      <c r="AL154" s="423"/>
      <c r="AM154" s="423"/>
      <c r="AN154" s="423"/>
      <c r="AO154" s="423"/>
      <c r="AP154" s="423"/>
      <c r="AQ154" s="423"/>
      <c r="AR154" s="423"/>
      <c r="AS154" s="423"/>
      <c r="AT154" s="423"/>
      <c r="AU154" s="423"/>
      <c r="AV154" s="423"/>
      <c r="AW154" s="423"/>
      <c r="AX154" s="423"/>
      <c r="AY154" s="423"/>
      <c r="AZ154" s="423"/>
      <c r="BA154" s="423"/>
      <c r="BB154" s="423"/>
      <c r="BC154" s="423"/>
      <c r="BD154" s="423"/>
      <c r="BE154" s="424"/>
      <c r="EI154"/>
      <c r="EJ154"/>
      <c r="EK154"/>
      <c r="EL154"/>
      <c r="EM154"/>
      <c r="EN154"/>
      <c r="EO154"/>
      <c r="EP154"/>
      <c r="EQ154"/>
      <c r="ER154"/>
      <c r="ES154"/>
      <c r="ET154"/>
      <c r="EU154"/>
      <c r="EV154"/>
      <c r="EW154"/>
      <c r="EX154"/>
      <c r="EY154"/>
      <c r="EZ154"/>
      <c r="FA154"/>
      <c r="FB154"/>
      <c r="FC154"/>
    </row>
    <row r="155" spans="2:159" ht="24" hidden="1" customHeight="1" thickBot="1" x14ac:dyDescent="0.3">
      <c r="B155" s="385"/>
      <c r="C155" s="386"/>
      <c r="D155" s="386"/>
      <c r="E155" s="386"/>
      <c r="F155" s="386"/>
      <c r="G155" s="386"/>
      <c r="H155" s="386"/>
      <c r="I155" s="386"/>
      <c r="J155" s="425"/>
      <c r="K155" s="425"/>
      <c r="L155" s="425"/>
      <c r="M155" s="425"/>
      <c r="N155" s="425"/>
      <c r="O155" s="425"/>
      <c r="P155" s="425"/>
      <c r="Q155" s="425"/>
      <c r="R155" s="425"/>
      <c r="S155" s="425"/>
      <c r="T155" s="425"/>
      <c r="U155" s="425"/>
      <c r="V155" s="425"/>
      <c r="W155" s="425"/>
      <c r="X155" s="425"/>
      <c r="Y155" s="425"/>
      <c r="Z155" s="425"/>
      <c r="AA155" s="425"/>
      <c r="AB155" s="425"/>
      <c r="AC155" s="425"/>
      <c r="AD155" s="425"/>
      <c r="AE155" s="425"/>
      <c r="AF155" s="425"/>
      <c r="AG155" s="425"/>
      <c r="AH155" s="425"/>
      <c r="AI155" s="425"/>
      <c r="AJ155" s="425"/>
      <c r="AK155" s="425"/>
      <c r="AL155" s="425"/>
      <c r="AM155" s="425"/>
      <c r="AN155" s="425"/>
      <c r="AO155" s="425"/>
      <c r="AP155" s="425"/>
      <c r="AQ155" s="425"/>
      <c r="AR155" s="425"/>
      <c r="AS155" s="425"/>
      <c r="AT155" s="425"/>
      <c r="AU155" s="425"/>
      <c r="AV155" s="425"/>
      <c r="AW155" s="425"/>
      <c r="AX155" s="425"/>
      <c r="AY155" s="425"/>
      <c r="AZ155" s="425"/>
      <c r="BA155" s="425"/>
      <c r="BB155" s="425"/>
      <c r="BC155" s="425"/>
      <c r="BD155" s="425"/>
      <c r="BE155" s="426"/>
      <c r="EI155"/>
      <c r="EJ155"/>
      <c r="EK155"/>
      <c r="EL155"/>
      <c r="EM155"/>
      <c r="EN155"/>
      <c r="EO155"/>
      <c r="EP155"/>
      <c r="EQ155"/>
      <c r="ER155"/>
      <c r="ES155"/>
      <c r="ET155"/>
      <c r="EU155"/>
      <c r="EV155"/>
      <c r="EW155"/>
      <c r="EX155"/>
      <c r="EY155"/>
      <c r="EZ155"/>
      <c r="FA155"/>
      <c r="FB155"/>
      <c r="FC155"/>
    </row>
    <row r="156" spans="2:159" ht="24" hidden="1" customHeight="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EI156"/>
      <c r="EJ156"/>
      <c r="EK156"/>
      <c r="EL156"/>
      <c r="EM156"/>
      <c r="EN156"/>
      <c r="EO156"/>
      <c r="EP156"/>
      <c r="EQ156"/>
      <c r="ER156"/>
      <c r="ES156"/>
      <c r="ET156"/>
      <c r="EU156"/>
      <c r="EV156"/>
      <c r="EW156"/>
      <c r="EX156"/>
      <c r="EY156"/>
      <c r="EZ156"/>
      <c r="FA156"/>
      <c r="FB156"/>
      <c r="FC156"/>
    </row>
    <row r="157" spans="2:159" ht="18.75" hidden="1" customHeight="1" x14ac:dyDescent="0.3">
      <c r="B157" s="190"/>
      <c r="C157" s="190"/>
      <c r="D157" s="190"/>
      <c r="E157" s="190"/>
      <c r="F157" s="190"/>
      <c r="G157" s="190"/>
      <c r="H157" s="190"/>
      <c r="I157" s="190"/>
      <c r="J157" s="190"/>
      <c r="K157" s="190"/>
      <c r="L157" s="190"/>
      <c r="M157" s="190"/>
      <c r="N157" s="190"/>
      <c r="O157" s="190"/>
      <c r="P157" s="190"/>
      <c r="Q157" s="190"/>
      <c r="R157" s="190"/>
      <c r="S157" s="190"/>
      <c r="T157" s="190"/>
      <c r="U157" s="190"/>
      <c r="V157" s="190"/>
      <c r="W157" s="190"/>
      <c r="X157" s="190"/>
      <c r="Y157" s="190"/>
      <c r="Z157" s="190"/>
      <c r="AA157" s="190"/>
      <c r="AB157" s="190"/>
      <c r="AC157" s="190"/>
      <c r="AD157" s="190"/>
      <c r="AE157" s="190"/>
      <c r="AF157" s="190"/>
      <c r="AG157" s="190"/>
      <c r="AH157" s="190"/>
      <c r="AI157" s="190"/>
      <c r="AJ157" s="190"/>
      <c r="AK157" s="190"/>
      <c r="AL157" s="190"/>
      <c r="AM157" s="190"/>
      <c r="AN157" s="190"/>
      <c r="AO157" s="190"/>
      <c r="AP157" s="190"/>
      <c r="AQ157" s="190"/>
      <c r="AR157" s="190"/>
      <c r="AS157" s="190"/>
      <c r="AT157" s="190"/>
      <c r="AU157" s="190"/>
      <c r="AV157" s="190"/>
      <c r="AW157" s="190"/>
      <c r="AX157" s="190"/>
      <c r="AY157" s="190"/>
      <c r="AZ157" s="190"/>
      <c r="BA157" s="190"/>
      <c r="BB157" s="190"/>
      <c r="BC157" s="190"/>
      <c r="BD157" s="190"/>
      <c r="BE157" s="190"/>
      <c r="BF157" s="190"/>
      <c r="BG157" s="190"/>
      <c r="BH157" s="190"/>
      <c r="BI157" s="190"/>
      <c r="BJ157" s="190"/>
      <c r="BK157" s="190"/>
      <c r="BL157" s="190"/>
      <c r="BM157" s="190"/>
      <c r="BN157" s="190"/>
      <c r="BO157" s="190"/>
      <c r="BP157" s="190"/>
      <c r="BQ157" s="190"/>
      <c r="BR157" s="190"/>
      <c r="BS157" s="190"/>
      <c r="BT157" s="190"/>
      <c r="BU157" s="190"/>
      <c r="BV157" s="190"/>
      <c r="BW157" s="190"/>
      <c r="BX157" s="190"/>
      <c r="EI157"/>
      <c r="EJ157"/>
      <c r="EK157"/>
      <c r="EL157"/>
      <c r="EM157"/>
      <c r="EN157"/>
      <c r="EO157"/>
      <c r="EP157"/>
      <c r="EQ157"/>
      <c r="ER157"/>
      <c r="ES157"/>
      <c r="ET157"/>
      <c r="EU157"/>
      <c r="EV157"/>
      <c r="EW157"/>
      <c r="EX157"/>
      <c r="EY157"/>
      <c r="EZ157"/>
      <c r="FA157"/>
      <c r="FB157"/>
      <c r="FC157"/>
    </row>
    <row r="158" spans="2:159" ht="22.5" hidden="1" customHeight="1" thickBot="1" x14ac:dyDescent="0.35">
      <c r="B158" s="440" t="s">
        <v>290</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187"/>
      <c r="BG158" s="187"/>
      <c r="BJ158" s="178" t="s">
        <v>1648</v>
      </c>
    </row>
    <row r="159" spans="2:159" ht="22.5" hidden="1" customHeight="1" x14ac:dyDescent="0.3">
      <c r="B159" s="454" t="s">
        <v>3221</v>
      </c>
      <c r="C159" s="401"/>
      <c r="D159" s="401"/>
      <c r="E159" s="401"/>
      <c r="F159" s="401"/>
      <c r="G159" s="401"/>
      <c r="H159" s="401"/>
      <c r="I159" s="401"/>
      <c r="J159" s="404"/>
      <c r="K159" s="404"/>
      <c r="L159" s="404"/>
      <c r="M159" s="404"/>
      <c r="N159" s="404"/>
      <c r="O159" s="404"/>
      <c r="P159" s="404"/>
      <c r="Q159" s="404"/>
      <c r="R159" s="404"/>
      <c r="S159" s="404"/>
      <c r="T159" s="404"/>
      <c r="U159" s="404"/>
      <c r="V159" s="404"/>
      <c r="W159" s="404"/>
      <c r="X159" s="405"/>
      <c r="Y159" s="400" t="s">
        <v>2074</v>
      </c>
      <c r="Z159" s="401"/>
      <c r="AA159" s="401"/>
      <c r="AB159" s="402"/>
      <c r="AC159" s="402"/>
      <c r="AD159" s="402"/>
      <c r="AE159" s="402"/>
      <c r="AF159" s="402"/>
      <c r="AG159" s="402"/>
      <c r="AH159" s="402"/>
      <c r="AI159" s="402"/>
      <c r="AJ159" s="402"/>
      <c r="AK159" s="403"/>
      <c r="AL159" s="400" t="s">
        <v>1982</v>
      </c>
      <c r="AM159" s="401"/>
      <c r="AN159" s="401"/>
      <c r="AO159" s="404"/>
      <c r="AP159" s="404"/>
      <c r="AQ159" s="404"/>
      <c r="AR159" s="404"/>
      <c r="AS159" s="404"/>
      <c r="AT159" s="404"/>
      <c r="AU159" s="405"/>
      <c r="AV159" s="400" t="s">
        <v>1983</v>
      </c>
      <c r="AW159" s="401"/>
      <c r="AX159" s="404"/>
      <c r="AY159" s="404"/>
      <c r="AZ159" s="404"/>
      <c r="BA159" s="404"/>
      <c r="BB159" s="404"/>
      <c r="BC159" s="404"/>
      <c r="BD159" s="404"/>
      <c r="BE159" s="406"/>
      <c r="BF159" s="190"/>
      <c r="BG159" s="190"/>
      <c r="BH159" s="517" t="s">
        <v>389</v>
      </c>
      <c r="BI159" s="518"/>
      <c r="BJ159" s="489" t="s">
        <v>1649</v>
      </c>
      <c r="BK159" s="490"/>
      <c r="BL159" s="490"/>
      <c r="BM159" s="490"/>
      <c r="BN159" s="490"/>
      <c r="BO159" s="490"/>
      <c r="BP159" s="490"/>
      <c r="BQ159" s="490"/>
      <c r="BR159" s="490"/>
      <c r="BS159" s="490"/>
      <c r="BT159" s="490"/>
      <c r="BU159" s="490"/>
      <c r="BV159" s="483" t="s">
        <v>1644</v>
      </c>
      <c r="BW159" s="484"/>
      <c r="BX159" s="484"/>
      <c r="BY159" s="484"/>
      <c r="BZ159" s="484"/>
      <c r="CA159" s="484"/>
      <c r="CB159" s="484"/>
      <c r="CC159" s="484"/>
      <c r="CD159" s="485"/>
      <c r="CE159" s="513" t="s">
        <v>1675</v>
      </c>
      <c r="CF159" s="513"/>
      <c r="CG159" s="513"/>
      <c r="CH159" s="513"/>
      <c r="CI159" s="513"/>
      <c r="CJ159" s="513"/>
      <c r="CK159" s="513"/>
      <c r="CL159" s="513"/>
      <c r="CM159" s="513"/>
      <c r="CN159" s="513"/>
      <c r="CO159" s="489" t="s">
        <v>1676</v>
      </c>
      <c r="CP159" s="490"/>
      <c r="CQ159" s="490"/>
      <c r="CR159" s="490"/>
      <c r="CS159" s="490"/>
      <c r="CT159" s="490"/>
      <c r="CU159" s="490"/>
      <c r="CV159" s="490"/>
      <c r="CW159" s="490"/>
      <c r="CX159" s="490"/>
      <c r="CY159" s="490"/>
      <c r="CZ159" s="491"/>
      <c r="DA159" s="516" t="s">
        <v>1645</v>
      </c>
      <c r="DB159" s="516"/>
      <c r="DC159" s="516"/>
      <c r="DD159" s="516"/>
      <c r="DE159" s="516"/>
      <c r="DF159" s="516"/>
      <c r="DG159" s="516"/>
      <c r="DH159" s="516"/>
      <c r="DI159" s="516"/>
      <c r="DJ159" s="516"/>
      <c r="DK159" s="483" t="s">
        <v>1646</v>
      </c>
      <c r="DL159" s="484"/>
      <c r="DM159" s="484"/>
      <c r="DN159" s="484"/>
      <c r="DO159" s="484"/>
      <c r="DP159" s="484"/>
      <c r="DQ159" s="484"/>
      <c r="DR159" s="485"/>
    </row>
    <row r="160" spans="2:159" ht="22.5" hidden="1" customHeight="1" x14ac:dyDescent="0.3">
      <c r="B160" s="393" t="s">
        <v>1984</v>
      </c>
      <c r="C160" s="392"/>
      <c r="D160" s="392"/>
      <c r="E160" s="392"/>
      <c r="F160" s="389"/>
      <c r="G160" s="389"/>
      <c r="H160" s="389"/>
      <c r="I160" s="389"/>
      <c r="J160" s="389"/>
      <c r="K160" s="389"/>
      <c r="L160" s="389"/>
      <c r="M160" s="391" t="s">
        <v>307</v>
      </c>
      <c r="N160" s="392"/>
      <c r="O160" s="392"/>
      <c r="P160" s="392"/>
      <c r="Q160" s="392"/>
      <c r="R160" s="392"/>
      <c r="S160" s="392"/>
      <c r="T160" s="392"/>
      <c r="U160" s="433"/>
      <c r="V160" s="433"/>
      <c r="W160" s="433"/>
      <c r="X160" s="433"/>
      <c r="Y160" s="433"/>
      <c r="Z160" s="433"/>
      <c r="AA160" s="391" t="s">
        <v>2084</v>
      </c>
      <c r="AB160" s="392"/>
      <c r="AC160" s="392"/>
      <c r="AD160" s="392"/>
      <c r="AE160" s="392"/>
      <c r="AF160" s="392"/>
      <c r="AG160" s="392"/>
      <c r="AH160" s="392"/>
      <c r="AI160" s="433"/>
      <c r="AJ160" s="433"/>
      <c r="AK160" s="433"/>
      <c r="AL160" s="433"/>
      <c r="AM160" s="433"/>
      <c r="AN160" s="434"/>
      <c r="AO160" s="391" t="s">
        <v>279</v>
      </c>
      <c r="AP160" s="392"/>
      <c r="AQ160" s="392"/>
      <c r="AR160" s="392"/>
      <c r="AS160" s="392"/>
      <c r="AT160" s="437"/>
      <c r="AU160" s="437"/>
      <c r="AV160" s="437"/>
      <c r="AW160" s="437"/>
      <c r="AX160" s="437"/>
      <c r="AY160" s="437"/>
      <c r="AZ160" s="391" t="s">
        <v>2083</v>
      </c>
      <c r="BA160" s="392"/>
      <c r="BB160" s="392"/>
      <c r="BC160" s="392"/>
      <c r="BD160" s="389"/>
      <c r="BE160" s="390"/>
      <c r="BF160" s="190"/>
      <c r="BG160" s="190"/>
      <c r="BH160" s="514">
        <v>1</v>
      </c>
      <c r="BI160" s="515"/>
      <c r="BJ160" s="498"/>
      <c r="BK160" s="499"/>
      <c r="BL160" s="499"/>
      <c r="BM160" s="499"/>
      <c r="BN160" s="499"/>
      <c r="BO160" s="499"/>
      <c r="BP160" s="499"/>
      <c r="BQ160" s="499"/>
      <c r="BR160" s="499"/>
      <c r="BS160" s="499"/>
      <c r="BT160" s="499"/>
      <c r="BU160" s="499"/>
      <c r="BV160" s="500"/>
      <c r="BW160" s="501"/>
      <c r="BX160" s="501"/>
      <c r="BY160" s="501"/>
      <c r="BZ160" s="501"/>
      <c r="CA160" s="501"/>
      <c r="CB160" s="501"/>
      <c r="CC160" s="501"/>
      <c r="CD160" s="502"/>
      <c r="CE160" s="519"/>
      <c r="CF160" s="519"/>
      <c r="CG160" s="519"/>
      <c r="CH160" s="519"/>
      <c r="CI160" s="519"/>
      <c r="CJ160" s="519"/>
      <c r="CK160" s="519"/>
      <c r="CL160" s="519"/>
      <c r="CM160" s="519"/>
      <c r="CN160" s="519"/>
      <c r="CO160" s="507"/>
      <c r="CP160" s="508"/>
      <c r="CQ160" s="508"/>
      <c r="CR160" s="508"/>
      <c r="CS160" s="508"/>
      <c r="CT160" s="508"/>
      <c r="CU160" s="508"/>
      <c r="CV160" s="508"/>
      <c r="CW160" s="508"/>
      <c r="CX160" s="508"/>
      <c r="CY160" s="508"/>
      <c r="CZ160" s="509"/>
      <c r="DA160" s="510"/>
      <c r="DB160" s="510"/>
      <c r="DC160" s="510"/>
      <c r="DD160" s="510"/>
      <c r="DE160" s="510"/>
      <c r="DF160" s="510"/>
      <c r="DG160" s="510"/>
      <c r="DH160" s="510"/>
      <c r="DI160" s="510"/>
      <c r="DJ160" s="510"/>
      <c r="DK160" s="492"/>
      <c r="DL160" s="493"/>
      <c r="DM160" s="493"/>
      <c r="DN160" s="493"/>
      <c r="DO160" s="493"/>
      <c r="DP160" s="493"/>
      <c r="DQ160" s="493"/>
      <c r="DR160" s="494"/>
    </row>
    <row r="161" spans="2:156" ht="22.5" hidden="1" customHeight="1" x14ac:dyDescent="0.3">
      <c r="B161" s="393" t="s">
        <v>2091</v>
      </c>
      <c r="C161" s="392"/>
      <c r="D161" s="392"/>
      <c r="E161" s="392"/>
      <c r="F161" s="392"/>
      <c r="G161" s="392"/>
      <c r="H161" s="392"/>
      <c r="I161" s="392"/>
      <c r="J161" s="392"/>
      <c r="K161" s="389"/>
      <c r="L161" s="389"/>
      <c r="M161" s="391" t="s">
        <v>2089</v>
      </c>
      <c r="N161" s="392"/>
      <c r="O161" s="392"/>
      <c r="P161" s="392"/>
      <c r="Q161" s="392"/>
      <c r="R161" s="392"/>
      <c r="S161" s="389"/>
      <c r="T161" s="389"/>
      <c r="U161" s="389"/>
      <c r="V161" s="389"/>
      <c r="W161" s="389"/>
      <c r="X161" s="391" t="s">
        <v>2092</v>
      </c>
      <c r="Y161" s="392"/>
      <c r="Z161" s="392"/>
      <c r="AA161" s="392"/>
      <c r="AB161" s="392"/>
      <c r="AC161" s="392"/>
      <c r="AD161" s="392"/>
      <c r="AE161" s="392"/>
      <c r="AF161" s="392"/>
      <c r="AG161" s="392"/>
      <c r="AH161" s="392"/>
      <c r="AI161" s="392"/>
      <c r="AJ161" s="392"/>
      <c r="AK161" s="392"/>
      <c r="AL161" s="392"/>
      <c r="AM161" s="392"/>
      <c r="AN161" s="392"/>
      <c r="AO161" s="392"/>
      <c r="AP161" s="392"/>
      <c r="AQ161" s="392"/>
      <c r="AR161" s="389"/>
      <c r="AS161" s="389"/>
      <c r="AT161" s="389"/>
      <c r="AU161" s="389"/>
      <c r="AV161" s="389"/>
      <c r="AW161" s="432"/>
      <c r="AX161" s="391" t="s">
        <v>796</v>
      </c>
      <c r="AY161" s="392"/>
      <c r="AZ161" s="392"/>
      <c r="BA161" s="392"/>
      <c r="BB161" s="392"/>
      <c r="BC161" s="392"/>
      <c r="BD161" s="389"/>
      <c r="BE161" s="390"/>
      <c r="BF161" s="190"/>
      <c r="BG161" s="190"/>
      <c r="BH161" s="443">
        <v>2</v>
      </c>
      <c r="BI161" s="444"/>
      <c r="BJ161" s="486"/>
      <c r="BK161" s="487"/>
      <c r="BL161" s="487"/>
      <c r="BM161" s="487"/>
      <c r="BN161" s="487"/>
      <c r="BO161" s="487"/>
      <c r="BP161" s="487"/>
      <c r="BQ161" s="487"/>
      <c r="BR161" s="487"/>
      <c r="BS161" s="487"/>
      <c r="BT161" s="487"/>
      <c r="BU161" s="487"/>
      <c r="BV161" s="500"/>
      <c r="BW161" s="501"/>
      <c r="BX161" s="501"/>
      <c r="BY161" s="501"/>
      <c r="BZ161" s="501"/>
      <c r="CA161" s="501"/>
      <c r="CB161" s="501"/>
      <c r="CC161" s="501"/>
      <c r="CD161" s="502"/>
      <c r="CE161" s="495"/>
      <c r="CF161" s="495"/>
      <c r="CG161" s="495"/>
      <c r="CH161" s="495"/>
      <c r="CI161" s="495"/>
      <c r="CJ161" s="495"/>
      <c r="CK161" s="495"/>
      <c r="CL161" s="495"/>
      <c r="CM161" s="495"/>
      <c r="CN161" s="495"/>
      <c r="CO161" s="486"/>
      <c r="CP161" s="487"/>
      <c r="CQ161" s="487"/>
      <c r="CR161" s="487"/>
      <c r="CS161" s="487"/>
      <c r="CT161" s="487"/>
      <c r="CU161" s="487"/>
      <c r="CV161" s="487"/>
      <c r="CW161" s="487"/>
      <c r="CX161" s="487"/>
      <c r="CY161" s="487"/>
      <c r="CZ161" s="488"/>
      <c r="DA161" s="495"/>
      <c r="DB161" s="495"/>
      <c r="DC161" s="495"/>
      <c r="DD161" s="495"/>
      <c r="DE161" s="495"/>
      <c r="DF161" s="495"/>
      <c r="DG161" s="495"/>
      <c r="DH161" s="495"/>
      <c r="DI161" s="495"/>
      <c r="DJ161" s="495"/>
      <c r="DK161" s="480"/>
      <c r="DL161" s="481"/>
      <c r="DM161" s="481"/>
      <c r="DN161" s="481"/>
      <c r="DO161" s="481"/>
      <c r="DP161" s="481"/>
      <c r="DQ161" s="481"/>
      <c r="DR161" s="482"/>
    </row>
    <row r="162" spans="2:156" ht="22.5" hidden="1" customHeight="1" x14ac:dyDescent="0.3">
      <c r="B162" s="393" t="s">
        <v>2978</v>
      </c>
      <c r="C162" s="392"/>
      <c r="D162" s="392"/>
      <c r="E162" s="392"/>
      <c r="F162" s="392"/>
      <c r="G162" s="392"/>
      <c r="H162" s="392"/>
      <c r="I162" s="392"/>
      <c r="J162" s="392"/>
      <c r="K162" s="389"/>
      <c r="L162" s="389"/>
      <c r="M162" s="391" t="s">
        <v>2089</v>
      </c>
      <c r="N162" s="392"/>
      <c r="O162" s="392"/>
      <c r="P162" s="392"/>
      <c r="Q162" s="392"/>
      <c r="R162" s="392"/>
      <c r="S162" s="389"/>
      <c r="T162" s="389"/>
      <c r="U162" s="389"/>
      <c r="V162" s="389"/>
      <c r="W162" s="389"/>
      <c r="X162" s="391" t="s">
        <v>2118</v>
      </c>
      <c r="Y162" s="392"/>
      <c r="Z162" s="392"/>
      <c r="AA162" s="392"/>
      <c r="AB162" s="392"/>
      <c r="AC162" s="392"/>
      <c r="AD162" s="392"/>
      <c r="AE162" s="442"/>
      <c r="AF162" s="442"/>
      <c r="AG162" s="442"/>
      <c r="AH162" s="442"/>
      <c r="AI162" s="442"/>
      <c r="AJ162" s="391" t="s">
        <v>2090</v>
      </c>
      <c r="AK162" s="392"/>
      <c r="AL162" s="392"/>
      <c r="AM162" s="392"/>
      <c r="AN162" s="392"/>
      <c r="AO162" s="392"/>
      <c r="AP162" s="392"/>
      <c r="AQ162" s="392"/>
      <c r="AR162" s="433"/>
      <c r="AS162" s="433"/>
      <c r="AT162" s="433"/>
      <c r="AU162" s="433"/>
      <c r="AV162" s="433"/>
      <c r="AW162" s="434"/>
      <c r="AX162" s="391" t="s">
        <v>2085</v>
      </c>
      <c r="AY162" s="392"/>
      <c r="AZ162" s="392"/>
      <c r="BA162" s="392"/>
      <c r="BB162" s="392"/>
      <c r="BC162" s="392"/>
      <c r="BD162" s="389"/>
      <c r="BE162" s="390"/>
      <c r="BF162" s="190"/>
      <c r="BG162" s="190"/>
      <c r="BH162" s="443">
        <v>3</v>
      </c>
      <c r="BI162" s="444"/>
      <c r="BJ162" s="486"/>
      <c r="BK162" s="487"/>
      <c r="BL162" s="487"/>
      <c r="BM162" s="487"/>
      <c r="BN162" s="487"/>
      <c r="BO162" s="487"/>
      <c r="BP162" s="487"/>
      <c r="BQ162" s="487"/>
      <c r="BR162" s="487"/>
      <c r="BS162" s="487"/>
      <c r="BT162" s="487"/>
      <c r="BU162" s="487"/>
      <c r="BV162" s="500"/>
      <c r="BW162" s="501"/>
      <c r="BX162" s="501"/>
      <c r="BY162" s="501"/>
      <c r="BZ162" s="501"/>
      <c r="CA162" s="501"/>
      <c r="CB162" s="501"/>
      <c r="CC162" s="501"/>
      <c r="CD162" s="502"/>
      <c r="CE162" s="506"/>
      <c r="CF162" s="506"/>
      <c r="CG162" s="506"/>
      <c r="CH162" s="506"/>
      <c r="CI162" s="506"/>
      <c r="CJ162" s="506"/>
      <c r="CK162" s="506"/>
      <c r="CL162" s="506"/>
      <c r="CM162" s="506"/>
      <c r="CN162" s="506"/>
      <c r="CO162" s="500"/>
      <c r="CP162" s="501"/>
      <c r="CQ162" s="501"/>
      <c r="CR162" s="501"/>
      <c r="CS162" s="501"/>
      <c r="CT162" s="501"/>
      <c r="CU162" s="501"/>
      <c r="CV162" s="501"/>
      <c r="CW162" s="501"/>
      <c r="CX162" s="501"/>
      <c r="CY162" s="501"/>
      <c r="CZ162" s="502"/>
      <c r="DA162" s="495"/>
      <c r="DB162" s="495"/>
      <c r="DC162" s="495"/>
      <c r="DD162" s="495"/>
      <c r="DE162" s="495"/>
      <c r="DF162" s="495"/>
      <c r="DG162" s="495"/>
      <c r="DH162" s="495"/>
      <c r="DI162" s="495"/>
      <c r="DJ162" s="495"/>
      <c r="DK162" s="480"/>
      <c r="DL162" s="481"/>
      <c r="DM162" s="481"/>
      <c r="DN162" s="481"/>
      <c r="DO162" s="481"/>
      <c r="DP162" s="481"/>
      <c r="DQ162" s="481"/>
      <c r="DR162" s="482"/>
    </row>
    <row r="163" spans="2:156" ht="22.5" hidden="1" customHeight="1" x14ac:dyDescent="0.3">
      <c r="B163" s="438" t="s">
        <v>2916</v>
      </c>
      <c r="C163" s="436"/>
      <c r="D163" s="436"/>
      <c r="E163" s="436"/>
      <c r="F163" s="436"/>
      <c r="G163" s="436"/>
      <c r="H163" s="436"/>
      <c r="I163" s="436"/>
      <c r="J163" s="436"/>
      <c r="K163" s="387"/>
      <c r="L163" s="387"/>
      <c r="M163" s="435" t="s">
        <v>2086</v>
      </c>
      <c r="N163" s="436"/>
      <c r="O163" s="436"/>
      <c r="P163" s="436"/>
      <c r="Q163" s="436"/>
      <c r="R163" s="436"/>
      <c r="S163" s="439"/>
      <c r="T163" s="387"/>
      <c r="U163" s="387"/>
      <c r="V163" s="387"/>
      <c r="W163" s="387"/>
      <c r="X163" s="435" t="s">
        <v>2087</v>
      </c>
      <c r="Y163" s="436"/>
      <c r="Z163" s="436"/>
      <c r="AA163" s="436"/>
      <c r="AB163" s="436"/>
      <c r="AC163" s="436"/>
      <c r="AD163" s="436"/>
      <c r="AE163" s="387"/>
      <c r="AF163" s="387"/>
      <c r="AG163" s="387"/>
      <c r="AH163" s="387"/>
      <c r="AI163" s="387"/>
      <c r="AJ163" s="435" t="s">
        <v>2088</v>
      </c>
      <c r="AK163" s="436"/>
      <c r="AL163" s="436"/>
      <c r="AM163" s="436"/>
      <c r="AN163" s="436"/>
      <c r="AO163" s="436"/>
      <c r="AP163" s="436"/>
      <c r="AQ163" s="436"/>
      <c r="AR163" s="387"/>
      <c r="AS163" s="387"/>
      <c r="AT163" s="387"/>
      <c r="AU163" s="387"/>
      <c r="AV163" s="387"/>
      <c r="AW163" s="387"/>
      <c r="AX163" s="387"/>
      <c r="AY163" s="387"/>
      <c r="AZ163" s="387"/>
      <c r="BA163" s="387"/>
      <c r="BB163" s="387"/>
      <c r="BC163" s="387"/>
      <c r="BD163" s="387"/>
      <c r="BE163" s="388"/>
      <c r="BF163" s="190"/>
      <c r="BG163" s="190"/>
      <c r="BH163" s="445">
        <v>4</v>
      </c>
      <c r="BI163" s="446"/>
      <c r="BJ163" s="496"/>
      <c r="BK163" s="461"/>
      <c r="BL163" s="461"/>
      <c r="BM163" s="461"/>
      <c r="BN163" s="461"/>
      <c r="BO163" s="461"/>
      <c r="BP163" s="461"/>
      <c r="BQ163" s="461"/>
      <c r="BR163" s="461"/>
      <c r="BS163" s="461"/>
      <c r="BT163" s="461"/>
      <c r="BU163" s="461"/>
      <c r="BV163" s="521"/>
      <c r="BW163" s="522"/>
      <c r="BX163" s="522"/>
      <c r="BY163" s="522"/>
      <c r="BZ163" s="522"/>
      <c r="CA163" s="522"/>
      <c r="CB163" s="522"/>
      <c r="CC163" s="522"/>
      <c r="CD163" s="523"/>
      <c r="CE163" s="497"/>
      <c r="CF163" s="497"/>
      <c r="CG163" s="497"/>
      <c r="CH163" s="497"/>
      <c r="CI163" s="497"/>
      <c r="CJ163" s="497"/>
      <c r="CK163" s="497"/>
      <c r="CL163" s="497"/>
      <c r="CM163" s="497"/>
      <c r="CN163" s="497"/>
      <c r="CO163" s="496"/>
      <c r="CP163" s="461"/>
      <c r="CQ163" s="461"/>
      <c r="CR163" s="461"/>
      <c r="CS163" s="461"/>
      <c r="CT163" s="461"/>
      <c r="CU163" s="461"/>
      <c r="CV163" s="461"/>
      <c r="CW163" s="461"/>
      <c r="CX163" s="461"/>
      <c r="CY163" s="461"/>
      <c r="CZ163" s="520"/>
      <c r="DA163" s="497"/>
      <c r="DB163" s="497"/>
      <c r="DC163" s="497"/>
      <c r="DD163" s="497"/>
      <c r="DE163" s="497"/>
      <c r="DF163" s="497"/>
      <c r="DG163" s="497"/>
      <c r="DH163" s="497"/>
      <c r="DI163" s="497"/>
      <c r="DJ163" s="497"/>
      <c r="DK163" s="503"/>
      <c r="DL163" s="504"/>
      <c r="DM163" s="504"/>
      <c r="DN163" s="504"/>
      <c r="DO163" s="504"/>
      <c r="DP163" s="504"/>
      <c r="DQ163" s="504"/>
      <c r="DR163" s="505"/>
    </row>
    <row r="164" spans="2:156" ht="22.5" hidden="1" customHeight="1" x14ac:dyDescent="0.3">
      <c r="B164" s="381" t="s">
        <v>278</v>
      </c>
      <c r="C164" s="382"/>
      <c r="D164" s="382"/>
      <c r="E164" s="382"/>
      <c r="F164" s="382"/>
      <c r="G164" s="382"/>
      <c r="H164" s="382"/>
      <c r="I164" s="382"/>
      <c r="J164" s="421"/>
      <c r="K164" s="421"/>
      <c r="L164" s="421"/>
      <c r="M164" s="421"/>
      <c r="N164" s="421"/>
      <c r="O164" s="421"/>
      <c r="P164" s="421"/>
      <c r="Q164" s="421"/>
      <c r="R164" s="421"/>
      <c r="S164" s="421"/>
      <c r="T164" s="421"/>
      <c r="U164" s="421"/>
      <c r="V164" s="421"/>
      <c r="W164" s="421"/>
      <c r="X164" s="421"/>
      <c r="Y164" s="421"/>
      <c r="Z164" s="421"/>
      <c r="AA164" s="421"/>
      <c r="AB164" s="421"/>
      <c r="AC164" s="421"/>
      <c r="AD164" s="421"/>
      <c r="AE164" s="421"/>
      <c r="AF164" s="421"/>
      <c r="AG164" s="421"/>
      <c r="AH164" s="421"/>
      <c r="AI164" s="421"/>
      <c r="AJ164" s="421"/>
      <c r="AK164" s="421"/>
      <c r="AL164" s="421"/>
      <c r="AM164" s="421"/>
      <c r="AN164" s="421"/>
      <c r="AO164" s="421"/>
      <c r="AP164" s="421"/>
      <c r="AQ164" s="421"/>
      <c r="AR164" s="421"/>
      <c r="AS164" s="421"/>
      <c r="AT164" s="421"/>
      <c r="AU164" s="421"/>
      <c r="AV164" s="421"/>
      <c r="AW164" s="421"/>
      <c r="AX164" s="421"/>
      <c r="AY164" s="421"/>
      <c r="AZ164" s="421"/>
      <c r="BA164" s="421"/>
      <c r="BB164" s="421"/>
      <c r="BC164" s="421"/>
      <c r="BD164" s="421"/>
      <c r="BE164" s="422"/>
      <c r="BF164" s="190"/>
      <c r="DA164" s="511" t="s">
        <v>1647</v>
      </c>
      <c r="DB164" s="512"/>
      <c r="DC164" s="512"/>
      <c r="DD164" s="512"/>
      <c r="DE164" s="512"/>
      <c r="DF164" s="512"/>
      <c r="DG164" s="512"/>
      <c r="DH164" s="512"/>
      <c r="DI164" s="512"/>
      <c r="DJ164" s="512"/>
      <c r="DK164" s="418">
        <f>SUM(DK160:DR163)</f>
        <v>0</v>
      </c>
      <c r="DL164" s="419"/>
      <c r="DM164" s="419"/>
      <c r="DN164" s="419"/>
      <c r="DO164" s="419"/>
      <c r="DP164" s="419"/>
      <c r="DQ164" s="419"/>
      <c r="DR164" s="420"/>
    </row>
    <row r="165" spans="2:156" ht="24" hidden="1" customHeight="1" x14ac:dyDescent="0.25">
      <c r="B165" s="383"/>
      <c r="C165" s="384"/>
      <c r="D165" s="384"/>
      <c r="E165" s="384"/>
      <c r="F165" s="384"/>
      <c r="G165" s="384"/>
      <c r="H165" s="384"/>
      <c r="I165" s="384"/>
      <c r="J165" s="423"/>
      <c r="K165" s="423"/>
      <c r="L165" s="423"/>
      <c r="M165" s="423"/>
      <c r="N165" s="423"/>
      <c r="O165" s="423"/>
      <c r="P165" s="423"/>
      <c r="Q165" s="423"/>
      <c r="R165" s="423"/>
      <c r="S165" s="423"/>
      <c r="T165" s="423"/>
      <c r="U165" s="423"/>
      <c r="V165" s="423"/>
      <c r="W165" s="423"/>
      <c r="X165" s="423"/>
      <c r="Y165" s="423"/>
      <c r="Z165" s="423"/>
      <c r="AA165" s="423"/>
      <c r="AB165" s="423"/>
      <c r="AC165" s="423"/>
      <c r="AD165" s="423"/>
      <c r="AE165" s="423"/>
      <c r="AF165" s="423"/>
      <c r="AG165" s="423"/>
      <c r="AH165" s="423"/>
      <c r="AI165" s="423"/>
      <c r="AJ165" s="423"/>
      <c r="AK165" s="423"/>
      <c r="AL165" s="423"/>
      <c r="AM165" s="423"/>
      <c r="AN165" s="423"/>
      <c r="AO165" s="423"/>
      <c r="AP165" s="423"/>
      <c r="AQ165" s="423"/>
      <c r="AR165" s="423"/>
      <c r="AS165" s="423"/>
      <c r="AT165" s="423"/>
      <c r="AU165" s="423"/>
      <c r="AV165" s="423"/>
      <c r="AW165" s="423"/>
      <c r="AX165" s="423"/>
      <c r="AY165" s="423"/>
      <c r="AZ165" s="423"/>
      <c r="BA165" s="423"/>
      <c r="BB165" s="423"/>
      <c r="BC165" s="423"/>
      <c r="BD165" s="423"/>
      <c r="BE165" s="424"/>
      <c r="EF165"/>
      <c r="EG165"/>
      <c r="EH165"/>
      <c r="EI165"/>
      <c r="EJ165"/>
      <c r="EK165"/>
      <c r="EL165"/>
      <c r="EM165"/>
      <c r="EN165"/>
      <c r="EO165"/>
      <c r="EP165"/>
      <c r="EQ165"/>
      <c r="ER165"/>
      <c r="ES165"/>
      <c r="ET165"/>
      <c r="EU165"/>
      <c r="EV165"/>
      <c r="EW165"/>
      <c r="EX165"/>
      <c r="EY165"/>
      <c r="EZ165"/>
    </row>
    <row r="166" spans="2:156" ht="24" hidden="1" customHeight="1" thickBot="1" x14ac:dyDescent="0.3">
      <c r="B166" s="385"/>
      <c r="C166" s="386"/>
      <c r="D166" s="386"/>
      <c r="E166" s="386"/>
      <c r="F166" s="386"/>
      <c r="G166" s="386"/>
      <c r="H166" s="386"/>
      <c r="I166" s="386"/>
      <c r="J166" s="425"/>
      <c r="K166" s="425"/>
      <c r="L166" s="425"/>
      <c r="M166" s="425"/>
      <c r="N166" s="425"/>
      <c r="O166" s="425"/>
      <c r="P166" s="425"/>
      <c r="Q166" s="425"/>
      <c r="R166" s="425"/>
      <c r="S166" s="425"/>
      <c r="T166" s="425"/>
      <c r="U166" s="425"/>
      <c r="V166" s="425"/>
      <c r="W166" s="425"/>
      <c r="X166" s="425"/>
      <c r="Y166" s="425"/>
      <c r="Z166" s="425"/>
      <c r="AA166" s="425"/>
      <c r="AB166" s="425"/>
      <c r="AC166" s="425"/>
      <c r="AD166" s="425"/>
      <c r="AE166" s="425"/>
      <c r="AF166" s="425"/>
      <c r="AG166" s="425"/>
      <c r="AH166" s="425"/>
      <c r="AI166" s="425"/>
      <c r="AJ166" s="425"/>
      <c r="AK166" s="425"/>
      <c r="AL166" s="425"/>
      <c r="AM166" s="425"/>
      <c r="AN166" s="425"/>
      <c r="AO166" s="425"/>
      <c r="AP166" s="425"/>
      <c r="AQ166" s="425"/>
      <c r="AR166" s="425"/>
      <c r="AS166" s="425"/>
      <c r="AT166" s="425"/>
      <c r="AU166" s="425"/>
      <c r="AV166" s="425"/>
      <c r="AW166" s="425"/>
      <c r="AX166" s="425"/>
      <c r="AY166" s="425"/>
      <c r="AZ166" s="425"/>
      <c r="BA166" s="425"/>
      <c r="BB166" s="425"/>
      <c r="BC166" s="425"/>
      <c r="BD166" s="425"/>
      <c r="BE166" s="426"/>
      <c r="EF166"/>
      <c r="EG166"/>
      <c r="EH166"/>
      <c r="EI166"/>
      <c r="EJ166"/>
      <c r="EK166"/>
      <c r="EL166"/>
      <c r="EM166"/>
      <c r="EN166"/>
      <c r="EO166"/>
      <c r="EP166"/>
      <c r="EQ166"/>
      <c r="ER166"/>
      <c r="ES166"/>
      <c r="ET166"/>
      <c r="EU166"/>
      <c r="EV166"/>
      <c r="EW166"/>
      <c r="EX166"/>
      <c r="EY166"/>
      <c r="EZ166"/>
    </row>
    <row r="167" spans="2:156" ht="24" hidden="1" customHeight="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EF167"/>
      <c r="EG167"/>
      <c r="EH167"/>
      <c r="EI167"/>
      <c r="EJ167"/>
      <c r="EK167"/>
      <c r="EL167"/>
      <c r="EM167"/>
      <c r="EN167"/>
      <c r="EO167"/>
      <c r="EP167"/>
      <c r="EQ167"/>
      <c r="ER167"/>
      <c r="ES167"/>
      <c r="ET167"/>
      <c r="EU167"/>
      <c r="EV167"/>
      <c r="EW167"/>
      <c r="EX167"/>
      <c r="EY167"/>
      <c r="EZ167"/>
    </row>
    <row r="168" spans="2:156" ht="18.75" hidden="1" customHeight="1" x14ac:dyDescent="0.3">
      <c r="B168" s="190"/>
      <c r="C168" s="190"/>
      <c r="D168" s="190"/>
      <c r="E168" s="190"/>
      <c r="F168" s="190"/>
      <c r="G168" s="190"/>
      <c r="H168" s="190"/>
      <c r="I168" s="190"/>
      <c r="J168" s="190"/>
      <c r="K168" s="190"/>
      <c r="L168" s="190"/>
      <c r="M168" s="190"/>
      <c r="N168" s="190"/>
      <c r="O168" s="190"/>
      <c r="P168" s="190"/>
      <c r="Q168" s="190"/>
      <c r="R168" s="190"/>
      <c r="S168" s="190"/>
      <c r="T168" s="190"/>
      <c r="U168" s="190"/>
      <c r="V168" s="190"/>
      <c r="W168" s="190"/>
      <c r="X168" s="190"/>
      <c r="Y168" s="190"/>
      <c r="Z168" s="190"/>
      <c r="AA168" s="190"/>
      <c r="AB168" s="190"/>
      <c r="AC168" s="190"/>
      <c r="AD168" s="190"/>
      <c r="AE168" s="190"/>
      <c r="AF168" s="190"/>
      <c r="AG168" s="190"/>
      <c r="AH168" s="190"/>
      <c r="AI168" s="190"/>
      <c r="AJ168" s="190"/>
      <c r="AK168" s="190"/>
      <c r="AL168" s="190"/>
      <c r="AM168" s="190"/>
      <c r="AN168" s="190"/>
      <c r="AO168" s="190"/>
      <c r="AP168" s="190"/>
      <c r="AQ168" s="190"/>
      <c r="AR168" s="190"/>
      <c r="AS168" s="190"/>
      <c r="AT168" s="190"/>
      <c r="AU168" s="190"/>
      <c r="AV168" s="190"/>
      <c r="AW168" s="190"/>
      <c r="AX168" s="190"/>
      <c r="AY168" s="190"/>
      <c r="AZ168" s="190"/>
      <c r="BA168" s="190"/>
      <c r="BB168" s="190"/>
      <c r="BC168" s="190"/>
      <c r="BD168" s="190"/>
      <c r="BE168" s="190"/>
      <c r="BF168" s="190"/>
      <c r="BG168" s="190"/>
      <c r="BH168" s="190"/>
      <c r="BI168" s="190"/>
      <c r="BJ168" s="190"/>
      <c r="BK168" s="190"/>
      <c r="BL168" s="190"/>
      <c r="BM168" s="190"/>
      <c r="BN168" s="190"/>
      <c r="BO168" s="190"/>
      <c r="BP168" s="190"/>
      <c r="BQ168" s="190"/>
      <c r="BR168" s="190"/>
      <c r="BS168" s="190"/>
      <c r="BT168" s="190"/>
      <c r="BU168" s="190"/>
      <c r="BV168" s="190"/>
      <c r="BW168" s="190"/>
      <c r="BX168" s="190"/>
      <c r="EF168"/>
      <c r="EG168"/>
      <c r="EH168"/>
      <c r="EI168"/>
      <c r="EJ168"/>
      <c r="EK168"/>
      <c r="EL168"/>
      <c r="EM168"/>
      <c r="EN168"/>
      <c r="EO168"/>
      <c r="EP168"/>
      <c r="EQ168"/>
      <c r="ER168"/>
      <c r="ES168"/>
      <c r="ET168"/>
      <c r="EU168"/>
      <c r="EV168"/>
      <c r="EW168"/>
      <c r="EX168"/>
      <c r="EY168"/>
      <c r="EZ168"/>
    </row>
    <row r="169" spans="2:156" ht="22.5" hidden="1" customHeight="1" thickBot="1" x14ac:dyDescent="0.35">
      <c r="B169" s="440" t="s">
        <v>291</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187"/>
      <c r="BG169" s="187"/>
      <c r="BJ169" s="178" t="s">
        <v>1648</v>
      </c>
    </row>
    <row r="170" spans="2:156" ht="22.5" hidden="1" customHeight="1" x14ac:dyDescent="0.3">
      <c r="B170" s="454" t="s">
        <v>3221</v>
      </c>
      <c r="C170" s="401"/>
      <c r="D170" s="401"/>
      <c r="E170" s="401"/>
      <c r="F170" s="401"/>
      <c r="G170" s="401"/>
      <c r="H170" s="401"/>
      <c r="I170" s="401"/>
      <c r="J170" s="404"/>
      <c r="K170" s="404"/>
      <c r="L170" s="404"/>
      <c r="M170" s="404"/>
      <c r="N170" s="404"/>
      <c r="O170" s="404"/>
      <c r="P170" s="404"/>
      <c r="Q170" s="404"/>
      <c r="R170" s="404"/>
      <c r="S170" s="404"/>
      <c r="T170" s="404"/>
      <c r="U170" s="404"/>
      <c r="V170" s="404"/>
      <c r="W170" s="404"/>
      <c r="X170" s="405"/>
      <c r="Y170" s="400" t="s">
        <v>2074</v>
      </c>
      <c r="Z170" s="401"/>
      <c r="AA170" s="401"/>
      <c r="AB170" s="402"/>
      <c r="AC170" s="402"/>
      <c r="AD170" s="402"/>
      <c r="AE170" s="402"/>
      <c r="AF170" s="402"/>
      <c r="AG170" s="402"/>
      <c r="AH170" s="402"/>
      <c r="AI170" s="402"/>
      <c r="AJ170" s="402"/>
      <c r="AK170" s="403"/>
      <c r="AL170" s="400" t="s">
        <v>1982</v>
      </c>
      <c r="AM170" s="401"/>
      <c r="AN170" s="401"/>
      <c r="AO170" s="404"/>
      <c r="AP170" s="404"/>
      <c r="AQ170" s="404"/>
      <c r="AR170" s="404"/>
      <c r="AS170" s="404"/>
      <c r="AT170" s="404"/>
      <c r="AU170" s="405"/>
      <c r="AV170" s="400" t="s">
        <v>1983</v>
      </c>
      <c r="AW170" s="401"/>
      <c r="AX170" s="404"/>
      <c r="AY170" s="404"/>
      <c r="AZ170" s="404"/>
      <c r="BA170" s="404"/>
      <c r="BB170" s="404"/>
      <c r="BC170" s="404"/>
      <c r="BD170" s="404"/>
      <c r="BE170" s="406"/>
      <c r="BF170" s="190"/>
      <c r="BG170" s="190"/>
      <c r="BH170" s="517" t="s">
        <v>389</v>
      </c>
      <c r="BI170" s="518"/>
      <c r="BJ170" s="489" t="s">
        <v>1649</v>
      </c>
      <c r="BK170" s="490"/>
      <c r="BL170" s="490"/>
      <c r="BM170" s="490"/>
      <c r="BN170" s="490"/>
      <c r="BO170" s="490"/>
      <c r="BP170" s="490"/>
      <c r="BQ170" s="490"/>
      <c r="BR170" s="490"/>
      <c r="BS170" s="490"/>
      <c r="BT170" s="490"/>
      <c r="BU170" s="490"/>
      <c r="BV170" s="483" t="s">
        <v>1644</v>
      </c>
      <c r="BW170" s="484"/>
      <c r="BX170" s="484"/>
      <c r="BY170" s="484"/>
      <c r="BZ170" s="484"/>
      <c r="CA170" s="484"/>
      <c r="CB170" s="484"/>
      <c r="CC170" s="484"/>
      <c r="CD170" s="485"/>
      <c r="CE170" s="513" t="s">
        <v>1675</v>
      </c>
      <c r="CF170" s="513"/>
      <c r="CG170" s="513"/>
      <c r="CH170" s="513"/>
      <c r="CI170" s="513"/>
      <c r="CJ170" s="513"/>
      <c r="CK170" s="513"/>
      <c r="CL170" s="513"/>
      <c r="CM170" s="513"/>
      <c r="CN170" s="513"/>
      <c r="CO170" s="489" t="s">
        <v>1676</v>
      </c>
      <c r="CP170" s="490"/>
      <c r="CQ170" s="490"/>
      <c r="CR170" s="490"/>
      <c r="CS170" s="490"/>
      <c r="CT170" s="490"/>
      <c r="CU170" s="490"/>
      <c r="CV170" s="490"/>
      <c r="CW170" s="490"/>
      <c r="CX170" s="490"/>
      <c r="CY170" s="490"/>
      <c r="CZ170" s="491"/>
      <c r="DA170" s="516" t="s">
        <v>1645</v>
      </c>
      <c r="DB170" s="516"/>
      <c r="DC170" s="516"/>
      <c r="DD170" s="516"/>
      <c r="DE170" s="516"/>
      <c r="DF170" s="516"/>
      <c r="DG170" s="516"/>
      <c r="DH170" s="516"/>
      <c r="DI170" s="516"/>
      <c r="DJ170" s="516"/>
      <c r="DK170" s="483" t="s">
        <v>1646</v>
      </c>
      <c r="DL170" s="484"/>
      <c r="DM170" s="484"/>
      <c r="DN170" s="484"/>
      <c r="DO170" s="484"/>
      <c r="DP170" s="484"/>
      <c r="DQ170" s="484"/>
      <c r="DR170" s="485"/>
    </row>
    <row r="171" spans="2:156" ht="22.5" hidden="1" customHeight="1" x14ac:dyDescent="0.3">
      <c r="B171" s="393" t="s">
        <v>1984</v>
      </c>
      <c r="C171" s="392"/>
      <c r="D171" s="392"/>
      <c r="E171" s="392"/>
      <c r="F171" s="389"/>
      <c r="G171" s="389"/>
      <c r="H171" s="389"/>
      <c r="I171" s="389"/>
      <c r="J171" s="389"/>
      <c r="K171" s="389"/>
      <c r="L171" s="389"/>
      <c r="M171" s="391" t="s">
        <v>307</v>
      </c>
      <c r="N171" s="392"/>
      <c r="O171" s="392"/>
      <c r="P171" s="392"/>
      <c r="Q171" s="392"/>
      <c r="R171" s="392"/>
      <c r="S171" s="392"/>
      <c r="T171" s="392"/>
      <c r="U171" s="433"/>
      <c r="V171" s="433"/>
      <c r="W171" s="433"/>
      <c r="X171" s="433"/>
      <c r="Y171" s="433"/>
      <c r="Z171" s="433"/>
      <c r="AA171" s="391" t="s">
        <v>2084</v>
      </c>
      <c r="AB171" s="392"/>
      <c r="AC171" s="392"/>
      <c r="AD171" s="392"/>
      <c r="AE171" s="392"/>
      <c r="AF171" s="392"/>
      <c r="AG171" s="392"/>
      <c r="AH171" s="392"/>
      <c r="AI171" s="433"/>
      <c r="AJ171" s="433"/>
      <c r="AK171" s="433"/>
      <c r="AL171" s="433"/>
      <c r="AM171" s="433"/>
      <c r="AN171" s="434"/>
      <c r="AO171" s="391" t="s">
        <v>279</v>
      </c>
      <c r="AP171" s="392"/>
      <c r="AQ171" s="392"/>
      <c r="AR171" s="392"/>
      <c r="AS171" s="392"/>
      <c r="AT171" s="437"/>
      <c r="AU171" s="437"/>
      <c r="AV171" s="437"/>
      <c r="AW171" s="437"/>
      <c r="AX171" s="437"/>
      <c r="AY171" s="437"/>
      <c r="AZ171" s="391" t="s">
        <v>2083</v>
      </c>
      <c r="BA171" s="392"/>
      <c r="BB171" s="392"/>
      <c r="BC171" s="392"/>
      <c r="BD171" s="389"/>
      <c r="BE171" s="390"/>
      <c r="BF171" s="190"/>
      <c r="BG171" s="190"/>
      <c r="BH171" s="514">
        <v>1</v>
      </c>
      <c r="BI171" s="515"/>
      <c r="BJ171" s="498"/>
      <c r="BK171" s="499"/>
      <c r="BL171" s="499"/>
      <c r="BM171" s="499"/>
      <c r="BN171" s="499"/>
      <c r="BO171" s="499"/>
      <c r="BP171" s="499"/>
      <c r="BQ171" s="499"/>
      <c r="BR171" s="499"/>
      <c r="BS171" s="499"/>
      <c r="BT171" s="499"/>
      <c r="BU171" s="499"/>
      <c r="BV171" s="500"/>
      <c r="BW171" s="501"/>
      <c r="BX171" s="501"/>
      <c r="BY171" s="501"/>
      <c r="BZ171" s="501"/>
      <c r="CA171" s="501"/>
      <c r="CB171" s="501"/>
      <c r="CC171" s="501"/>
      <c r="CD171" s="502"/>
      <c r="CE171" s="519"/>
      <c r="CF171" s="519"/>
      <c r="CG171" s="519"/>
      <c r="CH171" s="519"/>
      <c r="CI171" s="519"/>
      <c r="CJ171" s="519"/>
      <c r="CK171" s="519"/>
      <c r="CL171" s="519"/>
      <c r="CM171" s="519"/>
      <c r="CN171" s="519"/>
      <c r="CO171" s="507"/>
      <c r="CP171" s="508"/>
      <c r="CQ171" s="508"/>
      <c r="CR171" s="508"/>
      <c r="CS171" s="508"/>
      <c r="CT171" s="508"/>
      <c r="CU171" s="508"/>
      <c r="CV171" s="508"/>
      <c r="CW171" s="508"/>
      <c r="CX171" s="508"/>
      <c r="CY171" s="508"/>
      <c r="CZ171" s="509"/>
      <c r="DA171" s="510"/>
      <c r="DB171" s="510"/>
      <c r="DC171" s="510"/>
      <c r="DD171" s="510"/>
      <c r="DE171" s="510"/>
      <c r="DF171" s="510"/>
      <c r="DG171" s="510"/>
      <c r="DH171" s="510"/>
      <c r="DI171" s="510"/>
      <c r="DJ171" s="510"/>
      <c r="DK171" s="492"/>
      <c r="DL171" s="493"/>
      <c r="DM171" s="493"/>
      <c r="DN171" s="493"/>
      <c r="DO171" s="493"/>
      <c r="DP171" s="493"/>
      <c r="DQ171" s="493"/>
      <c r="DR171" s="494"/>
    </row>
    <row r="172" spans="2:156" ht="22.5" hidden="1" customHeight="1" x14ac:dyDescent="0.3">
      <c r="B172" s="393" t="s">
        <v>2091</v>
      </c>
      <c r="C172" s="392"/>
      <c r="D172" s="392"/>
      <c r="E172" s="392"/>
      <c r="F172" s="392"/>
      <c r="G172" s="392"/>
      <c r="H172" s="392"/>
      <c r="I172" s="392"/>
      <c r="J172" s="392"/>
      <c r="K172" s="389"/>
      <c r="L172" s="389"/>
      <c r="M172" s="391" t="s">
        <v>2089</v>
      </c>
      <c r="N172" s="392"/>
      <c r="O172" s="392"/>
      <c r="P172" s="392"/>
      <c r="Q172" s="392"/>
      <c r="R172" s="392"/>
      <c r="S172" s="389"/>
      <c r="T172" s="389"/>
      <c r="U172" s="389"/>
      <c r="V172" s="389"/>
      <c r="W172" s="389"/>
      <c r="X172" s="391" t="s">
        <v>2092</v>
      </c>
      <c r="Y172" s="392"/>
      <c r="Z172" s="392"/>
      <c r="AA172" s="392"/>
      <c r="AB172" s="392"/>
      <c r="AC172" s="392"/>
      <c r="AD172" s="392"/>
      <c r="AE172" s="392"/>
      <c r="AF172" s="392"/>
      <c r="AG172" s="392"/>
      <c r="AH172" s="392"/>
      <c r="AI172" s="392"/>
      <c r="AJ172" s="392"/>
      <c r="AK172" s="392"/>
      <c r="AL172" s="392"/>
      <c r="AM172" s="392"/>
      <c r="AN172" s="392"/>
      <c r="AO172" s="392"/>
      <c r="AP172" s="392"/>
      <c r="AQ172" s="392"/>
      <c r="AR172" s="389"/>
      <c r="AS172" s="389"/>
      <c r="AT172" s="389"/>
      <c r="AU172" s="389"/>
      <c r="AV172" s="389"/>
      <c r="AW172" s="432"/>
      <c r="AX172" s="391" t="s">
        <v>796</v>
      </c>
      <c r="AY172" s="392"/>
      <c r="AZ172" s="392"/>
      <c r="BA172" s="392"/>
      <c r="BB172" s="392"/>
      <c r="BC172" s="392"/>
      <c r="BD172" s="389"/>
      <c r="BE172" s="390"/>
      <c r="BF172" s="190"/>
      <c r="BG172" s="190"/>
      <c r="BH172" s="443">
        <v>2</v>
      </c>
      <c r="BI172" s="444"/>
      <c r="BJ172" s="486"/>
      <c r="BK172" s="487"/>
      <c r="BL172" s="487"/>
      <c r="BM172" s="487"/>
      <c r="BN172" s="487"/>
      <c r="BO172" s="487"/>
      <c r="BP172" s="487"/>
      <c r="BQ172" s="487"/>
      <c r="BR172" s="487"/>
      <c r="BS172" s="487"/>
      <c r="BT172" s="487"/>
      <c r="BU172" s="487"/>
      <c r="BV172" s="500"/>
      <c r="BW172" s="501"/>
      <c r="BX172" s="501"/>
      <c r="BY172" s="501"/>
      <c r="BZ172" s="501"/>
      <c r="CA172" s="501"/>
      <c r="CB172" s="501"/>
      <c r="CC172" s="501"/>
      <c r="CD172" s="502"/>
      <c r="CE172" s="495"/>
      <c r="CF172" s="495"/>
      <c r="CG172" s="495"/>
      <c r="CH172" s="495"/>
      <c r="CI172" s="495"/>
      <c r="CJ172" s="495"/>
      <c r="CK172" s="495"/>
      <c r="CL172" s="495"/>
      <c r="CM172" s="495"/>
      <c r="CN172" s="495"/>
      <c r="CO172" s="486"/>
      <c r="CP172" s="487"/>
      <c r="CQ172" s="487"/>
      <c r="CR172" s="487"/>
      <c r="CS172" s="487"/>
      <c r="CT172" s="487"/>
      <c r="CU172" s="487"/>
      <c r="CV172" s="487"/>
      <c r="CW172" s="487"/>
      <c r="CX172" s="487"/>
      <c r="CY172" s="487"/>
      <c r="CZ172" s="488"/>
      <c r="DA172" s="495"/>
      <c r="DB172" s="495"/>
      <c r="DC172" s="495"/>
      <c r="DD172" s="495"/>
      <c r="DE172" s="495"/>
      <c r="DF172" s="495"/>
      <c r="DG172" s="495"/>
      <c r="DH172" s="495"/>
      <c r="DI172" s="495"/>
      <c r="DJ172" s="495"/>
      <c r="DK172" s="480"/>
      <c r="DL172" s="481"/>
      <c r="DM172" s="481"/>
      <c r="DN172" s="481"/>
      <c r="DO172" s="481"/>
      <c r="DP172" s="481"/>
      <c r="DQ172" s="481"/>
      <c r="DR172" s="482"/>
    </row>
    <row r="173" spans="2:156" ht="22.5" hidden="1" customHeight="1" x14ac:dyDescent="0.3">
      <c r="B173" s="393" t="s">
        <v>2978</v>
      </c>
      <c r="C173" s="392"/>
      <c r="D173" s="392"/>
      <c r="E173" s="392"/>
      <c r="F173" s="392"/>
      <c r="G173" s="392"/>
      <c r="H173" s="392"/>
      <c r="I173" s="392"/>
      <c r="J173" s="392"/>
      <c r="K173" s="389"/>
      <c r="L173" s="389"/>
      <c r="M173" s="391" t="s">
        <v>2089</v>
      </c>
      <c r="N173" s="392"/>
      <c r="O173" s="392"/>
      <c r="P173" s="392"/>
      <c r="Q173" s="392"/>
      <c r="R173" s="392"/>
      <c r="S173" s="389"/>
      <c r="T173" s="389"/>
      <c r="U173" s="389"/>
      <c r="V173" s="389"/>
      <c r="W173" s="389"/>
      <c r="X173" s="391" t="s">
        <v>2118</v>
      </c>
      <c r="Y173" s="392"/>
      <c r="Z173" s="392"/>
      <c r="AA173" s="392"/>
      <c r="AB173" s="392"/>
      <c r="AC173" s="392"/>
      <c r="AD173" s="392"/>
      <c r="AE173" s="442"/>
      <c r="AF173" s="442"/>
      <c r="AG173" s="442"/>
      <c r="AH173" s="442"/>
      <c r="AI173" s="442"/>
      <c r="AJ173" s="391" t="s">
        <v>2090</v>
      </c>
      <c r="AK173" s="392"/>
      <c r="AL173" s="392"/>
      <c r="AM173" s="392"/>
      <c r="AN173" s="392"/>
      <c r="AO173" s="392"/>
      <c r="AP173" s="392"/>
      <c r="AQ173" s="392"/>
      <c r="AR173" s="433"/>
      <c r="AS173" s="433"/>
      <c r="AT173" s="433"/>
      <c r="AU173" s="433"/>
      <c r="AV173" s="433"/>
      <c r="AW173" s="434"/>
      <c r="AX173" s="391" t="s">
        <v>2085</v>
      </c>
      <c r="AY173" s="392"/>
      <c r="AZ173" s="392"/>
      <c r="BA173" s="392"/>
      <c r="BB173" s="392"/>
      <c r="BC173" s="392"/>
      <c r="BD173" s="389"/>
      <c r="BE173" s="390"/>
      <c r="BF173" s="190"/>
      <c r="BG173" s="190"/>
      <c r="BH173" s="443">
        <v>3</v>
      </c>
      <c r="BI173" s="444"/>
      <c r="BJ173" s="486"/>
      <c r="BK173" s="487"/>
      <c r="BL173" s="487"/>
      <c r="BM173" s="487"/>
      <c r="BN173" s="487"/>
      <c r="BO173" s="487"/>
      <c r="BP173" s="487"/>
      <c r="BQ173" s="487"/>
      <c r="BR173" s="487"/>
      <c r="BS173" s="487"/>
      <c r="BT173" s="487"/>
      <c r="BU173" s="487"/>
      <c r="BV173" s="500"/>
      <c r="BW173" s="501"/>
      <c r="BX173" s="501"/>
      <c r="BY173" s="501"/>
      <c r="BZ173" s="501"/>
      <c r="CA173" s="501"/>
      <c r="CB173" s="501"/>
      <c r="CC173" s="501"/>
      <c r="CD173" s="502"/>
      <c r="CE173" s="506"/>
      <c r="CF173" s="506"/>
      <c r="CG173" s="506"/>
      <c r="CH173" s="506"/>
      <c r="CI173" s="506"/>
      <c r="CJ173" s="506"/>
      <c r="CK173" s="506"/>
      <c r="CL173" s="506"/>
      <c r="CM173" s="506"/>
      <c r="CN173" s="506"/>
      <c r="CO173" s="500"/>
      <c r="CP173" s="501"/>
      <c r="CQ173" s="501"/>
      <c r="CR173" s="501"/>
      <c r="CS173" s="501"/>
      <c r="CT173" s="501"/>
      <c r="CU173" s="501"/>
      <c r="CV173" s="501"/>
      <c r="CW173" s="501"/>
      <c r="CX173" s="501"/>
      <c r="CY173" s="501"/>
      <c r="CZ173" s="502"/>
      <c r="DA173" s="495"/>
      <c r="DB173" s="495"/>
      <c r="DC173" s="495"/>
      <c r="DD173" s="495"/>
      <c r="DE173" s="495"/>
      <c r="DF173" s="495"/>
      <c r="DG173" s="495"/>
      <c r="DH173" s="495"/>
      <c r="DI173" s="495"/>
      <c r="DJ173" s="495"/>
      <c r="DK173" s="480"/>
      <c r="DL173" s="481"/>
      <c r="DM173" s="481"/>
      <c r="DN173" s="481"/>
      <c r="DO173" s="481"/>
      <c r="DP173" s="481"/>
      <c r="DQ173" s="481"/>
      <c r="DR173" s="482"/>
    </row>
    <row r="174" spans="2:156" ht="22.5" hidden="1" customHeight="1" x14ac:dyDescent="0.3">
      <c r="B174" s="438" t="s">
        <v>2916</v>
      </c>
      <c r="C174" s="436"/>
      <c r="D174" s="436"/>
      <c r="E174" s="436"/>
      <c r="F174" s="436"/>
      <c r="G174" s="436"/>
      <c r="H174" s="436"/>
      <c r="I174" s="436"/>
      <c r="J174" s="436"/>
      <c r="K174" s="387"/>
      <c r="L174" s="387"/>
      <c r="M174" s="435" t="s">
        <v>2086</v>
      </c>
      <c r="N174" s="436"/>
      <c r="O174" s="436"/>
      <c r="P174" s="436"/>
      <c r="Q174" s="436"/>
      <c r="R174" s="436"/>
      <c r="S174" s="439"/>
      <c r="T174" s="387"/>
      <c r="U174" s="387"/>
      <c r="V174" s="387"/>
      <c r="W174" s="387"/>
      <c r="X174" s="435" t="s">
        <v>2087</v>
      </c>
      <c r="Y174" s="436"/>
      <c r="Z174" s="436"/>
      <c r="AA174" s="436"/>
      <c r="AB174" s="436"/>
      <c r="AC174" s="436"/>
      <c r="AD174" s="436"/>
      <c r="AE174" s="387"/>
      <c r="AF174" s="387"/>
      <c r="AG174" s="387"/>
      <c r="AH174" s="387"/>
      <c r="AI174" s="387"/>
      <c r="AJ174" s="435" t="s">
        <v>2088</v>
      </c>
      <c r="AK174" s="436"/>
      <c r="AL174" s="436"/>
      <c r="AM174" s="436"/>
      <c r="AN174" s="436"/>
      <c r="AO174" s="436"/>
      <c r="AP174" s="436"/>
      <c r="AQ174" s="436"/>
      <c r="AR174" s="387"/>
      <c r="AS174" s="387"/>
      <c r="AT174" s="387"/>
      <c r="AU174" s="387"/>
      <c r="AV174" s="387"/>
      <c r="AW174" s="387"/>
      <c r="AX174" s="387"/>
      <c r="AY174" s="387"/>
      <c r="AZ174" s="387"/>
      <c r="BA174" s="387"/>
      <c r="BB174" s="387"/>
      <c r="BC174" s="387"/>
      <c r="BD174" s="387"/>
      <c r="BE174" s="388"/>
      <c r="BF174" s="190"/>
      <c r="BG174" s="190"/>
      <c r="BH174" s="445">
        <v>4</v>
      </c>
      <c r="BI174" s="446"/>
      <c r="BJ174" s="496"/>
      <c r="BK174" s="461"/>
      <c r="BL174" s="461"/>
      <c r="BM174" s="461"/>
      <c r="BN174" s="461"/>
      <c r="BO174" s="461"/>
      <c r="BP174" s="461"/>
      <c r="BQ174" s="461"/>
      <c r="BR174" s="461"/>
      <c r="BS174" s="461"/>
      <c r="BT174" s="461"/>
      <c r="BU174" s="461"/>
      <c r="BV174" s="521"/>
      <c r="BW174" s="522"/>
      <c r="BX174" s="522"/>
      <c r="BY174" s="522"/>
      <c r="BZ174" s="522"/>
      <c r="CA174" s="522"/>
      <c r="CB174" s="522"/>
      <c r="CC174" s="522"/>
      <c r="CD174" s="523"/>
      <c r="CE174" s="497"/>
      <c r="CF174" s="497"/>
      <c r="CG174" s="497"/>
      <c r="CH174" s="497"/>
      <c r="CI174" s="497"/>
      <c r="CJ174" s="497"/>
      <c r="CK174" s="497"/>
      <c r="CL174" s="497"/>
      <c r="CM174" s="497"/>
      <c r="CN174" s="497"/>
      <c r="CO174" s="496"/>
      <c r="CP174" s="461"/>
      <c r="CQ174" s="461"/>
      <c r="CR174" s="461"/>
      <c r="CS174" s="461"/>
      <c r="CT174" s="461"/>
      <c r="CU174" s="461"/>
      <c r="CV174" s="461"/>
      <c r="CW174" s="461"/>
      <c r="CX174" s="461"/>
      <c r="CY174" s="461"/>
      <c r="CZ174" s="520"/>
      <c r="DA174" s="497"/>
      <c r="DB174" s="497"/>
      <c r="DC174" s="497"/>
      <c r="DD174" s="497"/>
      <c r="DE174" s="497"/>
      <c r="DF174" s="497"/>
      <c r="DG174" s="497"/>
      <c r="DH174" s="497"/>
      <c r="DI174" s="497"/>
      <c r="DJ174" s="497"/>
      <c r="DK174" s="503"/>
      <c r="DL174" s="504"/>
      <c r="DM174" s="504"/>
      <c r="DN174" s="504"/>
      <c r="DO174" s="504"/>
      <c r="DP174" s="504"/>
      <c r="DQ174" s="504"/>
      <c r="DR174" s="505"/>
    </row>
    <row r="175" spans="2:156" ht="22.5" hidden="1" customHeight="1" x14ac:dyDescent="0.3">
      <c r="B175" s="381" t="s">
        <v>278</v>
      </c>
      <c r="C175" s="382"/>
      <c r="D175" s="382"/>
      <c r="E175" s="382"/>
      <c r="F175" s="382"/>
      <c r="G175" s="382"/>
      <c r="H175" s="382"/>
      <c r="I175" s="382"/>
      <c r="J175" s="421"/>
      <c r="K175" s="421"/>
      <c r="L175" s="421"/>
      <c r="M175" s="421"/>
      <c r="N175" s="421"/>
      <c r="O175" s="421"/>
      <c r="P175" s="421"/>
      <c r="Q175" s="421"/>
      <c r="R175" s="421"/>
      <c r="S175" s="421"/>
      <c r="T175" s="421"/>
      <c r="U175" s="421"/>
      <c r="V175" s="421"/>
      <c r="W175" s="421"/>
      <c r="X175" s="421"/>
      <c r="Y175" s="421"/>
      <c r="Z175" s="421"/>
      <c r="AA175" s="421"/>
      <c r="AB175" s="421"/>
      <c r="AC175" s="421"/>
      <c r="AD175" s="421"/>
      <c r="AE175" s="421"/>
      <c r="AF175" s="421"/>
      <c r="AG175" s="421"/>
      <c r="AH175" s="421"/>
      <c r="AI175" s="421"/>
      <c r="AJ175" s="421"/>
      <c r="AK175" s="421"/>
      <c r="AL175" s="421"/>
      <c r="AM175" s="421"/>
      <c r="AN175" s="421"/>
      <c r="AO175" s="421"/>
      <c r="AP175" s="421"/>
      <c r="AQ175" s="421"/>
      <c r="AR175" s="421"/>
      <c r="AS175" s="421"/>
      <c r="AT175" s="421"/>
      <c r="AU175" s="421"/>
      <c r="AV175" s="421"/>
      <c r="AW175" s="421"/>
      <c r="AX175" s="421"/>
      <c r="AY175" s="421"/>
      <c r="AZ175" s="421"/>
      <c r="BA175" s="421"/>
      <c r="BB175" s="421"/>
      <c r="BC175" s="421"/>
      <c r="BD175" s="421"/>
      <c r="BE175" s="422"/>
      <c r="BF175" s="190"/>
      <c r="BG175" s="190"/>
      <c r="DA175" s="511" t="s">
        <v>1647</v>
      </c>
      <c r="DB175" s="512"/>
      <c r="DC175" s="512"/>
      <c r="DD175" s="512"/>
      <c r="DE175" s="512"/>
      <c r="DF175" s="512"/>
      <c r="DG175" s="512"/>
      <c r="DH175" s="512"/>
      <c r="DI175" s="512"/>
      <c r="DJ175" s="512"/>
      <c r="DK175" s="418">
        <f>SUM(DK171:DR174)</f>
        <v>0</v>
      </c>
      <c r="DL175" s="419"/>
      <c r="DM175" s="419"/>
      <c r="DN175" s="419"/>
      <c r="DO175" s="419"/>
      <c r="DP175" s="419"/>
      <c r="DQ175" s="419"/>
      <c r="DR175" s="420"/>
    </row>
    <row r="176" spans="2:156" ht="24" hidden="1" customHeight="1" x14ac:dyDescent="0.25">
      <c r="B176" s="383" t="s">
        <v>2944</v>
      </c>
      <c r="C176" s="384"/>
      <c r="D176" s="384"/>
      <c r="E176" s="384"/>
      <c r="F176" s="384"/>
      <c r="G176" s="384"/>
      <c r="H176" s="384"/>
      <c r="I176" s="384"/>
      <c r="J176" s="423"/>
      <c r="K176" s="423"/>
      <c r="L176" s="423"/>
      <c r="M176" s="423"/>
      <c r="N176" s="423"/>
      <c r="O176" s="423"/>
      <c r="P176" s="423"/>
      <c r="Q176" s="423"/>
      <c r="R176" s="423"/>
      <c r="S176" s="423"/>
      <c r="T176" s="423"/>
      <c r="U176" s="423"/>
      <c r="V176" s="423"/>
      <c r="W176" s="423"/>
      <c r="X176" s="423"/>
      <c r="Y176" s="423"/>
      <c r="Z176" s="423"/>
      <c r="AA176" s="423"/>
      <c r="AB176" s="423"/>
      <c r="AC176" s="423"/>
      <c r="AD176" s="423"/>
      <c r="AE176" s="423"/>
      <c r="AF176" s="423"/>
      <c r="AG176" s="423"/>
      <c r="AH176" s="423"/>
      <c r="AI176" s="423"/>
      <c r="AJ176" s="423"/>
      <c r="AK176" s="423"/>
      <c r="AL176" s="423"/>
      <c r="AM176" s="423"/>
      <c r="AN176" s="423"/>
      <c r="AO176" s="423"/>
      <c r="AP176" s="423"/>
      <c r="AQ176" s="423"/>
      <c r="AR176" s="423"/>
      <c r="AS176" s="423"/>
      <c r="AT176" s="423"/>
      <c r="AU176" s="423"/>
      <c r="AV176" s="423"/>
      <c r="AW176" s="423"/>
      <c r="AX176" s="423"/>
      <c r="AY176" s="423"/>
      <c r="AZ176" s="423"/>
      <c r="BA176" s="423"/>
      <c r="BB176" s="423"/>
      <c r="BC176" s="423"/>
      <c r="BD176" s="423"/>
      <c r="BE176" s="424"/>
      <c r="ED176"/>
      <c r="EE176"/>
      <c r="EF176"/>
      <c r="EG176"/>
      <c r="EH176"/>
      <c r="EI176"/>
      <c r="EJ176"/>
      <c r="EK176"/>
      <c r="EL176"/>
      <c r="EM176"/>
      <c r="EN176"/>
      <c r="EO176"/>
      <c r="EP176"/>
      <c r="EQ176"/>
      <c r="ER176"/>
      <c r="ES176"/>
      <c r="ET176"/>
      <c r="EU176"/>
      <c r="EV176"/>
      <c r="EW176"/>
      <c r="EX176"/>
    </row>
    <row r="177" spans="2:154" ht="24" hidden="1" customHeight="1" thickBot="1" x14ac:dyDescent="0.3">
      <c r="B177" s="385"/>
      <c r="C177" s="386"/>
      <c r="D177" s="386"/>
      <c r="E177" s="386"/>
      <c r="F177" s="386"/>
      <c r="G177" s="386"/>
      <c r="H177" s="386"/>
      <c r="I177" s="386"/>
      <c r="J177" s="425"/>
      <c r="K177" s="425"/>
      <c r="L177" s="425"/>
      <c r="M177" s="425"/>
      <c r="N177" s="425"/>
      <c r="O177" s="425"/>
      <c r="P177" s="425"/>
      <c r="Q177" s="425"/>
      <c r="R177" s="425"/>
      <c r="S177" s="425"/>
      <c r="T177" s="425"/>
      <c r="U177" s="425"/>
      <c r="V177" s="425"/>
      <c r="W177" s="425"/>
      <c r="X177" s="425"/>
      <c r="Y177" s="425"/>
      <c r="Z177" s="425"/>
      <c r="AA177" s="425"/>
      <c r="AB177" s="425"/>
      <c r="AC177" s="425"/>
      <c r="AD177" s="425"/>
      <c r="AE177" s="425"/>
      <c r="AF177" s="425"/>
      <c r="AG177" s="425"/>
      <c r="AH177" s="425"/>
      <c r="AI177" s="425"/>
      <c r="AJ177" s="425"/>
      <c r="AK177" s="425"/>
      <c r="AL177" s="425"/>
      <c r="AM177" s="425"/>
      <c r="AN177" s="425"/>
      <c r="AO177" s="425"/>
      <c r="AP177" s="425"/>
      <c r="AQ177" s="425"/>
      <c r="AR177" s="425"/>
      <c r="AS177" s="425"/>
      <c r="AT177" s="425"/>
      <c r="AU177" s="425"/>
      <c r="AV177" s="425"/>
      <c r="AW177" s="425"/>
      <c r="AX177" s="425"/>
      <c r="AY177" s="425"/>
      <c r="AZ177" s="425"/>
      <c r="BA177" s="425"/>
      <c r="BB177" s="425"/>
      <c r="BC177" s="425"/>
      <c r="BD177" s="425"/>
      <c r="BE177" s="426"/>
      <c r="ED177"/>
      <c r="EE177"/>
      <c r="EF177"/>
      <c r="EG177"/>
      <c r="EH177"/>
      <c r="EI177"/>
      <c r="EJ177"/>
      <c r="EK177"/>
      <c r="EL177"/>
      <c r="EM177"/>
      <c r="EN177"/>
      <c r="EO177"/>
      <c r="EP177"/>
      <c r="EQ177"/>
      <c r="ER177"/>
      <c r="ES177"/>
      <c r="ET177"/>
      <c r="EU177"/>
      <c r="EV177"/>
      <c r="EW177"/>
      <c r="EX177"/>
    </row>
    <row r="178" spans="2:154" ht="24" hidden="1" customHeight="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ED178"/>
      <c r="EE178"/>
      <c r="EF178"/>
      <c r="EG178"/>
      <c r="EH178"/>
      <c r="EI178"/>
      <c r="EJ178"/>
      <c r="EK178"/>
      <c r="EL178"/>
      <c r="EM178"/>
      <c r="EN178"/>
      <c r="EO178"/>
      <c r="EP178"/>
      <c r="EQ178"/>
      <c r="ER178"/>
      <c r="ES178"/>
      <c r="ET178"/>
      <c r="EU178"/>
      <c r="EV178"/>
      <c r="EW178"/>
      <c r="EX178"/>
    </row>
    <row r="179" spans="2:154" ht="18.75" hidden="1" customHeight="1" x14ac:dyDescent="0.3">
      <c r="B179" s="190"/>
      <c r="C179" s="190"/>
      <c r="D179" s="190"/>
      <c r="E179" s="190"/>
      <c r="F179" s="190"/>
      <c r="G179" s="190"/>
      <c r="H179" s="190"/>
      <c r="I179" s="190"/>
      <c r="J179" s="190"/>
      <c r="K179" s="190"/>
      <c r="L179" s="190"/>
      <c r="M179" s="190"/>
      <c r="N179" s="190"/>
      <c r="O179" s="190"/>
      <c r="P179" s="190"/>
      <c r="Q179" s="190"/>
      <c r="R179" s="190"/>
      <c r="S179" s="190"/>
      <c r="T179" s="190"/>
      <c r="U179" s="190"/>
      <c r="V179" s="190"/>
      <c r="W179" s="190"/>
      <c r="X179" s="190"/>
      <c r="Y179" s="190"/>
      <c r="Z179" s="190"/>
      <c r="AA179" s="190"/>
      <c r="AB179" s="190"/>
      <c r="AC179" s="190"/>
      <c r="AD179" s="190"/>
      <c r="AE179" s="190"/>
      <c r="AF179" s="190"/>
      <c r="AG179" s="190"/>
      <c r="AH179" s="190"/>
      <c r="AI179" s="190"/>
      <c r="AJ179" s="190"/>
      <c r="AK179" s="190"/>
      <c r="AL179" s="190"/>
      <c r="AM179" s="190"/>
      <c r="AN179" s="190"/>
      <c r="AO179" s="190"/>
      <c r="AP179" s="190"/>
      <c r="AQ179" s="190"/>
      <c r="AR179" s="190"/>
      <c r="AS179" s="190"/>
      <c r="AT179" s="190"/>
      <c r="AU179" s="190"/>
      <c r="AV179" s="190"/>
      <c r="AW179" s="190"/>
      <c r="AX179" s="190"/>
      <c r="AY179" s="190"/>
      <c r="AZ179" s="190"/>
      <c r="BA179" s="190"/>
      <c r="BB179" s="190"/>
      <c r="BC179" s="190"/>
      <c r="BD179" s="190"/>
      <c r="BE179" s="190"/>
      <c r="BF179" s="190"/>
      <c r="BG179" s="190"/>
      <c r="BH179" s="190"/>
      <c r="BI179" s="190"/>
      <c r="BJ179" s="190"/>
      <c r="BK179" s="190"/>
      <c r="BL179" s="190"/>
      <c r="BM179" s="190"/>
      <c r="BN179" s="190"/>
      <c r="BO179" s="190"/>
      <c r="BP179" s="190"/>
      <c r="BQ179" s="190"/>
      <c r="BR179" s="190"/>
      <c r="BS179" s="190"/>
      <c r="BT179" s="190"/>
      <c r="BU179" s="190"/>
      <c r="BV179" s="190"/>
      <c r="BW179" s="190"/>
      <c r="BX179" s="190"/>
      <c r="ED179"/>
      <c r="EE179"/>
      <c r="EF179"/>
      <c r="EG179"/>
      <c r="EH179"/>
      <c r="EI179"/>
      <c r="EJ179"/>
      <c r="EK179"/>
      <c r="EL179"/>
      <c r="EM179"/>
      <c r="EN179"/>
      <c r="EO179"/>
      <c r="EP179"/>
      <c r="EQ179"/>
      <c r="ER179"/>
      <c r="ES179"/>
      <c r="ET179"/>
      <c r="EU179"/>
      <c r="EV179"/>
      <c r="EW179"/>
      <c r="EX179"/>
    </row>
    <row r="180" spans="2:154" ht="22.5" hidden="1" customHeight="1" thickBot="1" x14ac:dyDescent="0.35">
      <c r="B180" s="479" t="s">
        <v>292</v>
      </c>
      <c r="C180" s="479"/>
      <c r="D180" s="479"/>
      <c r="E180" s="479"/>
      <c r="F180" s="479"/>
      <c r="G180" s="479"/>
      <c r="H180" s="479"/>
      <c r="I180" s="479"/>
      <c r="J180" s="479"/>
      <c r="K180" s="479"/>
      <c r="L180" s="479"/>
      <c r="M180" s="479"/>
      <c r="N180" s="479"/>
      <c r="O180" s="479"/>
      <c r="P180" s="479"/>
      <c r="Q180" s="479"/>
      <c r="R180" s="479"/>
      <c r="S180" s="479"/>
      <c r="T180" s="479"/>
      <c r="U180" s="479"/>
      <c r="V180" s="479"/>
      <c r="W180" s="479"/>
      <c r="X180" s="479"/>
      <c r="Y180" s="479"/>
      <c r="Z180" s="479"/>
      <c r="AA180" s="479"/>
      <c r="AB180" s="479"/>
      <c r="AC180" s="479"/>
      <c r="AD180" s="479"/>
      <c r="AE180" s="479"/>
      <c r="AF180" s="479"/>
      <c r="AG180" s="479"/>
      <c r="AH180" s="479"/>
      <c r="AI180" s="479"/>
      <c r="AJ180" s="479"/>
      <c r="AK180" s="479"/>
      <c r="AL180" s="479"/>
      <c r="AM180" s="479"/>
      <c r="AN180" s="479"/>
      <c r="AO180" s="479"/>
      <c r="AP180" s="479"/>
      <c r="AQ180" s="479"/>
      <c r="AR180" s="479"/>
      <c r="AS180" s="479"/>
      <c r="AT180" s="479"/>
      <c r="AU180" s="479"/>
      <c r="AV180" s="479"/>
      <c r="AW180" s="479"/>
      <c r="AX180" s="479"/>
      <c r="AY180" s="479"/>
      <c r="AZ180" s="479"/>
      <c r="BA180" s="479"/>
      <c r="BB180" s="479"/>
      <c r="BC180" s="479"/>
      <c r="BD180" s="479"/>
      <c r="BE180" s="479"/>
      <c r="BF180" s="187"/>
      <c r="BG180" s="187"/>
      <c r="BH180" s="178" t="s">
        <v>1648</v>
      </c>
    </row>
    <row r="181" spans="2:154" ht="22.5" hidden="1" customHeight="1" x14ac:dyDescent="0.3">
      <c r="B181" s="454" t="s">
        <v>3221</v>
      </c>
      <c r="C181" s="401"/>
      <c r="D181" s="401"/>
      <c r="E181" s="401"/>
      <c r="F181" s="401"/>
      <c r="G181" s="401"/>
      <c r="H181" s="401"/>
      <c r="I181" s="401"/>
      <c r="J181" s="404"/>
      <c r="K181" s="404"/>
      <c r="L181" s="404"/>
      <c r="M181" s="404"/>
      <c r="N181" s="404"/>
      <c r="O181" s="404"/>
      <c r="P181" s="404"/>
      <c r="Q181" s="404"/>
      <c r="R181" s="404"/>
      <c r="S181" s="404"/>
      <c r="T181" s="404"/>
      <c r="U181" s="404"/>
      <c r="V181" s="404"/>
      <c r="W181" s="404"/>
      <c r="X181" s="405"/>
      <c r="Y181" s="400" t="s">
        <v>2074</v>
      </c>
      <c r="Z181" s="401"/>
      <c r="AA181" s="401"/>
      <c r="AB181" s="402"/>
      <c r="AC181" s="402"/>
      <c r="AD181" s="402"/>
      <c r="AE181" s="402"/>
      <c r="AF181" s="402"/>
      <c r="AG181" s="402"/>
      <c r="AH181" s="402"/>
      <c r="AI181" s="402"/>
      <c r="AJ181" s="402"/>
      <c r="AK181" s="403"/>
      <c r="AL181" s="400" t="s">
        <v>1982</v>
      </c>
      <c r="AM181" s="401"/>
      <c r="AN181" s="401"/>
      <c r="AO181" s="404"/>
      <c r="AP181" s="404"/>
      <c r="AQ181" s="404"/>
      <c r="AR181" s="404"/>
      <c r="AS181" s="404"/>
      <c r="AT181" s="404"/>
      <c r="AU181" s="405"/>
      <c r="AV181" s="400" t="s">
        <v>1983</v>
      </c>
      <c r="AW181" s="401"/>
      <c r="AX181" s="404"/>
      <c r="AY181" s="404"/>
      <c r="AZ181" s="404"/>
      <c r="BA181" s="404"/>
      <c r="BB181" s="404"/>
      <c r="BC181" s="404"/>
      <c r="BD181" s="404"/>
      <c r="BE181" s="406"/>
      <c r="BF181" s="187"/>
      <c r="BG181" s="187"/>
      <c r="BH181" s="517" t="s">
        <v>389</v>
      </c>
      <c r="BI181" s="518"/>
      <c r="BJ181" s="489" t="s">
        <v>1649</v>
      </c>
      <c r="BK181" s="490"/>
      <c r="BL181" s="490"/>
      <c r="BM181" s="490"/>
      <c r="BN181" s="490"/>
      <c r="BO181" s="490"/>
      <c r="BP181" s="490"/>
      <c r="BQ181" s="490"/>
      <c r="BR181" s="490"/>
      <c r="BS181" s="490"/>
      <c r="BT181" s="490"/>
      <c r="BU181" s="490"/>
      <c r="BV181" s="483" t="s">
        <v>1644</v>
      </c>
      <c r="BW181" s="484"/>
      <c r="BX181" s="484"/>
      <c r="BY181" s="484"/>
      <c r="BZ181" s="484"/>
      <c r="CA181" s="484"/>
      <c r="CB181" s="484"/>
      <c r="CC181" s="484"/>
      <c r="CD181" s="485"/>
      <c r="CE181" s="513" t="s">
        <v>1675</v>
      </c>
      <c r="CF181" s="513"/>
      <c r="CG181" s="513"/>
      <c r="CH181" s="513"/>
      <c r="CI181" s="513"/>
      <c r="CJ181" s="513"/>
      <c r="CK181" s="513"/>
      <c r="CL181" s="513"/>
      <c r="CM181" s="513"/>
      <c r="CN181" s="513"/>
      <c r="CO181" s="489" t="s">
        <v>1676</v>
      </c>
      <c r="CP181" s="490"/>
      <c r="CQ181" s="490"/>
      <c r="CR181" s="490"/>
      <c r="CS181" s="490"/>
      <c r="CT181" s="490"/>
      <c r="CU181" s="490"/>
      <c r="CV181" s="490"/>
      <c r="CW181" s="490"/>
      <c r="CX181" s="490"/>
      <c r="CY181" s="490"/>
      <c r="CZ181" s="491"/>
      <c r="DA181" s="516" t="s">
        <v>1645</v>
      </c>
      <c r="DB181" s="516"/>
      <c r="DC181" s="516"/>
      <c r="DD181" s="516"/>
      <c r="DE181" s="516"/>
      <c r="DF181" s="516"/>
      <c r="DG181" s="516"/>
      <c r="DH181" s="516"/>
      <c r="DI181" s="516"/>
      <c r="DJ181" s="516"/>
      <c r="DK181" s="483" t="s">
        <v>1646</v>
      </c>
      <c r="DL181" s="484"/>
      <c r="DM181" s="484"/>
      <c r="DN181" s="484"/>
      <c r="DO181" s="484"/>
      <c r="DP181" s="484"/>
      <c r="DQ181" s="484"/>
      <c r="DR181" s="485"/>
    </row>
    <row r="182" spans="2:154" ht="22.5" hidden="1" customHeight="1" x14ac:dyDescent="0.3">
      <c r="B182" s="393" t="s">
        <v>1984</v>
      </c>
      <c r="C182" s="392"/>
      <c r="D182" s="392"/>
      <c r="E182" s="392"/>
      <c r="F182" s="389"/>
      <c r="G182" s="389"/>
      <c r="H182" s="389"/>
      <c r="I182" s="389"/>
      <c r="J182" s="389"/>
      <c r="K182" s="389"/>
      <c r="L182" s="389"/>
      <c r="M182" s="391" t="s">
        <v>307</v>
      </c>
      <c r="N182" s="392"/>
      <c r="O182" s="392"/>
      <c r="P182" s="392"/>
      <c r="Q182" s="392"/>
      <c r="R182" s="392"/>
      <c r="S182" s="392"/>
      <c r="T182" s="392"/>
      <c r="U182" s="433"/>
      <c r="V182" s="433"/>
      <c r="W182" s="433"/>
      <c r="X182" s="433"/>
      <c r="Y182" s="433"/>
      <c r="Z182" s="433"/>
      <c r="AA182" s="391" t="s">
        <v>2084</v>
      </c>
      <c r="AB182" s="392"/>
      <c r="AC182" s="392"/>
      <c r="AD182" s="392"/>
      <c r="AE182" s="392"/>
      <c r="AF182" s="392"/>
      <c r="AG182" s="392"/>
      <c r="AH182" s="392"/>
      <c r="AI182" s="433"/>
      <c r="AJ182" s="433"/>
      <c r="AK182" s="433"/>
      <c r="AL182" s="433"/>
      <c r="AM182" s="433"/>
      <c r="AN182" s="434"/>
      <c r="AO182" s="391" t="s">
        <v>279</v>
      </c>
      <c r="AP182" s="392"/>
      <c r="AQ182" s="392"/>
      <c r="AR182" s="392"/>
      <c r="AS182" s="392"/>
      <c r="AT182" s="437"/>
      <c r="AU182" s="437"/>
      <c r="AV182" s="437"/>
      <c r="AW182" s="437"/>
      <c r="AX182" s="437"/>
      <c r="AY182" s="437"/>
      <c r="AZ182" s="391" t="s">
        <v>2083</v>
      </c>
      <c r="BA182" s="392"/>
      <c r="BB182" s="392"/>
      <c r="BC182" s="392"/>
      <c r="BD182" s="389"/>
      <c r="BE182" s="390"/>
      <c r="BF182" s="187"/>
      <c r="BG182" s="187"/>
      <c r="BH182" s="514">
        <v>1</v>
      </c>
      <c r="BI182" s="515"/>
      <c r="BJ182" s="498"/>
      <c r="BK182" s="499"/>
      <c r="BL182" s="499"/>
      <c r="BM182" s="499"/>
      <c r="BN182" s="499"/>
      <c r="BO182" s="499"/>
      <c r="BP182" s="499"/>
      <c r="BQ182" s="499"/>
      <c r="BR182" s="499"/>
      <c r="BS182" s="499"/>
      <c r="BT182" s="499"/>
      <c r="BU182" s="499"/>
      <c r="BV182" s="500"/>
      <c r="BW182" s="501"/>
      <c r="BX182" s="501"/>
      <c r="BY182" s="501"/>
      <c r="BZ182" s="501"/>
      <c r="CA182" s="501"/>
      <c r="CB182" s="501"/>
      <c r="CC182" s="501"/>
      <c r="CD182" s="502"/>
      <c r="CE182" s="519"/>
      <c r="CF182" s="519"/>
      <c r="CG182" s="519"/>
      <c r="CH182" s="519"/>
      <c r="CI182" s="519"/>
      <c r="CJ182" s="519"/>
      <c r="CK182" s="519"/>
      <c r="CL182" s="519"/>
      <c r="CM182" s="519"/>
      <c r="CN182" s="519"/>
      <c r="CO182" s="507"/>
      <c r="CP182" s="508"/>
      <c r="CQ182" s="508"/>
      <c r="CR182" s="508"/>
      <c r="CS182" s="508"/>
      <c r="CT182" s="508"/>
      <c r="CU182" s="508"/>
      <c r="CV182" s="508"/>
      <c r="CW182" s="508"/>
      <c r="CX182" s="508"/>
      <c r="CY182" s="508"/>
      <c r="CZ182" s="509"/>
      <c r="DA182" s="510"/>
      <c r="DB182" s="510"/>
      <c r="DC182" s="510"/>
      <c r="DD182" s="510"/>
      <c r="DE182" s="510"/>
      <c r="DF182" s="510"/>
      <c r="DG182" s="510"/>
      <c r="DH182" s="510"/>
      <c r="DI182" s="510"/>
      <c r="DJ182" s="510"/>
      <c r="DK182" s="492"/>
      <c r="DL182" s="493"/>
      <c r="DM182" s="493"/>
      <c r="DN182" s="493"/>
      <c r="DO182" s="493"/>
      <c r="DP182" s="493"/>
      <c r="DQ182" s="493"/>
      <c r="DR182" s="494"/>
    </row>
    <row r="183" spans="2:154" ht="22.5" hidden="1" customHeight="1" x14ac:dyDescent="0.3">
      <c r="B183" s="393" t="s">
        <v>2091</v>
      </c>
      <c r="C183" s="392"/>
      <c r="D183" s="392"/>
      <c r="E183" s="392"/>
      <c r="F183" s="392"/>
      <c r="G183" s="392"/>
      <c r="H183" s="392"/>
      <c r="I183" s="392"/>
      <c r="J183" s="392"/>
      <c r="K183" s="389"/>
      <c r="L183" s="389"/>
      <c r="M183" s="391" t="s">
        <v>2089</v>
      </c>
      <c r="N183" s="392"/>
      <c r="O183" s="392"/>
      <c r="P183" s="392"/>
      <c r="Q183" s="392"/>
      <c r="R183" s="392"/>
      <c r="S183" s="389"/>
      <c r="T183" s="389"/>
      <c r="U183" s="389"/>
      <c r="V183" s="389"/>
      <c r="W183" s="389"/>
      <c r="X183" s="391" t="s">
        <v>2092</v>
      </c>
      <c r="Y183" s="392"/>
      <c r="Z183" s="392"/>
      <c r="AA183" s="392"/>
      <c r="AB183" s="392"/>
      <c r="AC183" s="392"/>
      <c r="AD183" s="392"/>
      <c r="AE183" s="392"/>
      <c r="AF183" s="392"/>
      <c r="AG183" s="392"/>
      <c r="AH183" s="392"/>
      <c r="AI183" s="392"/>
      <c r="AJ183" s="392"/>
      <c r="AK183" s="392"/>
      <c r="AL183" s="392"/>
      <c r="AM183" s="392"/>
      <c r="AN183" s="392"/>
      <c r="AO183" s="392"/>
      <c r="AP183" s="392"/>
      <c r="AQ183" s="392"/>
      <c r="AR183" s="389"/>
      <c r="AS183" s="389"/>
      <c r="AT183" s="389"/>
      <c r="AU183" s="389"/>
      <c r="AV183" s="389"/>
      <c r="AW183" s="432"/>
      <c r="AX183" s="391" t="s">
        <v>796</v>
      </c>
      <c r="AY183" s="392"/>
      <c r="AZ183" s="392"/>
      <c r="BA183" s="392"/>
      <c r="BB183" s="392"/>
      <c r="BC183" s="392"/>
      <c r="BD183" s="389"/>
      <c r="BE183" s="390"/>
      <c r="BF183" s="187"/>
      <c r="BG183" s="187"/>
      <c r="BH183" s="443">
        <v>2</v>
      </c>
      <c r="BI183" s="444"/>
      <c r="BJ183" s="486"/>
      <c r="BK183" s="487"/>
      <c r="BL183" s="487"/>
      <c r="BM183" s="487"/>
      <c r="BN183" s="487"/>
      <c r="BO183" s="487"/>
      <c r="BP183" s="487"/>
      <c r="BQ183" s="487"/>
      <c r="BR183" s="487"/>
      <c r="BS183" s="487"/>
      <c r="BT183" s="487"/>
      <c r="BU183" s="487"/>
      <c r="BV183" s="500"/>
      <c r="BW183" s="501"/>
      <c r="BX183" s="501"/>
      <c r="BY183" s="501"/>
      <c r="BZ183" s="501"/>
      <c r="CA183" s="501"/>
      <c r="CB183" s="501"/>
      <c r="CC183" s="501"/>
      <c r="CD183" s="502"/>
      <c r="CE183" s="495"/>
      <c r="CF183" s="495"/>
      <c r="CG183" s="495"/>
      <c r="CH183" s="495"/>
      <c r="CI183" s="495"/>
      <c r="CJ183" s="495"/>
      <c r="CK183" s="495"/>
      <c r="CL183" s="495"/>
      <c r="CM183" s="495"/>
      <c r="CN183" s="495"/>
      <c r="CO183" s="486"/>
      <c r="CP183" s="487"/>
      <c r="CQ183" s="487"/>
      <c r="CR183" s="487"/>
      <c r="CS183" s="487"/>
      <c r="CT183" s="487"/>
      <c r="CU183" s="487"/>
      <c r="CV183" s="487"/>
      <c r="CW183" s="487"/>
      <c r="CX183" s="487"/>
      <c r="CY183" s="487"/>
      <c r="CZ183" s="488"/>
      <c r="DA183" s="495"/>
      <c r="DB183" s="495"/>
      <c r="DC183" s="495"/>
      <c r="DD183" s="495"/>
      <c r="DE183" s="495"/>
      <c r="DF183" s="495"/>
      <c r="DG183" s="495"/>
      <c r="DH183" s="495"/>
      <c r="DI183" s="495"/>
      <c r="DJ183" s="495"/>
      <c r="DK183" s="480"/>
      <c r="DL183" s="481"/>
      <c r="DM183" s="481"/>
      <c r="DN183" s="481"/>
      <c r="DO183" s="481"/>
      <c r="DP183" s="481"/>
      <c r="DQ183" s="481"/>
      <c r="DR183" s="482"/>
    </row>
    <row r="184" spans="2:154" ht="22.5" hidden="1" customHeight="1" x14ac:dyDescent="0.3">
      <c r="B184" s="393" t="s">
        <v>2978</v>
      </c>
      <c r="C184" s="392"/>
      <c r="D184" s="392"/>
      <c r="E184" s="392"/>
      <c r="F184" s="392"/>
      <c r="G184" s="392"/>
      <c r="H184" s="392"/>
      <c r="I184" s="392"/>
      <c r="J184" s="392"/>
      <c r="K184" s="389"/>
      <c r="L184" s="389"/>
      <c r="M184" s="391" t="s">
        <v>2089</v>
      </c>
      <c r="N184" s="392"/>
      <c r="O184" s="392"/>
      <c r="P184" s="392"/>
      <c r="Q184" s="392"/>
      <c r="R184" s="392"/>
      <c r="S184" s="389"/>
      <c r="T184" s="389"/>
      <c r="U184" s="389"/>
      <c r="V184" s="389"/>
      <c r="W184" s="389"/>
      <c r="X184" s="391" t="s">
        <v>2118</v>
      </c>
      <c r="Y184" s="392"/>
      <c r="Z184" s="392"/>
      <c r="AA184" s="392"/>
      <c r="AB184" s="392"/>
      <c r="AC184" s="392"/>
      <c r="AD184" s="392"/>
      <c r="AE184" s="442"/>
      <c r="AF184" s="442"/>
      <c r="AG184" s="442"/>
      <c r="AH184" s="442"/>
      <c r="AI184" s="442"/>
      <c r="AJ184" s="391" t="s">
        <v>2090</v>
      </c>
      <c r="AK184" s="392"/>
      <c r="AL184" s="392"/>
      <c r="AM184" s="392"/>
      <c r="AN184" s="392"/>
      <c r="AO184" s="392"/>
      <c r="AP184" s="392"/>
      <c r="AQ184" s="392"/>
      <c r="AR184" s="433"/>
      <c r="AS184" s="433"/>
      <c r="AT184" s="433"/>
      <c r="AU184" s="433"/>
      <c r="AV184" s="433"/>
      <c r="AW184" s="434"/>
      <c r="AX184" s="391" t="s">
        <v>2085</v>
      </c>
      <c r="AY184" s="392"/>
      <c r="AZ184" s="392"/>
      <c r="BA184" s="392"/>
      <c r="BB184" s="392"/>
      <c r="BC184" s="392"/>
      <c r="BD184" s="389"/>
      <c r="BE184" s="390"/>
      <c r="BF184" s="187"/>
      <c r="BG184" s="187"/>
      <c r="BH184" s="443">
        <v>3</v>
      </c>
      <c r="BI184" s="444"/>
      <c r="BJ184" s="486"/>
      <c r="BK184" s="487"/>
      <c r="BL184" s="487"/>
      <c r="BM184" s="487"/>
      <c r="BN184" s="487"/>
      <c r="BO184" s="487"/>
      <c r="BP184" s="487"/>
      <c r="BQ184" s="487"/>
      <c r="BR184" s="487"/>
      <c r="BS184" s="487"/>
      <c r="BT184" s="487"/>
      <c r="BU184" s="487"/>
      <c r="BV184" s="500"/>
      <c r="BW184" s="501"/>
      <c r="BX184" s="501"/>
      <c r="BY184" s="501"/>
      <c r="BZ184" s="501"/>
      <c r="CA184" s="501"/>
      <c r="CB184" s="501"/>
      <c r="CC184" s="501"/>
      <c r="CD184" s="502"/>
      <c r="CE184" s="506"/>
      <c r="CF184" s="506"/>
      <c r="CG184" s="506"/>
      <c r="CH184" s="506"/>
      <c r="CI184" s="506"/>
      <c r="CJ184" s="506"/>
      <c r="CK184" s="506"/>
      <c r="CL184" s="506"/>
      <c r="CM184" s="506"/>
      <c r="CN184" s="506"/>
      <c r="CO184" s="500"/>
      <c r="CP184" s="501"/>
      <c r="CQ184" s="501"/>
      <c r="CR184" s="501"/>
      <c r="CS184" s="501"/>
      <c r="CT184" s="501"/>
      <c r="CU184" s="501"/>
      <c r="CV184" s="501"/>
      <c r="CW184" s="501"/>
      <c r="CX184" s="501"/>
      <c r="CY184" s="501"/>
      <c r="CZ184" s="502"/>
      <c r="DA184" s="495"/>
      <c r="DB184" s="495"/>
      <c r="DC184" s="495"/>
      <c r="DD184" s="495"/>
      <c r="DE184" s="495"/>
      <c r="DF184" s="495"/>
      <c r="DG184" s="495"/>
      <c r="DH184" s="495"/>
      <c r="DI184" s="495"/>
      <c r="DJ184" s="495"/>
      <c r="DK184" s="480"/>
      <c r="DL184" s="481"/>
      <c r="DM184" s="481"/>
      <c r="DN184" s="481"/>
      <c r="DO184" s="481"/>
      <c r="DP184" s="481"/>
      <c r="DQ184" s="481"/>
      <c r="DR184" s="482"/>
    </row>
    <row r="185" spans="2:154" ht="22.5" hidden="1" customHeight="1" x14ac:dyDescent="0.3">
      <c r="B185" s="438" t="s">
        <v>2916</v>
      </c>
      <c r="C185" s="436"/>
      <c r="D185" s="436"/>
      <c r="E185" s="436"/>
      <c r="F185" s="436"/>
      <c r="G185" s="436"/>
      <c r="H185" s="436"/>
      <c r="I185" s="436"/>
      <c r="J185" s="436"/>
      <c r="K185" s="387"/>
      <c r="L185" s="387"/>
      <c r="M185" s="435" t="s">
        <v>2086</v>
      </c>
      <c r="N185" s="436"/>
      <c r="O185" s="436"/>
      <c r="P185" s="436"/>
      <c r="Q185" s="436"/>
      <c r="R185" s="436"/>
      <c r="S185" s="439"/>
      <c r="T185" s="387"/>
      <c r="U185" s="387"/>
      <c r="V185" s="387"/>
      <c r="W185" s="387"/>
      <c r="X185" s="435" t="s">
        <v>2087</v>
      </c>
      <c r="Y185" s="436"/>
      <c r="Z185" s="436"/>
      <c r="AA185" s="436"/>
      <c r="AB185" s="436"/>
      <c r="AC185" s="436"/>
      <c r="AD185" s="436"/>
      <c r="AE185" s="387"/>
      <c r="AF185" s="387"/>
      <c r="AG185" s="387"/>
      <c r="AH185" s="387"/>
      <c r="AI185" s="387"/>
      <c r="AJ185" s="435" t="s">
        <v>2088</v>
      </c>
      <c r="AK185" s="436"/>
      <c r="AL185" s="436"/>
      <c r="AM185" s="436"/>
      <c r="AN185" s="436"/>
      <c r="AO185" s="436"/>
      <c r="AP185" s="436"/>
      <c r="AQ185" s="436"/>
      <c r="AR185" s="387"/>
      <c r="AS185" s="387"/>
      <c r="AT185" s="387"/>
      <c r="AU185" s="387"/>
      <c r="AV185" s="387"/>
      <c r="AW185" s="387"/>
      <c r="AX185" s="387"/>
      <c r="AY185" s="387"/>
      <c r="AZ185" s="387"/>
      <c r="BA185" s="387"/>
      <c r="BB185" s="387"/>
      <c r="BC185" s="387"/>
      <c r="BD185" s="387"/>
      <c r="BE185" s="388"/>
      <c r="BF185" s="187"/>
      <c r="BG185" s="187"/>
      <c r="BH185" s="445">
        <v>4</v>
      </c>
      <c r="BI185" s="446"/>
      <c r="BJ185" s="496"/>
      <c r="BK185" s="461"/>
      <c r="BL185" s="461"/>
      <c r="BM185" s="461"/>
      <c r="BN185" s="461"/>
      <c r="BO185" s="461"/>
      <c r="BP185" s="461"/>
      <c r="BQ185" s="461"/>
      <c r="BR185" s="461"/>
      <c r="BS185" s="461"/>
      <c r="BT185" s="461"/>
      <c r="BU185" s="461"/>
      <c r="BV185" s="521"/>
      <c r="BW185" s="522"/>
      <c r="BX185" s="522"/>
      <c r="BY185" s="522"/>
      <c r="BZ185" s="522"/>
      <c r="CA185" s="522"/>
      <c r="CB185" s="522"/>
      <c r="CC185" s="522"/>
      <c r="CD185" s="523"/>
      <c r="CE185" s="497"/>
      <c r="CF185" s="497"/>
      <c r="CG185" s="497"/>
      <c r="CH185" s="497"/>
      <c r="CI185" s="497"/>
      <c r="CJ185" s="497"/>
      <c r="CK185" s="497"/>
      <c r="CL185" s="497"/>
      <c r="CM185" s="497"/>
      <c r="CN185" s="497"/>
      <c r="CO185" s="496"/>
      <c r="CP185" s="461"/>
      <c r="CQ185" s="461"/>
      <c r="CR185" s="461"/>
      <c r="CS185" s="461"/>
      <c r="CT185" s="461"/>
      <c r="CU185" s="461"/>
      <c r="CV185" s="461"/>
      <c r="CW185" s="461"/>
      <c r="CX185" s="461"/>
      <c r="CY185" s="461"/>
      <c r="CZ185" s="520"/>
      <c r="DA185" s="497"/>
      <c r="DB185" s="497"/>
      <c r="DC185" s="497"/>
      <c r="DD185" s="497"/>
      <c r="DE185" s="497"/>
      <c r="DF185" s="497"/>
      <c r="DG185" s="497"/>
      <c r="DH185" s="497"/>
      <c r="DI185" s="497"/>
      <c r="DJ185" s="497"/>
      <c r="DK185" s="503"/>
      <c r="DL185" s="504"/>
      <c r="DM185" s="504"/>
      <c r="DN185" s="504"/>
      <c r="DO185" s="504"/>
      <c r="DP185" s="504"/>
      <c r="DQ185" s="504"/>
      <c r="DR185" s="505"/>
    </row>
    <row r="186" spans="2:154" ht="22.5" hidden="1" customHeight="1" x14ac:dyDescent="0.3">
      <c r="B186" s="381" t="s">
        <v>278</v>
      </c>
      <c r="C186" s="382"/>
      <c r="D186" s="382"/>
      <c r="E186" s="382"/>
      <c r="F186" s="382"/>
      <c r="G186" s="382"/>
      <c r="H186" s="382"/>
      <c r="I186" s="382"/>
      <c r="J186" s="421"/>
      <c r="K186" s="421"/>
      <c r="L186" s="421"/>
      <c r="M186" s="421"/>
      <c r="N186" s="421"/>
      <c r="O186" s="421"/>
      <c r="P186" s="421"/>
      <c r="Q186" s="421"/>
      <c r="R186" s="421"/>
      <c r="S186" s="421"/>
      <c r="T186" s="421"/>
      <c r="U186" s="421"/>
      <c r="V186" s="421"/>
      <c r="W186" s="421"/>
      <c r="X186" s="421"/>
      <c r="Y186" s="421"/>
      <c r="Z186" s="421"/>
      <c r="AA186" s="421"/>
      <c r="AB186" s="421"/>
      <c r="AC186" s="421"/>
      <c r="AD186" s="421"/>
      <c r="AE186" s="421"/>
      <c r="AF186" s="421"/>
      <c r="AG186" s="421"/>
      <c r="AH186" s="421"/>
      <c r="AI186" s="421"/>
      <c r="AJ186" s="421"/>
      <c r="AK186" s="421"/>
      <c r="AL186" s="421"/>
      <c r="AM186" s="421"/>
      <c r="AN186" s="421"/>
      <c r="AO186" s="421"/>
      <c r="AP186" s="421"/>
      <c r="AQ186" s="421"/>
      <c r="AR186" s="421"/>
      <c r="AS186" s="421"/>
      <c r="AT186" s="421"/>
      <c r="AU186" s="421"/>
      <c r="AV186" s="421"/>
      <c r="AW186" s="421"/>
      <c r="AX186" s="421"/>
      <c r="AY186" s="421"/>
      <c r="AZ186" s="421"/>
      <c r="BA186" s="421"/>
      <c r="BB186" s="421"/>
      <c r="BC186" s="421"/>
      <c r="BD186" s="421"/>
      <c r="BE186" s="422"/>
      <c r="BF186" s="187"/>
      <c r="BG186" s="187"/>
      <c r="DA186" s="511" t="s">
        <v>1647</v>
      </c>
      <c r="DB186" s="512"/>
      <c r="DC186" s="512"/>
      <c r="DD186" s="512"/>
      <c r="DE186" s="512"/>
      <c r="DF186" s="512"/>
      <c r="DG186" s="512"/>
      <c r="DH186" s="512"/>
      <c r="DI186" s="512"/>
      <c r="DJ186" s="512"/>
      <c r="DK186" s="418">
        <f>SUM(DK182:DR185)</f>
        <v>0</v>
      </c>
      <c r="DL186" s="419"/>
      <c r="DM186" s="419"/>
      <c r="DN186" s="419"/>
      <c r="DO186" s="419"/>
      <c r="DP186" s="419"/>
      <c r="DQ186" s="419"/>
      <c r="DR186" s="420"/>
    </row>
    <row r="187" spans="2:154" ht="24" hidden="1" customHeight="1" x14ac:dyDescent="0.25">
      <c r="B187" s="383" t="s">
        <v>2944</v>
      </c>
      <c r="C187" s="384"/>
      <c r="D187" s="384"/>
      <c r="E187" s="384"/>
      <c r="F187" s="384"/>
      <c r="G187" s="384"/>
      <c r="H187" s="384"/>
      <c r="I187" s="384"/>
      <c r="J187" s="423"/>
      <c r="K187" s="423"/>
      <c r="L187" s="423"/>
      <c r="M187" s="423"/>
      <c r="N187" s="423"/>
      <c r="O187" s="423"/>
      <c r="P187" s="423"/>
      <c r="Q187" s="423"/>
      <c r="R187" s="423"/>
      <c r="S187" s="423"/>
      <c r="T187" s="423"/>
      <c r="U187" s="423"/>
      <c r="V187" s="423"/>
      <c r="W187" s="423"/>
      <c r="X187" s="423"/>
      <c r="Y187" s="423"/>
      <c r="Z187" s="423"/>
      <c r="AA187" s="423"/>
      <c r="AB187" s="423"/>
      <c r="AC187" s="423"/>
      <c r="AD187" s="423"/>
      <c r="AE187" s="423"/>
      <c r="AF187" s="423"/>
      <c r="AG187" s="423"/>
      <c r="AH187" s="423"/>
      <c r="AI187" s="423"/>
      <c r="AJ187" s="423"/>
      <c r="AK187" s="423"/>
      <c r="AL187" s="423"/>
      <c r="AM187" s="423"/>
      <c r="AN187" s="423"/>
      <c r="AO187" s="423"/>
      <c r="AP187" s="423"/>
      <c r="AQ187" s="423"/>
      <c r="AR187" s="423"/>
      <c r="AS187" s="423"/>
      <c r="AT187" s="423"/>
      <c r="AU187" s="423"/>
      <c r="AV187" s="423"/>
      <c r="AW187" s="423"/>
      <c r="AX187" s="423"/>
      <c r="AY187" s="423"/>
      <c r="AZ187" s="423"/>
      <c r="BA187" s="423"/>
      <c r="BB187" s="423"/>
      <c r="BC187" s="423"/>
      <c r="BD187" s="423"/>
      <c r="BE187" s="424"/>
      <c r="ED187"/>
      <c r="EE187"/>
      <c r="EF187"/>
      <c r="EG187"/>
      <c r="EH187"/>
      <c r="EI187"/>
      <c r="EJ187"/>
      <c r="EK187"/>
      <c r="EL187"/>
      <c r="EM187"/>
      <c r="EN187"/>
      <c r="EO187"/>
      <c r="EP187"/>
      <c r="EQ187"/>
      <c r="ER187"/>
      <c r="ES187"/>
      <c r="ET187"/>
      <c r="EU187"/>
      <c r="EV187"/>
      <c r="EW187"/>
      <c r="EX187"/>
    </row>
    <row r="188" spans="2:154" ht="24" hidden="1" customHeight="1" thickBot="1" x14ac:dyDescent="0.3">
      <c r="B188" s="385"/>
      <c r="C188" s="386"/>
      <c r="D188" s="386"/>
      <c r="E188" s="386"/>
      <c r="F188" s="386"/>
      <c r="G188" s="386"/>
      <c r="H188" s="386"/>
      <c r="I188" s="386"/>
      <c r="J188" s="425"/>
      <c r="K188" s="425"/>
      <c r="L188" s="425"/>
      <c r="M188" s="425"/>
      <c r="N188" s="425"/>
      <c r="O188" s="425"/>
      <c r="P188" s="425"/>
      <c r="Q188" s="425"/>
      <c r="R188" s="425"/>
      <c r="S188" s="425"/>
      <c r="T188" s="425"/>
      <c r="U188" s="425"/>
      <c r="V188" s="425"/>
      <c r="W188" s="425"/>
      <c r="X188" s="425"/>
      <c r="Y188" s="425"/>
      <c r="Z188" s="425"/>
      <c r="AA188" s="425"/>
      <c r="AB188" s="425"/>
      <c r="AC188" s="425"/>
      <c r="AD188" s="425"/>
      <c r="AE188" s="425"/>
      <c r="AF188" s="425"/>
      <c r="AG188" s="425"/>
      <c r="AH188" s="425"/>
      <c r="AI188" s="425"/>
      <c r="AJ188" s="425"/>
      <c r="AK188" s="425"/>
      <c r="AL188" s="425"/>
      <c r="AM188" s="425"/>
      <c r="AN188" s="425"/>
      <c r="AO188" s="425"/>
      <c r="AP188" s="425"/>
      <c r="AQ188" s="425"/>
      <c r="AR188" s="425"/>
      <c r="AS188" s="425"/>
      <c r="AT188" s="425"/>
      <c r="AU188" s="425"/>
      <c r="AV188" s="425"/>
      <c r="AW188" s="425"/>
      <c r="AX188" s="425"/>
      <c r="AY188" s="425"/>
      <c r="AZ188" s="425"/>
      <c r="BA188" s="425"/>
      <c r="BB188" s="425"/>
      <c r="BC188" s="425"/>
      <c r="BD188" s="425"/>
      <c r="BE188" s="426"/>
      <c r="ED188"/>
      <c r="EE188"/>
      <c r="EF188"/>
      <c r="EG188"/>
      <c r="EH188"/>
      <c r="EI188"/>
      <c r="EJ188"/>
      <c r="EK188"/>
      <c r="EL188"/>
      <c r="EM188"/>
      <c r="EN188"/>
      <c r="EO188"/>
      <c r="EP188"/>
      <c r="EQ188"/>
      <c r="ER188"/>
      <c r="ES188"/>
      <c r="ET188"/>
      <c r="EU188"/>
      <c r="EV188"/>
      <c r="EW188"/>
      <c r="EX188"/>
    </row>
    <row r="189" spans="2:154" ht="24" hidden="1" customHeight="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ED189"/>
      <c r="EE189"/>
      <c r="EF189"/>
      <c r="EG189"/>
      <c r="EH189"/>
      <c r="EI189"/>
      <c r="EJ189"/>
      <c r="EK189"/>
      <c r="EL189"/>
      <c r="EM189"/>
      <c r="EN189"/>
      <c r="EO189"/>
      <c r="EP189"/>
      <c r="EQ189"/>
      <c r="ER189"/>
      <c r="ES189"/>
      <c r="ET189"/>
      <c r="EU189"/>
      <c r="EV189"/>
      <c r="EW189"/>
      <c r="EX189"/>
    </row>
    <row r="190" spans="2:154" ht="18.75" hidden="1" customHeight="1" x14ac:dyDescent="0.3">
      <c r="B190" s="190"/>
      <c r="C190" s="190"/>
      <c r="D190" s="190"/>
      <c r="E190" s="190"/>
      <c r="F190" s="190"/>
      <c r="G190" s="190"/>
      <c r="H190" s="190"/>
      <c r="I190" s="190"/>
      <c r="J190" s="190"/>
      <c r="K190" s="190"/>
      <c r="L190" s="190"/>
      <c r="M190" s="190"/>
      <c r="N190" s="190"/>
      <c r="O190" s="190"/>
      <c r="P190" s="190"/>
      <c r="Q190" s="190"/>
      <c r="R190" s="190"/>
      <c r="S190" s="190"/>
      <c r="T190" s="190"/>
      <c r="U190" s="190"/>
      <c r="V190" s="190"/>
      <c r="W190" s="190"/>
      <c r="X190" s="190"/>
      <c r="Y190" s="190"/>
      <c r="Z190" s="190"/>
      <c r="AA190" s="190"/>
      <c r="AB190" s="190"/>
      <c r="AC190" s="190"/>
      <c r="AD190" s="190"/>
      <c r="AE190" s="190"/>
      <c r="AF190" s="190"/>
      <c r="AG190" s="190"/>
      <c r="AH190" s="190"/>
      <c r="AI190" s="190"/>
      <c r="AJ190" s="190"/>
      <c r="AK190" s="190"/>
      <c r="AL190" s="190"/>
      <c r="AM190" s="190"/>
      <c r="AN190" s="190"/>
      <c r="AO190" s="190"/>
      <c r="AP190" s="190"/>
      <c r="AQ190" s="190"/>
      <c r="AR190" s="190"/>
      <c r="AS190" s="190"/>
      <c r="AT190" s="190"/>
      <c r="AU190" s="190"/>
      <c r="AV190" s="190"/>
      <c r="AW190" s="190"/>
      <c r="AX190" s="190"/>
      <c r="AY190" s="190"/>
      <c r="AZ190" s="190"/>
      <c r="BA190" s="190"/>
      <c r="BB190" s="190"/>
      <c r="BC190" s="190"/>
      <c r="BD190" s="190"/>
      <c r="BE190" s="190"/>
      <c r="BF190" s="187"/>
      <c r="BG190" s="187"/>
      <c r="ED190"/>
      <c r="EE190"/>
      <c r="EF190"/>
      <c r="EG190"/>
      <c r="EH190"/>
      <c r="EI190"/>
      <c r="EJ190"/>
      <c r="EK190"/>
      <c r="EL190"/>
      <c r="EM190"/>
      <c r="EN190"/>
      <c r="EO190"/>
      <c r="EP190"/>
      <c r="EQ190"/>
      <c r="ER190"/>
      <c r="ES190"/>
      <c r="ET190"/>
      <c r="EU190"/>
      <c r="EV190"/>
      <c r="EW190"/>
      <c r="EX190"/>
    </row>
    <row r="191" spans="2:154" ht="22.5" hidden="1" customHeight="1" thickBot="1" x14ac:dyDescent="0.35">
      <c r="B191" s="440" t="s">
        <v>293</v>
      </c>
      <c r="C191" s="440"/>
      <c r="D191" s="440"/>
      <c r="E191" s="440"/>
      <c r="F191" s="440"/>
      <c r="G191" s="440"/>
      <c r="H191" s="440"/>
      <c r="I191" s="440"/>
      <c r="J191" s="440"/>
      <c r="K191" s="440"/>
      <c r="L191" s="440"/>
      <c r="M191" s="440"/>
      <c r="N191" s="440"/>
      <c r="O191" s="440"/>
      <c r="P191" s="440"/>
      <c r="Q191" s="440"/>
      <c r="R191" s="440"/>
      <c r="S191" s="440"/>
      <c r="T191" s="440"/>
      <c r="U191" s="440"/>
      <c r="V191" s="440"/>
      <c r="W191" s="440"/>
      <c r="X191" s="440"/>
      <c r="Y191" s="440"/>
      <c r="Z191" s="440"/>
      <c r="AA191" s="440"/>
      <c r="AB191" s="440"/>
      <c r="AC191" s="440"/>
      <c r="AD191" s="440"/>
      <c r="AE191" s="440"/>
      <c r="AF191" s="440"/>
      <c r="AG191" s="440"/>
      <c r="AH191" s="440"/>
      <c r="AI191" s="440"/>
      <c r="AJ191" s="440"/>
      <c r="AK191" s="440"/>
      <c r="AL191" s="440"/>
      <c r="AM191" s="440"/>
      <c r="AN191" s="440"/>
      <c r="AO191" s="440"/>
      <c r="AP191" s="440"/>
      <c r="AQ191" s="440"/>
      <c r="AR191" s="440"/>
      <c r="AS191" s="440"/>
      <c r="AT191" s="440"/>
      <c r="AU191" s="440"/>
      <c r="AV191" s="440"/>
      <c r="AW191" s="440"/>
      <c r="AX191" s="440"/>
      <c r="AY191" s="440"/>
      <c r="AZ191" s="440"/>
      <c r="BA191" s="440"/>
      <c r="BB191" s="440"/>
      <c r="BC191" s="440"/>
      <c r="BD191" s="440"/>
      <c r="BE191" s="440"/>
      <c r="BF191" s="187"/>
      <c r="BG191" s="187"/>
      <c r="BJ191" s="178" t="s">
        <v>1648</v>
      </c>
    </row>
    <row r="192" spans="2:154" ht="22.5" hidden="1" customHeight="1" x14ac:dyDescent="0.3">
      <c r="B192" s="454" t="s">
        <v>3221</v>
      </c>
      <c r="C192" s="401"/>
      <c r="D192" s="401"/>
      <c r="E192" s="401"/>
      <c r="F192" s="401"/>
      <c r="G192" s="401"/>
      <c r="H192" s="401"/>
      <c r="I192" s="401"/>
      <c r="J192" s="404"/>
      <c r="K192" s="404"/>
      <c r="L192" s="404"/>
      <c r="M192" s="404"/>
      <c r="N192" s="404"/>
      <c r="O192" s="404"/>
      <c r="P192" s="404"/>
      <c r="Q192" s="404"/>
      <c r="R192" s="404"/>
      <c r="S192" s="404"/>
      <c r="T192" s="404"/>
      <c r="U192" s="404"/>
      <c r="V192" s="404"/>
      <c r="W192" s="404"/>
      <c r="X192" s="405"/>
      <c r="Y192" s="400" t="s">
        <v>2074</v>
      </c>
      <c r="Z192" s="401"/>
      <c r="AA192" s="401"/>
      <c r="AB192" s="402"/>
      <c r="AC192" s="402"/>
      <c r="AD192" s="402"/>
      <c r="AE192" s="402"/>
      <c r="AF192" s="402"/>
      <c r="AG192" s="402"/>
      <c r="AH192" s="402"/>
      <c r="AI192" s="402"/>
      <c r="AJ192" s="402"/>
      <c r="AK192" s="403"/>
      <c r="AL192" s="400" t="s">
        <v>1982</v>
      </c>
      <c r="AM192" s="401"/>
      <c r="AN192" s="401"/>
      <c r="AO192" s="404"/>
      <c r="AP192" s="404"/>
      <c r="AQ192" s="404"/>
      <c r="AR192" s="404"/>
      <c r="AS192" s="404"/>
      <c r="AT192" s="404"/>
      <c r="AU192" s="405"/>
      <c r="AV192" s="400" t="s">
        <v>1983</v>
      </c>
      <c r="AW192" s="401"/>
      <c r="AX192" s="404"/>
      <c r="AY192" s="404"/>
      <c r="AZ192" s="404"/>
      <c r="BA192" s="404"/>
      <c r="BB192" s="404"/>
      <c r="BC192" s="404"/>
      <c r="BD192" s="404"/>
      <c r="BE192" s="406"/>
      <c r="BF192" s="190"/>
      <c r="BG192" s="190"/>
      <c r="BH192" s="517" t="s">
        <v>389</v>
      </c>
      <c r="BI192" s="518"/>
      <c r="BJ192" s="489" t="s">
        <v>1649</v>
      </c>
      <c r="BK192" s="490"/>
      <c r="BL192" s="490"/>
      <c r="BM192" s="490"/>
      <c r="BN192" s="490"/>
      <c r="BO192" s="490"/>
      <c r="BP192" s="490"/>
      <c r="BQ192" s="490"/>
      <c r="BR192" s="490"/>
      <c r="BS192" s="490"/>
      <c r="BT192" s="490"/>
      <c r="BU192" s="490"/>
      <c r="BV192" s="483" t="s">
        <v>1644</v>
      </c>
      <c r="BW192" s="484"/>
      <c r="BX192" s="484"/>
      <c r="BY192" s="484"/>
      <c r="BZ192" s="484"/>
      <c r="CA192" s="484"/>
      <c r="CB192" s="484"/>
      <c r="CC192" s="484"/>
      <c r="CD192" s="485"/>
      <c r="CE192" s="513" t="s">
        <v>1675</v>
      </c>
      <c r="CF192" s="513"/>
      <c r="CG192" s="513"/>
      <c r="CH192" s="513"/>
      <c r="CI192" s="513"/>
      <c r="CJ192" s="513"/>
      <c r="CK192" s="513"/>
      <c r="CL192" s="513"/>
      <c r="CM192" s="513"/>
      <c r="CN192" s="513"/>
      <c r="CO192" s="489" t="s">
        <v>1676</v>
      </c>
      <c r="CP192" s="490"/>
      <c r="CQ192" s="490"/>
      <c r="CR192" s="490"/>
      <c r="CS192" s="490"/>
      <c r="CT192" s="490"/>
      <c r="CU192" s="490"/>
      <c r="CV192" s="490"/>
      <c r="CW192" s="490"/>
      <c r="CX192" s="490"/>
      <c r="CY192" s="490"/>
      <c r="CZ192" s="491"/>
      <c r="DA192" s="516" t="s">
        <v>1645</v>
      </c>
      <c r="DB192" s="516"/>
      <c r="DC192" s="516"/>
      <c r="DD192" s="516"/>
      <c r="DE192" s="516"/>
      <c r="DF192" s="516"/>
      <c r="DG192" s="516"/>
      <c r="DH192" s="516"/>
      <c r="DI192" s="516"/>
      <c r="DJ192" s="516"/>
      <c r="DK192" s="483" t="s">
        <v>1646</v>
      </c>
      <c r="DL192" s="484"/>
      <c r="DM192" s="484"/>
      <c r="DN192" s="484"/>
      <c r="DO192" s="484"/>
      <c r="DP192" s="484"/>
      <c r="DQ192" s="484"/>
      <c r="DR192" s="485"/>
    </row>
    <row r="193" spans="2:154" ht="22.5" hidden="1" customHeight="1" x14ac:dyDescent="0.3">
      <c r="B193" s="393" t="s">
        <v>1984</v>
      </c>
      <c r="C193" s="392"/>
      <c r="D193" s="392"/>
      <c r="E193" s="392"/>
      <c r="F193" s="389"/>
      <c r="G193" s="389"/>
      <c r="H193" s="389"/>
      <c r="I193" s="389"/>
      <c r="J193" s="389"/>
      <c r="K193" s="389"/>
      <c r="L193" s="389"/>
      <c r="M193" s="391" t="s">
        <v>307</v>
      </c>
      <c r="N193" s="392"/>
      <c r="O193" s="392"/>
      <c r="P193" s="392"/>
      <c r="Q193" s="392"/>
      <c r="R193" s="392"/>
      <c r="S193" s="392"/>
      <c r="T193" s="392"/>
      <c r="U193" s="433"/>
      <c r="V193" s="433"/>
      <c r="W193" s="433"/>
      <c r="X193" s="433"/>
      <c r="Y193" s="433"/>
      <c r="Z193" s="433"/>
      <c r="AA193" s="391" t="s">
        <v>2084</v>
      </c>
      <c r="AB193" s="392"/>
      <c r="AC193" s="392"/>
      <c r="AD193" s="392"/>
      <c r="AE193" s="392"/>
      <c r="AF193" s="392"/>
      <c r="AG193" s="392"/>
      <c r="AH193" s="392"/>
      <c r="AI193" s="433"/>
      <c r="AJ193" s="433"/>
      <c r="AK193" s="433"/>
      <c r="AL193" s="433"/>
      <c r="AM193" s="433"/>
      <c r="AN193" s="434"/>
      <c r="AO193" s="391" t="s">
        <v>279</v>
      </c>
      <c r="AP193" s="392"/>
      <c r="AQ193" s="392"/>
      <c r="AR193" s="392"/>
      <c r="AS193" s="392"/>
      <c r="AT193" s="437"/>
      <c r="AU193" s="437"/>
      <c r="AV193" s="437"/>
      <c r="AW193" s="437"/>
      <c r="AX193" s="437"/>
      <c r="AY193" s="437"/>
      <c r="AZ193" s="391" t="s">
        <v>2083</v>
      </c>
      <c r="BA193" s="392"/>
      <c r="BB193" s="392"/>
      <c r="BC193" s="392"/>
      <c r="BD193" s="389"/>
      <c r="BE193" s="390"/>
      <c r="BF193" s="190"/>
      <c r="BG193" s="190"/>
      <c r="BH193" s="514">
        <v>1</v>
      </c>
      <c r="BI193" s="515"/>
      <c r="BJ193" s="498"/>
      <c r="BK193" s="499"/>
      <c r="BL193" s="499"/>
      <c r="BM193" s="499"/>
      <c r="BN193" s="499"/>
      <c r="BO193" s="499"/>
      <c r="BP193" s="499"/>
      <c r="BQ193" s="499"/>
      <c r="BR193" s="499"/>
      <c r="BS193" s="499"/>
      <c r="BT193" s="499"/>
      <c r="BU193" s="499"/>
      <c r="BV193" s="500"/>
      <c r="BW193" s="501"/>
      <c r="BX193" s="501"/>
      <c r="BY193" s="501"/>
      <c r="BZ193" s="501"/>
      <c r="CA193" s="501"/>
      <c r="CB193" s="501"/>
      <c r="CC193" s="501"/>
      <c r="CD193" s="502"/>
      <c r="CE193" s="519"/>
      <c r="CF193" s="519"/>
      <c r="CG193" s="519"/>
      <c r="CH193" s="519"/>
      <c r="CI193" s="519"/>
      <c r="CJ193" s="519"/>
      <c r="CK193" s="519"/>
      <c r="CL193" s="519"/>
      <c r="CM193" s="519"/>
      <c r="CN193" s="519"/>
      <c r="CO193" s="507"/>
      <c r="CP193" s="508"/>
      <c r="CQ193" s="508"/>
      <c r="CR193" s="508"/>
      <c r="CS193" s="508"/>
      <c r="CT193" s="508"/>
      <c r="CU193" s="508"/>
      <c r="CV193" s="508"/>
      <c r="CW193" s="508"/>
      <c r="CX193" s="508"/>
      <c r="CY193" s="508"/>
      <c r="CZ193" s="509"/>
      <c r="DA193" s="510"/>
      <c r="DB193" s="510"/>
      <c r="DC193" s="510"/>
      <c r="DD193" s="510"/>
      <c r="DE193" s="510"/>
      <c r="DF193" s="510"/>
      <c r="DG193" s="510"/>
      <c r="DH193" s="510"/>
      <c r="DI193" s="510"/>
      <c r="DJ193" s="510"/>
      <c r="DK193" s="492"/>
      <c r="DL193" s="493"/>
      <c r="DM193" s="493"/>
      <c r="DN193" s="493"/>
      <c r="DO193" s="493"/>
      <c r="DP193" s="493"/>
      <c r="DQ193" s="493"/>
      <c r="DR193" s="494"/>
    </row>
    <row r="194" spans="2:154" ht="22.5" hidden="1" customHeight="1" x14ac:dyDescent="0.3">
      <c r="B194" s="393" t="s">
        <v>2091</v>
      </c>
      <c r="C194" s="392"/>
      <c r="D194" s="392"/>
      <c r="E194" s="392"/>
      <c r="F194" s="392"/>
      <c r="G194" s="392"/>
      <c r="H194" s="392"/>
      <c r="I194" s="392"/>
      <c r="J194" s="392"/>
      <c r="K194" s="389"/>
      <c r="L194" s="389"/>
      <c r="M194" s="391" t="s">
        <v>2089</v>
      </c>
      <c r="N194" s="392"/>
      <c r="O194" s="392"/>
      <c r="P194" s="392"/>
      <c r="Q194" s="392"/>
      <c r="R194" s="392"/>
      <c r="S194" s="389"/>
      <c r="T194" s="389"/>
      <c r="U194" s="389"/>
      <c r="V194" s="389"/>
      <c r="W194" s="389"/>
      <c r="X194" s="391" t="s">
        <v>2092</v>
      </c>
      <c r="Y194" s="392"/>
      <c r="Z194" s="392"/>
      <c r="AA194" s="392"/>
      <c r="AB194" s="392"/>
      <c r="AC194" s="392"/>
      <c r="AD194" s="392"/>
      <c r="AE194" s="392"/>
      <c r="AF194" s="392"/>
      <c r="AG194" s="392"/>
      <c r="AH194" s="392"/>
      <c r="AI194" s="392"/>
      <c r="AJ194" s="392"/>
      <c r="AK194" s="392"/>
      <c r="AL194" s="392"/>
      <c r="AM194" s="392"/>
      <c r="AN194" s="392"/>
      <c r="AO194" s="392"/>
      <c r="AP194" s="392"/>
      <c r="AQ194" s="392"/>
      <c r="AR194" s="389"/>
      <c r="AS194" s="389"/>
      <c r="AT194" s="389"/>
      <c r="AU194" s="389"/>
      <c r="AV194" s="389"/>
      <c r="AW194" s="432"/>
      <c r="AX194" s="391" t="s">
        <v>796</v>
      </c>
      <c r="AY194" s="392"/>
      <c r="AZ194" s="392"/>
      <c r="BA194" s="392"/>
      <c r="BB194" s="392"/>
      <c r="BC194" s="392"/>
      <c r="BD194" s="389"/>
      <c r="BE194" s="390"/>
      <c r="BF194" s="190"/>
      <c r="BG194" s="190"/>
      <c r="BH194" s="443">
        <v>2</v>
      </c>
      <c r="BI194" s="444"/>
      <c r="BJ194" s="486"/>
      <c r="BK194" s="487"/>
      <c r="BL194" s="487"/>
      <c r="BM194" s="487"/>
      <c r="BN194" s="487"/>
      <c r="BO194" s="487"/>
      <c r="BP194" s="487"/>
      <c r="BQ194" s="487"/>
      <c r="BR194" s="487"/>
      <c r="BS194" s="487"/>
      <c r="BT194" s="487"/>
      <c r="BU194" s="487"/>
      <c r="BV194" s="500"/>
      <c r="BW194" s="501"/>
      <c r="BX194" s="501"/>
      <c r="BY194" s="501"/>
      <c r="BZ194" s="501"/>
      <c r="CA194" s="501"/>
      <c r="CB194" s="501"/>
      <c r="CC194" s="501"/>
      <c r="CD194" s="502"/>
      <c r="CE194" s="495"/>
      <c r="CF194" s="495"/>
      <c r="CG194" s="495"/>
      <c r="CH194" s="495"/>
      <c r="CI194" s="495"/>
      <c r="CJ194" s="495"/>
      <c r="CK194" s="495"/>
      <c r="CL194" s="495"/>
      <c r="CM194" s="495"/>
      <c r="CN194" s="495"/>
      <c r="CO194" s="486"/>
      <c r="CP194" s="487"/>
      <c r="CQ194" s="487"/>
      <c r="CR194" s="487"/>
      <c r="CS194" s="487"/>
      <c r="CT194" s="487"/>
      <c r="CU194" s="487"/>
      <c r="CV194" s="487"/>
      <c r="CW194" s="487"/>
      <c r="CX194" s="487"/>
      <c r="CY194" s="487"/>
      <c r="CZ194" s="488"/>
      <c r="DA194" s="495"/>
      <c r="DB194" s="495"/>
      <c r="DC194" s="495"/>
      <c r="DD194" s="495"/>
      <c r="DE194" s="495"/>
      <c r="DF194" s="495"/>
      <c r="DG194" s="495"/>
      <c r="DH194" s="495"/>
      <c r="DI194" s="495"/>
      <c r="DJ194" s="495"/>
      <c r="DK194" s="480"/>
      <c r="DL194" s="481"/>
      <c r="DM194" s="481"/>
      <c r="DN194" s="481"/>
      <c r="DO194" s="481"/>
      <c r="DP194" s="481"/>
      <c r="DQ194" s="481"/>
      <c r="DR194" s="482"/>
    </row>
    <row r="195" spans="2:154" ht="22.5" hidden="1" customHeight="1" x14ac:dyDescent="0.3">
      <c r="B195" s="393" t="s">
        <v>2978</v>
      </c>
      <c r="C195" s="392"/>
      <c r="D195" s="392"/>
      <c r="E195" s="392"/>
      <c r="F195" s="392"/>
      <c r="G195" s="392"/>
      <c r="H195" s="392"/>
      <c r="I195" s="392"/>
      <c r="J195" s="392"/>
      <c r="K195" s="389"/>
      <c r="L195" s="389"/>
      <c r="M195" s="391" t="s">
        <v>2089</v>
      </c>
      <c r="N195" s="392"/>
      <c r="O195" s="392"/>
      <c r="P195" s="392"/>
      <c r="Q195" s="392"/>
      <c r="R195" s="392"/>
      <c r="S195" s="389"/>
      <c r="T195" s="389"/>
      <c r="U195" s="389"/>
      <c r="V195" s="389"/>
      <c r="W195" s="389"/>
      <c r="X195" s="391" t="s">
        <v>2118</v>
      </c>
      <c r="Y195" s="392"/>
      <c r="Z195" s="392"/>
      <c r="AA195" s="392"/>
      <c r="AB195" s="392"/>
      <c r="AC195" s="392"/>
      <c r="AD195" s="392"/>
      <c r="AE195" s="442"/>
      <c r="AF195" s="442"/>
      <c r="AG195" s="442"/>
      <c r="AH195" s="442"/>
      <c r="AI195" s="442"/>
      <c r="AJ195" s="391" t="s">
        <v>2090</v>
      </c>
      <c r="AK195" s="392"/>
      <c r="AL195" s="392"/>
      <c r="AM195" s="392"/>
      <c r="AN195" s="392"/>
      <c r="AO195" s="392"/>
      <c r="AP195" s="392"/>
      <c r="AQ195" s="392"/>
      <c r="AR195" s="433"/>
      <c r="AS195" s="433"/>
      <c r="AT195" s="433"/>
      <c r="AU195" s="433"/>
      <c r="AV195" s="433"/>
      <c r="AW195" s="434"/>
      <c r="AX195" s="391" t="s">
        <v>2085</v>
      </c>
      <c r="AY195" s="392"/>
      <c r="AZ195" s="392"/>
      <c r="BA195" s="392"/>
      <c r="BB195" s="392"/>
      <c r="BC195" s="392"/>
      <c r="BD195" s="389"/>
      <c r="BE195" s="390"/>
      <c r="BF195" s="190"/>
      <c r="BG195" s="190"/>
      <c r="BH195" s="443">
        <v>3</v>
      </c>
      <c r="BI195" s="444"/>
      <c r="BJ195" s="486"/>
      <c r="BK195" s="487"/>
      <c r="BL195" s="487"/>
      <c r="BM195" s="487"/>
      <c r="BN195" s="487"/>
      <c r="BO195" s="487"/>
      <c r="BP195" s="487"/>
      <c r="BQ195" s="487"/>
      <c r="BR195" s="487"/>
      <c r="BS195" s="487"/>
      <c r="BT195" s="487"/>
      <c r="BU195" s="487"/>
      <c r="BV195" s="500"/>
      <c r="BW195" s="501"/>
      <c r="BX195" s="501"/>
      <c r="BY195" s="501"/>
      <c r="BZ195" s="501"/>
      <c r="CA195" s="501"/>
      <c r="CB195" s="501"/>
      <c r="CC195" s="501"/>
      <c r="CD195" s="502"/>
      <c r="CE195" s="506"/>
      <c r="CF195" s="506"/>
      <c r="CG195" s="506"/>
      <c r="CH195" s="506"/>
      <c r="CI195" s="506"/>
      <c r="CJ195" s="506"/>
      <c r="CK195" s="506"/>
      <c r="CL195" s="506"/>
      <c r="CM195" s="506"/>
      <c r="CN195" s="506"/>
      <c r="CO195" s="500"/>
      <c r="CP195" s="501"/>
      <c r="CQ195" s="501"/>
      <c r="CR195" s="501"/>
      <c r="CS195" s="501"/>
      <c r="CT195" s="501"/>
      <c r="CU195" s="501"/>
      <c r="CV195" s="501"/>
      <c r="CW195" s="501"/>
      <c r="CX195" s="501"/>
      <c r="CY195" s="501"/>
      <c r="CZ195" s="502"/>
      <c r="DA195" s="495"/>
      <c r="DB195" s="495"/>
      <c r="DC195" s="495"/>
      <c r="DD195" s="495"/>
      <c r="DE195" s="495"/>
      <c r="DF195" s="495"/>
      <c r="DG195" s="495"/>
      <c r="DH195" s="495"/>
      <c r="DI195" s="495"/>
      <c r="DJ195" s="495"/>
      <c r="DK195" s="480"/>
      <c r="DL195" s="481"/>
      <c r="DM195" s="481"/>
      <c r="DN195" s="481"/>
      <c r="DO195" s="481"/>
      <c r="DP195" s="481"/>
      <c r="DQ195" s="481"/>
      <c r="DR195" s="482"/>
    </row>
    <row r="196" spans="2:154" ht="22.5" hidden="1" customHeight="1" x14ac:dyDescent="0.3">
      <c r="B196" s="438" t="s">
        <v>2916</v>
      </c>
      <c r="C196" s="436"/>
      <c r="D196" s="436"/>
      <c r="E196" s="436"/>
      <c r="F196" s="436"/>
      <c r="G196" s="436"/>
      <c r="H196" s="436"/>
      <c r="I196" s="436"/>
      <c r="J196" s="436"/>
      <c r="K196" s="387"/>
      <c r="L196" s="387"/>
      <c r="M196" s="435" t="s">
        <v>2086</v>
      </c>
      <c r="N196" s="436"/>
      <c r="O196" s="436"/>
      <c r="P196" s="436"/>
      <c r="Q196" s="436"/>
      <c r="R196" s="436"/>
      <c r="S196" s="439"/>
      <c r="T196" s="387"/>
      <c r="U196" s="387"/>
      <c r="V196" s="387"/>
      <c r="W196" s="387"/>
      <c r="X196" s="435" t="s">
        <v>2087</v>
      </c>
      <c r="Y196" s="436"/>
      <c r="Z196" s="436"/>
      <c r="AA196" s="436"/>
      <c r="AB196" s="436"/>
      <c r="AC196" s="436"/>
      <c r="AD196" s="436"/>
      <c r="AE196" s="387"/>
      <c r="AF196" s="387"/>
      <c r="AG196" s="387"/>
      <c r="AH196" s="387"/>
      <c r="AI196" s="387"/>
      <c r="AJ196" s="435" t="s">
        <v>2088</v>
      </c>
      <c r="AK196" s="436"/>
      <c r="AL196" s="436"/>
      <c r="AM196" s="436"/>
      <c r="AN196" s="436"/>
      <c r="AO196" s="436"/>
      <c r="AP196" s="436"/>
      <c r="AQ196" s="436"/>
      <c r="AR196" s="387"/>
      <c r="AS196" s="387"/>
      <c r="AT196" s="387"/>
      <c r="AU196" s="387"/>
      <c r="AV196" s="387"/>
      <c r="AW196" s="387"/>
      <c r="AX196" s="387"/>
      <c r="AY196" s="387"/>
      <c r="AZ196" s="387"/>
      <c r="BA196" s="387"/>
      <c r="BB196" s="387"/>
      <c r="BC196" s="387"/>
      <c r="BD196" s="387"/>
      <c r="BE196" s="388"/>
      <c r="BF196" s="190"/>
      <c r="BG196" s="190"/>
      <c r="BH196" s="445">
        <v>4</v>
      </c>
      <c r="BI196" s="446"/>
      <c r="BJ196" s="496"/>
      <c r="BK196" s="461"/>
      <c r="BL196" s="461"/>
      <c r="BM196" s="461"/>
      <c r="BN196" s="461"/>
      <c r="BO196" s="461"/>
      <c r="BP196" s="461"/>
      <c r="BQ196" s="461"/>
      <c r="BR196" s="461"/>
      <c r="BS196" s="461"/>
      <c r="BT196" s="461"/>
      <c r="BU196" s="461"/>
      <c r="BV196" s="521"/>
      <c r="BW196" s="522"/>
      <c r="BX196" s="522"/>
      <c r="BY196" s="522"/>
      <c r="BZ196" s="522"/>
      <c r="CA196" s="522"/>
      <c r="CB196" s="522"/>
      <c r="CC196" s="522"/>
      <c r="CD196" s="523"/>
      <c r="CE196" s="497"/>
      <c r="CF196" s="497"/>
      <c r="CG196" s="497"/>
      <c r="CH196" s="497"/>
      <c r="CI196" s="497"/>
      <c r="CJ196" s="497"/>
      <c r="CK196" s="497"/>
      <c r="CL196" s="497"/>
      <c r="CM196" s="497"/>
      <c r="CN196" s="497"/>
      <c r="CO196" s="496"/>
      <c r="CP196" s="461"/>
      <c r="CQ196" s="461"/>
      <c r="CR196" s="461"/>
      <c r="CS196" s="461"/>
      <c r="CT196" s="461"/>
      <c r="CU196" s="461"/>
      <c r="CV196" s="461"/>
      <c r="CW196" s="461"/>
      <c r="CX196" s="461"/>
      <c r="CY196" s="461"/>
      <c r="CZ196" s="520"/>
      <c r="DA196" s="497"/>
      <c r="DB196" s="497"/>
      <c r="DC196" s="497"/>
      <c r="DD196" s="497"/>
      <c r="DE196" s="497"/>
      <c r="DF196" s="497"/>
      <c r="DG196" s="497"/>
      <c r="DH196" s="497"/>
      <c r="DI196" s="497"/>
      <c r="DJ196" s="497"/>
      <c r="DK196" s="503"/>
      <c r="DL196" s="504"/>
      <c r="DM196" s="504"/>
      <c r="DN196" s="504"/>
      <c r="DO196" s="504"/>
      <c r="DP196" s="504"/>
      <c r="DQ196" s="504"/>
      <c r="DR196" s="505"/>
    </row>
    <row r="197" spans="2:154" ht="22.5" hidden="1" customHeight="1" x14ac:dyDescent="0.3">
      <c r="B197" s="381" t="s">
        <v>278</v>
      </c>
      <c r="C197" s="382"/>
      <c r="D197" s="382"/>
      <c r="E197" s="382"/>
      <c r="F197" s="382"/>
      <c r="G197" s="382"/>
      <c r="H197" s="382"/>
      <c r="I197" s="382"/>
      <c r="J197" s="421"/>
      <c r="K197" s="421"/>
      <c r="L197" s="421"/>
      <c r="M197" s="421"/>
      <c r="N197" s="421"/>
      <c r="O197" s="421"/>
      <c r="P197" s="421"/>
      <c r="Q197" s="421"/>
      <c r="R197" s="421"/>
      <c r="S197" s="421"/>
      <c r="T197" s="421"/>
      <c r="U197" s="421"/>
      <c r="V197" s="421"/>
      <c r="W197" s="421"/>
      <c r="X197" s="421"/>
      <c r="Y197" s="421"/>
      <c r="Z197" s="421"/>
      <c r="AA197" s="421"/>
      <c r="AB197" s="421"/>
      <c r="AC197" s="421"/>
      <c r="AD197" s="421"/>
      <c r="AE197" s="421"/>
      <c r="AF197" s="421"/>
      <c r="AG197" s="421"/>
      <c r="AH197" s="421"/>
      <c r="AI197" s="421"/>
      <c r="AJ197" s="421"/>
      <c r="AK197" s="421"/>
      <c r="AL197" s="421"/>
      <c r="AM197" s="421"/>
      <c r="AN197" s="421"/>
      <c r="AO197" s="421"/>
      <c r="AP197" s="421"/>
      <c r="AQ197" s="421"/>
      <c r="AR197" s="421"/>
      <c r="AS197" s="421"/>
      <c r="AT197" s="421"/>
      <c r="AU197" s="421"/>
      <c r="AV197" s="421"/>
      <c r="AW197" s="421"/>
      <c r="AX197" s="421"/>
      <c r="AY197" s="421"/>
      <c r="AZ197" s="421"/>
      <c r="BA197" s="421"/>
      <c r="BB197" s="421"/>
      <c r="BC197" s="421"/>
      <c r="BD197" s="421"/>
      <c r="BE197" s="422"/>
      <c r="BF197" s="190"/>
      <c r="BG197" s="190"/>
      <c r="DA197" s="511" t="s">
        <v>1647</v>
      </c>
      <c r="DB197" s="512"/>
      <c r="DC197" s="512"/>
      <c r="DD197" s="512"/>
      <c r="DE197" s="512"/>
      <c r="DF197" s="512"/>
      <c r="DG197" s="512"/>
      <c r="DH197" s="512"/>
      <c r="DI197" s="512"/>
      <c r="DJ197" s="512"/>
      <c r="DK197" s="418">
        <f>SUM(DK193:DR196)</f>
        <v>0</v>
      </c>
      <c r="DL197" s="419"/>
      <c r="DM197" s="419"/>
      <c r="DN197" s="419"/>
      <c r="DO197" s="419"/>
      <c r="DP197" s="419"/>
      <c r="DQ197" s="419"/>
      <c r="DR197" s="420"/>
    </row>
    <row r="198" spans="2:154" ht="24" hidden="1" customHeight="1" x14ac:dyDescent="0.25">
      <c r="B198" s="383" t="s">
        <v>2944</v>
      </c>
      <c r="C198" s="384"/>
      <c r="D198" s="384"/>
      <c r="E198" s="384"/>
      <c r="F198" s="384"/>
      <c r="G198" s="384"/>
      <c r="H198" s="384"/>
      <c r="I198" s="384"/>
      <c r="J198" s="423"/>
      <c r="K198" s="423"/>
      <c r="L198" s="423"/>
      <c r="M198" s="423"/>
      <c r="N198" s="423"/>
      <c r="O198" s="423"/>
      <c r="P198" s="423"/>
      <c r="Q198" s="423"/>
      <c r="R198" s="423"/>
      <c r="S198" s="423"/>
      <c r="T198" s="423"/>
      <c r="U198" s="423"/>
      <c r="V198" s="423"/>
      <c r="W198" s="423"/>
      <c r="X198" s="423"/>
      <c r="Y198" s="423"/>
      <c r="Z198" s="423"/>
      <c r="AA198" s="423"/>
      <c r="AB198" s="423"/>
      <c r="AC198" s="423"/>
      <c r="AD198" s="423"/>
      <c r="AE198" s="423"/>
      <c r="AF198" s="423"/>
      <c r="AG198" s="423"/>
      <c r="AH198" s="423"/>
      <c r="AI198" s="423"/>
      <c r="AJ198" s="423"/>
      <c r="AK198" s="423"/>
      <c r="AL198" s="423"/>
      <c r="AM198" s="423"/>
      <c r="AN198" s="423"/>
      <c r="AO198" s="423"/>
      <c r="AP198" s="423"/>
      <c r="AQ198" s="423"/>
      <c r="AR198" s="423"/>
      <c r="AS198" s="423"/>
      <c r="AT198" s="423"/>
      <c r="AU198" s="423"/>
      <c r="AV198" s="423"/>
      <c r="AW198" s="423"/>
      <c r="AX198" s="423"/>
      <c r="AY198" s="423"/>
      <c r="AZ198" s="423"/>
      <c r="BA198" s="423"/>
      <c r="BB198" s="423"/>
      <c r="BC198" s="423"/>
      <c r="BD198" s="423"/>
      <c r="BE198" s="424"/>
      <c r="ED198"/>
      <c r="EE198"/>
      <c r="EF198"/>
      <c r="EG198"/>
      <c r="EH198"/>
      <c r="EI198"/>
      <c r="EJ198"/>
      <c r="EK198"/>
      <c r="EL198"/>
      <c r="EM198"/>
      <c r="EN198"/>
      <c r="EO198"/>
      <c r="EP198"/>
      <c r="EQ198"/>
      <c r="ER198"/>
      <c r="ES198"/>
      <c r="ET198"/>
      <c r="EU198"/>
      <c r="EV198"/>
      <c r="EW198"/>
      <c r="EX198"/>
    </row>
    <row r="199" spans="2:154" ht="24" hidden="1" customHeight="1" thickBot="1" x14ac:dyDescent="0.3">
      <c r="B199" s="385"/>
      <c r="C199" s="386"/>
      <c r="D199" s="386"/>
      <c r="E199" s="386"/>
      <c r="F199" s="386"/>
      <c r="G199" s="386"/>
      <c r="H199" s="386"/>
      <c r="I199" s="386"/>
      <c r="J199" s="425"/>
      <c r="K199" s="425"/>
      <c r="L199" s="425"/>
      <c r="M199" s="425"/>
      <c r="N199" s="425"/>
      <c r="O199" s="425"/>
      <c r="P199" s="425"/>
      <c r="Q199" s="425"/>
      <c r="R199" s="425"/>
      <c r="S199" s="425"/>
      <c r="T199" s="425"/>
      <c r="U199" s="425"/>
      <c r="V199" s="425"/>
      <c r="W199" s="425"/>
      <c r="X199" s="425"/>
      <c r="Y199" s="425"/>
      <c r="Z199" s="425"/>
      <c r="AA199" s="425"/>
      <c r="AB199" s="425"/>
      <c r="AC199" s="425"/>
      <c r="AD199" s="425"/>
      <c r="AE199" s="425"/>
      <c r="AF199" s="425"/>
      <c r="AG199" s="425"/>
      <c r="AH199" s="425"/>
      <c r="AI199" s="425"/>
      <c r="AJ199" s="425"/>
      <c r="AK199" s="425"/>
      <c r="AL199" s="425"/>
      <c r="AM199" s="425"/>
      <c r="AN199" s="425"/>
      <c r="AO199" s="425"/>
      <c r="AP199" s="425"/>
      <c r="AQ199" s="425"/>
      <c r="AR199" s="425"/>
      <c r="AS199" s="425"/>
      <c r="AT199" s="425"/>
      <c r="AU199" s="425"/>
      <c r="AV199" s="425"/>
      <c r="AW199" s="425"/>
      <c r="AX199" s="425"/>
      <c r="AY199" s="425"/>
      <c r="AZ199" s="425"/>
      <c r="BA199" s="425"/>
      <c r="BB199" s="425"/>
      <c r="BC199" s="425"/>
      <c r="BD199" s="425"/>
      <c r="BE199" s="426"/>
      <c r="ED199"/>
      <c r="EE199"/>
      <c r="EF199"/>
      <c r="EG199"/>
      <c r="EH199"/>
      <c r="EI199"/>
      <c r="EJ199"/>
      <c r="EK199"/>
      <c r="EL199"/>
      <c r="EM199"/>
      <c r="EN199"/>
      <c r="EO199"/>
      <c r="EP199"/>
      <c r="EQ199"/>
      <c r="ER199"/>
      <c r="ES199"/>
      <c r="ET199"/>
      <c r="EU199"/>
      <c r="EV199"/>
      <c r="EW199"/>
      <c r="EX199"/>
    </row>
    <row r="200" spans="2:154" ht="24" hidden="1" customHeight="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ED200"/>
      <c r="EE200"/>
      <c r="EF200"/>
      <c r="EG200"/>
      <c r="EH200"/>
      <c r="EI200"/>
      <c r="EJ200"/>
      <c r="EK200"/>
      <c r="EL200"/>
      <c r="EM200"/>
      <c r="EN200"/>
      <c r="EO200"/>
      <c r="EP200"/>
      <c r="EQ200"/>
      <c r="ER200"/>
      <c r="ES200"/>
      <c r="ET200"/>
      <c r="EU200"/>
      <c r="EV200"/>
      <c r="EW200"/>
      <c r="EX200"/>
    </row>
    <row r="201" spans="2:154" ht="18.75" hidden="1" customHeight="1" x14ac:dyDescent="0.3">
      <c r="B201" s="190"/>
      <c r="C201" s="190"/>
      <c r="D201" s="190"/>
      <c r="E201" s="190"/>
      <c r="F201" s="190"/>
      <c r="G201" s="190"/>
      <c r="H201" s="190"/>
      <c r="I201" s="190"/>
      <c r="J201" s="190"/>
      <c r="K201" s="190"/>
      <c r="L201" s="190"/>
      <c r="M201" s="190"/>
      <c r="N201" s="190"/>
      <c r="O201" s="190"/>
      <c r="P201" s="190"/>
      <c r="Q201" s="190"/>
      <c r="R201" s="190"/>
      <c r="S201" s="190"/>
      <c r="T201" s="190"/>
      <c r="U201" s="190"/>
      <c r="V201" s="190"/>
      <c r="W201" s="190"/>
      <c r="X201" s="190"/>
      <c r="Y201" s="190"/>
      <c r="Z201" s="190"/>
      <c r="AA201" s="190"/>
      <c r="AB201" s="190"/>
      <c r="AC201" s="190"/>
      <c r="AD201" s="190"/>
      <c r="AE201" s="190"/>
      <c r="AF201" s="190"/>
      <c r="AG201" s="190"/>
      <c r="AH201" s="190"/>
      <c r="AI201" s="190"/>
      <c r="AJ201" s="190"/>
      <c r="AK201" s="190"/>
      <c r="AL201" s="190"/>
      <c r="AM201" s="190"/>
      <c r="AN201" s="190"/>
      <c r="AO201" s="190"/>
      <c r="AP201" s="190"/>
      <c r="AQ201" s="190"/>
      <c r="AR201" s="190"/>
      <c r="AS201" s="190"/>
      <c r="AT201" s="190"/>
      <c r="AU201" s="190"/>
      <c r="AV201" s="190"/>
      <c r="AW201" s="190"/>
      <c r="AX201" s="190"/>
      <c r="AY201" s="190"/>
      <c r="AZ201" s="190"/>
      <c r="BA201" s="190"/>
      <c r="BB201" s="190"/>
      <c r="BC201" s="190"/>
      <c r="BD201" s="190"/>
      <c r="BE201" s="190"/>
      <c r="BF201" s="190"/>
      <c r="BG201" s="190"/>
      <c r="BH201" s="190"/>
      <c r="BI201" s="190"/>
      <c r="BJ201" s="190"/>
      <c r="BK201" s="190"/>
      <c r="BL201" s="190"/>
      <c r="BM201" s="190"/>
      <c r="BN201" s="190"/>
      <c r="BO201" s="190"/>
      <c r="BP201" s="190"/>
      <c r="BQ201" s="190"/>
      <c r="BR201" s="190"/>
      <c r="BS201" s="190"/>
      <c r="BT201" s="190"/>
      <c r="BU201" s="190"/>
      <c r="BV201" s="190"/>
      <c r="BW201" s="190"/>
      <c r="BX201" s="190"/>
      <c r="ED201"/>
      <c r="EE201"/>
      <c r="EF201"/>
      <c r="EG201"/>
      <c r="EH201"/>
      <c r="EI201"/>
      <c r="EJ201"/>
      <c r="EK201"/>
      <c r="EL201"/>
      <c r="EM201"/>
      <c r="EN201"/>
      <c r="EO201"/>
      <c r="EP201"/>
      <c r="EQ201"/>
      <c r="ER201"/>
      <c r="ES201"/>
      <c r="ET201"/>
      <c r="EU201"/>
      <c r="EV201"/>
      <c r="EW201"/>
      <c r="EX201"/>
    </row>
    <row r="202" spans="2:154" ht="22.5" hidden="1" customHeight="1" thickBot="1" x14ac:dyDescent="0.35">
      <c r="B202" s="440" t="s">
        <v>294</v>
      </c>
      <c r="C202" s="440"/>
      <c r="D202" s="440"/>
      <c r="E202" s="440"/>
      <c r="F202" s="440"/>
      <c r="G202" s="440"/>
      <c r="H202" s="440"/>
      <c r="I202" s="440"/>
      <c r="J202" s="440"/>
      <c r="K202" s="440"/>
      <c r="L202" s="440"/>
      <c r="M202" s="440"/>
      <c r="N202" s="440"/>
      <c r="O202" s="440"/>
      <c r="P202" s="440"/>
      <c r="Q202" s="440"/>
      <c r="R202" s="440"/>
      <c r="S202" s="440"/>
      <c r="T202" s="440"/>
      <c r="U202" s="440"/>
      <c r="V202" s="440"/>
      <c r="W202" s="440"/>
      <c r="X202" s="440"/>
      <c r="Y202" s="440"/>
      <c r="Z202" s="440"/>
      <c r="AA202" s="440"/>
      <c r="AB202" s="440"/>
      <c r="AC202" s="440"/>
      <c r="AD202" s="440"/>
      <c r="AE202" s="440"/>
      <c r="AF202" s="440"/>
      <c r="AG202" s="440"/>
      <c r="AH202" s="440"/>
      <c r="AI202" s="440"/>
      <c r="AJ202" s="440"/>
      <c r="AK202" s="440"/>
      <c r="AL202" s="440"/>
      <c r="AM202" s="440"/>
      <c r="AN202" s="440"/>
      <c r="AO202" s="440"/>
      <c r="AP202" s="440"/>
      <c r="AQ202" s="440"/>
      <c r="AR202" s="440"/>
      <c r="AS202" s="440"/>
      <c r="AT202" s="440"/>
      <c r="AU202" s="440"/>
      <c r="AV202" s="440"/>
      <c r="AW202" s="440"/>
      <c r="AX202" s="440"/>
      <c r="AY202" s="440"/>
      <c r="AZ202" s="440"/>
      <c r="BA202" s="440"/>
      <c r="BB202" s="440"/>
      <c r="BC202" s="440"/>
      <c r="BD202" s="440"/>
      <c r="BE202" s="440"/>
      <c r="BF202" s="187"/>
      <c r="BG202" s="187"/>
      <c r="BJ202" s="178" t="s">
        <v>1648</v>
      </c>
    </row>
    <row r="203" spans="2:154" ht="22.5" hidden="1" customHeight="1" x14ac:dyDescent="0.3">
      <c r="B203" s="454" t="s">
        <v>3221</v>
      </c>
      <c r="C203" s="401"/>
      <c r="D203" s="401"/>
      <c r="E203" s="401"/>
      <c r="F203" s="401"/>
      <c r="G203" s="401"/>
      <c r="H203" s="401"/>
      <c r="I203" s="401"/>
      <c r="J203" s="404"/>
      <c r="K203" s="404"/>
      <c r="L203" s="404"/>
      <c r="M203" s="404"/>
      <c r="N203" s="404"/>
      <c r="O203" s="404"/>
      <c r="P203" s="404"/>
      <c r="Q203" s="404"/>
      <c r="R203" s="404"/>
      <c r="S203" s="404"/>
      <c r="T203" s="404"/>
      <c r="U203" s="404"/>
      <c r="V203" s="404"/>
      <c r="W203" s="404"/>
      <c r="X203" s="405"/>
      <c r="Y203" s="400" t="s">
        <v>2074</v>
      </c>
      <c r="Z203" s="401"/>
      <c r="AA203" s="401"/>
      <c r="AB203" s="402"/>
      <c r="AC203" s="402"/>
      <c r="AD203" s="402"/>
      <c r="AE203" s="402"/>
      <c r="AF203" s="402"/>
      <c r="AG203" s="402"/>
      <c r="AH203" s="402"/>
      <c r="AI203" s="402"/>
      <c r="AJ203" s="402"/>
      <c r="AK203" s="403"/>
      <c r="AL203" s="400" t="s">
        <v>1982</v>
      </c>
      <c r="AM203" s="401"/>
      <c r="AN203" s="401"/>
      <c r="AO203" s="404"/>
      <c r="AP203" s="404"/>
      <c r="AQ203" s="404"/>
      <c r="AR203" s="404"/>
      <c r="AS203" s="404"/>
      <c r="AT203" s="404"/>
      <c r="AU203" s="405"/>
      <c r="AV203" s="400" t="s">
        <v>1983</v>
      </c>
      <c r="AW203" s="401"/>
      <c r="AX203" s="404"/>
      <c r="AY203" s="404"/>
      <c r="AZ203" s="404"/>
      <c r="BA203" s="404"/>
      <c r="BB203" s="404"/>
      <c r="BC203" s="404"/>
      <c r="BD203" s="404"/>
      <c r="BE203" s="406"/>
      <c r="BF203" s="190"/>
      <c r="BG203" s="190"/>
      <c r="BH203" s="517" t="s">
        <v>389</v>
      </c>
      <c r="BI203" s="518"/>
      <c r="BJ203" s="489" t="s">
        <v>1649</v>
      </c>
      <c r="BK203" s="490"/>
      <c r="BL203" s="490"/>
      <c r="BM203" s="490"/>
      <c r="BN203" s="490"/>
      <c r="BO203" s="490"/>
      <c r="BP203" s="490"/>
      <c r="BQ203" s="490"/>
      <c r="BR203" s="490"/>
      <c r="BS203" s="490"/>
      <c r="BT203" s="490"/>
      <c r="BU203" s="490"/>
      <c r="BV203" s="483" t="s">
        <v>1644</v>
      </c>
      <c r="BW203" s="484"/>
      <c r="BX203" s="484"/>
      <c r="BY203" s="484"/>
      <c r="BZ203" s="484"/>
      <c r="CA203" s="484"/>
      <c r="CB203" s="484"/>
      <c r="CC203" s="484"/>
      <c r="CD203" s="485"/>
      <c r="CE203" s="513" t="s">
        <v>1675</v>
      </c>
      <c r="CF203" s="513"/>
      <c r="CG203" s="513"/>
      <c r="CH203" s="513"/>
      <c r="CI203" s="513"/>
      <c r="CJ203" s="513"/>
      <c r="CK203" s="513"/>
      <c r="CL203" s="513"/>
      <c r="CM203" s="513"/>
      <c r="CN203" s="513"/>
      <c r="CO203" s="489" t="s">
        <v>1676</v>
      </c>
      <c r="CP203" s="490"/>
      <c r="CQ203" s="490"/>
      <c r="CR203" s="490"/>
      <c r="CS203" s="490"/>
      <c r="CT203" s="490"/>
      <c r="CU203" s="490"/>
      <c r="CV203" s="490"/>
      <c r="CW203" s="490"/>
      <c r="CX203" s="490"/>
      <c r="CY203" s="490"/>
      <c r="CZ203" s="491"/>
      <c r="DA203" s="516" t="s">
        <v>1645</v>
      </c>
      <c r="DB203" s="516"/>
      <c r="DC203" s="516"/>
      <c r="DD203" s="516"/>
      <c r="DE203" s="516"/>
      <c r="DF203" s="516"/>
      <c r="DG203" s="516"/>
      <c r="DH203" s="516"/>
      <c r="DI203" s="516"/>
      <c r="DJ203" s="516"/>
      <c r="DK203" s="483" t="s">
        <v>1646</v>
      </c>
      <c r="DL203" s="484"/>
      <c r="DM203" s="484"/>
      <c r="DN203" s="484"/>
      <c r="DO203" s="484"/>
      <c r="DP203" s="484"/>
      <c r="DQ203" s="484"/>
      <c r="DR203" s="485"/>
    </row>
    <row r="204" spans="2:154" ht="22.5" hidden="1" customHeight="1" x14ac:dyDescent="0.3">
      <c r="B204" s="393" t="s">
        <v>1984</v>
      </c>
      <c r="C204" s="392"/>
      <c r="D204" s="392"/>
      <c r="E204" s="392"/>
      <c r="F204" s="389"/>
      <c r="G204" s="389"/>
      <c r="H204" s="389"/>
      <c r="I204" s="389"/>
      <c r="J204" s="389"/>
      <c r="K204" s="389"/>
      <c r="L204" s="389"/>
      <c r="M204" s="391" t="s">
        <v>307</v>
      </c>
      <c r="N204" s="392"/>
      <c r="O204" s="392"/>
      <c r="P204" s="392"/>
      <c r="Q204" s="392"/>
      <c r="R204" s="392"/>
      <c r="S204" s="392"/>
      <c r="T204" s="392"/>
      <c r="U204" s="433"/>
      <c r="V204" s="433"/>
      <c r="W204" s="433"/>
      <c r="X204" s="433"/>
      <c r="Y204" s="433"/>
      <c r="Z204" s="433"/>
      <c r="AA204" s="391" t="s">
        <v>2084</v>
      </c>
      <c r="AB204" s="392"/>
      <c r="AC204" s="392"/>
      <c r="AD204" s="392"/>
      <c r="AE204" s="392"/>
      <c r="AF204" s="392"/>
      <c r="AG204" s="392"/>
      <c r="AH204" s="392"/>
      <c r="AI204" s="433"/>
      <c r="AJ204" s="433"/>
      <c r="AK204" s="433"/>
      <c r="AL204" s="433"/>
      <c r="AM204" s="433"/>
      <c r="AN204" s="434"/>
      <c r="AO204" s="391" t="s">
        <v>279</v>
      </c>
      <c r="AP204" s="392"/>
      <c r="AQ204" s="392"/>
      <c r="AR204" s="392"/>
      <c r="AS204" s="392"/>
      <c r="AT204" s="437"/>
      <c r="AU204" s="437"/>
      <c r="AV204" s="437"/>
      <c r="AW204" s="437"/>
      <c r="AX204" s="437"/>
      <c r="AY204" s="437"/>
      <c r="AZ204" s="391" t="s">
        <v>2083</v>
      </c>
      <c r="BA204" s="392"/>
      <c r="BB204" s="392"/>
      <c r="BC204" s="392"/>
      <c r="BD204" s="389"/>
      <c r="BE204" s="390"/>
      <c r="BF204" s="190"/>
      <c r="BG204" s="190"/>
      <c r="BH204" s="514">
        <v>1</v>
      </c>
      <c r="BI204" s="515"/>
      <c r="BJ204" s="498"/>
      <c r="BK204" s="499"/>
      <c r="BL204" s="499"/>
      <c r="BM204" s="499"/>
      <c r="BN204" s="499"/>
      <c r="BO204" s="499"/>
      <c r="BP204" s="499"/>
      <c r="BQ204" s="499"/>
      <c r="BR204" s="499"/>
      <c r="BS204" s="499"/>
      <c r="BT204" s="499"/>
      <c r="BU204" s="499"/>
      <c r="BV204" s="500"/>
      <c r="BW204" s="501"/>
      <c r="BX204" s="501"/>
      <c r="BY204" s="501"/>
      <c r="BZ204" s="501"/>
      <c r="CA204" s="501"/>
      <c r="CB204" s="501"/>
      <c r="CC204" s="501"/>
      <c r="CD204" s="502"/>
      <c r="CE204" s="519"/>
      <c r="CF204" s="519"/>
      <c r="CG204" s="519"/>
      <c r="CH204" s="519"/>
      <c r="CI204" s="519"/>
      <c r="CJ204" s="519"/>
      <c r="CK204" s="519"/>
      <c r="CL204" s="519"/>
      <c r="CM204" s="519"/>
      <c r="CN204" s="519"/>
      <c r="CO204" s="507"/>
      <c r="CP204" s="508"/>
      <c r="CQ204" s="508"/>
      <c r="CR204" s="508"/>
      <c r="CS204" s="508"/>
      <c r="CT204" s="508"/>
      <c r="CU204" s="508"/>
      <c r="CV204" s="508"/>
      <c r="CW204" s="508"/>
      <c r="CX204" s="508"/>
      <c r="CY204" s="508"/>
      <c r="CZ204" s="509"/>
      <c r="DA204" s="510"/>
      <c r="DB204" s="510"/>
      <c r="DC204" s="510"/>
      <c r="DD204" s="510"/>
      <c r="DE204" s="510"/>
      <c r="DF204" s="510"/>
      <c r="DG204" s="510"/>
      <c r="DH204" s="510"/>
      <c r="DI204" s="510"/>
      <c r="DJ204" s="510"/>
      <c r="DK204" s="492"/>
      <c r="DL204" s="493"/>
      <c r="DM204" s="493"/>
      <c r="DN204" s="493"/>
      <c r="DO204" s="493"/>
      <c r="DP204" s="493"/>
      <c r="DQ204" s="493"/>
      <c r="DR204" s="494"/>
    </row>
    <row r="205" spans="2:154" ht="22.5" hidden="1" customHeight="1" x14ac:dyDescent="0.3">
      <c r="B205" s="393" t="s">
        <v>2091</v>
      </c>
      <c r="C205" s="392"/>
      <c r="D205" s="392"/>
      <c r="E205" s="392"/>
      <c r="F205" s="392"/>
      <c r="G205" s="392"/>
      <c r="H205" s="392"/>
      <c r="I205" s="392"/>
      <c r="J205" s="392"/>
      <c r="K205" s="389"/>
      <c r="L205" s="389"/>
      <c r="M205" s="391" t="s">
        <v>2089</v>
      </c>
      <c r="N205" s="392"/>
      <c r="O205" s="392"/>
      <c r="P205" s="392"/>
      <c r="Q205" s="392"/>
      <c r="R205" s="392"/>
      <c r="S205" s="389"/>
      <c r="T205" s="389"/>
      <c r="U205" s="389"/>
      <c r="V205" s="389"/>
      <c r="W205" s="389"/>
      <c r="X205" s="391" t="s">
        <v>2092</v>
      </c>
      <c r="Y205" s="392"/>
      <c r="Z205" s="392"/>
      <c r="AA205" s="392"/>
      <c r="AB205" s="392"/>
      <c r="AC205" s="392"/>
      <c r="AD205" s="392"/>
      <c r="AE205" s="392"/>
      <c r="AF205" s="392"/>
      <c r="AG205" s="392"/>
      <c r="AH205" s="392"/>
      <c r="AI205" s="392"/>
      <c r="AJ205" s="392"/>
      <c r="AK205" s="392"/>
      <c r="AL205" s="392"/>
      <c r="AM205" s="392"/>
      <c r="AN205" s="392"/>
      <c r="AO205" s="392"/>
      <c r="AP205" s="392"/>
      <c r="AQ205" s="392"/>
      <c r="AR205" s="389"/>
      <c r="AS205" s="389"/>
      <c r="AT205" s="389"/>
      <c r="AU205" s="389"/>
      <c r="AV205" s="389"/>
      <c r="AW205" s="432"/>
      <c r="AX205" s="391" t="s">
        <v>796</v>
      </c>
      <c r="AY205" s="392"/>
      <c r="AZ205" s="392"/>
      <c r="BA205" s="392"/>
      <c r="BB205" s="392"/>
      <c r="BC205" s="392"/>
      <c r="BD205" s="389"/>
      <c r="BE205" s="390"/>
      <c r="BF205" s="190"/>
      <c r="BG205" s="190"/>
      <c r="BH205" s="443">
        <v>2</v>
      </c>
      <c r="BI205" s="444"/>
      <c r="BJ205" s="486"/>
      <c r="BK205" s="487"/>
      <c r="BL205" s="487"/>
      <c r="BM205" s="487"/>
      <c r="BN205" s="487"/>
      <c r="BO205" s="487"/>
      <c r="BP205" s="487"/>
      <c r="BQ205" s="487"/>
      <c r="BR205" s="487"/>
      <c r="BS205" s="487"/>
      <c r="BT205" s="487"/>
      <c r="BU205" s="487"/>
      <c r="BV205" s="500"/>
      <c r="BW205" s="501"/>
      <c r="BX205" s="501"/>
      <c r="BY205" s="501"/>
      <c r="BZ205" s="501"/>
      <c r="CA205" s="501"/>
      <c r="CB205" s="501"/>
      <c r="CC205" s="501"/>
      <c r="CD205" s="502"/>
      <c r="CE205" s="495"/>
      <c r="CF205" s="495"/>
      <c r="CG205" s="495"/>
      <c r="CH205" s="495"/>
      <c r="CI205" s="495"/>
      <c r="CJ205" s="495"/>
      <c r="CK205" s="495"/>
      <c r="CL205" s="495"/>
      <c r="CM205" s="495"/>
      <c r="CN205" s="495"/>
      <c r="CO205" s="486"/>
      <c r="CP205" s="487"/>
      <c r="CQ205" s="487"/>
      <c r="CR205" s="487"/>
      <c r="CS205" s="487"/>
      <c r="CT205" s="487"/>
      <c r="CU205" s="487"/>
      <c r="CV205" s="487"/>
      <c r="CW205" s="487"/>
      <c r="CX205" s="487"/>
      <c r="CY205" s="487"/>
      <c r="CZ205" s="488"/>
      <c r="DA205" s="495"/>
      <c r="DB205" s="495"/>
      <c r="DC205" s="495"/>
      <c r="DD205" s="495"/>
      <c r="DE205" s="495"/>
      <c r="DF205" s="495"/>
      <c r="DG205" s="495"/>
      <c r="DH205" s="495"/>
      <c r="DI205" s="495"/>
      <c r="DJ205" s="495"/>
      <c r="DK205" s="480"/>
      <c r="DL205" s="481"/>
      <c r="DM205" s="481"/>
      <c r="DN205" s="481"/>
      <c r="DO205" s="481"/>
      <c r="DP205" s="481"/>
      <c r="DQ205" s="481"/>
      <c r="DR205" s="482"/>
    </row>
    <row r="206" spans="2:154" ht="22.5" hidden="1" customHeight="1" x14ac:dyDescent="0.3">
      <c r="B206" s="393" t="s">
        <v>2978</v>
      </c>
      <c r="C206" s="392"/>
      <c r="D206" s="392"/>
      <c r="E206" s="392"/>
      <c r="F206" s="392"/>
      <c r="G206" s="392"/>
      <c r="H206" s="392"/>
      <c r="I206" s="392"/>
      <c r="J206" s="392"/>
      <c r="K206" s="389"/>
      <c r="L206" s="389"/>
      <c r="M206" s="391" t="s">
        <v>2089</v>
      </c>
      <c r="N206" s="392"/>
      <c r="O206" s="392"/>
      <c r="P206" s="392"/>
      <c r="Q206" s="392"/>
      <c r="R206" s="392"/>
      <c r="S206" s="389"/>
      <c r="T206" s="389"/>
      <c r="U206" s="389"/>
      <c r="V206" s="389"/>
      <c r="W206" s="389"/>
      <c r="X206" s="391" t="s">
        <v>2118</v>
      </c>
      <c r="Y206" s="392"/>
      <c r="Z206" s="392"/>
      <c r="AA206" s="392"/>
      <c r="AB206" s="392"/>
      <c r="AC206" s="392"/>
      <c r="AD206" s="392"/>
      <c r="AE206" s="442"/>
      <c r="AF206" s="442"/>
      <c r="AG206" s="442"/>
      <c r="AH206" s="442"/>
      <c r="AI206" s="442"/>
      <c r="AJ206" s="391" t="s">
        <v>2090</v>
      </c>
      <c r="AK206" s="392"/>
      <c r="AL206" s="392"/>
      <c r="AM206" s="392"/>
      <c r="AN206" s="392"/>
      <c r="AO206" s="392"/>
      <c r="AP206" s="392"/>
      <c r="AQ206" s="392"/>
      <c r="AR206" s="433"/>
      <c r="AS206" s="433"/>
      <c r="AT206" s="433"/>
      <c r="AU206" s="433"/>
      <c r="AV206" s="433"/>
      <c r="AW206" s="434"/>
      <c r="AX206" s="391" t="s">
        <v>2085</v>
      </c>
      <c r="AY206" s="392"/>
      <c r="AZ206" s="392"/>
      <c r="BA206" s="392"/>
      <c r="BB206" s="392"/>
      <c r="BC206" s="392"/>
      <c r="BD206" s="389"/>
      <c r="BE206" s="390"/>
      <c r="BF206" s="190"/>
      <c r="BG206" s="190"/>
      <c r="BH206" s="443">
        <v>3</v>
      </c>
      <c r="BI206" s="444"/>
      <c r="BJ206" s="486"/>
      <c r="BK206" s="487"/>
      <c r="BL206" s="487"/>
      <c r="BM206" s="487"/>
      <c r="BN206" s="487"/>
      <c r="BO206" s="487"/>
      <c r="BP206" s="487"/>
      <c r="BQ206" s="487"/>
      <c r="BR206" s="487"/>
      <c r="BS206" s="487"/>
      <c r="BT206" s="487"/>
      <c r="BU206" s="487"/>
      <c r="BV206" s="500"/>
      <c r="BW206" s="501"/>
      <c r="BX206" s="501"/>
      <c r="BY206" s="501"/>
      <c r="BZ206" s="501"/>
      <c r="CA206" s="501"/>
      <c r="CB206" s="501"/>
      <c r="CC206" s="501"/>
      <c r="CD206" s="502"/>
      <c r="CE206" s="506"/>
      <c r="CF206" s="506"/>
      <c r="CG206" s="506"/>
      <c r="CH206" s="506"/>
      <c r="CI206" s="506"/>
      <c r="CJ206" s="506"/>
      <c r="CK206" s="506"/>
      <c r="CL206" s="506"/>
      <c r="CM206" s="506"/>
      <c r="CN206" s="506"/>
      <c r="CO206" s="500"/>
      <c r="CP206" s="501"/>
      <c r="CQ206" s="501"/>
      <c r="CR206" s="501"/>
      <c r="CS206" s="501"/>
      <c r="CT206" s="501"/>
      <c r="CU206" s="501"/>
      <c r="CV206" s="501"/>
      <c r="CW206" s="501"/>
      <c r="CX206" s="501"/>
      <c r="CY206" s="501"/>
      <c r="CZ206" s="502"/>
      <c r="DA206" s="495"/>
      <c r="DB206" s="495"/>
      <c r="DC206" s="495"/>
      <c r="DD206" s="495"/>
      <c r="DE206" s="495"/>
      <c r="DF206" s="495"/>
      <c r="DG206" s="495"/>
      <c r="DH206" s="495"/>
      <c r="DI206" s="495"/>
      <c r="DJ206" s="495"/>
      <c r="DK206" s="480"/>
      <c r="DL206" s="481"/>
      <c r="DM206" s="481"/>
      <c r="DN206" s="481"/>
      <c r="DO206" s="481"/>
      <c r="DP206" s="481"/>
      <c r="DQ206" s="481"/>
      <c r="DR206" s="482"/>
    </row>
    <row r="207" spans="2:154" ht="22.5" hidden="1" customHeight="1" x14ac:dyDescent="0.3">
      <c r="B207" s="438" t="s">
        <v>2916</v>
      </c>
      <c r="C207" s="436"/>
      <c r="D207" s="436"/>
      <c r="E207" s="436"/>
      <c r="F207" s="436"/>
      <c r="G207" s="436"/>
      <c r="H207" s="436"/>
      <c r="I207" s="436"/>
      <c r="J207" s="436"/>
      <c r="K207" s="387"/>
      <c r="L207" s="387"/>
      <c r="M207" s="435" t="s">
        <v>2086</v>
      </c>
      <c r="N207" s="436"/>
      <c r="O207" s="436"/>
      <c r="P207" s="436"/>
      <c r="Q207" s="436"/>
      <c r="R207" s="436"/>
      <c r="S207" s="439"/>
      <c r="T207" s="387"/>
      <c r="U207" s="387"/>
      <c r="V207" s="387"/>
      <c r="W207" s="387"/>
      <c r="X207" s="435" t="s">
        <v>2087</v>
      </c>
      <c r="Y207" s="436"/>
      <c r="Z207" s="436"/>
      <c r="AA207" s="436"/>
      <c r="AB207" s="436"/>
      <c r="AC207" s="436"/>
      <c r="AD207" s="436"/>
      <c r="AE207" s="387"/>
      <c r="AF207" s="387"/>
      <c r="AG207" s="387"/>
      <c r="AH207" s="387"/>
      <c r="AI207" s="387"/>
      <c r="AJ207" s="435" t="s">
        <v>2088</v>
      </c>
      <c r="AK207" s="436"/>
      <c r="AL207" s="436"/>
      <c r="AM207" s="436"/>
      <c r="AN207" s="436"/>
      <c r="AO207" s="436"/>
      <c r="AP207" s="436"/>
      <c r="AQ207" s="436"/>
      <c r="AR207" s="387"/>
      <c r="AS207" s="387"/>
      <c r="AT207" s="387"/>
      <c r="AU207" s="387"/>
      <c r="AV207" s="387"/>
      <c r="AW207" s="387"/>
      <c r="AX207" s="387"/>
      <c r="AY207" s="387"/>
      <c r="AZ207" s="387"/>
      <c r="BA207" s="387"/>
      <c r="BB207" s="387"/>
      <c r="BC207" s="387"/>
      <c r="BD207" s="387"/>
      <c r="BE207" s="388"/>
      <c r="BF207" s="190"/>
      <c r="BG207" s="190"/>
      <c r="BH207" s="445">
        <v>4</v>
      </c>
      <c r="BI207" s="446"/>
      <c r="BJ207" s="496"/>
      <c r="BK207" s="461"/>
      <c r="BL207" s="461"/>
      <c r="BM207" s="461"/>
      <c r="BN207" s="461"/>
      <c r="BO207" s="461"/>
      <c r="BP207" s="461"/>
      <c r="BQ207" s="461"/>
      <c r="BR207" s="461"/>
      <c r="BS207" s="461"/>
      <c r="BT207" s="461"/>
      <c r="BU207" s="461"/>
      <c r="BV207" s="521"/>
      <c r="BW207" s="522"/>
      <c r="BX207" s="522"/>
      <c r="BY207" s="522"/>
      <c r="BZ207" s="522"/>
      <c r="CA207" s="522"/>
      <c r="CB207" s="522"/>
      <c r="CC207" s="522"/>
      <c r="CD207" s="523"/>
      <c r="CE207" s="497"/>
      <c r="CF207" s="497"/>
      <c r="CG207" s="497"/>
      <c r="CH207" s="497"/>
      <c r="CI207" s="497"/>
      <c r="CJ207" s="497"/>
      <c r="CK207" s="497"/>
      <c r="CL207" s="497"/>
      <c r="CM207" s="497"/>
      <c r="CN207" s="497"/>
      <c r="CO207" s="496"/>
      <c r="CP207" s="461"/>
      <c r="CQ207" s="461"/>
      <c r="CR207" s="461"/>
      <c r="CS207" s="461"/>
      <c r="CT207" s="461"/>
      <c r="CU207" s="461"/>
      <c r="CV207" s="461"/>
      <c r="CW207" s="461"/>
      <c r="CX207" s="461"/>
      <c r="CY207" s="461"/>
      <c r="CZ207" s="520"/>
      <c r="DA207" s="497"/>
      <c r="DB207" s="497"/>
      <c r="DC207" s="497"/>
      <c r="DD207" s="497"/>
      <c r="DE207" s="497"/>
      <c r="DF207" s="497"/>
      <c r="DG207" s="497"/>
      <c r="DH207" s="497"/>
      <c r="DI207" s="497"/>
      <c r="DJ207" s="497"/>
      <c r="DK207" s="503"/>
      <c r="DL207" s="504"/>
      <c r="DM207" s="504"/>
      <c r="DN207" s="504"/>
      <c r="DO207" s="504"/>
      <c r="DP207" s="504"/>
      <c r="DQ207" s="504"/>
      <c r="DR207" s="505"/>
    </row>
    <row r="208" spans="2:154" ht="22.5" hidden="1" customHeight="1" x14ac:dyDescent="0.3">
      <c r="B208" s="381" t="s">
        <v>278</v>
      </c>
      <c r="C208" s="382"/>
      <c r="D208" s="382"/>
      <c r="E208" s="382"/>
      <c r="F208" s="382"/>
      <c r="G208" s="382"/>
      <c r="H208" s="382"/>
      <c r="I208" s="382"/>
      <c r="J208" s="421"/>
      <c r="K208" s="421"/>
      <c r="L208" s="421"/>
      <c r="M208" s="421"/>
      <c r="N208" s="421"/>
      <c r="O208" s="421"/>
      <c r="P208" s="421"/>
      <c r="Q208" s="421"/>
      <c r="R208" s="421"/>
      <c r="S208" s="421"/>
      <c r="T208" s="421"/>
      <c r="U208" s="421"/>
      <c r="V208" s="421"/>
      <c r="W208" s="421"/>
      <c r="X208" s="421"/>
      <c r="Y208" s="421"/>
      <c r="Z208" s="421"/>
      <c r="AA208" s="421"/>
      <c r="AB208" s="421"/>
      <c r="AC208" s="421"/>
      <c r="AD208" s="421"/>
      <c r="AE208" s="421"/>
      <c r="AF208" s="421"/>
      <c r="AG208" s="421"/>
      <c r="AH208" s="421"/>
      <c r="AI208" s="421"/>
      <c r="AJ208" s="421"/>
      <c r="AK208" s="421"/>
      <c r="AL208" s="421"/>
      <c r="AM208" s="421"/>
      <c r="AN208" s="421"/>
      <c r="AO208" s="421"/>
      <c r="AP208" s="421"/>
      <c r="AQ208" s="421"/>
      <c r="AR208" s="421"/>
      <c r="AS208" s="421"/>
      <c r="AT208" s="421"/>
      <c r="AU208" s="421"/>
      <c r="AV208" s="421"/>
      <c r="AW208" s="421"/>
      <c r="AX208" s="421"/>
      <c r="AY208" s="421"/>
      <c r="AZ208" s="421"/>
      <c r="BA208" s="421"/>
      <c r="BB208" s="421"/>
      <c r="BC208" s="421"/>
      <c r="BD208" s="421"/>
      <c r="BE208" s="422"/>
      <c r="BF208" s="190"/>
      <c r="BG208" s="190"/>
      <c r="DA208" s="511" t="s">
        <v>1647</v>
      </c>
      <c r="DB208" s="512"/>
      <c r="DC208" s="512"/>
      <c r="DD208" s="512"/>
      <c r="DE208" s="512"/>
      <c r="DF208" s="512"/>
      <c r="DG208" s="512"/>
      <c r="DH208" s="512"/>
      <c r="DI208" s="512"/>
      <c r="DJ208" s="512"/>
      <c r="DK208" s="418">
        <f>SUM(DK204:DR207)</f>
        <v>0</v>
      </c>
      <c r="DL208" s="419"/>
      <c r="DM208" s="419"/>
      <c r="DN208" s="419"/>
      <c r="DO208" s="419"/>
      <c r="DP208" s="419"/>
      <c r="DQ208" s="419"/>
      <c r="DR208" s="420"/>
    </row>
    <row r="209" spans="2:158" ht="24" hidden="1" customHeight="1" x14ac:dyDescent="0.25">
      <c r="B209" s="383" t="s">
        <v>2944</v>
      </c>
      <c r="C209" s="384"/>
      <c r="D209" s="384"/>
      <c r="E209" s="384"/>
      <c r="F209" s="384"/>
      <c r="G209" s="384"/>
      <c r="H209" s="384"/>
      <c r="I209" s="384"/>
      <c r="J209" s="423"/>
      <c r="K209" s="423"/>
      <c r="L209" s="423"/>
      <c r="M209" s="423"/>
      <c r="N209" s="423"/>
      <c r="O209" s="423"/>
      <c r="P209" s="423"/>
      <c r="Q209" s="423"/>
      <c r="R209" s="423"/>
      <c r="S209" s="423"/>
      <c r="T209" s="423"/>
      <c r="U209" s="423"/>
      <c r="V209" s="423"/>
      <c r="W209" s="423"/>
      <c r="X209" s="423"/>
      <c r="Y209" s="423"/>
      <c r="Z209" s="423"/>
      <c r="AA209" s="423"/>
      <c r="AB209" s="423"/>
      <c r="AC209" s="423"/>
      <c r="AD209" s="423"/>
      <c r="AE209" s="423"/>
      <c r="AF209" s="423"/>
      <c r="AG209" s="423"/>
      <c r="AH209" s="423"/>
      <c r="AI209" s="423"/>
      <c r="AJ209" s="423"/>
      <c r="AK209" s="423"/>
      <c r="AL209" s="423"/>
      <c r="AM209" s="423"/>
      <c r="AN209" s="423"/>
      <c r="AO209" s="423"/>
      <c r="AP209" s="423"/>
      <c r="AQ209" s="423"/>
      <c r="AR209" s="423"/>
      <c r="AS209" s="423"/>
      <c r="AT209" s="423"/>
      <c r="AU209" s="423"/>
      <c r="AV209" s="423"/>
      <c r="AW209" s="423"/>
      <c r="AX209" s="423"/>
      <c r="AY209" s="423"/>
      <c r="AZ209" s="423"/>
      <c r="BA209" s="423"/>
      <c r="BB209" s="423"/>
      <c r="BC209" s="423"/>
      <c r="BD209" s="423"/>
      <c r="BE209" s="424"/>
      <c r="EF209"/>
      <c r="EG209"/>
      <c r="EH209"/>
      <c r="EI209"/>
      <c r="EJ209"/>
      <c r="EK209"/>
      <c r="EL209"/>
      <c r="EM209"/>
      <c r="EN209"/>
      <c r="EO209"/>
      <c r="EP209"/>
      <c r="EQ209"/>
      <c r="ER209"/>
      <c r="ES209"/>
      <c r="ET209"/>
      <c r="EU209"/>
      <c r="EV209"/>
      <c r="EW209"/>
      <c r="EX209"/>
      <c r="EY209"/>
      <c r="EZ209"/>
    </row>
    <row r="210" spans="2:158" ht="24" hidden="1" customHeight="1" thickBot="1" x14ac:dyDescent="0.3">
      <c r="B210" s="385"/>
      <c r="C210" s="386"/>
      <c r="D210" s="386"/>
      <c r="E210" s="386"/>
      <c r="F210" s="386"/>
      <c r="G210" s="386"/>
      <c r="H210" s="386"/>
      <c r="I210" s="386"/>
      <c r="J210" s="425"/>
      <c r="K210" s="425"/>
      <c r="L210" s="425"/>
      <c r="M210" s="425"/>
      <c r="N210" s="425"/>
      <c r="O210" s="425"/>
      <c r="P210" s="425"/>
      <c r="Q210" s="425"/>
      <c r="R210" s="425"/>
      <c r="S210" s="425"/>
      <c r="T210" s="425"/>
      <c r="U210" s="425"/>
      <c r="V210" s="425"/>
      <c r="W210" s="425"/>
      <c r="X210" s="425"/>
      <c r="Y210" s="425"/>
      <c r="Z210" s="425"/>
      <c r="AA210" s="425"/>
      <c r="AB210" s="425"/>
      <c r="AC210" s="425"/>
      <c r="AD210" s="425"/>
      <c r="AE210" s="425"/>
      <c r="AF210" s="425"/>
      <c r="AG210" s="425"/>
      <c r="AH210" s="425"/>
      <c r="AI210" s="425"/>
      <c r="AJ210" s="425"/>
      <c r="AK210" s="425"/>
      <c r="AL210" s="425"/>
      <c r="AM210" s="425"/>
      <c r="AN210" s="425"/>
      <c r="AO210" s="425"/>
      <c r="AP210" s="425"/>
      <c r="AQ210" s="425"/>
      <c r="AR210" s="425"/>
      <c r="AS210" s="425"/>
      <c r="AT210" s="425"/>
      <c r="AU210" s="425"/>
      <c r="AV210" s="425"/>
      <c r="AW210" s="425"/>
      <c r="AX210" s="425"/>
      <c r="AY210" s="425"/>
      <c r="AZ210" s="425"/>
      <c r="BA210" s="425"/>
      <c r="BB210" s="425"/>
      <c r="BC210" s="425"/>
      <c r="BD210" s="425"/>
      <c r="BE210" s="426"/>
      <c r="EF210"/>
      <c r="EG210"/>
      <c r="EH210"/>
      <c r="EI210"/>
      <c r="EJ210"/>
      <c r="EK210"/>
      <c r="EL210"/>
      <c r="EM210"/>
      <c r="EN210"/>
      <c r="EO210"/>
      <c r="EP210"/>
      <c r="EQ210"/>
      <c r="ER210"/>
      <c r="ES210"/>
      <c r="ET210"/>
      <c r="EU210"/>
      <c r="EV210"/>
      <c r="EW210"/>
      <c r="EX210"/>
      <c r="EY210"/>
      <c r="EZ210"/>
    </row>
    <row r="211" spans="2:158" ht="24" hidden="1" customHeight="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EF211"/>
      <c r="EG211"/>
      <c r="EH211"/>
      <c r="EI211"/>
      <c r="EJ211"/>
      <c r="EK211"/>
      <c r="EL211"/>
      <c r="EM211"/>
      <c r="EN211"/>
      <c r="EO211"/>
      <c r="EP211"/>
      <c r="EQ211"/>
      <c r="ER211"/>
      <c r="ES211"/>
      <c r="ET211"/>
      <c r="EU211"/>
      <c r="EV211"/>
      <c r="EW211"/>
      <c r="EX211"/>
      <c r="EY211"/>
      <c r="EZ211"/>
    </row>
    <row r="212" spans="2:158" ht="18.75" hidden="1" customHeight="1" x14ac:dyDescent="0.3">
      <c r="B212" s="190"/>
      <c r="C212" s="190"/>
      <c r="D212" s="190"/>
      <c r="E212" s="190"/>
      <c r="F212" s="190"/>
      <c r="G212" s="190"/>
      <c r="H212" s="190"/>
      <c r="I212" s="190"/>
      <c r="J212" s="190"/>
      <c r="K212" s="190"/>
      <c r="L212" s="190"/>
      <c r="M212" s="190"/>
      <c r="N212" s="190"/>
      <c r="O212" s="190"/>
      <c r="P212" s="190"/>
      <c r="Q212" s="190"/>
      <c r="R212" s="190"/>
      <c r="S212" s="190"/>
      <c r="T212" s="190"/>
      <c r="U212" s="190"/>
      <c r="V212" s="190"/>
      <c r="W212" s="190"/>
      <c r="X212" s="190"/>
      <c r="Y212" s="190"/>
      <c r="Z212" s="190"/>
      <c r="AA212" s="190"/>
      <c r="AB212" s="190"/>
      <c r="AC212" s="190"/>
      <c r="AD212" s="190"/>
      <c r="AE212" s="190"/>
      <c r="AF212" s="190"/>
      <c r="AG212" s="190"/>
      <c r="AH212" s="190"/>
      <c r="AI212" s="190"/>
      <c r="AJ212" s="190"/>
      <c r="AK212" s="190"/>
      <c r="AL212" s="190"/>
      <c r="AM212" s="190"/>
      <c r="AN212" s="190"/>
      <c r="AO212" s="190"/>
      <c r="AP212" s="190"/>
      <c r="AQ212" s="190"/>
      <c r="AR212" s="190"/>
      <c r="AS212" s="190"/>
      <c r="AT212" s="190"/>
      <c r="AU212" s="190"/>
      <c r="AV212" s="190"/>
      <c r="AW212" s="190"/>
      <c r="AX212" s="190"/>
      <c r="AY212" s="190"/>
      <c r="AZ212" s="190"/>
      <c r="BA212" s="190"/>
      <c r="BB212" s="190"/>
      <c r="BC212" s="190"/>
      <c r="BD212" s="190"/>
      <c r="BE212" s="190"/>
      <c r="BF212" s="190"/>
      <c r="BG212" s="190"/>
      <c r="BH212" s="190"/>
      <c r="BI212" s="190"/>
      <c r="BJ212" s="190"/>
      <c r="BK212" s="190"/>
      <c r="BL212" s="190"/>
      <c r="BM212" s="190"/>
      <c r="BN212" s="190"/>
      <c r="BO212" s="190"/>
      <c r="BP212" s="190"/>
      <c r="BQ212" s="190"/>
      <c r="BR212" s="190"/>
      <c r="BS212" s="190"/>
      <c r="BT212" s="190"/>
      <c r="BU212" s="190"/>
      <c r="BV212" s="190"/>
      <c r="BW212" s="190"/>
      <c r="BX212" s="190"/>
      <c r="EF212"/>
      <c r="EG212"/>
      <c r="EH212"/>
      <c r="EI212"/>
      <c r="EJ212"/>
      <c r="EK212"/>
      <c r="EL212"/>
      <c r="EM212"/>
      <c r="EN212"/>
      <c r="EO212"/>
      <c r="EP212"/>
      <c r="EQ212"/>
      <c r="ER212"/>
      <c r="ES212"/>
      <c r="ET212"/>
      <c r="EU212"/>
      <c r="EV212"/>
      <c r="EW212"/>
      <c r="EX212"/>
      <c r="EY212"/>
      <c r="EZ212"/>
    </row>
    <row r="213" spans="2:158" ht="22.5" hidden="1" customHeight="1" thickBot="1" x14ac:dyDescent="0.35">
      <c r="B213" s="440" t="s">
        <v>295</v>
      </c>
      <c r="C213" s="440"/>
      <c r="D213" s="440"/>
      <c r="E213" s="440"/>
      <c r="F213" s="440"/>
      <c r="G213" s="440"/>
      <c r="H213" s="440"/>
      <c r="I213" s="440"/>
      <c r="J213" s="440"/>
      <c r="K213" s="440"/>
      <c r="L213" s="440"/>
      <c r="M213" s="440"/>
      <c r="N213" s="440"/>
      <c r="O213" s="440"/>
      <c r="P213" s="440"/>
      <c r="Q213" s="440"/>
      <c r="R213" s="440"/>
      <c r="S213" s="440"/>
      <c r="T213" s="440"/>
      <c r="U213" s="440"/>
      <c r="V213" s="440"/>
      <c r="W213" s="440"/>
      <c r="X213" s="440"/>
      <c r="Y213" s="440"/>
      <c r="Z213" s="440"/>
      <c r="AA213" s="440"/>
      <c r="AB213" s="440"/>
      <c r="AC213" s="440"/>
      <c r="AD213" s="440"/>
      <c r="AE213" s="440"/>
      <c r="AF213" s="440"/>
      <c r="AG213" s="440"/>
      <c r="AH213" s="440"/>
      <c r="AI213" s="440"/>
      <c r="AJ213" s="440"/>
      <c r="AK213" s="440"/>
      <c r="AL213" s="440"/>
      <c r="AM213" s="440"/>
      <c r="AN213" s="440"/>
      <c r="AO213" s="440"/>
      <c r="AP213" s="440"/>
      <c r="AQ213" s="440"/>
      <c r="AR213" s="440"/>
      <c r="AS213" s="440"/>
      <c r="AT213" s="440"/>
      <c r="AU213" s="440"/>
      <c r="AV213" s="440"/>
      <c r="AW213" s="440"/>
      <c r="AX213" s="440"/>
      <c r="AY213" s="440"/>
      <c r="AZ213" s="440"/>
      <c r="BA213" s="440"/>
      <c r="BB213" s="440"/>
      <c r="BC213" s="440"/>
      <c r="BD213" s="440"/>
      <c r="BE213" s="440"/>
      <c r="BF213" s="187"/>
      <c r="BG213" s="187"/>
      <c r="BJ213" s="178" t="s">
        <v>1648</v>
      </c>
    </row>
    <row r="214" spans="2:158" ht="22.5" hidden="1" customHeight="1" x14ac:dyDescent="0.3">
      <c r="B214" s="454" t="s">
        <v>3221</v>
      </c>
      <c r="C214" s="401"/>
      <c r="D214" s="401"/>
      <c r="E214" s="401"/>
      <c r="F214" s="401"/>
      <c r="G214" s="401"/>
      <c r="H214" s="401"/>
      <c r="I214" s="401"/>
      <c r="J214" s="404"/>
      <c r="K214" s="404"/>
      <c r="L214" s="404"/>
      <c r="M214" s="404"/>
      <c r="N214" s="404"/>
      <c r="O214" s="404"/>
      <c r="P214" s="404"/>
      <c r="Q214" s="404"/>
      <c r="R214" s="404"/>
      <c r="S214" s="404"/>
      <c r="T214" s="404"/>
      <c r="U214" s="404"/>
      <c r="V214" s="404"/>
      <c r="W214" s="404"/>
      <c r="X214" s="405"/>
      <c r="Y214" s="400" t="s">
        <v>2074</v>
      </c>
      <c r="Z214" s="401"/>
      <c r="AA214" s="401"/>
      <c r="AB214" s="402"/>
      <c r="AC214" s="402"/>
      <c r="AD214" s="402"/>
      <c r="AE214" s="402"/>
      <c r="AF214" s="402"/>
      <c r="AG214" s="402"/>
      <c r="AH214" s="402"/>
      <c r="AI214" s="402"/>
      <c r="AJ214" s="402"/>
      <c r="AK214" s="403"/>
      <c r="AL214" s="400" t="s">
        <v>1982</v>
      </c>
      <c r="AM214" s="401"/>
      <c r="AN214" s="401"/>
      <c r="AO214" s="404"/>
      <c r="AP214" s="404"/>
      <c r="AQ214" s="404"/>
      <c r="AR214" s="404"/>
      <c r="AS214" s="404"/>
      <c r="AT214" s="404"/>
      <c r="AU214" s="405"/>
      <c r="AV214" s="400" t="s">
        <v>1983</v>
      </c>
      <c r="AW214" s="401"/>
      <c r="AX214" s="404"/>
      <c r="AY214" s="404"/>
      <c r="AZ214" s="404"/>
      <c r="BA214" s="404"/>
      <c r="BB214" s="404"/>
      <c r="BC214" s="404"/>
      <c r="BD214" s="404"/>
      <c r="BE214" s="406"/>
      <c r="BF214" s="190"/>
      <c r="BG214" s="190"/>
      <c r="BH214" s="517" t="s">
        <v>389</v>
      </c>
      <c r="BI214" s="518"/>
      <c r="BJ214" s="489" t="s">
        <v>1649</v>
      </c>
      <c r="BK214" s="490"/>
      <c r="BL214" s="490"/>
      <c r="BM214" s="490"/>
      <c r="BN214" s="490"/>
      <c r="BO214" s="490"/>
      <c r="BP214" s="490"/>
      <c r="BQ214" s="490"/>
      <c r="BR214" s="490"/>
      <c r="BS214" s="490"/>
      <c r="BT214" s="490"/>
      <c r="BU214" s="490"/>
      <c r="BV214" s="483" t="s">
        <v>1644</v>
      </c>
      <c r="BW214" s="484"/>
      <c r="BX214" s="484"/>
      <c r="BY214" s="484"/>
      <c r="BZ214" s="484"/>
      <c r="CA214" s="484"/>
      <c r="CB214" s="484"/>
      <c r="CC214" s="484"/>
      <c r="CD214" s="485"/>
      <c r="CE214" s="513" t="s">
        <v>1675</v>
      </c>
      <c r="CF214" s="513"/>
      <c r="CG214" s="513"/>
      <c r="CH214" s="513"/>
      <c r="CI214" s="513"/>
      <c r="CJ214" s="513"/>
      <c r="CK214" s="513"/>
      <c r="CL214" s="513"/>
      <c r="CM214" s="513"/>
      <c r="CN214" s="513"/>
      <c r="CO214" s="489" t="s">
        <v>1676</v>
      </c>
      <c r="CP214" s="490"/>
      <c r="CQ214" s="490"/>
      <c r="CR214" s="490"/>
      <c r="CS214" s="490"/>
      <c r="CT214" s="490"/>
      <c r="CU214" s="490"/>
      <c r="CV214" s="490"/>
      <c r="CW214" s="490"/>
      <c r="CX214" s="490"/>
      <c r="CY214" s="490"/>
      <c r="CZ214" s="491"/>
      <c r="DA214" s="516" t="s">
        <v>1645</v>
      </c>
      <c r="DB214" s="516"/>
      <c r="DC214" s="516"/>
      <c r="DD214" s="516"/>
      <c r="DE214" s="516"/>
      <c r="DF214" s="516"/>
      <c r="DG214" s="516"/>
      <c r="DH214" s="516"/>
      <c r="DI214" s="516"/>
      <c r="DJ214" s="516"/>
      <c r="DK214" s="483" t="s">
        <v>1646</v>
      </c>
      <c r="DL214" s="484"/>
      <c r="DM214" s="484"/>
      <c r="DN214" s="484"/>
      <c r="DO214" s="484"/>
      <c r="DP214" s="484"/>
      <c r="DQ214" s="484"/>
      <c r="DR214" s="485"/>
    </row>
    <row r="215" spans="2:158" ht="22.5" hidden="1" customHeight="1" x14ac:dyDescent="0.3">
      <c r="B215" s="393" t="s">
        <v>1984</v>
      </c>
      <c r="C215" s="392"/>
      <c r="D215" s="392"/>
      <c r="E215" s="392"/>
      <c r="F215" s="389"/>
      <c r="G215" s="389"/>
      <c r="H215" s="389"/>
      <c r="I215" s="389"/>
      <c r="J215" s="389"/>
      <c r="K215" s="389"/>
      <c r="L215" s="389"/>
      <c r="M215" s="391" t="s">
        <v>307</v>
      </c>
      <c r="N215" s="392"/>
      <c r="O215" s="392"/>
      <c r="P215" s="392"/>
      <c r="Q215" s="392"/>
      <c r="R215" s="392"/>
      <c r="S215" s="392"/>
      <c r="T215" s="392"/>
      <c r="U215" s="433"/>
      <c r="V215" s="433"/>
      <c r="W215" s="433"/>
      <c r="X215" s="433"/>
      <c r="Y215" s="433"/>
      <c r="Z215" s="433"/>
      <c r="AA215" s="391" t="s">
        <v>2084</v>
      </c>
      <c r="AB215" s="392"/>
      <c r="AC215" s="392"/>
      <c r="AD215" s="392"/>
      <c r="AE215" s="392"/>
      <c r="AF215" s="392"/>
      <c r="AG215" s="392"/>
      <c r="AH215" s="392"/>
      <c r="AI215" s="433"/>
      <c r="AJ215" s="433"/>
      <c r="AK215" s="433"/>
      <c r="AL215" s="433"/>
      <c r="AM215" s="433"/>
      <c r="AN215" s="434"/>
      <c r="AO215" s="391" t="s">
        <v>279</v>
      </c>
      <c r="AP215" s="392"/>
      <c r="AQ215" s="392"/>
      <c r="AR215" s="392"/>
      <c r="AS215" s="392"/>
      <c r="AT215" s="437"/>
      <c r="AU215" s="437"/>
      <c r="AV215" s="437"/>
      <c r="AW215" s="437"/>
      <c r="AX215" s="437"/>
      <c r="AY215" s="437"/>
      <c r="AZ215" s="391" t="s">
        <v>2083</v>
      </c>
      <c r="BA215" s="392"/>
      <c r="BB215" s="392"/>
      <c r="BC215" s="392"/>
      <c r="BD215" s="389"/>
      <c r="BE215" s="390"/>
      <c r="BF215" s="190"/>
      <c r="BG215" s="190"/>
      <c r="BH215" s="514">
        <v>1</v>
      </c>
      <c r="BI215" s="515"/>
      <c r="BJ215" s="498"/>
      <c r="BK215" s="499"/>
      <c r="BL215" s="499"/>
      <c r="BM215" s="499"/>
      <c r="BN215" s="499"/>
      <c r="BO215" s="499"/>
      <c r="BP215" s="499"/>
      <c r="BQ215" s="499"/>
      <c r="BR215" s="499"/>
      <c r="BS215" s="499"/>
      <c r="BT215" s="499"/>
      <c r="BU215" s="499"/>
      <c r="BV215" s="500"/>
      <c r="BW215" s="501"/>
      <c r="BX215" s="501"/>
      <c r="BY215" s="501"/>
      <c r="BZ215" s="501"/>
      <c r="CA215" s="501"/>
      <c r="CB215" s="501"/>
      <c r="CC215" s="501"/>
      <c r="CD215" s="502"/>
      <c r="CE215" s="519"/>
      <c r="CF215" s="519"/>
      <c r="CG215" s="519"/>
      <c r="CH215" s="519"/>
      <c r="CI215" s="519"/>
      <c r="CJ215" s="519"/>
      <c r="CK215" s="519"/>
      <c r="CL215" s="519"/>
      <c r="CM215" s="519"/>
      <c r="CN215" s="519"/>
      <c r="CO215" s="507"/>
      <c r="CP215" s="508"/>
      <c r="CQ215" s="508"/>
      <c r="CR215" s="508"/>
      <c r="CS215" s="508"/>
      <c r="CT215" s="508"/>
      <c r="CU215" s="508"/>
      <c r="CV215" s="508"/>
      <c r="CW215" s="508"/>
      <c r="CX215" s="508"/>
      <c r="CY215" s="508"/>
      <c r="CZ215" s="509"/>
      <c r="DA215" s="510"/>
      <c r="DB215" s="510"/>
      <c r="DC215" s="510"/>
      <c r="DD215" s="510"/>
      <c r="DE215" s="510"/>
      <c r="DF215" s="510"/>
      <c r="DG215" s="510"/>
      <c r="DH215" s="510"/>
      <c r="DI215" s="510"/>
      <c r="DJ215" s="510"/>
      <c r="DK215" s="492"/>
      <c r="DL215" s="493"/>
      <c r="DM215" s="493"/>
      <c r="DN215" s="493"/>
      <c r="DO215" s="493"/>
      <c r="DP215" s="493"/>
      <c r="DQ215" s="493"/>
      <c r="DR215" s="494"/>
    </row>
    <row r="216" spans="2:158" ht="22.5" hidden="1" customHeight="1" x14ac:dyDescent="0.3">
      <c r="B216" s="393" t="s">
        <v>2091</v>
      </c>
      <c r="C216" s="392"/>
      <c r="D216" s="392"/>
      <c r="E216" s="392"/>
      <c r="F216" s="392"/>
      <c r="G216" s="392"/>
      <c r="H216" s="392"/>
      <c r="I216" s="392"/>
      <c r="J216" s="392"/>
      <c r="K216" s="389"/>
      <c r="L216" s="389"/>
      <c r="M216" s="391" t="s">
        <v>2089</v>
      </c>
      <c r="N216" s="392"/>
      <c r="O216" s="392"/>
      <c r="P216" s="392"/>
      <c r="Q216" s="392"/>
      <c r="R216" s="392"/>
      <c r="S216" s="389"/>
      <c r="T216" s="389"/>
      <c r="U216" s="389"/>
      <c r="V216" s="389"/>
      <c r="W216" s="389"/>
      <c r="X216" s="391" t="s">
        <v>2092</v>
      </c>
      <c r="Y216" s="392"/>
      <c r="Z216" s="392"/>
      <c r="AA216" s="392"/>
      <c r="AB216" s="392"/>
      <c r="AC216" s="392"/>
      <c r="AD216" s="392"/>
      <c r="AE216" s="392"/>
      <c r="AF216" s="392"/>
      <c r="AG216" s="392"/>
      <c r="AH216" s="392"/>
      <c r="AI216" s="392"/>
      <c r="AJ216" s="392"/>
      <c r="AK216" s="392"/>
      <c r="AL216" s="392"/>
      <c r="AM216" s="392"/>
      <c r="AN216" s="392"/>
      <c r="AO216" s="392"/>
      <c r="AP216" s="392"/>
      <c r="AQ216" s="392"/>
      <c r="AR216" s="389"/>
      <c r="AS216" s="389"/>
      <c r="AT216" s="389"/>
      <c r="AU216" s="389"/>
      <c r="AV216" s="389"/>
      <c r="AW216" s="432"/>
      <c r="AX216" s="391" t="s">
        <v>796</v>
      </c>
      <c r="AY216" s="392"/>
      <c r="AZ216" s="392"/>
      <c r="BA216" s="392"/>
      <c r="BB216" s="392"/>
      <c r="BC216" s="392"/>
      <c r="BD216" s="389"/>
      <c r="BE216" s="390"/>
      <c r="BF216" s="190"/>
      <c r="BG216" s="190"/>
      <c r="BH216" s="443">
        <v>2</v>
      </c>
      <c r="BI216" s="444"/>
      <c r="BJ216" s="486"/>
      <c r="BK216" s="487"/>
      <c r="BL216" s="487"/>
      <c r="BM216" s="487"/>
      <c r="BN216" s="487"/>
      <c r="BO216" s="487"/>
      <c r="BP216" s="487"/>
      <c r="BQ216" s="487"/>
      <c r="BR216" s="487"/>
      <c r="BS216" s="487"/>
      <c r="BT216" s="487"/>
      <c r="BU216" s="487"/>
      <c r="BV216" s="500"/>
      <c r="BW216" s="501"/>
      <c r="BX216" s="501"/>
      <c r="BY216" s="501"/>
      <c r="BZ216" s="501"/>
      <c r="CA216" s="501"/>
      <c r="CB216" s="501"/>
      <c r="CC216" s="501"/>
      <c r="CD216" s="502"/>
      <c r="CE216" s="495"/>
      <c r="CF216" s="495"/>
      <c r="CG216" s="495"/>
      <c r="CH216" s="495"/>
      <c r="CI216" s="495"/>
      <c r="CJ216" s="495"/>
      <c r="CK216" s="495"/>
      <c r="CL216" s="495"/>
      <c r="CM216" s="495"/>
      <c r="CN216" s="495"/>
      <c r="CO216" s="486"/>
      <c r="CP216" s="487"/>
      <c r="CQ216" s="487"/>
      <c r="CR216" s="487"/>
      <c r="CS216" s="487"/>
      <c r="CT216" s="487"/>
      <c r="CU216" s="487"/>
      <c r="CV216" s="487"/>
      <c r="CW216" s="487"/>
      <c r="CX216" s="487"/>
      <c r="CY216" s="487"/>
      <c r="CZ216" s="488"/>
      <c r="DA216" s="495"/>
      <c r="DB216" s="495"/>
      <c r="DC216" s="495"/>
      <c r="DD216" s="495"/>
      <c r="DE216" s="495"/>
      <c r="DF216" s="495"/>
      <c r="DG216" s="495"/>
      <c r="DH216" s="495"/>
      <c r="DI216" s="495"/>
      <c r="DJ216" s="495"/>
      <c r="DK216" s="480"/>
      <c r="DL216" s="481"/>
      <c r="DM216" s="481"/>
      <c r="DN216" s="481"/>
      <c r="DO216" s="481"/>
      <c r="DP216" s="481"/>
      <c r="DQ216" s="481"/>
      <c r="DR216" s="482"/>
    </row>
    <row r="217" spans="2:158" ht="22.5" hidden="1" customHeight="1" x14ac:dyDescent="0.3">
      <c r="B217" s="393" t="s">
        <v>2978</v>
      </c>
      <c r="C217" s="392"/>
      <c r="D217" s="392"/>
      <c r="E217" s="392"/>
      <c r="F217" s="392"/>
      <c r="G217" s="392"/>
      <c r="H217" s="392"/>
      <c r="I217" s="392"/>
      <c r="J217" s="392"/>
      <c r="K217" s="389"/>
      <c r="L217" s="389"/>
      <c r="M217" s="391" t="s">
        <v>2089</v>
      </c>
      <c r="N217" s="392"/>
      <c r="O217" s="392"/>
      <c r="P217" s="392"/>
      <c r="Q217" s="392"/>
      <c r="R217" s="392"/>
      <c r="S217" s="389"/>
      <c r="T217" s="389"/>
      <c r="U217" s="389"/>
      <c r="V217" s="389"/>
      <c r="W217" s="389"/>
      <c r="X217" s="391" t="s">
        <v>2118</v>
      </c>
      <c r="Y217" s="392"/>
      <c r="Z217" s="392"/>
      <c r="AA217" s="392"/>
      <c r="AB217" s="392"/>
      <c r="AC217" s="392"/>
      <c r="AD217" s="392"/>
      <c r="AE217" s="442"/>
      <c r="AF217" s="442"/>
      <c r="AG217" s="442"/>
      <c r="AH217" s="442"/>
      <c r="AI217" s="442"/>
      <c r="AJ217" s="391" t="s">
        <v>2090</v>
      </c>
      <c r="AK217" s="392"/>
      <c r="AL217" s="392"/>
      <c r="AM217" s="392"/>
      <c r="AN217" s="392"/>
      <c r="AO217" s="392"/>
      <c r="AP217" s="392"/>
      <c r="AQ217" s="392"/>
      <c r="AR217" s="433"/>
      <c r="AS217" s="433"/>
      <c r="AT217" s="433"/>
      <c r="AU217" s="433"/>
      <c r="AV217" s="433"/>
      <c r="AW217" s="434"/>
      <c r="AX217" s="391" t="s">
        <v>2085</v>
      </c>
      <c r="AY217" s="392"/>
      <c r="AZ217" s="392"/>
      <c r="BA217" s="392"/>
      <c r="BB217" s="392"/>
      <c r="BC217" s="392"/>
      <c r="BD217" s="389"/>
      <c r="BE217" s="390"/>
      <c r="BF217" s="190"/>
      <c r="BG217" s="190"/>
      <c r="BH217" s="443">
        <v>3</v>
      </c>
      <c r="BI217" s="444"/>
      <c r="BJ217" s="486"/>
      <c r="BK217" s="487"/>
      <c r="BL217" s="487"/>
      <c r="BM217" s="487"/>
      <c r="BN217" s="487"/>
      <c r="BO217" s="487"/>
      <c r="BP217" s="487"/>
      <c r="BQ217" s="487"/>
      <c r="BR217" s="487"/>
      <c r="BS217" s="487"/>
      <c r="BT217" s="487"/>
      <c r="BU217" s="487"/>
      <c r="BV217" s="500"/>
      <c r="BW217" s="501"/>
      <c r="BX217" s="501"/>
      <c r="BY217" s="501"/>
      <c r="BZ217" s="501"/>
      <c r="CA217" s="501"/>
      <c r="CB217" s="501"/>
      <c r="CC217" s="501"/>
      <c r="CD217" s="502"/>
      <c r="CE217" s="506"/>
      <c r="CF217" s="506"/>
      <c r="CG217" s="506"/>
      <c r="CH217" s="506"/>
      <c r="CI217" s="506"/>
      <c r="CJ217" s="506"/>
      <c r="CK217" s="506"/>
      <c r="CL217" s="506"/>
      <c r="CM217" s="506"/>
      <c r="CN217" s="506"/>
      <c r="CO217" s="500"/>
      <c r="CP217" s="501"/>
      <c r="CQ217" s="501"/>
      <c r="CR217" s="501"/>
      <c r="CS217" s="501"/>
      <c r="CT217" s="501"/>
      <c r="CU217" s="501"/>
      <c r="CV217" s="501"/>
      <c r="CW217" s="501"/>
      <c r="CX217" s="501"/>
      <c r="CY217" s="501"/>
      <c r="CZ217" s="502"/>
      <c r="DA217" s="495"/>
      <c r="DB217" s="495"/>
      <c r="DC217" s="495"/>
      <c r="DD217" s="495"/>
      <c r="DE217" s="495"/>
      <c r="DF217" s="495"/>
      <c r="DG217" s="495"/>
      <c r="DH217" s="495"/>
      <c r="DI217" s="495"/>
      <c r="DJ217" s="495"/>
      <c r="DK217" s="480"/>
      <c r="DL217" s="481"/>
      <c r="DM217" s="481"/>
      <c r="DN217" s="481"/>
      <c r="DO217" s="481"/>
      <c r="DP217" s="481"/>
      <c r="DQ217" s="481"/>
      <c r="DR217" s="482"/>
    </row>
    <row r="218" spans="2:158" ht="22.5" hidden="1" customHeight="1" x14ac:dyDescent="0.3">
      <c r="B218" s="438" t="s">
        <v>2916</v>
      </c>
      <c r="C218" s="436"/>
      <c r="D218" s="436"/>
      <c r="E218" s="436"/>
      <c r="F218" s="436"/>
      <c r="G218" s="436"/>
      <c r="H218" s="436"/>
      <c r="I218" s="436"/>
      <c r="J218" s="436"/>
      <c r="K218" s="387"/>
      <c r="L218" s="387"/>
      <c r="M218" s="435" t="s">
        <v>2086</v>
      </c>
      <c r="N218" s="436"/>
      <c r="O218" s="436"/>
      <c r="P218" s="436"/>
      <c r="Q218" s="436"/>
      <c r="R218" s="436"/>
      <c r="S218" s="439"/>
      <c r="T218" s="387"/>
      <c r="U218" s="387"/>
      <c r="V218" s="387"/>
      <c r="W218" s="387"/>
      <c r="X218" s="435" t="s">
        <v>2087</v>
      </c>
      <c r="Y218" s="436"/>
      <c r="Z218" s="436"/>
      <c r="AA218" s="436"/>
      <c r="AB218" s="436"/>
      <c r="AC218" s="436"/>
      <c r="AD218" s="436"/>
      <c r="AE218" s="387"/>
      <c r="AF218" s="387"/>
      <c r="AG218" s="387"/>
      <c r="AH218" s="387"/>
      <c r="AI218" s="387"/>
      <c r="AJ218" s="435" t="s">
        <v>2088</v>
      </c>
      <c r="AK218" s="436"/>
      <c r="AL218" s="436"/>
      <c r="AM218" s="436"/>
      <c r="AN218" s="436"/>
      <c r="AO218" s="436"/>
      <c r="AP218" s="436"/>
      <c r="AQ218" s="436"/>
      <c r="AR218" s="387"/>
      <c r="AS218" s="387"/>
      <c r="AT218" s="387"/>
      <c r="AU218" s="387"/>
      <c r="AV218" s="387"/>
      <c r="AW218" s="387"/>
      <c r="AX218" s="387"/>
      <c r="AY218" s="387"/>
      <c r="AZ218" s="387"/>
      <c r="BA218" s="387"/>
      <c r="BB218" s="387"/>
      <c r="BC218" s="387"/>
      <c r="BD218" s="387"/>
      <c r="BE218" s="388"/>
      <c r="BF218" s="190"/>
      <c r="BG218" s="190"/>
      <c r="BH218" s="445">
        <v>4</v>
      </c>
      <c r="BI218" s="446"/>
      <c r="BJ218" s="496"/>
      <c r="BK218" s="461"/>
      <c r="BL218" s="461"/>
      <c r="BM218" s="461"/>
      <c r="BN218" s="461"/>
      <c r="BO218" s="461"/>
      <c r="BP218" s="461"/>
      <c r="BQ218" s="461"/>
      <c r="BR218" s="461"/>
      <c r="BS218" s="461"/>
      <c r="BT218" s="461"/>
      <c r="BU218" s="461"/>
      <c r="BV218" s="521"/>
      <c r="BW218" s="522"/>
      <c r="BX218" s="522"/>
      <c r="BY218" s="522"/>
      <c r="BZ218" s="522"/>
      <c r="CA218" s="522"/>
      <c r="CB218" s="522"/>
      <c r="CC218" s="522"/>
      <c r="CD218" s="523"/>
      <c r="CE218" s="497"/>
      <c r="CF218" s="497"/>
      <c r="CG218" s="497"/>
      <c r="CH218" s="497"/>
      <c r="CI218" s="497"/>
      <c r="CJ218" s="497"/>
      <c r="CK218" s="497"/>
      <c r="CL218" s="497"/>
      <c r="CM218" s="497"/>
      <c r="CN218" s="497"/>
      <c r="CO218" s="496"/>
      <c r="CP218" s="461"/>
      <c r="CQ218" s="461"/>
      <c r="CR218" s="461"/>
      <c r="CS218" s="461"/>
      <c r="CT218" s="461"/>
      <c r="CU218" s="461"/>
      <c r="CV218" s="461"/>
      <c r="CW218" s="461"/>
      <c r="CX218" s="461"/>
      <c r="CY218" s="461"/>
      <c r="CZ218" s="520"/>
      <c r="DA218" s="497"/>
      <c r="DB218" s="497"/>
      <c r="DC218" s="497"/>
      <c r="DD218" s="497"/>
      <c r="DE218" s="497"/>
      <c r="DF218" s="497"/>
      <c r="DG218" s="497"/>
      <c r="DH218" s="497"/>
      <c r="DI218" s="497"/>
      <c r="DJ218" s="497"/>
      <c r="DK218" s="503"/>
      <c r="DL218" s="504"/>
      <c r="DM218" s="504"/>
      <c r="DN218" s="504"/>
      <c r="DO218" s="504"/>
      <c r="DP218" s="504"/>
      <c r="DQ218" s="504"/>
      <c r="DR218" s="505"/>
    </row>
    <row r="219" spans="2:158" ht="22.5" hidden="1" customHeight="1" x14ac:dyDescent="0.3">
      <c r="B219" s="381" t="s">
        <v>278</v>
      </c>
      <c r="C219" s="382"/>
      <c r="D219" s="382"/>
      <c r="E219" s="382"/>
      <c r="F219" s="382"/>
      <c r="G219" s="382"/>
      <c r="H219" s="382"/>
      <c r="I219" s="382"/>
      <c r="J219" s="421"/>
      <c r="K219" s="421"/>
      <c r="L219" s="421"/>
      <c r="M219" s="421"/>
      <c r="N219" s="421"/>
      <c r="O219" s="421"/>
      <c r="P219" s="421"/>
      <c r="Q219" s="421"/>
      <c r="R219" s="421"/>
      <c r="S219" s="421"/>
      <c r="T219" s="421"/>
      <c r="U219" s="421"/>
      <c r="V219" s="421"/>
      <c r="W219" s="421"/>
      <c r="X219" s="421"/>
      <c r="Y219" s="421"/>
      <c r="Z219" s="421"/>
      <c r="AA219" s="421"/>
      <c r="AB219" s="421"/>
      <c r="AC219" s="421"/>
      <c r="AD219" s="421"/>
      <c r="AE219" s="421"/>
      <c r="AF219" s="421"/>
      <c r="AG219" s="421"/>
      <c r="AH219" s="421"/>
      <c r="AI219" s="421"/>
      <c r="AJ219" s="421"/>
      <c r="AK219" s="421"/>
      <c r="AL219" s="421"/>
      <c r="AM219" s="421"/>
      <c r="AN219" s="421"/>
      <c r="AO219" s="421"/>
      <c r="AP219" s="421"/>
      <c r="AQ219" s="421"/>
      <c r="AR219" s="421"/>
      <c r="AS219" s="421"/>
      <c r="AT219" s="421"/>
      <c r="AU219" s="421"/>
      <c r="AV219" s="421"/>
      <c r="AW219" s="421"/>
      <c r="AX219" s="421"/>
      <c r="AY219" s="421"/>
      <c r="AZ219" s="421"/>
      <c r="BA219" s="421"/>
      <c r="BB219" s="421"/>
      <c r="BC219" s="421"/>
      <c r="BD219" s="421"/>
      <c r="BE219" s="422"/>
      <c r="BF219" s="190"/>
      <c r="BG219" s="190"/>
      <c r="DA219" s="511" t="s">
        <v>1647</v>
      </c>
      <c r="DB219" s="512"/>
      <c r="DC219" s="512"/>
      <c r="DD219" s="512"/>
      <c r="DE219" s="512"/>
      <c r="DF219" s="512"/>
      <c r="DG219" s="512"/>
      <c r="DH219" s="512"/>
      <c r="DI219" s="512"/>
      <c r="DJ219" s="512"/>
      <c r="DK219" s="418">
        <f>SUM(DK215:DR218)</f>
        <v>0</v>
      </c>
      <c r="DL219" s="419"/>
      <c r="DM219" s="419"/>
      <c r="DN219" s="419"/>
      <c r="DO219" s="419"/>
      <c r="DP219" s="419"/>
      <c r="DQ219" s="419"/>
      <c r="DR219" s="420"/>
    </row>
    <row r="220" spans="2:158" ht="24" hidden="1" customHeight="1" x14ac:dyDescent="0.25">
      <c r="B220" s="383" t="s">
        <v>2944</v>
      </c>
      <c r="C220" s="384"/>
      <c r="D220" s="384"/>
      <c r="E220" s="384"/>
      <c r="F220" s="384"/>
      <c r="G220" s="384"/>
      <c r="H220" s="384"/>
      <c r="I220" s="384"/>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423"/>
      <c r="AJ220" s="423"/>
      <c r="AK220" s="423"/>
      <c r="AL220" s="423"/>
      <c r="AM220" s="423"/>
      <c r="AN220" s="423"/>
      <c r="AO220" s="423"/>
      <c r="AP220" s="423"/>
      <c r="AQ220" s="423"/>
      <c r="AR220" s="423"/>
      <c r="AS220" s="423"/>
      <c r="AT220" s="423"/>
      <c r="AU220" s="423"/>
      <c r="AV220" s="423"/>
      <c r="AW220" s="423"/>
      <c r="AX220" s="423"/>
      <c r="AY220" s="423"/>
      <c r="AZ220" s="423"/>
      <c r="BA220" s="423"/>
      <c r="BB220" s="423"/>
      <c r="BC220" s="423"/>
      <c r="BD220" s="423"/>
      <c r="BE220" s="424"/>
      <c r="EH220"/>
      <c r="EI220"/>
      <c r="EJ220"/>
      <c r="EK220"/>
      <c r="EL220"/>
      <c r="EM220"/>
      <c r="EN220"/>
      <c r="EO220"/>
      <c r="EP220"/>
      <c r="EQ220"/>
      <c r="ER220"/>
      <c r="ES220"/>
      <c r="ET220"/>
      <c r="EU220"/>
      <c r="EV220"/>
      <c r="EW220"/>
      <c r="EX220"/>
      <c r="EY220"/>
      <c r="EZ220"/>
      <c r="FA220"/>
      <c r="FB220"/>
    </row>
    <row r="221" spans="2:158" ht="24" hidden="1" customHeight="1" thickBot="1" x14ac:dyDescent="0.3">
      <c r="B221" s="385"/>
      <c r="C221" s="386"/>
      <c r="D221" s="386"/>
      <c r="E221" s="386"/>
      <c r="F221" s="386"/>
      <c r="G221" s="386"/>
      <c r="H221" s="386"/>
      <c r="I221" s="386"/>
      <c r="J221" s="425"/>
      <c r="K221" s="425"/>
      <c r="L221" s="425"/>
      <c r="M221" s="425"/>
      <c r="N221" s="425"/>
      <c r="O221" s="425"/>
      <c r="P221" s="425"/>
      <c r="Q221" s="425"/>
      <c r="R221" s="425"/>
      <c r="S221" s="425"/>
      <c r="T221" s="425"/>
      <c r="U221" s="425"/>
      <c r="V221" s="425"/>
      <c r="W221" s="425"/>
      <c r="X221" s="425"/>
      <c r="Y221" s="425"/>
      <c r="Z221" s="425"/>
      <c r="AA221" s="425"/>
      <c r="AB221" s="425"/>
      <c r="AC221" s="425"/>
      <c r="AD221" s="425"/>
      <c r="AE221" s="425"/>
      <c r="AF221" s="425"/>
      <c r="AG221" s="425"/>
      <c r="AH221" s="425"/>
      <c r="AI221" s="425"/>
      <c r="AJ221" s="425"/>
      <c r="AK221" s="425"/>
      <c r="AL221" s="425"/>
      <c r="AM221" s="425"/>
      <c r="AN221" s="425"/>
      <c r="AO221" s="425"/>
      <c r="AP221" s="425"/>
      <c r="AQ221" s="425"/>
      <c r="AR221" s="425"/>
      <c r="AS221" s="425"/>
      <c r="AT221" s="425"/>
      <c r="AU221" s="425"/>
      <c r="AV221" s="425"/>
      <c r="AW221" s="425"/>
      <c r="AX221" s="425"/>
      <c r="AY221" s="425"/>
      <c r="AZ221" s="425"/>
      <c r="BA221" s="425"/>
      <c r="BB221" s="425"/>
      <c r="BC221" s="425"/>
      <c r="BD221" s="425"/>
      <c r="BE221" s="426"/>
      <c r="EH221"/>
      <c r="EI221"/>
      <c r="EJ221"/>
      <c r="EK221"/>
      <c r="EL221"/>
      <c r="EM221"/>
      <c r="EN221"/>
      <c r="EO221"/>
      <c r="EP221"/>
      <c r="EQ221"/>
      <c r="ER221"/>
      <c r="ES221"/>
      <c r="ET221"/>
      <c r="EU221"/>
      <c r="EV221"/>
      <c r="EW221"/>
      <c r="EX221"/>
      <c r="EY221"/>
      <c r="EZ221"/>
      <c r="FA221"/>
      <c r="FB221"/>
    </row>
    <row r="222" spans="2:158" ht="24" hidden="1" customHeight="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EH222"/>
      <c r="EI222"/>
      <c r="EJ222"/>
      <c r="EK222"/>
      <c r="EL222"/>
      <c r="EM222"/>
      <c r="EN222"/>
      <c r="EO222"/>
      <c r="EP222"/>
      <c r="EQ222"/>
      <c r="ER222"/>
      <c r="ES222"/>
      <c r="ET222"/>
      <c r="EU222"/>
      <c r="EV222"/>
      <c r="EW222"/>
      <c r="EX222"/>
      <c r="EY222"/>
      <c r="EZ222"/>
      <c r="FA222"/>
      <c r="FB222"/>
    </row>
    <row r="223" spans="2:158" ht="18.75" hidden="1" customHeight="1" x14ac:dyDescent="0.3">
      <c r="B223" s="190"/>
      <c r="C223" s="190"/>
      <c r="D223" s="190"/>
      <c r="E223" s="190"/>
      <c r="F223" s="190"/>
      <c r="G223" s="190"/>
      <c r="H223" s="190"/>
      <c r="I223" s="190"/>
      <c r="J223" s="190"/>
      <c r="K223" s="190"/>
      <c r="L223" s="190"/>
      <c r="M223" s="190"/>
      <c r="N223" s="190"/>
      <c r="O223" s="190"/>
      <c r="P223" s="190"/>
      <c r="Q223" s="190"/>
      <c r="R223" s="190"/>
      <c r="S223" s="190"/>
      <c r="T223" s="190"/>
      <c r="U223" s="190"/>
      <c r="V223" s="190"/>
      <c r="W223" s="190"/>
      <c r="X223" s="190"/>
      <c r="Y223" s="190"/>
      <c r="Z223" s="190"/>
      <c r="AA223" s="190"/>
      <c r="AB223" s="190"/>
      <c r="AC223" s="190"/>
      <c r="AD223" s="190"/>
      <c r="AE223" s="190"/>
      <c r="AF223" s="190"/>
      <c r="AG223" s="190"/>
      <c r="AH223" s="190"/>
      <c r="AI223" s="190"/>
      <c r="AJ223" s="190"/>
      <c r="AK223" s="190"/>
      <c r="AL223" s="190"/>
      <c r="AM223" s="190"/>
      <c r="AN223" s="190"/>
      <c r="AO223" s="190"/>
      <c r="AP223" s="190"/>
      <c r="AQ223" s="190"/>
      <c r="AR223" s="190"/>
      <c r="AS223" s="190"/>
      <c r="AT223" s="190"/>
      <c r="AU223" s="190"/>
      <c r="AV223" s="190"/>
      <c r="AW223" s="190"/>
      <c r="AX223" s="190"/>
      <c r="AY223" s="190"/>
      <c r="AZ223" s="190"/>
      <c r="BA223" s="190"/>
      <c r="BB223" s="190"/>
      <c r="BC223" s="190"/>
      <c r="BD223" s="190"/>
      <c r="BE223" s="190"/>
      <c r="BF223" s="190"/>
      <c r="BG223" s="190"/>
      <c r="BH223" s="190"/>
      <c r="BI223" s="190"/>
      <c r="BJ223" s="190"/>
      <c r="BK223" s="190"/>
      <c r="BL223" s="190"/>
      <c r="BM223" s="190"/>
      <c r="BN223" s="190"/>
      <c r="BO223" s="190"/>
      <c r="BP223" s="190"/>
      <c r="BQ223" s="190"/>
      <c r="BR223" s="190"/>
      <c r="BS223" s="190"/>
      <c r="BT223" s="190"/>
      <c r="BU223" s="190"/>
      <c r="BV223" s="190"/>
      <c r="BW223" s="190"/>
      <c r="BX223" s="190"/>
      <c r="EH223"/>
      <c r="EI223"/>
      <c r="EJ223"/>
      <c r="EK223"/>
      <c r="EL223"/>
      <c r="EM223"/>
      <c r="EN223"/>
      <c r="EO223"/>
      <c r="EP223"/>
      <c r="EQ223"/>
      <c r="ER223"/>
      <c r="ES223"/>
      <c r="ET223"/>
      <c r="EU223"/>
      <c r="EV223"/>
      <c r="EW223"/>
      <c r="EX223"/>
      <c r="EY223"/>
      <c r="EZ223"/>
      <c r="FA223"/>
      <c r="FB223"/>
    </row>
    <row r="224" spans="2:158" ht="22.5" hidden="1" customHeight="1" thickBot="1" x14ac:dyDescent="0.35">
      <c r="B224" s="440" t="s">
        <v>296</v>
      </c>
      <c r="C224" s="440"/>
      <c r="D224" s="440"/>
      <c r="E224" s="440"/>
      <c r="F224" s="440"/>
      <c r="G224" s="440"/>
      <c r="H224" s="440"/>
      <c r="I224" s="440"/>
      <c r="J224" s="440"/>
      <c r="K224" s="440"/>
      <c r="L224" s="440"/>
      <c r="M224" s="440"/>
      <c r="N224" s="440"/>
      <c r="O224" s="440"/>
      <c r="P224" s="440"/>
      <c r="Q224" s="440"/>
      <c r="R224" s="440"/>
      <c r="S224" s="440"/>
      <c r="T224" s="440"/>
      <c r="U224" s="440"/>
      <c r="V224" s="440"/>
      <c r="W224" s="440"/>
      <c r="X224" s="440"/>
      <c r="Y224" s="440"/>
      <c r="Z224" s="440"/>
      <c r="AA224" s="440"/>
      <c r="AB224" s="440"/>
      <c r="AC224" s="440"/>
      <c r="AD224" s="440"/>
      <c r="AE224" s="440"/>
      <c r="AF224" s="440"/>
      <c r="AG224" s="440"/>
      <c r="AH224" s="440"/>
      <c r="AI224" s="440"/>
      <c r="AJ224" s="440"/>
      <c r="AK224" s="440"/>
      <c r="AL224" s="440"/>
      <c r="AM224" s="440"/>
      <c r="AN224" s="440"/>
      <c r="AO224" s="440"/>
      <c r="AP224" s="440"/>
      <c r="AQ224" s="440"/>
      <c r="AR224" s="440"/>
      <c r="AS224" s="440"/>
      <c r="AT224" s="440"/>
      <c r="AU224" s="440"/>
      <c r="AV224" s="440"/>
      <c r="AW224" s="440"/>
      <c r="AX224" s="440"/>
      <c r="AY224" s="440"/>
      <c r="AZ224" s="440"/>
      <c r="BA224" s="440"/>
      <c r="BB224" s="440"/>
      <c r="BC224" s="440"/>
      <c r="BD224" s="440"/>
      <c r="BE224" s="440"/>
      <c r="BF224" s="187"/>
      <c r="BG224" s="187"/>
      <c r="BJ224" s="178" t="s">
        <v>1648</v>
      </c>
    </row>
    <row r="225" spans="2:158" ht="22.5" hidden="1" customHeight="1" x14ac:dyDescent="0.3">
      <c r="B225" s="454" t="s">
        <v>3221</v>
      </c>
      <c r="C225" s="401"/>
      <c r="D225" s="401"/>
      <c r="E225" s="401"/>
      <c r="F225" s="401"/>
      <c r="G225" s="401"/>
      <c r="H225" s="401"/>
      <c r="I225" s="401"/>
      <c r="J225" s="404"/>
      <c r="K225" s="404"/>
      <c r="L225" s="404"/>
      <c r="M225" s="404"/>
      <c r="N225" s="404"/>
      <c r="O225" s="404"/>
      <c r="P225" s="404"/>
      <c r="Q225" s="404"/>
      <c r="R225" s="404"/>
      <c r="S225" s="404"/>
      <c r="T225" s="404"/>
      <c r="U225" s="404"/>
      <c r="V225" s="404"/>
      <c r="W225" s="404"/>
      <c r="X225" s="405"/>
      <c r="Y225" s="400" t="s">
        <v>2074</v>
      </c>
      <c r="Z225" s="401"/>
      <c r="AA225" s="401"/>
      <c r="AB225" s="402"/>
      <c r="AC225" s="402"/>
      <c r="AD225" s="402"/>
      <c r="AE225" s="402"/>
      <c r="AF225" s="402"/>
      <c r="AG225" s="402"/>
      <c r="AH225" s="402"/>
      <c r="AI225" s="402"/>
      <c r="AJ225" s="402"/>
      <c r="AK225" s="403"/>
      <c r="AL225" s="400" t="s">
        <v>1982</v>
      </c>
      <c r="AM225" s="401"/>
      <c r="AN225" s="401"/>
      <c r="AO225" s="404"/>
      <c r="AP225" s="404"/>
      <c r="AQ225" s="404"/>
      <c r="AR225" s="404"/>
      <c r="AS225" s="404"/>
      <c r="AT225" s="404"/>
      <c r="AU225" s="405"/>
      <c r="AV225" s="400" t="s">
        <v>1983</v>
      </c>
      <c r="AW225" s="401"/>
      <c r="AX225" s="404"/>
      <c r="AY225" s="404"/>
      <c r="AZ225" s="404"/>
      <c r="BA225" s="404"/>
      <c r="BB225" s="404"/>
      <c r="BC225" s="404"/>
      <c r="BD225" s="404"/>
      <c r="BE225" s="406"/>
      <c r="BF225" s="190"/>
      <c r="BG225" s="190"/>
      <c r="BH225" s="517" t="s">
        <v>389</v>
      </c>
      <c r="BI225" s="518"/>
      <c r="BJ225" s="489" t="s">
        <v>1649</v>
      </c>
      <c r="BK225" s="490"/>
      <c r="BL225" s="490"/>
      <c r="BM225" s="490"/>
      <c r="BN225" s="490"/>
      <c r="BO225" s="490"/>
      <c r="BP225" s="490"/>
      <c r="BQ225" s="490"/>
      <c r="BR225" s="490"/>
      <c r="BS225" s="490"/>
      <c r="BT225" s="490"/>
      <c r="BU225" s="490"/>
      <c r="BV225" s="483" t="s">
        <v>1644</v>
      </c>
      <c r="BW225" s="484"/>
      <c r="BX225" s="484"/>
      <c r="BY225" s="484"/>
      <c r="BZ225" s="484"/>
      <c r="CA225" s="484"/>
      <c r="CB225" s="484"/>
      <c r="CC225" s="484"/>
      <c r="CD225" s="485"/>
      <c r="CE225" s="513" t="s">
        <v>1675</v>
      </c>
      <c r="CF225" s="513"/>
      <c r="CG225" s="513"/>
      <c r="CH225" s="513"/>
      <c r="CI225" s="513"/>
      <c r="CJ225" s="513"/>
      <c r="CK225" s="513"/>
      <c r="CL225" s="513"/>
      <c r="CM225" s="513"/>
      <c r="CN225" s="513"/>
      <c r="CO225" s="489" t="s">
        <v>1676</v>
      </c>
      <c r="CP225" s="490"/>
      <c r="CQ225" s="490"/>
      <c r="CR225" s="490"/>
      <c r="CS225" s="490"/>
      <c r="CT225" s="490"/>
      <c r="CU225" s="490"/>
      <c r="CV225" s="490"/>
      <c r="CW225" s="490"/>
      <c r="CX225" s="490"/>
      <c r="CY225" s="490"/>
      <c r="CZ225" s="491"/>
      <c r="DA225" s="516" t="s">
        <v>1645</v>
      </c>
      <c r="DB225" s="516"/>
      <c r="DC225" s="516"/>
      <c r="DD225" s="516"/>
      <c r="DE225" s="516"/>
      <c r="DF225" s="516"/>
      <c r="DG225" s="516"/>
      <c r="DH225" s="516"/>
      <c r="DI225" s="516"/>
      <c r="DJ225" s="516"/>
      <c r="DK225" s="483" t="s">
        <v>1646</v>
      </c>
      <c r="DL225" s="484"/>
      <c r="DM225" s="484"/>
      <c r="DN225" s="484"/>
      <c r="DO225" s="484"/>
      <c r="DP225" s="484"/>
      <c r="DQ225" s="484"/>
      <c r="DR225" s="485"/>
    </row>
    <row r="226" spans="2:158" ht="22.5" hidden="1" customHeight="1" x14ac:dyDescent="0.3">
      <c r="B226" s="393" t="s">
        <v>1984</v>
      </c>
      <c r="C226" s="392"/>
      <c r="D226" s="392"/>
      <c r="E226" s="392"/>
      <c r="F226" s="389"/>
      <c r="G226" s="389"/>
      <c r="H226" s="389"/>
      <c r="I226" s="389"/>
      <c r="J226" s="389"/>
      <c r="K226" s="389"/>
      <c r="L226" s="389"/>
      <c r="M226" s="391" t="s">
        <v>307</v>
      </c>
      <c r="N226" s="392"/>
      <c r="O226" s="392"/>
      <c r="P226" s="392"/>
      <c r="Q226" s="392"/>
      <c r="R226" s="392"/>
      <c r="S226" s="392"/>
      <c r="T226" s="392"/>
      <c r="U226" s="433"/>
      <c r="V226" s="433"/>
      <c r="W226" s="433"/>
      <c r="X226" s="433"/>
      <c r="Y226" s="433"/>
      <c r="Z226" s="433"/>
      <c r="AA226" s="391" t="s">
        <v>2084</v>
      </c>
      <c r="AB226" s="392"/>
      <c r="AC226" s="392"/>
      <c r="AD226" s="392"/>
      <c r="AE226" s="392"/>
      <c r="AF226" s="392"/>
      <c r="AG226" s="392"/>
      <c r="AH226" s="392"/>
      <c r="AI226" s="433"/>
      <c r="AJ226" s="433"/>
      <c r="AK226" s="433"/>
      <c r="AL226" s="433"/>
      <c r="AM226" s="433"/>
      <c r="AN226" s="434"/>
      <c r="AO226" s="391" t="s">
        <v>279</v>
      </c>
      <c r="AP226" s="392"/>
      <c r="AQ226" s="392"/>
      <c r="AR226" s="392"/>
      <c r="AS226" s="392"/>
      <c r="AT226" s="437"/>
      <c r="AU226" s="437"/>
      <c r="AV226" s="437"/>
      <c r="AW226" s="437"/>
      <c r="AX226" s="437"/>
      <c r="AY226" s="437"/>
      <c r="AZ226" s="391" t="s">
        <v>2083</v>
      </c>
      <c r="BA226" s="392"/>
      <c r="BB226" s="392"/>
      <c r="BC226" s="392"/>
      <c r="BD226" s="389"/>
      <c r="BE226" s="390"/>
      <c r="BF226" s="190"/>
      <c r="BG226" s="190"/>
      <c r="BH226" s="514">
        <v>1</v>
      </c>
      <c r="BI226" s="515"/>
      <c r="BJ226" s="498"/>
      <c r="BK226" s="499"/>
      <c r="BL226" s="499"/>
      <c r="BM226" s="499"/>
      <c r="BN226" s="499"/>
      <c r="BO226" s="499"/>
      <c r="BP226" s="499"/>
      <c r="BQ226" s="499"/>
      <c r="BR226" s="499"/>
      <c r="BS226" s="499"/>
      <c r="BT226" s="499"/>
      <c r="BU226" s="499"/>
      <c r="BV226" s="500"/>
      <c r="BW226" s="501"/>
      <c r="BX226" s="501"/>
      <c r="BY226" s="501"/>
      <c r="BZ226" s="501"/>
      <c r="CA226" s="501"/>
      <c r="CB226" s="501"/>
      <c r="CC226" s="501"/>
      <c r="CD226" s="502"/>
      <c r="CE226" s="519"/>
      <c r="CF226" s="519"/>
      <c r="CG226" s="519"/>
      <c r="CH226" s="519"/>
      <c r="CI226" s="519"/>
      <c r="CJ226" s="519"/>
      <c r="CK226" s="519"/>
      <c r="CL226" s="519"/>
      <c r="CM226" s="519"/>
      <c r="CN226" s="519"/>
      <c r="CO226" s="507"/>
      <c r="CP226" s="508"/>
      <c r="CQ226" s="508"/>
      <c r="CR226" s="508"/>
      <c r="CS226" s="508"/>
      <c r="CT226" s="508"/>
      <c r="CU226" s="508"/>
      <c r="CV226" s="508"/>
      <c r="CW226" s="508"/>
      <c r="CX226" s="508"/>
      <c r="CY226" s="508"/>
      <c r="CZ226" s="509"/>
      <c r="DA226" s="510"/>
      <c r="DB226" s="510"/>
      <c r="DC226" s="510"/>
      <c r="DD226" s="510"/>
      <c r="DE226" s="510"/>
      <c r="DF226" s="510"/>
      <c r="DG226" s="510"/>
      <c r="DH226" s="510"/>
      <c r="DI226" s="510"/>
      <c r="DJ226" s="510"/>
      <c r="DK226" s="492"/>
      <c r="DL226" s="493"/>
      <c r="DM226" s="493"/>
      <c r="DN226" s="493"/>
      <c r="DO226" s="493"/>
      <c r="DP226" s="493"/>
      <c r="DQ226" s="493"/>
      <c r="DR226" s="494"/>
    </row>
    <row r="227" spans="2:158" ht="22.5" hidden="1" customHeight="1" x14ac:dyDescent="0.3">
      <c r="B227" s="393" t="s">
        <v>2091</v>
      </c>
      <c r="C227" s="392"/>
      <c r="D227" s="392"/>
      <c r="E227" s="392"/>
      <c r="F227" s="392"/>
      <c r="G227" s="392"/>
      <c r="H227" s="392"/>
      <c r="I227" s="392"/>
      <c r="J227" s="392"/>
      <c r="K227" s="389"/>
      <c r="L227" s="389"/>
      <c r="M227" s="391" t="s">
        <v>2089</v>
      </c>
      <c r="N227" s="392"/>
      <c r="O227" s="392"/>
      <c r="P227" s="392"/>
      <c r="Q227" s="392"/>
      <c r="R227" s="392"/>
      <c r="S227" s="389"/>
      <c r="T227" s="389"/>
      <c r="U227" s="389"/>
      <c r="V227" s="389"/>
      <c r="W227" s="389"/>
      <c r="X227" s="391" t="s">
        <v>2092</v>
      </c>
      <c r="Y227" s="392"/>
      <c r="Z227" s="392"/>
      <c r="AA227" s="392"/>
      <c r="AB227" s="392"/>
      <c r="AC227" s="392"/>
      <c r="AD227" s="392"/>
      <c r="AE227" s="392"/>
      <c r="AF227" s="392"/>
      <c r="AG227" s="392"/>
      <c r="AH227" s="392"/>
      <c r="AI227" s="392"/>
      <c r="AJ227" s="392"/>
      <c r="AK227" s="392"/>
      <c r="AL227" s="392"/>
      <c r="AM227" s="392"/>
      <c r="AN227" s="392"/>
      <c r="AO227" s="392"/>
      <c r="AP227" s="392"/>
      <c r="AQ227" s="392"/>
      <c r="AR227" s="389"/>
      <c r="AS227" s="389"/>
      <c r="AT227" s="389"/>
      <c r="AU227" s="389"/>
      <c r="AV227" s="389"/>
      <c r="AW227" s="432"/>
      <c r="AX227" s="391" t="s">
        <v>796</v>
      </c>
      <c r="AY227" s="392"/>
      <c r="AZ227" s="392"/>
      <c r="BA227" s="392"/>
      <c r="BB227" s="392"/>
      <c r="BC227" s="392"/>
      <c r="BD227" s="389"/>
      <c r="BE227" s="390"/>
      <c r="BF227" s="190"/>
      <c r="BG227" s="190"/>
      <c r="BH227" s="443">
        <v>2</v>
      </c>
      <c r="BI227" s="444"/>
      <c r="BJ227" s="486"/>
      <c r="BK227" s="487"/>
      <c r="BL227" s="487"/>
      <c r="BM227" s="487"/>
      <c r="BN227" s="487"/>
      <c r="BO227" s="487"/>
      <c r="BP227" s="487"/>
      <c r="BQ227" s="487"/>
      <c r="BR227" s="487"/>
      <c r="BS227" s="487"/>
      <c r="BT227" s="487"/>
      <c r="BU227" s="487"/>
      <c r="BV227" s="500"/>
      <c r="BW227" s="501"/>
      <c r="BX227" s="501"/>
      <c r="BY227" s="501"/>
      <c r="BZ227" s="501"/>
      <c r="CA227" s="501"/>
      <c r="CB227" s="501"/>
      <c r="CC227" s="501"/>
      <c r="CD227" s="502"/>
      <c r="CE227" s="495"/>
      <c r="CF227" s="495"/>
      <c r="CG227" s="495"/>
      <c r="CH227" s="495"/>
      <c r="CI227" s="495"/>
      <c r="CJ227" s="495"/>
      <c r="CK227" s="495"/>
      <c r="CL227" s="495"/>
      <c r="CM227" s="495"/>
      <c r="CN227" s="495"/>
      <c r="CO227" s="486"/>
      <c r="CP227" s="487"/>
      <c r="CQ227" s="487"/>
      <c r="CR227" s="487"/>
      <c r="CS227" s="487"/>
      <c r="CT227" s="487"/>
      <c r="CU227" s="487"/>
      <c r="CV227" s="487"/>
      <c r="CW227" s="487"/>
      <c r="CX227" s="487"/>
      <c r="CY227" s="487"/>
      <c r="CZ227" s="488"/>
      <c r="DA227" s="495"/>
      <c r="DB227" s="495"/>
      <c r="DC227" s="495"/>
      <c r="DD227" s="495"/>
      <c r="DE227" s="495"/>
      <c r="DF227" s="495"/>
      <c r="DG227" s="495"/>
      <c r="DH227" s="495"/>
      <c r="DI227" s="495"/>
      <c r="DJ227" s="495"/>
      <c r="DK227" s="480"/>
      <c r="DL227" s="481"/>
      <c r="DM227" s="481"/>
      <c r="DN227" s="481"/>
      <c r="DO227" s="481"/>
      <c r="DP227" s="481"/>
      <c r="DQ227" s="481"/>
      <c r="DR227" s="482"/>
    </row>
    <row r="228" spans="2:158" ht="22.5" hidden="1" customHeight="1" x14ac:dyDescent="0.3">
      <c r="B228" s="393" t="s">
        <v>2978</v>
      </c>
      <c r="C228" s="392"/>
      <c r="D228" s="392"/>
      <c r="E228" s="392"/>
      <c r="F228" s="392"/>
      <c r="G228" s="392"/>
      <c r="H228" s="392"/>
      <c r="I228" s="392"/>
      <c r="J228" s="392"/>
      <c r="K228" s="389"/>
      <c r="L228" s="389"/>
      <c r="M228" s="391" t="s">
        <v>2089</v>
      </c>
      <c r="N228" s="392"/>
      <c r="O228" s="392"/>
      <c r="P228" s="392"/>
      <c r="Q228" s="392"/>
      <c r="R228" s="392"/>
      <c r="S228" s="389"/>
      <c r="T228" s="389"/>
      <c r="U228" s="389"/>
      <c r="V228" s="389"/>
      <c r="W228" s="389"/>
      <c r="X228" s="391" t="s">
        <v>2118</v>
      </c>
      <c r="Y228" s="392"/>
      <c r="Z228" s="392"/>
      <c r="AA228" s="392"/>
      <c r="AB228" s="392"/>
      <c r="AC228" s="392"/>
      <c r="AD228" s="392"/>
      <c r="AE228" s="442"/>
      <c r="AF228" s="442"/>
      <c r="AG228" s="442"/>
      <c r="AH228" s="442"/>
      <c r="AI228" s="442"/>
      <c r="AJ228" s="391" t="s">
        <v>2090</v>
      </c>
      <c r="AK228" s="392"/>
      <c r="AL228" s="392"/>
      <c r="AM228" s="392"/>
      <c r="AN228" s="392"/>
      <c r="AO228" s="392"/>
      <c r="AP228" s="392"/>
      <c r="AQ228" s="392"/>
      <c r="AR228" s="433"/>
      <c r="AS228" s="433"/>
      <c r="AT228" s="433"/>
      <c r="AU228" s="433"/>
      <c r="AV228" s="433"/>
      <c r="AW228" s="434"/>
      <c r="AX228" s="391" t="s">
        <v>2085</v>
      </c>
      <c r="AY228" s="392"/>
      <c r="AZ228" s="392"/>
      <c r="BA228" s="392"/>
      <c r="BB228" s="392"/>
      <c r="BC228" s="392"/>
      <c r="BD228" s="389"/>
      <c r="BE228" s="390"/>
      <c r="BF228" s="190"/>
      <c r="BG228" s="190"/>
      <c r="BH228" s="443">
        <v>3</v>
      </c>
      <c r="BI228" s="444"/>
      <c r="BJ228" s="486"/>
      <c r="BK228" s="487"/>
      <c r="BL228" s="487"/>
      <c r="BM228" s="487"/>
      <c r="BN228" s="487"/>
      <c r="BO228" s="487"/>
      <c r="BP228" s="487"/>
      <c r="BQ228" s="487"/>
      <c r="BR228" s="487"/>
      <c r="BS228" s="487"/>
      <c r="BT228" s="487"/>
      <c r="BU228" s="487"/>
      <c r="BV228" s="500"/>
      <c r="BW228" s="501"/>
      <c r="BX228" s="501"/>
      <c r="BY228" s="501"/>
      <c r="BZ228" s="501"/>
      <c r="CA228" s="501"/>
      <c r="CB228" s="501"/>
      <c r="CC228" s="501"/>
      <c r="CD228" s="502"/>
      <c r="CE228" s="506"/>
      <c r="CF228" s="506"/>
      <c r="CG228" s="506"/>
      <c r="CH228" s="506"/>
      <c r="CI228" s="506"/>
      <c r="CJ228" s="506"/>
      <c r="CK228" s="506"/>
      <c r="CL228" s="506"/>
      <c r="CM228" s="506"/>
      <c r="CN228" s="506"/>
      <c r="CO228" s="500"/>
      <c r="CP228" s="501"/>
      <c r="CQ228" s="501"/>
      <c r="CR228" s="501"/>
      <c r="CS228" s="501"/>
      <c r="CT228" s="501"/>
      <c r="CU228" s="501"/>
      <c r="CV228" s="501"/>
      <c r="CW228" s="501"/>
      <c r="CX228" s="501"/>
      <c r="CY228" s="501"/>
      <c r="CZ228" s="502"/>
      <c r="DA228" s="495"/>
      <c r="DB228" s="495"/>
      <c r="DC228" s="495"/>
      <c r="DD228" s="495"/>
      <c r="DE228" s="495"/>
      <c r="DF228" s="495"/>
      <c r="DG228" s="495"/>
      <c r="DH228" s="495"/>
      <c r="DI228" s="495"/>
      <c r="DJ228" s="495"/>
      <c r="DK228" s="480"/>
      <c r="DL228" s="481"/>
      <c r="DM228" s="481"/>
      <c r="DN228" s="481"/>
      <c r="DO228" s="481"/>
      <c r="DP228" s="481"/>
      <c r="DQ228" s="481"/>
      <c r="DR228" s="482"/>
    </row>
    <row r="229" spans="2:158" ht="22.5" hidden="1" customHeight="1" x14ac:dyDescent="0.3">
      <c r="B229" s="438" t="s">
        <v>2916</v>
      </c>
      <c r="C229" s="436"/>
      <c r="D229" s="436"/>
      <c r="E229" s="436"/>
      <c r="F229" s="436"/>
      <c r="G229" s="436"/>
      <c r="H229" s="436"/>
      <c r="I229" s="436"/>
      <c r="J229" s="436"/>
      <c r="K229" s="387"/>
      <c r="L229" s="387"/>
      <c r="M229" s="435" t="s">
        <v>2086</v>
      </c>
      <c r="N229" s="436"/>
      <c r="O229" s="436"/>
      <c r="P229" s="436"/>
      <c r="Q229" s="436"/>
      <c r="R229" s="436"/>
      <c r="S229" s="439"/>
      <c r="T229" s="387"/>
      <c r="U229" s="387"/>
      <c r="V229" s="387"/>
      <c r="W229" s="387"/>
      <c r="X229" s="435" t="s">
        <v>2087</v>
      </c>
      <c r="Y229" s="436"/>
      <c r="Z229" s="436"/>
      <c r="AA229" s="436"/>
      <c r="AB229" s="436"/>
      <c r="AC229" s="436"/>
      <c r="AD229" s="436"/>
      <c r="AE229" s="387"/>
      <c r="AF229" s="387"/>
      <c r="AG229" s="387"/>
      <c r="AH229" s="387"/>
      <c r="AI229" s="387"/>
      <c r="AJ229" s="435" t="s">
        <v>2088</v>
      </c>
      <c r="AK229" s="436"/>
      <c r="AL229" s="436"/>
      <c r="AM229" s="436"/>
      <c r="AN229" s="436"/>
      <c r="AO229" s="436"/>
      <c r="AP229" s="436"/>
      <c r="AQ229" s="436"/>
      <c r="AR229" s="387"/>
      <c r="AS229" s="387"/>
      <c r="AT229" s="387"/>
      <c r="AU229" s="387"/>
      <c r="AV229" s="387"/>
      <c r="AW229" s="387"/>
      <c r="AX229" s="387"/>
      <c r="AY229" s="387"/>
      <c r="AZ229" s="387"/>
      <c r="BA229" s="387"/>
      <c r="BB229" s="387"/>
      <c r="BC229" s="387"/>
      <c r="BD229" s="387"/>
      <c r="BE229" s="388"/>
      <c r="BF229" s="190"/>
      <c r="BG229" s="190"/>
      <c r="BH229" s="445">
        <v>4</v>
      </c>
      <c r="BI229" s="446"/>
      <c r="BJ229" s="496"/>
      <c r="BK229" s="461"/>
      <c r="BL229" s="461"/>
      <c r="BM229" s="461"/>
      <c r="BN229" s="461"/>
      <c r="BO229" s="461"/>
      <c r="BP229" s="461"/>
      <c r="BQ229" s="461"/>
      <c r="BR229" s="461"/>
      <c r="BS229" s="461"/>
      <c r="BT229" s="461"/>
      <c r="BU229" s="461"/>
      <c r="BV229" s="521"/>
      <c r="BW229" s="522"/>
      <c r="BX229" s="522"/>
      <c r="BY229" s="522"/>
      <c r="BZ229" s="522"/>
      <c r="CA229" s="522"/>
      <c r="CB229" s="522"/>
      <c r="CC229" s="522"/>
      <c r="CD229" s="523"/>
      <c r="CE229" s="497"/>
      <c r="CF229" s="497"/>
      <c r="CG229" s="497"/>
      <c r="CH229" s="497"/>
      <c r="CI229" s="497"/>
      <c r="CJ229" s="497"/>
      <c r="CK229" s="497"/>
      <c r="CL229" s="497"/>
      <c r="CM229" s="497"/>
      <c r="CN229" s="497"/>
      <c r="CO229" s="496"/>
      <c r="CP229" s="461"/>
      <c r="CQ229" s="461"/>
      <c r="CR229" s="461"/>
      <c r="CS229" s="461"/>
      <c r="CT229" s="461"/>
      <c r="CU229" s="461"/>
      <c r="CV229" s="461"/>
      <c r="CW229" s="461"/>
      <c r="CX229" s="461"/>
      <c r="CY229" s="461"/>
      <c r="CZ229" s="520"/>
      <c r="DA229" s="497"/>
      <c r="DB229" s="497"/>
      <c r="DC229" s="497"/>
      <c r="DD229" s="497"/>
      <c r="DE229" s="497"/>
      <c r="DF229" s="497"/>
      <c r="DG229" s="497"/>
      <c r="DH229" s="497"/>
      <c r="DI229" s="497"/>
      <c r="DJ229" s="497"/>
      <c r="DK229" s="503"/>
      <c r="DL229" s="504"/>
      <c r="DM229" s="504"/>
      <c r="DN229" s="504"/>
      <c r="DO229" s="504"/>
      <c r="DP229" s="504"/>
      <c r="DQ229" s="504"/>
      <c r="DR229" s="505"/>
    </row>
    <row r="230" spans="2:158" ht="22.5" hidden="1" customHeight="1" x14ac:dyDescent="0.3">
      <c r="B230" s="381" t="s">
        <v>278</v>
      </c>
      <c r="C230" s="382"/>
      <c r="D230" s="382"/>
      <c r="E230" s="382"/>
      <c r="F230" s="382"/>
      <c r="G230" s="382"/>
      <c r="H230" s="382"/>
      <c r="I230" s="382"/>
      <c r="J230" s="421"/>
      <c r="K230" s="421"/>
      <c r="L230" s="421"/>
      <c r="M230" s="421"/>
      <c r="N230" s="421"/>
      <c r="O230" s="421"/>
      <c r="P230" s="421"/>
      <c r="Q230" s="421"/>
      <c r="R230" s="421"/>
      <c r="S230" s="421"/>
      <c r="T230" s="421"/>
      <c r="U230" s="421"/>
      <c r="V230" s="421"/>
      <c r="W230" s="421"/>
      <c r="X230" s="421"/>
      <c r="Y230" s="421"/>
      <c r="Z230" s="421"/>
      <c r="AA230" s="421"/>
      <c r="AB230" s="421"/>
      <c r="AC230" s="421"/>
      <c r="AD230" s="421"/>
      <c r="AE230" s="421"/>
      <c r="AF230" s="421"/>
      <c r="AG230" s="421"/>
      <c r="AH230" s="421"/>
      <c r="AI230" s="421"/>
      <c r="AJ230" s="421"/>
      <c r="AK230" s="421"/>
      <c r="AL230" s="421"/>
      <c r="AM230" s="421"/>
      <c r="AN230" s="421"/>
      <c r="AO230" s="421"/>
      <c r="AP230" s="421"/>
      <c r="AQ230" s="421"/>
      <c r="AR230" s="421"/>
      <c r="AS230" s="421"/>
      <c r="AT230" s="421"/>
      <c r="AU230" s="421"/>
      <c r="AV230" s="421"/>
      <c r="AW230" s="421"/>
      <c r="AX230" s="421"/>
      <c r="AY230" s="421"/>
      <c r="AZ230" s="421"/>
      <c r="BA230" s="421"/>
      <c r="BB230" s="421"/>
      <c r="BC230" s="421"/>
      <c r="BD230" s="421"/>
      <c r="BE230" s="422"/>
      <c r="BF230" s="190"/>
      <c r="BG230" s="190"/>
      <c r="DA230" s="511" t="s">
        <v>1647</v>
      </c>
      <c r="DB230" s="512"/>
      <c r="DC230" s="512"/>
      <c r="DD230" s="512"/>
      <c r="DE230" s="512"/>
      <c r="DF230" s="512"/>
      <c r="DG230" s="512"/>
      <c r="DH230" s="512"/>
      <c r="DI230" s="512"/>
      <c r="DJ230" s="512"/>
      <c r="DK230" s="418">
        <f>SUM(DK226:DR229)</f>
        <v>0</v>
      </c>
      <c r="DL230" s="419"/>
      <c r="DM230" s="419"/>
      <c r="DN230" s="419"/>
      <c r="DO230" s="419"/>
      <c r="DP230" s="419"/>
      <c r="DQ230" s="419"/>
      <c r="DR230" s="420"/>
    </row>
    <row r="231" spans="2:158" ht="24" hidden="1" customHeight="1" x14ac:dyDescent="0.25">
      <c r="B231" s="383" t="s">
        <v>2944</v>
      </c>
      <c r="C231" s="384"/>
      <c r="D231" s="384"/>
      <c r="E231" s="384"/>
      <c r="F231" s="384"/>
      <c r="G231" s="384"/>
      <c r="H231" s="384"/>
      <c r="I231" s="384"/>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423"/>
      <c r="AJ231" s="423"/>
      <c r="AK231" s="423"/>
      <c r="AL231" s="423"/>
      <c r="AM231" s="423"/>
      <c r="AN231" s="423"/>
      <c r="AO231" s="423"/>
      <c r="AP231" s="423"/>
      <c r="AQ231" s="423"/>
      <c r="AR231" s="423"/>
      <c r="AS231" s="423"/>
      <c r="AT231" s="423"/>
      <c r="AU231" s="423"/>
      <c r="AV231" s="423"/>
      <c r="AW231" s="423"/>
      <c r="AX231" s="423"/>
      <c r="AY231" s="423"/>
      <c r="AZ231" s="423"/>
      <c r="BA231" s="423"/>
      <c r="BB231" s="423"/>
      <c r="BC231" s="423"/>
      <c r="BD231" s="423"/>
      <c r="BE231" s="424"/>
      <c r="EH231"/>
      <c r="EI231"/>
      <c r="EJ231"/>
      <c r="EK231"/>
      <c r="EL231"/>
      <c r="EM231"/>
      <c r="EN231"/>
      <c r="EO231"/>
      <c r="EP231"/>
      <c r="EQ231"/>
      <c r="ER231"/>
      <c r="ES231"/>
      <c r="ET231"/>
      <c r="EU231"/>
      <c r="EV231"/>
      <c r="EW231"/>
      <c r="EX231"/>
      <c r="EY231"/>
      <c r="EZ231"/>
      <c r="FA231"/>
      <c r="FB231"/>
    </row>
    <row r="232" spans="2:158" ht="24" hidden="1" customHeight="1" thickBot="1" x14ac:dyDescent="0.3">
      <c r="B232" s="385"/>
      <c r="C232" s="386"/>
      <c r="D232" s="386"/>
      <c r="E232" s="386"/>
      <c r="F232" s="386"/>
      <c r="G232" s="386"/>
      <c r="H232" s="386"/>
      <c r="I232" s="386"/>
      <c r="J232" s="425"/>
      <c r="K232" s="425"/>
      <c r="L232" s="425"/>
      <c r="M232" s="425"/>
      <c r="N232" s="425"/>
      <c r="O232" s="425"/>
      <c r="P232" s="425"/>
      <c r="Q232" s="425"/>
      <c r="R232" s="425"/>
      <c r="S232" s="425"/>
      <c r="T232" s="425"/>
      <c r="U232" s="425"/>
      <c r="V232" s="425"/>
      <c r="W232" s="425"/>
      <c r="X232" s="425"/>
      <c r="Y232" s="425"/>
      <c r="Z232" s="425"/>
      <c r="AA232" s="425"/>
      <c r="AB232" s="425"/>
      <c r="AC232" s="425"/>
      <c r="AD232" s="425"/>
      <c r="AE232" s="425"/>
      <c r="AF232" s="425"/>
      <c r="AG232" s="425"/>
      <c r="AH232" s="425"/>
      <c r="AI232" s="425"/>
      <c r="AJ232" s="425"/>
      <c r="AK232" s="425"/>
      <c r="AL232" s="425"/>
      <c r="AM232" s="425"/>
      <c r="AN232" s="425"/>
      <c r="AO232" s="425"/>
      <c r="AP232" s="425"/>
      <c r="AQ232" s="425"/>
      <c r="AR232" s="425"/>
      <c r="AS232" s="425"/>
      <c r="AT232" s="425"/>
      <c r="AU232" s="425"/>
      <c r="AV232" s="425"/>
      <c r="AW232" s="425"/>
      <c r="AX232" s="425"/>
      <c r="AY232" s="425"/>
      <c r="AZ232" s="425"/>
      <c r="BA232" s="425"/>
      <c r="BB232" s="425"/>
      <c r="BC232" s="425"/>
      <c r="BD232" s="425"/>
      <c r="BE232" s="426"/>
      <c r="EH232"/>
      <c r="EI232"/>
      <c r="EJ232"/>
      <c r="EK232"/>
      <c r="EL232"/>
      <c r="EM232"/>
      <c r="EN232"/>
      <c r="EO232"/>
      <c r="EP232"/>
      <c r="EQ232"/>
      <c r="ER232"/>
      <c r="ES232"/>
      <c r="ET232"/>
      <c r="EU232"/>
      <c r="EV232"/>
      <c r="EW232"/>
      <c r="EX232"/>
      <c r="EY232"/>
      <c r="EZ232"/>
      <c r="FA232"/>
      <c r="FB232"/>
    </row>
    <row r="233" spans="2:158" ht="24" hidden="1" customHeight="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EH233"/>
      <c r="EI233"/>
      <c r="EJ233"/>
      <c r="EK233"/>
      <c r="EL233"/>
      <c r="EM233"/>
      <c r="EN233"/>
      <c r="EO233"/>
      <c r="EP233"/>
      <c r="EQ233"/>
      <c r="ER233"/>
      <c r="ES233"/>
      <c r="ET233"/>
      <c r="EU233"/>
      <c r="EV233"/>
      <c r="EW233"/>
      <c r="EX233"/>
      <c r="EY233"/>
      <c r="EZ233"/>
      <c r="FA233"/>
      <c r="FB233"/>
    </row>
    <row r="234" spans="2:158" ht="18.75" hidden="1" customHeight="1" x14ac:dyDescent="0.3">
      <c r="B234" s="190"/>
      <c r="C234" s="190"/>
      <c r="D234" s="190"/>
      <c r="E234" s="190"/>
      <c r="F234" s="190"/>
      <c r="G234" s="190"/>
      <c r="H234" s="190"/>
      <c r="I234" s="190"/>
      <c r="J234" s="190"/>
      <c r="K234" s="190"/>
      <c r="L234" s="190"/>
      <c r="M234" s="190"/>
      <c r="N234" s="190"/>
      <c r="O234" s="190"/>
      <c r="P234" s="190"/>
      <c r="Q234" s="190"/>
      <c r="R234" s="190"/>
      <c r="S234" s="190"/>
      <c r="T234" s="190"/>
      <c r="U234" s="190"/>
      <c r="V234" s="190"/>
      <c r="W234" s="190"/>
      <c r="X234" s="190"/>
      <c r="Y234" s="190"/>
      <c r="Z234" s="190"/>
      <c r="AA234" s="190"/>
      <c r="AB234" s="190"/>
      <c r="AC234" s="190"/>
      <c r="AD234" s="190"/>
      <c r="AE234" s="190"/>
      <c r="AF234" s="190"/>
      <c r="AG234" s="190"/>
      <c r="AH234" s="190"/>
      <c r="AI234" s="190"/>
      <c r="AJ234" s="190"/>
      <c r="AK234" s="190"/>
      <c r="AL234" s="190"/>
      <c r="AM234" s="190"/>
      <c r="AN234" s="190"/>
      <c r="AO234" s="190"/>
      <c r="AP234" s="190"/>
      <c r="AQ234" s="190"/>
      <c r="AR234" s="190"/>
      <c r="AS234" s="190"/>
      <c r="AT234" s="190"/>
      <c r="AU234" s="190"/>
      <c r="AV234" s="190"/>
      <c r="AW234" s="190"/>
      <c r="AX234" s="190"/>
      <c r="AY234" s="190"/>
      <c r="AZ234" s="190"/>
      <c r="BA234" s="190"/>
      <c r="BB234" s="190"/>
      <c r="BC234" s="190"/>
      <c r="BD234" s="190"/>
      <c r="BE234" s="190"/>
      <c r="BF234" s="190"/>
      <c r="BG234" s="190"/>
      <c r="EH234"/>
      <c r="EI234"/>
      <c r="EJ234"/>
      <c r="EK234"/>
      <c r="EL234"/>
      <c r="EM234"/>
      <c r="EN234"/>
      <c r="EO234"/>
      <c r="EP234"/>
      <c r="EQ234"/>
      <c r="ER234"/>
      <c r="ES234"/>
      <c r="ET234"/>
      <c r="EU234"/>
      <c r="EV234"/>
      <c r="EW234"/>
      <c r="EX234"/>
      <c r="EY234"/>
      <c r="EZ234"/>
      <c r="FA234"/>
      <c r="FB234"/>
    </row>
    <row r="235" spans="2:158" ht="22.5" hidden="1" customHeight="1" thickBot="1" x14ac:dyDescent="0.35">
      <c r="B235" s="440" t="s">
        <v>297</v>
      </c>
      <c r="C235" s="440"/>
      <c r="D235" s="440"/>
      <c r="E235" s="440"/>
      <c r="F235" s="440"/>
      <c r="G235" s="440"/>
      <c r="H235" s="440"/>
      <c r="I235" s="440"/>
      <c r="J235" s="440"/>
      <c r="K235" s="440"/>
      <c r="L235" s="440"/>
      <c r="M235" s="440"/>
      <c r="N235" s="440"/>
      <c r="O235" s="440"/>
      <c r="P235" s="440"/>
      <c r="Q235" s="440"/>
      <c r="R235" s="440"/>
      <c r="S235" s="440"/>
      <c r="T235" s="440"/>
      <c r="U235" s="440"/>
      <c r="V235" s="440"/>
      <c r="W235" s="440"/>
      <c r="X235" s="440"/>
      <c r="Y235" s="440"/>
      <c r="Z235" s="440"/>
      <c r="AA235" s="440"/>
      <c r="AB235" s="440"/>
      <c r="AC235" s="440"/>
      <c r="AD235" s="440"/>
      <c r="AE235" s="440"/>
      <c r="AF235" s="440"/>
      <c r="AG235" s="440"/>
      <c r="AH235" s="440"/>
      <c r="AI235" s="440"/>
      <c r="AJ235" s="440"/>
      <c r="AK235" s="440"/>
      <c r="AL235" s="440"/>
      <c r="AM235" s="440"/>
      <c r="AN235" s="440"/>
      <c r="AO235" s="440"/>
      <c r="AP235" s="440"/>
      <c r="AQ235" s="440"/>
      <c r="AR235" s="440"/>
      <c r="AS235" s="440"/>
      <c r="AT235" s="440"/>
      <c r="AU235" s="440"/>
      <c r="AV235" s="440"/>
      <c r="AW235" s="440"/>
      <c r="AX235" s="440"/>
      <c r="AY235" s="440"/>
      <c r="AZ235" s="440"/>
      <c r="BA235" s="440"/>
      <c r="BB235" s="440"/>
      <c r="BC235" s="440"/>
      <c r="BD235" s="440"/>
      <c r="BE235" s="440"/>
      <c r="BF235" s="187"/>
      <c r="BG235" s="187"/>
      <c r="BJ235" s="178" t="s">
        <v>1648</v>
      </c>
    </row>
    <row r="236" spans="2:158" ht="22.5" hidden="1" customHeight="1" x14ac:dyDescent="0.3">
      <c r="B236" s="454" t="s">
        <v>3221</v>
      </c>
      <c r="C236" s="401"/>
      <c r="D236" s="401"/>
      <c r="E236" s="401"/>
      <c r="F236" s="401"/>
      <c r="G236" s="401"/>
      <c r="H236" s="401"/>
      <c r="I236" s="401"/>
      <c r="J236" s="404"/>
      <c r="K236" s="404"/>
      <c r="L236" s="404"/>
      <c r="M236" s="404"/>
      <c r="N236" s="404"/>
      <c r="O236" s="404"/>
      <c r="P236" s="404"/>
      <c r="Q236" s="404"/>
      <c r="R236" s="404"/>
      <c r="S236" s="404"/>
      <c r="T236" s="404"/>
      <c r="U236" s="404"/>
      <c r="V236" s="404"/>
      <c r="W236" s="404"/>
      <c r="X236" s="405"/>
      <c r="Y236" s="400" t="s">
        <v>2074</v>
      </c>
      <c r="Z236" s="401"/>
      <c r="AA236" s="401"/>
      <c r="AB236" s="402"/>
      <c r="AC236" s="402"/>
      <c r="AD236" s="402"/>
      <c r="AE236" s="402"/>
      <c r="AF236" s="402"/>
      <c r="AG236" s="402"/>
      <c r="AH236" s="402"/>
      <c r="AI236" s="402"/>
      <c r="AJ236" s="402"/>
      <c r="AK236" s="403"/>
      <c r="AL236" s="400" t="s">
        <v>1982</v>
      </c>
      <c r="AM236" s="401"/>
      <c r="AN236" s="401"/>
      <c r="AO236" s="404"/>
      <c r="AP236" s="404"/>
      <c r="AQ236" s="404"/>
      <c r="AR236" s="404"/>
      <c r="AS236" s="404"/>
      <c r="AT236" s="404"/>
      <c r="AU236" s="405"/>
      <c r="AV236" s="400" t="s">
        <v>1983</v>
      </c>
      <c r="AW236" s="401"/>
      <c r="AX236" s="404"/>
      <c r="AY236" s="404"/>
      <c r="AZ236" s="404"/>
      <c r="BA236" s="404"/>
      <c r="BB236" s="404"/>
      <c r="BC236" s="404"/>
      <c r="BD236" s="404"/>
      <c r="BE236" s="406"/>
      <c r="BF236" s="190"/>
      <c r="BG236" s="190"/>
      <c r="BH236" s="517" t="s">
        <v>389</v>
      </c>
      <c r="BI236" s="518"/>
      <c r="BJ236" s="489" t="s">
        <v>1649</v>
      </c>
      <c r="BK236" s="490"/>
      <c r="BL236" s="490"/>
      <c r="BM236" s="490"/>
      <c r="BN236" s="490"/>
      <c r="BO236" s="490"/>
      <c r="BP236" s="490"/>
      <c r="BQ236" s="490"/>
      <c r="BR236" s="490"/>
      <c r="BS236" s="490"/>
      <c r="BT236" s="490"/>
      <c r="BU236" s="490"/>
      <c r="BV236" s="483" t="s">
        <v>1644</v>
      </c>
      <c r="BW236" s="484"/>
      <c r="BX236" s="484"/>
      <c r="BY236" s="484"/>
      <c r="BZ236" s="484"/>
      <c r="CA236" s="484"/>
      <c r="CB236" s="484"/>
      <c r="CC236" s="484"/>
      <c r="CD236" s="485"/>
      <c r="CE236" s="513" t="s">
        <v>1675</v>
      </c>
      <c r="CF236" s="513"/>
      <c r="CG236" s="513"/>
      <c r="CH236" s="513"/>
      <c r="CI236" s="513"/>
      <c r="CJ236" s="513"/>
      <c r="CK236" s="513"/>
      <c r="CL236" s="513"/>
      <c r="CM236" s="513"/>
      <c r="CN236" s="513"/>
      <c r="CO236" s="489" t="s">
        <v>1676</v>
      </c>
      <c r="CP236" s="490"/>
      <c r="CQ236" s="490"/>
      <c r="CR236" s="490"/>
      <c r="CS236" s="490"/>
      <c r="CT236" s="490"/>
      <c r="CU236" s="490"/>
      <c r="CV236" s="490"/>
      <c r="CW236" s="490"/>
      <c r="CX236" s="490"/>
      <c r="CY236" s="490"/>
      <c r="CZ236" s="491"/>
      <c r="DA236" s="516" t="s">
        <v>1645</v>
      </c>
      <c r="DB236" s="516"/>
      <c r="DC236" s="516"/>
      <c r="DD236" s="516"/>
      <c r="DE236" s="516"/>
      <c r="DF236" s="516"/>
      <c r="DG236" s="516"/>
      <c r="DH236" s="516"/>
      <c r="DI236" s="516"/>
      <c r="DJ236" s="516"/>
      <c r="DK236" s="483" t="s">
        <v>1646</v>
      </c>
      <c r="DL236" s="484"/>
      <c r="DM236" s="484"/>
      <c r="DN236" s="484"/>
      <c r="DO236" s="484"/>
      <c r="DP236" s="484"/>
      <c r="DQ236" s="484"/>
      <c r="DR236" s="485"/>
    </row>
    <row r="237" spans="2:158" ht="22.5" hidden="1" customHeight="1" x14ac:dyDescent="0.3">
      <c r="B237" s="393" t="s">
        <v>1984</v>
      </c>
      <c r="C237" s="392"/>
      <c r="D237" s="392"/>
      <c r="E237" s="392"/>
      <c r="F237" s="389"/>
      <c r="G237" s="389"/>
      <c r="H237" s="389"/>
      <c r="I237" s="389"/>
      <c r="J237" s="389"/>
      <c r="K237" s="389"/>
      <c r="L237" s="389"/>
      <c r="M237" s="391" t="s">
        <v>307</v>
      </c>
      <c r="N237" s="392"/>
      <c r="O237" s="392"/>
      <c r="P237" s="392"/>
      <c r="Q237" s="392"/>
      <c r="R237" s="392"/>
      <c r="S237" s="392"/>
      <c r="T237" s="392"/>
      <c r="U237" s="433"/>
      <c r="V237" s="433"/>
      <c r="W237" s="433"/>
      <c r="X237" s="433"/>
      <c r="Y237" s="433"/>
      <c r="Z237" s="433"/>
      <c r="AA237" s="391" t="s">
        <v>2084</v>
      </c>
      <c r="AB237" s="392"/>
      <c r="AC237" s="392"/>
      <c r="AD237" s="392"/>
      <c r="AE237" s="392"/>
      <c r="AF237" s="392"/>
      <c r="AG237" s="392"/>
      <c r="AH237" s="392"/>
      <c r="AI237" s="433"/>
      <c r="AJ237" s="433"/>
      <c r="AK237" s="433"/>
      <c r="AL237" s="433"/>
      <c r="AM237" s="433"/>
      <c r="AN237" s="434"/>
      <c r="AO237" s="391" t="s">
        <v>279</v>
      </c>
      <c r="AP237" s="392"/>
      <c r="AQ237" s="392"/>
      <c r="AR237" s="392"/>
      <c r="AS237" s="392"/>
      <c r="AT237" s="437"/>
      <c r="AU237" s="437"/>
      <c r="AV237" s="437"/>
      <c r="AW237" s="437"/>
      <c r="AX237" s="437"/>
      <c r="AY237" s="437"/>
      <c r="AZ237" s="391" t="s">
        <v>2083</v>
      </c>
      <c r="BA237" s="392"/>
      <c r="BB237" s="392"/>
      <c r="BC237" s="392"/>
      <c r="BD237" s="389"/>
      <c r="BE237" s="390"/>
      <c r="BF237" s="190"/>
      <c r="BG237" s="190"/>
      <c r="BH237" s="514">
        <v>1</v>
      </c>
      <c r="BI237" s="515"/>
      <c r="BJ237" s="498"/>
      <c r="BK237" s="499"/>
      <c r="BL237" s="499"/>
      <c r="BM237" s="499"/>
      <c r="BN237" s="499"/>
      <c r="BO237" s="499"/>
      <c r="BP237" s="499"/>
      <c r="BQ237" s="499"/>
      <c r="BR237" s="499"/>
      <c r="BS237" s="499"/>
      <c r="BT237" s="499"/>
      <c r="BU237" s="499"/>
      <c r="BV237" s="500"/>
      <c r="BW237" s="501"/>
      <c r="BX237" s="501"/>
      <c r="BY237" s="501"/>
      <c r="BZ237" s="501"/>
      <c r="CA237" s="501"/>
      <c r="CB237" s="501"/>
      <c r="CC237" s="501"/>
      <c r="CD237" s="502"/>
      <c r="CE237" s="519"/>
      <c r="CF237" s="519"/>
      <c r="CG237" s="519"/>
      <c r="CH237" s="519"/>
      <c r="CI237" s="519"/>
      <c r="CJ237" s="519"/>
      <c r="CK237" s="519"/>
      <c r="CL237" s="519"/>
      <c r="CM237" s="519"/>
      <c r="CN237" s="519"/>
      <c r="CO237" s="507"/>
      <c r="CP237" s="508"/>
      <c r="CQ237" s="508"/>
      <c r="CR237" s="508"/>
      <c r="CS237" s="508"/>
      <c r="CT237" s="508"/>
      <c r="CU237" s="508"/>
      <c r="CV237" s="508"/>
      <c r="CW237" s="508"/>
      <c r="CX237" s="508"/>
      <c r="CY237" s="508"/>
      <c r="CZ237" s="509"/>
      <c r="DA237" s="510"/>
      <c r="DB237" s="510"/>
      <c r="DC237" s="510"/>
      <c r="DD237" s="510"/>
      <c r="DE237" s="510"/>
      <c r="DF237" s="510"/>
      <c r="DG237" s="510"/>
      <c r="DH237" s="510"/>
      <c r="DI237" s="510"/>
      <c r="DJ237" s="510"/>
      <c r="DK237" s="492"/>
      <c r="DL237" s="493"/>
      <c r="DM237" s="493"/>
      <c r="DN237" s="493"/>
      <c r="DO237" s="493"/>
      <c r="DP237" s="493"/>
      <c r="DQ237" s="493"/>
      <c r="DR237" s="494"/>
    </row>
    <row r="238" spans="2:158" ht="22.5" hidden="1" customHeight="1" x14ac:dyDescent="0.3">
      <c r="B238" s="393" t="s">
        <v>2091</v>
      </c>
      <c r="C238" s="392"/>
      <c r="D238" s="392"/>
      <c r="E238" s="392"/>
      <c r="F238" s="392"/>
      <c r="G238" s="392"/>
      <c r="H238" s="392"/>
      <c r="I238" s="392"/>
      <c r="J238" s="392"/>
      <c r="K238" s="389"/>
      <c r="L238" s="389"/>
      <c r="M238" s="391" t="s">
        <v>2089</v>
      </c>
      <c r="N238" s="392"/>
      <c r="O238" s="392"/>
      <c r="P238" s="392"/>
      <c r="Q238" s="392"/>
      <c r="R238" s="392"/>
      <c r="S238" s="389"/>
      <c r="T238" s="389"/>
      <c r="U238" s="389"/>
      <c r="V238" s="389"/>
      <c r="W238" s="389"/>
      <c r="X238" s="391" t="s">
        <v>2092</v>
      </c>
      <c r="Y238" s="392"/>
      <c r="Z238" s="392"/>
      <c r="AA238" s="392"/>
      <c r="AB238" s="392"/>
      <c r="AC238" s="392"/>
      <c r="AD238" s="392"/>
      <c r="AE238" s="392"/>
      <c r="AF238" s="392"/>
      <c r="AG238" s="392"/>
      <c r="AH238" s="392"/>
      <c r="AI238" s="392"/>
      <c r="AJ238" s="392"/>
      <c r="AK238" s="392"/>
      <c r="AL238" s="392"/>
      <c r="AM238" s="392"/>
      <c r="AN238" s="392"/>
      <c r="AO238" s="392"/>
      <c r="AP238" s="392"/>
      <c r="AQ238" s="392"/>
      <c r="AR238" s="389"/>
      <c r="AS238" s="389"/>
      <c r="AT238" s="389"/>
      <c r="AU238" s="389"/>
      <c r="AV238" s="389"/>
      <c r="AW238" s="432"/>
      <c r="AX238" s="391" t="s">
        <v>796</v>
      </c>
      <c r="AY238" s="392"/>
      <c r="AZ238" s="392"/>
      <c r="BA238" s="392"/>
      <c r="BB238" s="392"/>
      <c r="BC238" s="392"/>
      <c r="BD238" s="389"/>
      <c r="BE238" s="390"/>
      <c r="BF238" s="190"/>
      <c r="BG238" s="190"/>
      <c r="BH238" s="443">
        <v>2</v>
      </c>
      <c r="BI238" s="444"/>
      <c r="BJ238" s="486"/>
      <c r="BK238" s="487"/>
      <c r="BL238" s="487"/>
      <c r="BM238" s="487"/>
      <c r="BN238" s="487"/>
      <c r="BO238" s="487"/>
      <c r="BP238" s="487"/>
      <c r="BQ238" s="487"/>
      <c r="BR238" s="487"/>
      <c r="BS238" s="487"/>
      <c r="BT238" s="487"/>
      <c r="BU238" s="487"/>
      <c r="BV238" s="500"/>
      <c r="BW238" s="501"/>
      <c r="BX238" s="501"/>
      <c r="BY238" s="501"/>
      <c r="BZ238" s="501"/>
      <c r="CA238" s="501"/>
      <c r="CB238" s="501"/>
      <c r="CC238" s="501"/>
      <c r="CD238" s="502"/>
      <c r="CE238" s="495"/>
      <c r="CF238" s="495"/>
      <c r="CG238" s="495"/>
      <c r="CH238" s="495"/>
      <c r="CI238" s="495"/>
      <c r="CJ238" s="495"/>
      <c r="CK238" s="495"/>
      <c r="CL238" s="495"/>
      <c r="CM238" s="495"/>
      <c r="CN238" s="495"/>
      <c r="CO238" s="486"/>
      <c r="CP238" s="487"/>
      <c r="CQ238" s="487"/>
      <c r="CR238" s="487"/>
      <c r="CS238" s="487"/>
      <c r="CT238" s="487"/>
      <c r="CU238" s="487"/>
      <c r="CV238" s="487"/>
      <c r="CW238" s="487"/>
      <c r="CX238" s="487"/>
      <c r="CY238" s="487"/>
      <c r="CZ238" s="488"/>
      <c r="DA238" s="495"/>
      <c r="DB238" s="495"/>
      <c r="DC238" s="495"/>
      <c r="DD238" s="495"/>
      <c r="DE238" s="495"/>
      <c r="DF238" s="495"/>
      <c r="DG238" s="495"/>
      <c r="DH238" s="495"/>
      <c r="DI238" s="495"/>
      <c r="DJ238" s="495"/>
      <c r="DK238" s="480"/>
      <c r="DL238" s="481"/>
      <c r="DM238" s="481"/>
      <c r="DN238" s="481"/>
      <c r="DO238" s="481"/>
      <c r="DP238" s="481"/>
      <c r="DQ238" s="481"/>
      <c r="DR238" s="482"/>
    </row>
    <row r="239" spans="2:158" ht="22.5" hidden="1" customHeight="1" x14ac:dyDescent="0.3">
      <c r="B239" s="393" t="s">
        <v>2978</v>
      </c>
      <c r="C239" s="392"/>
      <c r="D239" s="392"/>
      <c r="E239" s="392"/>
      <c r="F239" s="392"/>
      <c r="G239" s="392"/>
      <c r="H239" s="392"/>
      <c r="I239" s="392"/>
      <c r="J239" s="392"/>
      <c r="K239" s="389"/>
      <c r="L239" s="389"/>
      <c r="M239" s="391" t="s">
        <v>2089</v>
      </c>
      <c r="N239" s="392"/>
      <c r="O239" s="392"/>
      <c r="P239" s="392"/>
      <c r="Q239" s="392"/>
      <c r="R239" s="392"/>
      <c r="S239" s="389"/>
      <c r="T239" s="389"/>
      <c r="U239" s="389"/>
      <c r="V239" s="389"/>
      <c r="W239" s="389"/>
      <c r="X239" s="391" t="s">
        <v>2118</v>
      </c>
      <c r="Y239" s="392"/>
      <c r="Z239" s="392"/>
      <c r="AA239" s="392"/>
      <c r="AB239" s="392"/>
      <c r="AC239" s="392"/>
      <c r="AD239" s="392"/>
      <c r="AE239" s="442"/>
      <c r="AF239" s="442"/>
      <c r="AG239" s="442"/>
      <c r="AH239" s="442"/>
      <c r="AI239" s="442"/>
      <c r="AJ239" s="391" t="s">
        <v>2090</v>
      </c>
      <c r="AK239" s="392"/>
      <c r="AL239" s="392"/>
      <c r="AM239" s="392"/>
      <c r="AN239" s="392"/>
      <c r="AO239" s="392"/>
      <c r="AP239" s="392"/>
      <c r="AQ239" s="392"/>
      <c r="AR239" s="433"/>
      <c r="AS239" s="433"/>
      <c r="AT239" s="433"/>
      <c r="AU239" s="433"/>
      <c r="AV239" s="433"/>
      <c r="AW239" s="434"/>
      <c r="AX239" s="391" t="s">
        <v>2085</v>
      </c>
      <c r="AY239" s="392"/>
      <c r="AZ239" s="392"/>
      <c r="BA239" s="392"/>
      <c r="BB239" s="392"/>
      <c r="BC239" s="392"/>
      <c r="BD239" s="389"/>
      <c r="BE239" s="390"/>
      <c r="BF239" s="190"/>
      <c r="BG239" s="190"/>
      <c r="BH239" s="443">
        <v>3</v>
      </c>
      <c r="BI239" s="444"/>
      <c r="BJ239" s="486"/>
      <c r="BK239" s="487"/>
      <c r="BL239" s="487"/>
      <c r="BM239" s="487"/>
      <c r="BN239" s="487"/>
      <c r="BO239" s="487"/>
      <c r="BP239" s="487"/>
      <c r="BQ239" s="487"/>
      <c r="BR239" s="487"/>
      <c r="BS239" s="487"/>
      <c r="BT239" s="487"/>
      <c r="BU239" s="487"/>
      <c r="BV239" s="500"/>
      <c r="BW239" s="501"/>
      <c r="BX239" s="501"/>
      <c r="BY239" s="501"/>
      <c r="BZ239" s="501"/>
      <c r="CA239" s="501"/>
      <c r="CB239" s="501"/>
      <c r="CC239" s="501"/>
      <c r="CD239" s="502"/>
      <c r="CE239" s="506"/>
      <c r="CF239" s="506"/>
      <c r="CG239" s="506"/>
      <c r="CH239" s="506"/>
      <c r="CI239" s="506"/>
      <c r="CJ239" s="506"/>
      <c r="CK239" s="506"/>
      <c r="CL239" s="506"/>
      <c r="CM239" s="506"/>
      <c r="CN239" s="506"/>
      <c r="CO239" s="500"/>
      <c r="CP239" s="501"/>
      <c r="CQ239" s="501"/>
      <c r="CR239" s="501"/>
      <c r="CS239" s="501"/>
      <c r="CT239" s="501"/>
      <c r="CU239" s="501"/>
      <c r="CV239" s="501"/>
      <c r="CW239" s="501"/>
      <c r="CX239" s="501"/>
      <c r="CY239" s="501"/>
      <c r="CZ239" s="502"/>
      <c r="DA239" s="495"/>
      <c r="DB239" s="495"/>
      <c r="DC239" s="495"/>
      <c r="DD239" s="495"/>
      <c r="DE239" s="495"/>
      <c r="DF239" s="495"/>
      <c r="DG239" s="495"/>
      <c r="DH239" s="495"/>
      <c r="DI239" s="495"/>
      <c r="DJ239" s="495"/>
      <c r="DK239" s="480"/>
      <c r="DL239" s="481"/>
      <c r="DM239" s="481"/>
      <c r="DN239" s="481"/>
      <c r="DO239" s="481"/>
      <c r="DP239" s="481"/>
      <c r="DQ239" s="481"/>
      <c r="DR239" s="482"/>
    </row>
    <row r="240" spans="2:158" ht="22.5" hidden="1" customHeight="1" x14ac:dyDescent="0.3">
      <c r="B240" s="438" t="s">
        <v>2916</v>
      </c>
      <c r="C240" s="436"/>
      <c r="D240" s="436"/>
      <c r="E240" s="436"/>
      <c r="F240" s="436"/>
      <c r="G240" s="436"/>
      <c r="H240" s="436"/>
      <c r="I240" s="436"/>
      <c r="J240" s="436"/>
      <c r="K240" s="387"/>
      <c r="L240" s="387"/>
      <c r="M240" s="435" t="s">
        <v>2086</v>
      </c>
      <c r="N240" s="436"/>
      <c r="O240" s="436"/>
      <c r="P240" s="436"/>
      <c r="Q240" s="436"/>
      <c r="R240" s="436"/>
      <c r="S240" s="439"/>
      <c r="T240" s="387"/>
      <c r="U240" s="387"/>
      <c r="V240" s="387"/>
      <c r="W240" s="387"/>
      <c r="X240" s="435" t="s">
        <v>2087</v>
      </c>
      <c r="Y240" s="436"/>
      <c r="Z240" s="436"/>
      <c r="AA240" s="436"/>
      <c r="AB240" s="436"/>
      <c r="AC240" s="436"/>
      <c r="AD240" s="436"/>
      <c r="AE240" s="387"/>
      <c r="AF240" s="387"/>
      <c r="AG240" s="387"/>
      <c r="AH240" s="387"/>
      <c r="AI240" s="387"/>
      <c r="AJ240" s="435" t="s">
        <v>2088</v>
      </c>
      <c r="AK240" s="436"/>
      <c r="AL240" s="436"/>
      <c r="AM240" s="436"/>
      <c r="AN240" s="436"/>
      <c r="AO240" s="436"/>
      <c r="AP240" s="436"/>
      <c r="AQ240" s="436"/>
      <c r="AR240" s="387"/>
      <c r="AS240" s="387"/>
      <c r="AT240" s="387"/>
      <c r="AU240" s="387"/>
      <c r="AV240" s="387"/>
      <c r="AW240" s="387"/>
      <c r="AX240" s="387"/>
      <c r="AY240" s="387"/>
      <c r="AZ240" s="387"/>
      <c r="BA240" s="387"/>
      <c r="BB240" s="387"/>
      <c r="BC240" s="387"/>
      <c r="BD240" s="387"/>
      <c r="BE240" s="388"/>
      <c r="BF240" s="190"/>
      <c r="BG240" s="190"/>
      <c r="BH240" s="445">
        <v>4</v>
      </c>
      <c r="BI240" s="446"/>
      <c r="BJ240" s="496"/>
      <c r="BK240" s="461"/>
      <c r="BL240" s="461"/>
      <c r="BM240" s="461"/>
      <c r="BN240" s="461"/>
      <c r="BO240" s="461"/>
      <c r="BP240" s="461"/>
      <c r="BQ240" s="461"/>
      <c r="BR240" s="461"/>
      <c r="BS240" s="461"/>
      <c r="BT240" s="461"/>
      <c r="BU240" s="461"/>
      <c r="BV240" s="521"/>
      <c r="BW240" s="522"/>
      <c r="BX240" s="522"/>
      <c r="BY240" s="522"/>
      <c r="BZ240" s="522"/>
      <c r="CA240" s="522"/>
      <c r="CB240" s="522"/>
      <c r="CC240" s="522"/>
      <c r="CD240" s="523"/>
      <c r="CE240" s="497"/>
      <c r="CF240" s="497"/>
      <c r="CG240" s="497"/>
      <c r="CH240" s="497"/>
      <c r="CI240" s="497"/>
      <c r="CJ240" s="497"/>
      <c r="CK240" s="497"/>
      <c r="CL240" s="497"/>
      <c r="CM240" s="497"/>
      <c r="CN240" s="497"/>
      <c r="CO240" s="496"/>
      <c r="CP240" s="461"/>
      <c r="CQ240" s="461"/>
      <c r="CR240" s="461"/>
      <c r="CS240" s="461"/>
      <c r="CT240" s="461"/>
      <c r="CU240" s="461"/>
      <c r="CV240" s="461"/>
      <c r="CW240" s="461"/>
      <c r="CX240" s="461"/>
      <c r="CY240" s="461"/>
      <c r="CZ240" s="520"/>
      <c r="DA240" s="497"/>
      <c r="DB240" s="497"/>
      <c r="DC240" s="497"/>
      <c r="DD240" s="497"/>
      <c r="DE240" s="497"/>
      <c r="DF240" s="497"/>
      <c r="DG240" s="497"/>
      <c r="DH240" s="497"/>
      <c r="DI240" s="497"/>
      <c r="DJ240" s="497"/>
      <c r="DK240" s="503"/>
      <c r="DL240" s="504"/>
      <c r="DM240" s="504"/>
      <c r="DN240" s="504"/>
      <c r="DO240" s="504"/>
      <c r="DP240" s="504"/>
      <c r="DQ240" s="504"/>
      <c r="DR240" s="505"/>
    </row>
    <row r="241" spans="2:157" ht="22.5" hidden="1" customHeight="1" x14ac:dyDescent="0.3">
      <c r="B241" s="381" t="s">
        <v>278</v>
      </c>
      <c r="C241" s="382"/>
      <c r="D241" s="382"/>
      <c r="E241" s="382"/>
      <c r="F241" s="382"/>
      <c r="G241" s="382"/>
      <c r="H241" s="382"/>
      <c r="I241" s="382"/>
      <c r="J241" s="394"/>
      <c r="K241" s="394"/>
      <c r="L241" s="394"/>
      <c r="M241" s="394"/>
      <c r="N241" s="394"/>
      <c r="O241" s="394"/>
      <c r="P241" s="394"/>
      <c r="Q241" s="394"/>
      <c r="R241" s="394"/>
      <c r="S241" s="394"/>
      <c r="T241" s="394"/>
      <c r="U241" s="394"/>
      <c r="V241" s="394"/>
      <c r="W241" s="394"/>
      <c r="X241" s="394"/>
      <c r="Y241" s="394"/>
      <c r="Z241" s="394"/>
      <c r="AA241" s="394"/>
      <c r="AB241" s="394"/>
      <c r="AC241" s="394"/>
      <c r="AD241" s="394"/>
      <c r="AE241" s="394"/>
      <c r="AF241" s="394"/>
      <c r="AG241" s="394"/>
      <c r="AH241" s="394"/>
      <c r="AI241" s="394"/>
      <c r="AJ241" s="394"/>
      <c r="AK241" s="394"/>
      <c r="AL241" s="394"/>
      <c r="AM241" s="394"/>
      <c r="AN241" s="394"/>
      <c r="AO241" s="394"/>
      <c r="AP241" s="394"/>
      <c r="AQ241" s="394"/>
      <c r="AR241" s="394"/>
      <c r="AS241" s="394"/>
      <c r="AT241" s="394"/>
      <c r="AU241" s="394"/>
      <c r="AV241" s="394"/>
      <c r="AW241" s="394"/>
      <c r="AX241" s="394"/>
      <c r="AY241" s="394"/>
      <c r="AZ241" s="394"/>
      <c r="BA241" s="394"/>
      <c r="BB241" s="394"/>
      <c r="BC241" s="394"/>
      <c r="BD241" s="394"/>
      <c r="BE241" s="395"/>
      <c r="BF241" s="190"/>
      <c r="BG241" s="190"/>
      <c r="DA241" s="511" t="s">
        <v>1647</v>
      </c>
      <c r="DB241" s="512"/>
      <c r="DC241" s="512"/>
      <c r="DD241" s="512"/>
      <c r="DE241" s="512"/>
      <c r="DF241" s="512"/>
      <c r="DG241" s="512"/>
      <c r="DH241" s="512"/>
      <c r="DI241" s="512"/>
      <c r="DJ241" s="512"/>
      <c r="DK241" s="418">
        <f>SUM(DK237:DR240)</f>
        <v>0</v>
      </c>
      <c r="DL241" s="419"/>
      <c r="DM241" s="419"/>
      <c r="DN241" s="419"/>
      <c r="DO241" s="419"/>
      <c r="DP241" s="419"/>
      <c r="DQ241" s="419"/>
      <c r="DR241" s="420"/>
    </row>
    <row r="242" spans="2:157" ht="24" hidden="1" customHeight="1" x14ac:dyDescent="0.25">
      <c r="B242" s="383" t="s">
        <v>2944</v>
      </c>
      <c r="C242" s="384"/>
      <c r="D242" s="384"/>
      <c r="E242" s="384"/>
      <c r="F242" s="384"/>
      <c r="G242" s="384"/>
      <c r="H242" s="384"/>
      <c r="I242" s="384"/>
      <c r="J242" s="396"/>
      <c r="K242" s="396"/>
      <c r="L242" s="396"/>
      <c r="M242" s="396"/>
      <c r="N242" s="396"/>
      <c r="O242" s="396"/>
      <c r="P242" s="396"/>
      <c r="Q242" s="396"/>
      <c r="R242" s="396"/>
      <c r="S242" s="396"/>
      <c r="T242" s="396"/>
      <c r="U242" s="396"/>
      <c r="V242" s="396"/>
      <c r="W242" s="396"/>
      <c r="X242" s="396"/>
      <c r="Y242" s="396"/>
      <c r="Z242" s="396"/>
      <c r="AA242" s="396"/>
      <c r="AB242" s="396"/>
      <c r="AC242" s="396"/>
      <c r="AD242" s="396"/>
      <c r="AE242" s="396"/>
      <c r="AF242" s="396"/>
      <c r="AG242" s="396"/>
      <c r="AH242" s="396"/>
      <c r="AI242" s="396"/>
      <c r="AJ242" s="396"/>
      <c r="AK242" s="396"/>
      <c r="AL242" s="396"/>
      <c r="AM242" s="396"/>
      <c r="AN242" s="396"/>
      <c r="AO242" s="396"/>
      <c r="AP242" s="396"/>
      <c r="AQ242" s="396"/>
      <c r="AR242" s="396"/>
      <c r="AS242" s="396"/>
      <c r="AT242" s="396"/>
      <c r="AU242" s="396"/>
      <c r="AV242" s="396"/>
      <c r="AW242" s="396"/>
      <c r="AX242" s="396"/>
      <c r="AY242" s="396"/>
      <c r="AZ242" s="396"/>
      <c r="BA242" s="396"/>
      <c r="BB242" s="396"/>
      <c r="BC242" s="396"/>
      <c r="BD242" s="396"/>
      <c r="BE242" s="397"/>
      <c r="ED242"/>
      <c r="EE242"/>
      <c r="EF242"/>
      <c r="EG242"/>
      <c r="EH242"/>
      <c r="EI242"/>
      <c r="EJ242"/>
      <c r="EK242"/>
      <c r="EL242"/>
      <c r="EM242"/>
      <c r="EN242"/>
      <c r="EO242"/>
      <c r="EP242"/>
      <c r="EQ242"/>
      <c r="ER242"/>
      <c r="ES242"/>
      <c r="ET242"/>
      <c r="EU242"/>
      <c r="EV242"/>
      <c r="EW242"/>
      <c r="EX242"/>
    </row>
    <row r="243" spans="2:157" ht="24" hidden="1" customHeight="1" thickBot="1" x14ac:dyDescent="0.3">
      <c r="B243" s="385"/>
      <c r="C243" s="386"/>
      <c r="D243" s="386"/>
      <c r="E243" s="386"/>
      <c r="F243" s="386"/>
      <c r="G243" s="386"/>
      <c r="H243" s="386"/>
      <c r="I243" s="386"/>
      <c r="J243" s="398"/>
      <c r="K243" s="398"/>
      <c r="L243" s="398"/>
      <c r="M243" s="398"/>
      <c r="N243" s="398"/>
      <c r="O243" s="398"/>
      <c r="P243" s="398"/>
      <c r="Q243" s="398"/>
      <c r="R243" s="398"/>
      <c r="S243" s="398"/>
      <c r="T243" s="398"/>
      <c r="U243" s="398"/>
      <c r="V243" s="398"/>
      <c r="W243" s="398"/>
      <c r="X243" s="398"/>
      <c r="Y243" s="398"/>
      <c r="Z243" s="398"/>
      <c r="AA243" s="398"/>
      <c r="AB243" s="398"/>
      <c r="AC243" s="398"/>
      <c r="AD243" s="398"/>
      <c r="AE243" s="398"/>
      <c r="AF243" s="398"/>
      <c r="AG243" s="398"/>
      <c r="AH243" s="398"/>
      <c r="AI243" s="398"/>
      <c r="AJ243" s="398"/>
      <c r="AK243" s="398"/>
      <c r="AL243" s="398"/>
      <c r="AM243" s="398"/>
      <c r="AN243" s="398"/>
      <c r="AO243" s="398"/>
      <c r="AP243" s="398"/>
      <c r="AQ243" s="398"/>
      <c r="AR243" s="398"/>
      <c r="AS243" s="398"/>
      <c r="AT243" s="398"/>
      <c r="AU243" s="398"/>
      <c r="AV243" s="398"/>
      <c r="AW243" s="398"/>
      <c r="AX243" s="398"/>
      <c r="AY243" s="398"/>
      <c r="AZ243" s="398"/>
      <c r="BA243" s="398"/>
      <c r="BB243" s="398"/>
      <c r="BC243" s="398"/>
      <c r="BD243" s="398"/>
      <c r="BE243" s="399"/>
      <c r="ED243"/>
      <c r="EE243"/>
      <c r="EF243"/>
      <c r="EG243"/>
      <c r="EH243"/>
      <c r="EI243"/>
      <c r="EJ243"/>
      <c r="EK243"/>
      <c r="EL243"/>
      <c r="EM243"/>
      <c r="EN243"/>
      <c r="EO243"/>
      <c r="EP243"/>
      <c r="EQ243"/>
      <c r="ER243"/>
      <c r="ES243"/>
      <c r="ET243"/>
      <c r="EU243"/>
      <c r="EV243"/>
      <c r="EW243"/>
      <c r="EX243"/>
    </row>
    <row r="244" spans="2:157" ht="24" hidden="1" customHeight="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ED244"/>
      <c r="EE244"/>
      <c r="EF244"/>
      <c r="EG244"/>
      <c r="EH244"/>
      <c r="EI244"/>
      <c r="EJ244"/>
      <c r="EK244"/>
      <c r="EL244"/>
      <c r="EM244"/>
      <c r="EN244"/>
      <c r="EO244"/>
      <c r="EP244"/>
      <c r="EQ244"/>
      <c r="ER244"/>
      <c r="ES244"/>
      <c r="ET244"/>
      <c r="EU244"/>
      <c r="EV244"/>
      <c r="EW244"/>
      <c r="EX244"/>
    </row>
    <row r="245" spans="2:157" ht="18.75" hidden="1" customHeight="1" x14ac:dyDescent="0.3">
      <c r="B245" s="190"/>
      <c r="C245" s="190"/>
      <c r="D245" s="190"/>
      <c r="E245" s="190"/>
      <c r="F245" s="190"/>
      <c r="G245" s="190"/>
      <c r="H245" s="190"/>
      <c r="I245" s="190"/>
      <c r="J245" s="190"/>
      <c r="K245" s="190"/>
      <c r="L245" s="190"/>
      <c r="M245" s="190"/>
      <c r="N245" s="190"/>
      <c r="O245" s="190"/>
      <c r="P245" s="190"/>
      <c r="Q245" s="190"/>
      <c r="R245" s="190"/>
      <c r="S245" s="190"/>
      <c r="T245" s="190"/>
      <c r="U245" s="190"/>
      <c r="V245" s="190"/>
      <c r="W245" s="190"/>
      <c r="X245" s="190"/>
      <c r="Y245" s="190"/>
      <c r="Z245" s="190"/>
      <c r="AA245" s="190"/>
      <c r="AB245" s="190"/>
      <c r="AC245" s="190"/>
      <c r="AD245" s="190"/>
      <c r="AE245" s="190"/>
      <c r="AF245" s="190"/>
      <c r="AG245" s="190"/>
      <c r="AH245" s="190"/>
      <c r="AI245" s="190"/>
      <c r="AJ245" s="190"/>
      <c r="AK245" s="190"/>
      <c r="AL245" s="190"/>
      <c r="AM245" s="190"/>
      <c r="AN245" s="190"/>
      <c r="AO245" s="190"/>
      <c r="AP245" s="190"/>
      <c r="AQ245" s="190"/>
      <c r="AR245" s="190"/>
      <c r="AS245" s="190"/>
      <c r="AT245" s="190"/>
      <c r="AU245" s="190"/>
      <c r="AV245" s="190"/>
      <c r="AW245" s="190"/>
      <c r="AX245" s="190"/>
      <c r="AY245" s="190"/>
      <c r="AZ245" s="190"/>
      <c r="BA245" s="190"/>
      <c r="BB245" s="190"/>
      <c r="BC245" s="190"/>
      <c r="BD245" s="190"/>
      <c r="BE245" s="190"/>
      <c r="BF245" s="190"/>
      <c r="BG245" s="190"/>
      <c r="ED245"/>
      <c r="EE245"/>
      <c r="EF245"/>
      <c r="EG245"/>
      <c r="EH245"/>
      <c r="EI245"/>
      <c r="EJ245"/>
      <c r="EK245"/>
      <c r="EL245"/>
      <c r="EM245"/>
      <c r="EN245"/>
      <c r="EO245"/>
      <c r="EP245"/>
      <c r="EQ245"/>
      <c r="ER245"/>
      <c r="ES245"/>
      <c r="ET245"/>
      <c r="EU245"/>
      <c r="EV245"/>
      <c r="EW245"/>
      <c r="EX245"/>
    </row>
    <row r="246" spans="2:157" ht="22.5" hidden="1" customHeight="1" thickBot="1" x14ac:dyDescent="0.35">
      <c r="B246" s="440" t="s">
        <v>298</v>
      </c>
      <c r="C246" s="440"/>
      <c r="D246" s="440"/>
      <c r="E246" s="440"/>
      <c r="F246" s="440"/>
      <c r="G246" s="440"/>
      <c r="H246" s="440"/>
      <c r="I246" s="440"/>
      <c r="J246" s="440"/>
      <c r="K246" s="440"/>
      <c r="L246" s="440"/>
      <c r="M246" s="440"/>
      <c r="N246" s="440"/>
      <c r="O246" s="440"/>
      <c r="P246" s="440"/>
      <c r="Q246" s="440"/>
      <c r="R246" s="440"/>
      <c r="S246" s="440"/>
      <c r="T246" s="440"/>
      <c r="U246" s="440"/>
      <c r="V246" s="440"/>
      <c r="W246" s="440"/>
      <c r="X246" s="440"/>
      <c r="Y246" s="440"/>
      <c r="Z246" s="440"/>
      <c r="AA246" s="440"/>
      <c r="AB246" s="440"/>
      <c r="AC246" s="440"/>
      <c r="AD246" s="440"/>
      <c r="AE246" s="440"/>
      <c r="AF246" s="440"/>
      <c r="AG246" s="440"/>
      <c r="AH246" s="440"/>
      <c r="AI246" s="440"/>
      <c r="AJ246" s="440"/>
      <c r="AK246" s="440"/>
      <c r="AL246" s="440"/>
      <c r="AM246" s="440"/>
      <c r="AN246" s="440"/>
      <c r="AO246" s="440"/>
      <c r="AP246" s="440"/>
      <c r="AQ246" s="440"/>
      <c r="AR246" s="440"/>
      <c r="AS246" s="440"/>
      <c r="AT246" s="440"/>
      <c r="AU246" s="440"/>
      <c r="AV246" s="440"/>
      <c r="AW246" s="440"/>
      <c r="AX246" s="440"/>
      <c r="AY246" s="440"/>
      <c r="AZ246" s="440"/>
      <c r="BA246" s="440"/>
      <c r="BB246" s="440"/>
      <c r="BC246" s="440"/>
      <c r="BD246" s="440"/>
      <c r="BE246" s="440"/>
      <c r="BF246" s="187"/>
      <c r="BG246" s="187"/>
      <c r="BJ246" s="178" t="s">
        <v>1648</v>
      </c>
    </row>
    <row r="247" spans="2:157" ht="22.5" hidden="1" customHeight="1" x14ac:dyDescent="0.3">
      <c r="B247" s="454" t="s">
        <v>3221</v>
      </c>
      <c r="C247" s="401"/>
      <c r="D247" s="401"/>
      <c r="E247" s="401"/>
      <c r="F247" s="401"/>
      <c r="G247" s="401"/>
      <c r="H247" s="401"/>
      <c r="I247" s="401"/>
      <c r="J247" s="404"/>
      <c r="K247" s="404"/>
      <c r="L247" s="404"/>
      <c r="M247" s="404"/>
      <c r="N247" s="404"/>
      <c r="O247" s="404"/>
      <c r="P247" s="404"/>
      <c r="Q247" s="404"/>
      <c r="R247" s="404"/>
      <c r="S247" s="404"/>
      <c r="T247" s="404"/>
      <c r="U247" s="404"/>
      <c r="V247" s="404"/>
      <c r="W247" s="404"/>
      <c r="X247" s="405"/>
      <c r="Y247" s="400" t="s">
        <v>2074</v>
      </c>
      <c r="Z247" s="401"/>
      <c r="AA247" s="401"/>
      <c r="AB247" s="402"/>
      <c r="AC247" s="402"/>
      <c r="AD247" s="402"/>
      <c r="AE247" s="402"/>
      <c r="AF247" s="402"/>
      <c r="AG247" s="402"/>
      <c r="AH247" s="402"/>
      <c r="AI247" s="402"/>
      <c r="AJ247" s="402"/>
      <c r="AK247" s="403"/>
      <c r="AL247" s="400" t="s">
        <v>1982</v>
      </c>
      <c r="AM247" s="401"/>
      <c r="AN247" s="401"/>
      <c r="AO247" s="404"/>
      <c r="AP247" s="404"/>
      <c r="AQ247" s="404"/>
      <c r="AR247" s="404"/>
      <c r="AS247" s="404"/>
      <c r="AT247" s="404"/>
      <c r="AU247" s="405"/>
      <c r="AV247" s="400" t="s">
        <v>1983</v>
      </c>
      <c r="AW247" s="401"/>
      <c r="AX247" s="404"/>
      <c r="AY247" s="404"/>
      <c r="AZ247" s="404"/>
      <c r="BA247" s="404"/>
      <c r="BB247" s="404"/>
      <c r="BC247" s="404"/>
      <c r="BD247" s="404"/>
      <c r="BE247" s="406"/>
      <c r="BF247" s="190"/>
      <c r="BG247" s="190"/>
      <c r="BH247" s="517" t="s">
        <v>389</v>
      </c>
      <c r="BI247" s="518"/>
      <c r="BJ247" s="489" t="s">
        <v>1649</v>
      </c>
      <c r="BK247" s="490"/>
      <c r="BL247" s="490"/>
      <c r="BM247" s="490"/>
      <c r="BN247" s="490"/>
      <c r="BO247" s="490"/>
      <c r="BP247" s="490"/>
      <c r="BQ247" s="490"/>
      <c r="BR247" s="490"/>
      <c r="BS247" s="490"/>
      <c r="BT247" s="490"/>
      <c r="BU247" s="490"/>
      <c r="BV247" s="483" t="s">
        <v>1644</v>
      </c>
      <c r="BW247" s="484"/>
      <c r="BX247" s="484"/>
      <c r="BY247" s="484"/>
      <c r="BZ247" s="484"/>
      <c r="CA247" s="484"/>
      <c r="CB247" s="484"/>
      <c r="CC247" s="484"/>
      <c r="CD247" s="485"/>
      <c r="CE247" s="513" t="s">
        <v>1675</v>
      </c>
      <c r="CF247" s="513"/>
      <c r="CG247" s="513"/>
      <c r="CH247" s="513"/>
      <c r="CI247" s="513"/>
      <c r="CJ247" s="513"/>
      <c r="CK247" s="513"/>
      <c r="CL247" s="513"/>
      <c r="CM247" s="513"/>
      <c r="CN247" s="513"/>
      <c r="CO247" s="489" t="s">
        <v>1676</v>
      </c>
      <c r="CP247" s="490"/>
      <c r="CQ247" s="490"/>
      <c r="CR247" s="490"/>
      <c r="CS247" s="490"/>
      <c r="CT247" s="490"/>
      <c r="CU247" s="490"/>
      <c r="CV247" s="490"/>
      <c r="CW247" s="490"/>
      <c r="CX247" s="490"/>
      <c r="CY247" s="490"/>
      <c r="CZ247" s="491"/>
      <c r="DA247" s="516" t="s">
        <v>1645</v>
      </c>
      <c r="DB247" s="516"/>
      <c r="DC247" s="516"/>
      <c r="DD247" s="516"/>
      <c r="DE247" s="516"/>
      <c r="DF247" s="516"/>
      <c r="DG247" s="516"/>
      <c r="DH247" s="516"/>
      <c r="DI247" s="516"/>
      <c r="DJ247" s="516"/>
      <c r="DK247" s="483" t="s">
        <v>1646</v>
      </c>
      <c r="DL247" s="484"/>
      <c r="DM247" s="484"/>
      <c r="DN247" s="484"/>
      <c r="DO247" s="484"/>
      <c r="DP247" s="484"/>
      <c r="DQ247" s="484"/>
      <c r="DR247" s="485"/>
    </row>
    <row r="248" spans="2:157" ht="22.5" hidden="1" customHeight="1" x14ac:dyDescent="0.3">
      <c r="B248" s="393" t="s">
        <v>1984</v>
      </c>
      <c r="C248" s="392"/>
      <c r="D248" s="392"/>
      <c r="E248" s="392"/>
      <c r="F248" s="389"/>
      <c r="G248" s="389"/>
      <c r="H248" s="389"/>
      <c r="I248" s="389"/>
      <c r="J248" s="389"/>
      <c r="K248" s="389"/>
      <c r="L248" s="389"/>
      <c r="M248" s="391" t="s">
        <v>307</v>
      </c>
      <c r="N248" s="392"/>
      <c r="O248" s="392"/>
      <c r="P248" s="392"/>
      <c r="Q248" s="392"/>
      <c r="R248" s="392"/>
      <c r="S248" s="392"/>
      <c r="T248" s="392"/>
      <c r="U248" s="433"/>
      <c r="V248" s="433"/>
      <c r="W248" s="433"/>
      <c r="X248" s="433"/>
      <c r="Y248" s="433"/>
      <c r="Z248" s="433"/>
      <c r="AA248" s="391" t="s">
        <v>2084</v>
      </c>
      <c r="AB248" s="392"/>
      <c r="AC248" s="392"/>
      <c r="AD248" s="392"/>
      <c r="AE248" s="392"/>
      <c r="AF248" s="392"/>
      <c r="AG248" s="392"/>
      <c r="AH248" s="392"/>
      <c r="AI248" s="433"/>
      <c r="AJ248" s="433"/>
      <c r="AK248" s="433"/>
      <c r="AL248" s="433"/>
      <c r="AM248" s="433"/>
      <c r="AN248" s="434"/>
      <c r="AO248" s="391" t="s">
        <v>279</v>
      </c>
      <c r="AP248" s="392"/>
      <c r="AQ248" s="392"/>
      <c r="AR248" s="392"/>
      <c r="AS248" s="392"/>
      <c r="AT248" s="437"/>
      <c r="AU248" s="437"/>
      <c r="AV248" s="437"/>
      <c r="AW248" s="437"/>
      <c r="AX248" s="437"/>
      <c r="AY248" s="437"/>
      <c r="AZ248" s="391" t="s">
        <v>2083</v>
      </c>
      <c r="BA248" s="392"/>
      <c r="BB248" s="392"/>
      <c r="BC248" s="392"/>
      <c r="BD248" s="389"/>
      <c r="BE248" s="390"/>
      <c r="BF248" s="190"/>
      <c r="BG248" s="190"/>
      <c r="BH248" s="514">
        <v>1</v>
      </c>
      <c r="BI248" s="515"/>
      <c r="BJ248" s="498"/>
      <c r="BK248" s="499"/>
      <c r="BL248" s="499"/>
      <c r="BM248" s="499"/>
      <c r="BN248" s="499"/>
      <c r="BO248" s="499"/>
      <c r="BP248" s="499"/>
      <c r="BQ248" s="499"/>
      <c r="BR248" s="499"/>
      <c r="BS248" s="499"/>
      <c r="BT248" s="499"/>
      <c r="BU248" s="499"/>
      <c r="BV248" s="500"/>
      <c r="BW248" s="501"/>
      <c r="BX248" s="501"/>
      <c r="BY248" s="501"/>
      <c r="BZ248" s="501"/>
      <c r="CA248" s="501"/>
      <c r="CB248" s="501"/>
      <c r="CC248" s="501"/>
      <c r="CD248" s="502"/>
      <c r="CE248" s="519"/>
      <c r="CF248" s="519"/>
      <c r="CG248" s="519"/>
      <c r="CH248" s="519"/>
      <c r="CI248" s="519"/>
      <c r="CJ248" s="519"/>
      <c r="CK248" s="519"/>
      <c r="CL248" s="519"/>
      <c r="CM248" s="519"/>
      <c r="CN248" s="519"/>
      <c r="CO248" s="507"/>
      <c r="CP248" s="508"/>
      <c r="CQ248" s="508"/>
      <c r="CR248" s="508"/>
      <c r="CS248" s="508"/>
      <c r="CT248" s="508"/>
      <c r="CU248" s="508"/>
      <c r="CV248" s="508"/>
      <c r="CW248" s="508"/>
      <c r="CX248" s="508"/>
      <c r="CY248" s="508"/>
      <c r="CZ248" s="509"/>
      <c r="DA248" s="510"/>
      <c r="DB248" s="510"/>
      <c r="DC248" s="510"/>
      <c r="DD248" s="510"/>
      <c r="DE248" s="510"/>
      <c r="DF248" s="510"/>
      <c r="DG248" s="510"/>
      <c r="DH248" s="510"/>
      <c r="DI248" s="510"/>
      <c r="DJ248" s="510"/>
      <c r="DK248" s="492"/>
      <c r="DL248" s="493"/>
      <c r="DM248" s="493"/>
      <c r="DN248" s="493"/>
      <c r="DO248" s="493"/>
      <c r="DP248" s="493"/>
      <c r="DQ248" s="493"/>
      <c r="DR248" s="494"/>
    </row>
    <row r="249" spans="2:157" ht="22.5" hidden="1" customHeight="1" x14ac:dyDescent="0.3">
      <c r="B249" s="393" t="s">
        <v>2091</v>
      </c>
      <c r="C249" s="392"/>
      <c r="D249" s="392"/>
      <c r="E249" s="392"/>
      <c r="F249" s="392"/>
      <c r="G249" s="392"/>
      <c r="H249" s="392"/>
      <c r="I249" s="392"/>
      <c r="J249" s="392"/>
      <c r="K249" s="389"/>
      <c r="L249" s="389"/>
      <c r="M249" s="391" t="s">
        <v>2089</v>
      </c>
      <c r="N249" s="392"/>
      <c r="O249" s="392"/>
      <c r="P249" s="392"/>
      <c r="Q249" s="392"/>
      <c r="R249" s="392"/>
      <c r="S249" s="389"/>
      <c r="T249" s="389"/>
      <c r="U249" s="389"/>
      <c r="V249" s="389"/>
      <c r="W249" s="389"/>
      <c r="X249" s="391" t="s">
        <v>2092</v>
      </c>
      <c r="Y249" s="392"/>
      <c r="Z249" s="392"/>
      <c r="AA249" s="392"/>
      <c r="AB249" s="392"/>
      <c r="AC249" s="392"/>
      <c r="AD249" s="392"/>
      <c r="AE249" s="392"/>
      <c r="AF249" s="392"/>
      <c r="AG249" s="392"/>
      <c r="AH249" s="392"/>
      <c r="AI249" s="392"/>
      <c r="AJ249" s="392"/>
      <c r="AK249" s="392"/>
      <c r="AL249" s="392"/>
      <c r="AM249" s="392"/>
      <c r="AN249" s="392"/>
      <c r="AO249" s="392"/>
      <c r="AP249" s="392"/>
      <c r="AQ249" s="392"/>
      <c r="AR249" s="389"/>
      <c r="AS249" s="389"/>
      <c r="AT249" s="389"/>
      <c r="AU249" s="389"/>
      <c r="AV249" s="389"/>
      <c r="AW249" s="432"/>
      <c r="AX249" s="391" t="s">
        <v>796</v>
      </c>
      <c r="AY249" s="392"/>
      <c r="AZ249" s="392"/>
      <c r="BA249" s="392"/>
      <c r="BB249" s="392"/>
      <c r="BC249" s="392"/>
      <c r="BD249" s="389"/>
      <c r="BE249" s="390"/>
      <c r="BF249" s="190"/>
      <c r="BG249" s="190"/>
      <c r="BH249" s="443">
        <v>2</v>
      </c>
      <c r="BI249" s="444"/>
      <c r="BJ249" s="486"/>
      <c r="BK249" s="487"/>
      <c r="BL249" s="487"/>
      <c r="BM249" s="487"/>
      <c r="BN249" s="487"/>
      <c r="BO249" s="487"/>
      <c r="BP249" s="487"/>
      <c r="BQ249" s="487"/>
      <c r="BR249" s="487"/>
      <c r="BS249" s="487"/>
      <c r="BT249" s="487"/>
      <c r="BU249" s="487"/>
      <c r="BV249" s="500"/>
      <c r="BW249" s="501"/>
      <c r="BX249" s="501"/>
      <c r="BY249" s="501"/>
      <c r="BZ249" s="501"/>
      <c r="CA249" s="501"/>
      <c r="CB249" s="501"/>
      <c r="CC249" s="501"/>
      <c r="CD249" s="502"/>
      <c r="CE249" s="495"/>
      <c r="CF249" s="495"/>
      <c r="CG249" s="495"/>
      <c r="CH249" s="495"/>
      <c r="CI249" s="495"/>
      <c r="CJ249" s="495"/>
      <c r="CK249" s="495"/>
      <c r="CL249" s="495"/>
      <c r="CM249" s="495"/>
      <c r="CN249" s="495"/>
      <c r="CO249" s="486"/>
      <c r="CP249" s="487"/>
      <c r="CQ249" s="487"/>
      <c r="CR249" s="487"/>
      <c r="CS249" s="487"/>
      <c r="CT249" s="487"/>
      <c r="CU249" s="487"/>
      <c r="CV249" s="487"/>
      <c r="CW249" s="487"/>
      <c r="CX249" s="487"/>
      <c r="CY249" s="487"/>
      <c r="CZ249" s="488"/>
      <c r="DA249" s="495"/>
      <c r="DB249" s="495"/>
      <c r="DC249" s="495"/>
      <c r="DD249" s="495"/>
      <c r="DE249" s="495"/>
      <c r="DF249" s="495"/>
      <c r="DG249" s="495"/>
      <c r="DH249" s="495"/>
      <c r="DI249" s="495"/>
      <c r="DJ249" s="495"/>
      <c r="DK249" s="480"/>
      <c r="DL249" s="481"/>
      <c r="DM249" s="481"/>
      <c r="DN249" s="481"/>
      <c r="DO249" s="481"/>
      <c r="DP249" s="481"/>
      <c r="DQ249" s="481"/>
      <c r="DR249" s="482"/>
    </row>
    <row r="250" spans="2:157" ht="22.5" hidden="1" customHeight="1" x14ac:dyDescent="0.3">
      <c r="B250" s="393" t="s">
        <v>2978</v>
      </c>
      <c r="C250" s="392"/>
      <c r="D250" s="392"/>
      <c r="E250" s="392"/>
      <c r="F250" s="392"/>
      <c r="G250" s="392"/>
      <c r="H250" s="392"/>
      <c r="I250" s="392"/>
      <c r="J250" s="392"/>
      <c r="K250" s="389"/>
      <c r="L250" s="389"/>
      <c r="M250" s="391" t="s">
        <v>2089</v>
      </c>
      <c r="N250" s="392"/>
      <c r="O250" s="392"/>
      <c r="P250" s="392"/>
      <c r="Q250" s="392"/>
      <c r="R250" s="392"/>
      <c r="S250" s="389"/>
      <c r="T250" s="389"/>
      <c r="U250" s="389"/>
      <c r="V250" s="389"/>
      <c r="W250" s="389"/>
      <c r="X250" s="391" t="s">
        <v>2118</v>
      </c>
      <c r="Y250" s="392"/>
      <c r="Z250" s="392"/>
      <c r="AA250" s="392"/>
      <c r="AB250" s="392"/>
      <c r="AC250" s="392"/>
      <c r="AD250" s="392"/>
      <c r="AE250" s="442"/>
      <c r="AF250" s="442"/>
      <c r="AG250" s="442"/>
      <c r="AH250" s="442"/>
      <c r="AI250" s="442"/>
      <c r="AJ250" s="391" t="s">
        <v>2090</v>
      </c>
      <c r="AK250" s="392"/>
      <c r="AL250" s="392"/>
      <c r="AM250" s="392"/>
      <c r="AN250" s="392"/>
      <c r="AO250" s="392"/>
      <c r="AP250" s="392"/>
      <c r="AQ250" s="392"/>
      <c r="AR250" s="433"/>
      <c r="AS250" s="433"/>
      <c r="AT250" s="433"/>
      <c r="AU250" s="433"/>
      <c r="AV250" s="433"/>
      <c r="AW250" s="434"/>
      <c r="AX250" s="391" t="s">
        <v>2085</v>
      </c>
      <c r="AY250" s="392"/>
      <c r="AZ250" s="392"/>
      <c r="BA250" s="392"/>
      <c r="BB250" s="392"/>
      <c r="BC250" s="392"/>
      <c r="BD250" s="389"/>
      <c r="BE250" s="390"/>
      <c r="BF250" s="190"/>
      <c r="BG250" s="190"/>
      <c r="BH250" s="443">
        <v>3</v>
      </c>
      <c r="BI250" s="444"/>
      <c r="BJ250" s="486"/>
      <c r="BK250" s="487"/>
      <c r="BL250" s="487"/>
      <c r="BM250" s="487"/>
      <c r="BN250" s="487"/>
      <c r="BO250" s="487"/>
      <c r="BP250" s="487"/>
      <c r="BQ250" s="487"/>
      <c r="BR250" s="487"/>
      <c r="BS250" s="487"/>
      <c r="BT250" s="487"/>
      <c r="BU250" s="487"/>
      <c r="BV250" s="500"/>
      <c r="BW250" s="501"/>
      <c r="BX250" s="501"/>
      <c r="BY250" s="501"/>
      <c r="BZ250" s="501"/>
      <c r="CA250" s="501"/>
      <c r="CB250" s="501"/>
      <c r="CC250" s="501"/>
      <c r="CD250" s="502"/>
      <c r="CE250" s="506"/>
      <c r="CF250" s="506"/>
      <c r="CG250" s="506"/>
      <c r="CH250" s="506"/>
      <c r="CI250" s="506"/>
      <c r="CJ250" s="506"/>
      <c r="CK250" s="506"/>
      <c r="CL250" s="506"/>
      <c r="CM250" s="506"/>
      <c r="CN250" s="506"/>
      <c r="CO250" s="500"/>
      <c r="CP250" s="501"/>
      <c r="CQ250" s="501"/>
      <c r="CR250" s="501"/>
      <c r="CS250" s="501"/>
      <c r="CT250" s="501"/>
      <c r="CU250" s="501"/>
      <c r="CV250" s="501"/>
      <c r="CW250" s="501"/>
      <c r="CX250" s="501"/>
      <c r="CY250" s="501"/>
      <c r="CZ250" s="502"/>
      <c r="DA250" s="495"/>
      <c r="DB250" s="495"/>
      <c r="DC250" s="495"/>
      <c r="DD250" s="495"/>
      <c r="DE250" s="495"/>
      <c r="DF250" s="495"/>
      <c r="DG250" s="495"/>
      <c r="DH250" s="495"/>
      <c r="DI250" s="495"/>
      <c r="DJ250" s="495"/>
      <c r="DK250" s="480"/>
      <c r="DL250" s="481"/>
      <c r="DM250" s="481"/>
      <c r="DN250" s="481"/>
      <c r="DO250" s="481"/>
      <c r="DP250" s="481"/>
      <c r="DQ250" s="481"/>
      <c r="DR250" s="482"/>
    </row>
    <row r="251" spans="2:157" ht="22.5" hidden="1" customHeight="1" x14ac:dyDescent="0.3">
      <c r="B251" s="438" t="s">
        <v>2916</v>
      </c>
      <c r="C251" s="436"/>
      <c r="D251" s="436"/>
      <c r="E251" s="436"/>
      <c r="F251" s="436"/>
      <c r="G251" s="436"/>
      <c r="H251" s="436"/>
      <c r="I251" s="436"/>
      <c r="J251" s="436"/>
      <c r="K251" s="387"/>
      <c r="L251" s="387"/>
      <c r="M251" s="435" t="s">
        <v>2086</v>
      </c>
      <c r="N251" s="436"/>
      <c r="O251" s="436"/>
      <c r="P251" s="436"/>
      <c r="Q251" s="436"/>
      <c r="R251" s="436"/>
      <c r="S251" s="439"/>
      <c r="T251" s="387"/>
      <c r="U251" s="387"/>
      <c r="V251" s="387"/>
      <c r="W251" s="387"/>
      <c r="X251" s="435" t="s">
        <v>2087</v>
      </c>
      <c r="Y251" s="436"/>
      <c r="Z251" s="436"/>
      <c r="AA251" s="436"/>
      <c r="AB251" s="436"/>
      <c r="AC251" s="436"/>
      <c r="AD251" s="436"/>
      <c r="AE251" s="387"/>
      <c r="AF251" s="387"/>
      <c r="AG251" s="387"/>
      <c r="AH251" s="387"/>
      <c r="AI251" s="387"/>
      <c r="AJ251" s="435" t="s">
        <v>2088</v>
      </c>
      <c r="AK251" s="436"/>
      <c r="AL251" s="436"/>
      <c r="AM251" s="436"/>
      <c r="AN251" s="436"/>
      <c r="AO251" s="436"/>
      <c r="AP251" s="436"/>
      <c r="AQ251" s="436"/>
      <c r="AR251" s="387"/>
      <c r="AS251" s="387"/>
      <c r="AT251" s="387"/>
      <c r="AU251" s="387"/>
      <c r="AV251" s="387"/>
      <c r="AW251" s="387"/>
      <c r="AX251" s="387"/>
      <c r="AY251" s="387"/>
      <c r="AZ251" s="387"/>
      <c r="BA251" s="387"/>
      <c r="BB251" s="387"/>
      <c r="BC251" s="387"/>
      <c r="BD251" s="387"/>
      <c r="BE251" s="388"/>
      <c r="BF251" s="190"/>
      <c r="BG251" s="190"/>
      <c r="BH251" s="445">
        <v>4</v>
      </c>
      <c r="BI251" s="446"/>
      <c r="BJ251" s="496"/>
      <c r="BK251" s="461"/>
      <c r="BL251" s="461"/>
      <c r="BM251" s="461"/>
      <c r="BN251" s="461"/>
      <c r="BO251" s="461"/>
      <c r="BP251" s="461"/>
      <c r="BQ251" s="461"/>
      <c r="BR251" s="461"/>
      <c r="BS251" s="461"/>
      <c r="BT251" s="461"/>
      <c r="BU251" s="461"/>
      <c r="BV251" s="521"/>
      <c r="BW251" s="522"/>
      <c r="BX251" s="522"/>
      <c r="BY251" s="522"/>
      <c r="BZ251" s="522"/>
      <c r="CA251" s="522"/>
      <c r="CB251" s="522"/>
      <c r="CC251" s="522"/>
      <c r="CD251" s="523"/>
      <c r="CE251" s="497"/>
      <c r="CF251" s="497"/>
      <c r="CG251" s="497"/>
      <c r="CH251" s="497"/>
      <c r="CI251" s="497"/>
      <c r="CJ251" s="497"/>
      <c r="CK251" s="497"/>
      <c r="CL251" s="497"/>
      <c r="CM251" s="497"/>
      <c r="CN251" s="497"/>
      <c r="CO251" s="496"/>
      <c r="CP251" s="461"/>
      <c r="CQ251" s="461"/>
      <c r="CR251" s="461"/>
      <c r="CS251" s="461"/>
      <c r="CT251" s="461"/>
      <c r="CU251" s="461"/>
      <c r="CV251" s="461"/>
      <c r="CW251" s="461"/>
      <c r="CX251" s="461"/>
      <c r="CY251" s="461"/>
      <c r="CZ251" s="520"/>
      <c r="DA251" s="497"/>
      <c r="DB251" s="497"/>
      <c r="DC251" s="497"/>
      <c r="DD251" s="497"/>
      <c r="DE251" s="497"/>
      <c r="DF251" s="497"/>
      <c r="DG251" s="497"/>
      <c r="DH251" s="497"/>
      <c r="DI251" s="497"/>
      <c r="DJ251" s="497"/>
      <c r="DK251" s="503"/>
      <c r="DL251" s="504"/>
      <c r="DM251" s="504"/>
      <c r="DN251" s="504"/>
      <c r="DO251" s="504"/>
      <c r="DP251" s="504"/>
      <c r="DQ251" s="504"/>
      <c r="DR251" s="505"/>
    </row>
    <row r="252" spans="2:157" ht="22.5" hidden="1" customHeight="1" x14ac:dyDescent="0.3">
      <c r="B252" s="381" t="s">
        <v>278</v>
      </c>
      <c r="C252" s="382"/>
      <c r="D252" s="382"/>
      <c r="E252" s="382"/>
      <c r="F252" s="382"/>
      <c r="G252" s="382"/>
      <c r="H252" s="382"/>
      <c r="I252" s="382"/>
      <c r="J252" s="394"/>
      <c r="K252" s="394"/>
      <c r="L252" s="394"/>
      <c r="M252" s="394"/>
      <c r="N252" s="394"/>
      <c r="O252" s="394"/>
      <c r="P252" s="394"/>
      <c r="Q252" s="394"/>
      <c r="R252" s="394"/>
      <c r="S252" s="394"/>
      <c r="T252" s="394"/>
      <c r="U252" s="394"/>
      <c r="V252" s="394"/>
      <c r="W252" s="394"/>
      <c r="X252" s="394"/>
      <c r="Y252" s="394"/>
      <c r="Z252" s="394"/>
      <c r="AA252" s="394"/>
      <c r="AB252" s="394"/>
      <c r="AC252" s="394"/>
      <c r="AD252" s="394"/>
      <c r="AE252" s="394"/>
      <c r="AF252" s="394"/>
      <c r="AG252" s="394"/>
      <c r="AH252" s="394"/>
      <c r="AI252" s="394"/>
      <c r="AJ252" s="394"/>
      <c r="AK252" s="394"/>
      <c r="AL252" s="394"/>
      <c r="AM252" s="394"/>
      <c r="AN252" s="394"/>
      <c r="AO252" s="394"/>
      <c r="AP252" s="394"/>
      <c r="AQ252" s="394"/>
      <c r="AR252" s="394"/>
      <c r="AS252" s="394"/>
      <c r="AT252" s="394"/>
      <c r="AU252" s="394"/>
      <c r="AV252" s="394"/>
      <c r="AW252" s="394"/>
      <c r="AX252" s="394"/>
      <c r="AY252" s="394"/>
      <c r="AZ252" s="394"/>
      <c r="BA252" s="394"/>
      <c r="BB252" s="394"/>
      <c r="BC252" s="394"/>
      <c r="BD252" s="394"/>
      <c r="BE252" s="395"/>
      <c r="BF252" s="190"/>
      <c r="BG252" s="190"/>
      <c r="DA252" s="511" t="s">
        <v>1647</v>
      </c>
      <c r="DB252" s="512"/>
      <c r="DC252" s="512"/>
      <c r="DD252" s="512"/>
      <c r="DE252" s="512"/>
      <c r="DF252" s="512"/>
      <c r="DG252" s="512"/>
      <c r="DH252" s="512"/>
      <c r="DI252" s="512"/>
      <c r="DJ252" s="512"/>
      <c r="DK252" s="418">
        <f>SUM(DK248:DR251)</f>
        <v>0</v>
      </c>
      <c r="DL252" s="419"/>
      <c r="DM252" s="419"/>
      <c r="DN252" s="419"/>
      <c r="DO252" s="419"/>
      <c r="DP252" s="419"/>
      <c r="DQ252" s="419"/>
      <c r="DR252" s="420"/>
    </row>
    <row r="253" spans="2:157" ht="24" hidden="1" customHeight="1" x14ac:dyDescent="0.25">
      <c r="B253" s="383" t="s">
        <v>2944</v>
      </c>
      <c r="C253" s="384"/>
      <c r="D253" s="384"/>
      <c r="E253" s="384"/>
      <c r="F253" s="384"/>
      <c r="G253" s="384"/>
      <c r="H253" s="384"/>
      <c r="I253" s="384"/>
      <c r="J253" s="396"/>
      <c r="K253" s="396"/>
      <c r="L253" s="396"/>
      <c r="M253" s="396"/>
      <c r="N253" s="396"/>
      <c r="O253" s="396"/>
      <c r="P253" s="396"/>
      <c r="Q253" s="396"/>
      <c r="R253" s="396"/>
      <c r="S253" s="396"/>
      <c r="T253" s="396"/>
      <c r="U253" s="396"/>
      <c r="V253" s="396"/>
      <c r="W253" s="396"/>
      <c r="X253" s="396"/>
      <c r="Y253" s="396"/>
      <c r="Z253" s="396"/>
      <c r="AA253" s="396"/>
      <c r="AB253" s="396"/>
      <c r="AC253" s="396"/>
      <c r="AD253" s="396"/>
      <c r="AE253" s="396"/>
      <c r="AF253" s="396"/>
      <c r="AG253" s="396"/>
      <c r="AH253" s="396"/>
      <c r="AI253" s="396"/>
      <c r="AJ253" s="396"/>
      <c r="AK253" s="396"/>
      <c r="AL253" s="396"/>
      <c r="AM253" s="396"/>
      <c r="AN253" s="396"/>
      <c r="AO253" s="396"/>
      <c r="AP253" s="396"/>
      <c r="AQ253" s="396"/>
      <c r="AR253" s="396"/>
      <c r="AS253" s="396"/>
      <c r="AT253" s="396"/>
      <c r="AU253" s="396"/>
      <c r="AV253" s="396"/>
      <c r="AW253" s="396"/>
      <c r="AX253" s="396"/>
      <c r="AY253" s="396"/>
      <c r="AZ253" s="396"/>
      <c r="BA253" s="396"/>
      <c r="BB253" s="396"/>
      <c r="BC253" s="396"/>
      <c r="BD253" s="396"/>
      <c r="BE253" s="397"/>
      <c r="EG253"/>
      <c r="EH253"/>
      <c r="EI253"/>
      <c r="EJ253"/>
      <c r="EK253"/>
      <c r="EL253"/>
      <c r="EM253"/>
      <c r="EN253"/>
      <c r="EO253"/>
      <c r="EP253"/>
      <c r="EQ253"/>
      <c r="ER253"/>
      <c r="ES253"/>
      <c r="ET253"/>
      <c r="EU253"/>
      <c r="EV253"/>
      <c r="EW253"/>
      <c r="EX253"/>
      <c r="EY253"/>
      <c r="EZ253"/>
      <c r="FA253"/>
    </row>
    <row r="254" spans="2:157" ht="24" hidden="1" customHeight="1" thickBot="1" x14ac:dyDescent="0.3">
      <c r="B254" s="385"/>
      <c r="C254" s="386"/>
      <c r="D254" s="386"/>
      <c r="E254" s="386"/>
      <c r="F254" s="386"/>
      <c r="G254" s="386"/>
      <c r="H254" s="386"/>
      <c r="I254" s="386"/>
      <c r="J254" s="398"/>
      <c r="K254" s="398"/>
      <c r="L254" s="398"/>
      <c r="M254" s="398"/>
      <c r="N254" s="398"/>
      <c r="O254" s="398"/>
      <c r="P254" s="398"/>
      <c r="Q254" s="398"/>
      <c r="R254" s="398"/>
      <c r="S254" s="398"/>
      <c r="T254" s="398"/>
      <c r="U254" s="398"/>
      <c r="V254" s="398"/>
      <c r="W254" s="398"/>
      <c r="X254" s="398"/>
      <c r="Y254" s="398"/>
      <c r="Z254" s="398"/>
      <c r="AA254" s="398"/>
      <c r="AB254" s="398"/>
      <c r="AC254" s="398"/>
      <c r="AD254" s="398"/>
      <c r="AE254" s="398"/>
      <c r="AF254" s="398"/>
      <c r="AG254" s="398"/>
      <c r="AH254" s="398"/>
      <c r="AI254" s="398"/>
      <c r="AJ254" s="398"/>
      <c r="AK254" s="398"/>
      <c r="AL254" s="398"/>
      <c r="AM254" s="398"/>
      <c r="AN254" s="398"/>
      <c r="AO254" s="398"/>
      <c r="AP254" s="398"/>
      <c r="AQ254" s="398"/>
      <c r="AR254" s="398"/>
      <c r="AS254" s="398"/>
      <c r="AT254" s="398"/>
      <c r="AU254" s="398"/>
      <c r="AV254" s="398"/>
      <c r="AW254" s="398"/>
      <c r="AX254" s="398"/>
      <c r="AY254" s="398"/>
      <c r="AZ254" s="398"/>
      <c r="BA254" s="398"/>
      <c r="BB254" s="398"/>
      <c r="BC254" s="398"/>
      <c r="BD254" s="398"/>
      <c r="BE254" s="399"/>
      <c r="EG254"/>
      <c r="EH254"/>
      <c r="EI254"/>
      <c r="EJ254"/>
      <c r="EK254"/>
      <c r="EL254"/>
      <c r="EM254"/>
      <c r="EN254"/>
      <c r="EO254"/>
      <c r="EP254"/>
      <c r="EQ254"/>
      <c r="ER254"/>
      <c r="ES254"/>
      <c r="ET254"/>
      <c r="EU254"/>
      <c r="EV254"/>
      <c r="EW254"/>
      <c r="EX254"/>
      <c r="EY254"/>
      <c r="EZ254"/>
      <c r="FA254"/>
    </row>
    <row r="255" spans="2:157" ht="24" hidden="1" customHeight="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EG255"/>
      <c r="EH255"/>
      <c r="EI255"/>
      <c r="EJ255"/>
      <c r="EK255"/>
      <c r="EL255"/>
      <c r="EM255"/>
      <c r="EN255"/>
      <c r="EO255"/>
      <c r="EP255"/>
      <c r="EQ255"/>
      <c r="ER255"/>
      <c r="ES255"/>
      <c r="ET255"/>
      <c r="EU255"/>
      <c r="EV255"/>
      <c r="EW255"/>
      <c r="EX255"/>
      <c r="EY255"/>
      <c r="EZ255"/>
      <c r="FA255"/>
    </row>
    <row r="256" spans="2:157" ht="18.75" hidden="1" customHeight="1" x14ac:dyDescent="0.3">
      <c r="B256" s="190"/>
      <c r="C256" s="190"/>
      <c r="D256" s="190"/>
      <c r="E256" s="190"/>
      <c r="F256" s="190"/>
      <c r="G256" s="190"/>
      <c r="H256" s="190"/>
      <c r="I256" s="190"/>
      <c r="J256" s="190"/>
      <c r="K256" s="190"/>
      <c r="L256" s="190"/>
      <c r="M256" s="190"/>
      <c r="N256" s="190"/>
      <c r="O256" s="190"/>
      <c r="P256" s="190"/>
      <c r="Q256" s="190"/>
      <c r="R256" s="190"/>
      <c r="S256" s="190"/>
      <c r="T256" s="190"/>
      <c r="U256" s="190"/>
      <c r="V256" s="190"/>
      <c r="W256" s="190"/>
      <c r="X256" s="190"/>
      <c r="Y256" s="190"/>
      <c r="Z256" s="190"/>
      <c r="AA256" s="190"/>
      <c r="AB256" s="190"/>
      <c r="AC256" s="190"/>
      <c r="AD256" s="190"/>
      <c r="AE256" s="190"/>
      <c r="AF256" s="190"/>
      <c r="AG256" s="190"/>
      <c r="AH256" s="190"/>
      <c r="AI256" s="190"/>
      <c r="AJ256" s="190"/>
      <c r="AK256" s="190"/>
      <c r="AL256" s="190"/>
      <c r="AM256" s="190"/>
      <c r="AN256" s="190"/>
      <c r="AO256" s="190"/>
      <c r="AP256" s="190"/>
      <c r="AQ256" s="190"/>
      <c r="AR256" s="190"/>
      <c r="AS256" s="190"/>
      <c r="AT256" s="190"/>
      <c r="AU256" s="190"/>
      <c r="AV256" s="190"/>
      <c r="AW256" s="190"/>
      <c r="AX256" s="190"/>
      <c r="AY256" s="190"/>
      <c r="AZ256" s="190"/>
      <c r="BA256" s="190"/>
      <c r="BB256" s="190"/>
      <c r="BC256" s="190"/>
      <c r="BD256" s="190"/>
      <c r="BE256" s="190"/>
      <c r="BF256" s="190"/>
      <c r="BG256" s="190"/>
      <c r="EG256"/>
      <c r="EH256"/>
      <c r="EI256"/>
      <c r="EJ256"/>
      <c r="EK256"/>
      <c r="EL256"/>
      <c r="EM256"/>
      <c r="EN256"/>
      <c r="EO256"/>
      <c r="EP256"/>
      <c r="EQ256"/>
      <c r="ER256"/>
      <c r="ES256"/>
      <c r="ET256"/>
      <c r="EU256"/>
      <c r="EV256"/>
      <c r="EW256"/>
      <c r="EX256"/>
      <c r="EY256"/>
      <c r="EZ256"/>
      <c r="FA256"/>
    </row>
    <row r="257" spans="2:158" ht="22.5" hidden="1" customHeight="1" thickBot="1" x14ac:dyDescent="0.35">
      <c r="B257" s="440" t="s">
        <v>299</v>
      </c>
      <c r="C257" s="440"/>
      <c r="D257" s="440"/>
      <c r="E257" s="440"/>
      <c r="F257" s="440"/>
      <c r="G257" s="440"/>
      <c r="H257" s="440"/>
      <c r="I257" s="440"/>
      <c r="J257" s="440"/>
      <c r="K257" s="440"/>
      <c r="L257" s="440"/>
      <c r="M257" s="440"/>
      <c r="N257" s="440"/>
      <c r="O257" s="440"/>
      <c r="P257" s="440"/>
      <c r="Q257" s="440"/>
      <c r="R257" s="440"/>
      <c r="S257" s="440"/>
      <c r="T257" s="440"/>
      <c r="U257" s="440"/>
      <c r="V257" s="440"/>
      <c r="W257" s="440"/>
      <c r="X257" s="440"/>
      <c r="Y257" s="440"/>
      <c r="Z257" s="440"/>
      <c r="AA257" s="440"/>
      <c r="AB257" s="440"/>
      <c r="AC257" s="440"/>
      <c r="AD257" s="440"/>
      <c r="AE257" s="440"/>
      <c r="AF257" s="440"/>
      <c r="AG257" s="440"/>
      <c r="AH257" s="440"/>
      <c r="AI257" s="440"/>
      <c r="AJ257" s="440"/>
      <c r="AK257" s="440"/>
      <c r="AL257" s="440"/>
      <c r="AM257" s="440"/>
      <c r="AN257" s="440"/>
      <c r="AO257" s="440"/>
      <c r="AP257" s="440"/>
      <c r="AQ257" s="440"/>
      <c r="AR257" s="440"/>
      <c r="AS257" s="440"/>
      <c r="AT257" s="440"/>
      <c r="AU257" s="440"/>
      <c r="AV257" s="440"/>
      <c r="AW257" s="440"/>
      <c r="AX257" s="440"/>
      <c r="AY257" s="440"/>
      <c r="AZ257" s="440"/>
      <c r="BA257" s="440"/>
      <c r="BB257" s="440"/>
      <c r="BC257" s="440"/>
      <c r="BD257" s="440"/>
      <c r="BE257" s="440"/>
      <c r="BF257" s="187"/>
      <c r="BG257" s="187"/>
      <c r="BJ257" s="178" t="s">
        <v>1648</v>
      </c>
    </row>
    <row r="258" spans="2:158" ht="22.5" hidden="1" customHeight="1" x14ac:dyDescent="0.3">
      <c r="B258" s="454" t="s">
        <v>3221</v>
      </c>
      <c r="C258" s="401"/>
      <c r="D258" s="401"/>
      <c r="E258" s="401"/>
      <c r="F258" s="401"/>
      <c r="G258" s="401"/>
      <c r="H258" s="401"/>
      <c r="I258" s="401"/>
      <c r="J258" s="404"/>
      <c r="K258" s="404"/>
      <c r="L258" s="404"/>
      <c r="M258" s="404"/>
      <c r="N258" s="404"/>
      <c r="O258" s="404"/>
      <c r="P258" s="404"/>
      <c r="Q258" s="404"/>
      <c r="R258" s="404"/>
      <c r="S258" s="404"/>
      <c r="T258" s="404"/>
      <c r="U258" s="404"/>
      <c r="V258" s="404"/>
      <c r="W258" s="404"/>
      <c r="X258" s="405"/>
      <c r="Y258" s="400" t="s">
        <v>2074</v>
      </c>
      <c r="Z258" s="401"/>
      <c r="AA258" s="401"/>
      <c r="AB258" s="402"/>
      <c r="AC258" s="402"/>
      <c r="AD258" s="402"/>
      <c r="AE258" s="402"/>
      <c r="AF258" s="402"/>
      <c r="AG258" s="402"/>
      <c r="AH258" s="402"/>
      <c r="AI258" s="402"/>
      <c r="AJ258" s="402"/>
      <c r="AK258" s="403"/>
      <c r="AL258" s="400" t="s">
        <v>1982</v>
      </c>
      <c r="AM258" s="401"/>
      <c r="AN258" s="401"/>
      <c r="AO258" s="404"/>
      <c r="AP258" s="404"/>
      <c r="AQ258" s="404"/>
      <c r="AR258" s="404"/>
      <c r="AS258" s="404"/>
      <c r="AT258" s="404"/>
      <c r="AU258" s="405"/>
      <c r="AV258" s="400" t="s">
        <v>1983</v>
      </c>
      <c r="AW258" s="401"/>
      <c r="AX258" s="404"/>
      <c r="AY258" s="404"/>
      <c r="AZ258" s="404"/>
      <c r="BA258" s="404"/>
      <c r="BB258" s="404"/>
      <c r="BC258" s="404"/>
      <c r="BD258" s="404"/>
      <c r="BE258" s="406"/>
      <c r="BF258" s="190"/>
      <c r="BG258" s="190"/>
      <c r="BH258" s="517" t="s">
        <v>389</v>
      </c>
      <c r="BI258" s="518"/>
      <c r="BJ258" s="489" t="s">
        <v>1649</v>
      </c>
      <c r="BK258" s="490"/>
      <c r="BL258" s="490"/>
      <c r="BM258" s="490"/>
      <c r="BN258" s="490"/>
      <c r="BO258" s="490"/>
      <c r="BP258" s="490"/>
      <c r="BQ258" s="490"/>
      <c r="BR258" s="490"/>
      <c r="BS258" s="490"/>
      <c r="BT258" s="490"/>
      <c r="BU258" s="490"/>
      <c r="BV258" s="483" t="s">
        <v>1644</v>
      </c>
      <c r="BW258" s="484"/>
      <c r="BX258" s="484"/>
      <c r="BY258" s="484"/>
      <c r="BZ258" s="484"/>
      <c r="CA258" s="484"/>
      <c r="CB258" s="484"/>
      <c r="CC258" s="484"/>
      <c r="CD258" s="485"/>
      <c r="CE258" s="513" t="s">
        <v>1675</v>
      </c>
      <c r="CF258" s="513"/>
      <c r="CG258" s="513"/>
      <c r="CH258" s="513"/>
      <c r="CI258" s="513"/>
      <c r="CJ258" s="513"/>
      <c r="CK258" s="513"/>
      <c r="CL258" s="513"/>
      <c r="CM258" s="513"/>
      <c r="CN258" s="513"/>
      <c r="CO258" s="489" t="s">
        <v>1676</v>
      </c>
      <c r="CP258" s="490"/>
      <c r="CQ258" s="490"/>
      <c r="CR258" s="490"/>
      <c r="CS258" s="490"/>
      <c r="CT258" s="490"/>
      <c r="CU258" s="490"/>
      <c r="CV258" s="490"/>
      <c r="CW258" s="490"/>
      <c r="CX258" s="490"/>
      <c r="CY258" s="490"/>
      <c r="CZ258" s="491"/>
      <c r="DA258" s="516" t="s">
        <v>1645</v>
      </c>
      <c r="DB258" s="516"/>
      <c r="DC258" s="516"/>
      <c r="DD258" s="516"/>
      <c r="DE258" s="516"/>
      <c r="DF258" s="516"/>
      <c r="DG258" s="516"/>
      <c r="DH258" s="516"/>
      <c r="DI258" s="516"/>
      <c r="DJ258" s="516"/>
      <c r="DK258" s="483" t="s">
        <v>1646</v>
      </c>
      <c r="DL258" s="484"/>
      <c r="DM258" s="484"/>
      <c r="DN258" s="484"/>
      <c r="DO258" s="484"/>
      <c r="DP258" s="484"/>
      <c r="DQ258" s="484"/>
      <c r="DR258" s="485"/>
    </row>
    <row r="259" spans="2:158" ht="22.5" hidden="1" customHeight="1" x14ac:dyDescent="0.3">
      <c r="B259" s="393" t="s">
        <v>1984</v>
      </c>
      <c r="C259" s="392"/>
      <c r="D259" s="392"/>
      <c r="E259" s="392"/>
      <c r="F259" s="389"/>
      <c r="G259" s="389"/>
      <c r="H259" s="389"/>
      <c r="I259" s="389"/>
      <c r="J259" s="389"/>
      <c r="K259" s="389"/>
      <c r="L259" s="389"/>
      <c r="M259" s="391" t="s">
        <v>307</v>
      </c>
      <c r="N259" s="392"/>
      <c r="O259" s="392"/>
      <c r="P259" s="392"/>
      <c r="Q259" s="392"/>
      <c r="R259" s="392"/>
      <c r="S259" s="392"/>
      <c r="T259" s="392"/>
      <c r="U259" s="433"/>
      <c r="V259" s="433"/>
      <c r="W259" s="433"/>
      <c r="X259" s="433"/>
      <c r="Y259" s="433"/>
      <c r="Z259" s="433"/>
      <c r="AA259" s="391" t="s">
        <v>2084</v>
      </c>
      <c r="AB259" s="392"/>
      <c r="AC259" s="392"/>
      <c r="AD259" s="392"/>
      <c r="AE259" s="392"/>
      <c r="AF259" s="392"/>
      <c r="AG259" s="392"/>
      <c r="AH259" s="392"/>
      <c r="AI259" s="433"/>
      <c r="AJ259" s="433"/>
      <c r="AK259" s="433"/>
      <c r="AL259" s="433"/>
      <c r="AM259" s="433"/>
      <c r="AN259" s="434"/>
      <c r="AO259" s="391" t="s">
        <v>279</v>
      </c>
      <c r="AP259" s="392"/>
      <c r="AQ259" s="392"/>
      <c r="AR259" s="392"/>
      <c r="AS259" s="392"/>
      <c r="AT259" s="437"/>
      <c r="AU259" s="437"/>
      <c r="AV259" s="437"/>
      <c r="AW259" s="437"/>
      <c r="AX259" s="437"/>
      <c r="AY259" s="437"/>
      <c r="AZ259" s="391" t="s">
        <v>2083</v>
      </c>
      <c r="BA259" s="392"/>
      <c r="BB259" s="392"/>
      <c r="BC259" s="392"/>
      <c r="BD259" s="389"/>
      <c r="BE259" s="390"/>
      <c r="BF259" s="190"/>
      <c r="BG259" s="190"/>
      <c r="BH259" s="514">
        <v>1</v>
      </c>
      <c r="BI259" s="515"/>
      <c r="BJ259" s="498"/>
      <c r="BK259" s="499"/>
      <c r="BL259" s="499"/>
      <c r="BM259" s="499"/>
      <c r="BN259" s="499"/>
      <c r="BO259" s="499"/>
      <c r="BP259" s="499"/>
      <c r="BQ259" s="499"/>
      <c r="BR259" s="499"/>
      <c r="BS259" s="499"/>
      <c r="BT259" s="499"/>
      <c r="BU259" s="499"/>
      <c r="BV259" s="500"/>
      <c r="BW259" s="501"/>
      <c r="BX259" s="501"/>
      <c r="BY259" s="501"/>
      <c r="BZ259" s="501"/>
      <c r="CA259" s="501"/>
      <c r="CB259" s="501"/>
      <c r="CC259" s="501"/>
      <c r="CD259" s="502"/>
      <c r="CE259" s="519"/>
      <c r="CF259" s="519"/>
      <c r="CG259" s="519"/>
      <c r="CH259" s="519"/>
      <c r="CI259" s="519"/>
      <c r="CJ259" s="519"/>
      <c r="CK259" s="519"/>
      <c r="CL259" s="519"/>
      <c r="CM259" s="519"/>
      <c r="CN259" s="519"/>
      <c r="CO259" s="507"/>
      <c r="CP259" s="508"/>
      <c r="CQ259" s="508"/>
      <c r="CR259" s="508"/>
      <c r="CS259" s="508"/>
      <c r="CT259" s="508"/>
      <c r="CU259" s="508"/>
      <c r="CV259" s="508"/>
      <c r="CW259" s="508"/>
      <c r="CX259" s="508"/>
      <c r="CY259" s="508"/>
      <c r="CZ259" s="509"/>
      <c r="DA259" s="510"/>
      <c r="DB259" s="510"/>
      <c r="DC259" s="510"/>
      <c r="DD259" s="510"/>
      <c r="DE259" s="510"/>
      <c r="DF259" s="510"/>
      <c r="DG259" s="510"/>
      <c r="DH259" s="510"/>
      <c r="DI259" s="510"/>
      <c r="DJ259" s="510"/>
      <c r="DK259" s="492"/>
      <c r="DL259" s="493"/>
      <c r="DM259" s="493"/>
      <c r="DN259" s="493"/>
      <c r="DO259" s="493"/>
      <c r="DP259" s="493"/>
      <c r="DQ259" s="493"/>
      <c r="DR259" s="494"/>
    </row>
    <row r="260" spans="2:158" ht="22.5" hidden="1" customHeight="1" x14ac:dyDescent="0.3">
      <c r="B260" s="393" t="s">
        <v>2091</v>
      </c>
      <c r="C260" s="392"/>
      <c r="D260" s="392"/>
      <c r="E260" s="392"/>
      <c r="F260" s="392"/>
      <c r="G260" s="392"/>
      <c r="H260" s="392"/>
      <c r="I260" s="392"/>
      <c r="J260" s="392"/>
      <c r="K260" s="389"/>
      <c r="L260" s="389"/>
      <c r="M260" s="391" t="s">
        <v>2089</v>
      </c>
      <c r="N260" s="392"/>
      <c r="O260" s="392"/>
      <c r="P260" s="392"/>
      <c r="Q260" s="392"/>
      <c r="R260" s="392"/>
      <c r="S260" s="389"/>
      <c r="T260" s="389"/>
      <c r="U260" s="389"/>
      <c r="V260" s="389"/>
      <c r="W260" s="389"/>
      <c r="X260" s="391" t="s">
        <v>2092</v>
      </c>
      <c r="Y260" s="392"/>
      <c r="Z260" s="392"/>
      <c r="AA260" s="392"/>
      <c r="AB260" s="392"/>
      <c r="AC260" s="392"/>
      <c r="AD260" s="392"/>
      <c r="AE260" s="392"/>
      <c r="AF260" s="392"/>
      <c r="AG260" s="392"/>
      <c r="AH260" s="392"/>
      <c r="AI260" s="392"/>
      <c r="AJ260" s="392"/>
      <c r="AK260" s="392"/>
      <c r="AL260" s="392"/>
      <c r="AM260" s="392"/>
      <c r="AN260" s="392"/>
      <c r="AO260" s="392"/>
      <c r="AP260" s="392"/>
      <c r="AQ260" s="392"/>
      <c r="AR260" s="389"/>
      <c r="AS260" s="389"/>
      <c r="AT260" s="389"/>
      <c r="AU260" s="389"/>
      <c r="AV260" s="389"/>
      <c r="AW260" s="432"/>
      <c r="AX260" s="391" t="s">
        <v>796</v>
      </c>
      <c r="AY260" s="392"/>
      <c r="AZ260" s="392"/>
      <c r="BA260" s="392"/>
      <c r="BB260" s="392"/>
      <c r="BC260" s="392"/>
      <c r="BD260" s="389"/>
      <c r="BE260" s="390"/>
      <c r="BF260" s="190"/>
      <c r="BG260" s="190"/>
      <c r="BH260" s="443">
        <v>2</v>
      </c>
      <c r="BI260" s="444"/>
      <c r="BJ260" s="486"/>
      <c r="BK260" s="487"/>
      <c r="BL260" s="487"/>
      <c r="BM260" s="487"/>
      <c r="BN260" s="487"/>
      <c r="BO260" s="487"/>
      <c r="BP260" s="487"/>
      <c r="BQ260" s="487"/>
      <c r="BR260" s="487"/>
      <c r="BS260" s="487"/>
      <c r="BT260" s="487"/>
      <c r="BU260" s="487"/>
      <c r="BV260" s="500"/>
      <c r="BW260" s="501"/>
      <c r="BX260" s="501"/>
      <c r="BY260" s="501"/>
      <c r="BZ260" s="501"/>
      <c r="CA260" s="501"/>
      <c r="CB260" s="501"/>
      <c r="CC260" s="501"/>
      <c r="CD260" s="502"/>
      <c r="CE260" s="495"/>
      <c r="CF260" s="495"/>
      <c r="CG260" s="495"/>
      <c r="CH260" s="495"/>
      <c r="CI260" s="495"/>
      <c r="CJ260" s="495"/>
      <c r="CK260" s="495"/>
      <c r="CL260" s="495"/>
      <c r="CM260" s="495"/>
      <c r="CN260" s="495"/>
      <c r="CO260" s="486"/>
      <c r="CP260" s="487"/>
      <c r="CQ260" s="487"/>
      <c r="CR260" s="487"/>
      <c r="CS260" s="487"/>
      <c r="CT260" s="487"/>
      <c r="CU260" s="487"/>
      <c r="CV260" s="487"/>
      <c r="CW260" s="487"/>
      <c r="CX260" s="487"/>
      <c r="CY260" s="487"/>
      <c r="CZ260" s="488"/>
      <c r="DA260" s="495"/>
      <c r="DB260" s="495"/>
      <c r="DC260" s="495"/>
      <c r="DD260" s="495"/>
      <c r="DE260" s="495"/>
      <c r="DF260" s="495"/>
      <c r="DG260" s="495"/>
      <c r="DH260" s="495"/>
      <c r="DI260" s="495"/>
      <c r="DJ260" s="495"/>
      <c r="DK260" s="480"/>
      <c r="DL260" s="481"/>
      <c r="DM260" s="481"/>
      <c r="DN260" s="481"/>
      <c r="DO260" s="481"/>
      <c r="DP260" s="481"/>
      <c r="DQ260" s="481"/>
      <c r="DR260" s="482"/>
    </row>
    <row r="261" spans="2:158" ht="22.5" hidden="1" customHeight="1" x14ac:dyDescent="0.3">
      <c r="B261" s="393" t="s">
        <v>2978</v>
      </c>
      <c r="C261" s="392"/>
      <c r="D261" s="392"/>
      <c r="E261" s="392"/>
      <c r="F261" s="392"/>
      <c r="G261" s="392"/>
      <c r="H261" s="392"/>
      <c r="I261" s="392"/>
      <c r="J261" s="392"/>
      <c r="K261" s="389"/>
      <c r="L261" s="389"/>
      <c r="M261" s="391" t="s">
        <v>2089</v>
      </c>
      <c r="N261" s="392"/>
      <c r="O261" s="392"/>
      <c r="P261" s="392"/>
      <c r="Q261" s="392"/>
      <c r="R261" s="392"/>
      <c r="S261" s="389"/>
      <c r="T261" s="389"/>
      <c r="U261" s="389"/>
      <c r="V261" s="389"/>
      <c r="W261" s="389"/>
      <c r="X261" s="391" t="s">
        <v>2118</v>
      </c>
      <c r="Y261" s="392"/>
      <c r="Z261" s="392"/>
      <c r="AA261" s="392"/>
      <c r="AB261" s="392"/>
      <c r="AC261" s="392"/>
      <c r="AD261" s="392"/>
      <c r="AE261" s="442"/>
      <c r="AF261" s="442"/>
      <c r="AG261" s="442"/>
      <c r="AH261" s="442"/>
      <c r="AI261" s="442"/>
      <c r="AJ261" s="391" t="s">
        <v>2090</v>
      </c>
      <c r="AK261" s="392"/>
      <c r="AL261" s="392"/>
      <c r="AM261" s="392"/>
      <c r="AN261" s="392"/>
      <c r="AO261" s="392"/>
      <c r="AP261" s="392"/>
      <c r="AQ261" s="392"/>
      <c r="AR261" s="433"/>
      <c r="AS261" s="433"/>
      <c r="AT261" s="433"/>
      <c r="AU261" s="433"/>
      <c r="AV261" s="433"/>
      <c r="AW261" s="434"/>
      <c r="AX261" s="391" t="s">
        <v>2085</v>
      </c>
      <c r="AY261" s="392"/>
      <c r="AZ261" s="392"/>
      <c r="BA261" s="392"/>
      <c r="BB261" s="392"/>
      <c r="BC261" s="392"/>
      <c r="BD261" s="389"/>
      <c r="BE261" s="390"/>
      <c r="BF261" s="190"/>
      <c r="BG261" s="190"/>
      <c r="BH261" s="443">
        <v>3</v>
      </c>
      <c r="BI261" s="444"/>
      <c r="BJ261" s="486"/>
      <c r="BK261" s="487"/>
      <c r="BL261" s="487"/>
      <c r="BM261" s="487"/>
      <c r="BN261" s="487"/>
      <c r="BO261" s="487"/>
      <c r="BP261" s="487"/>
      <c r="BQ261" s="487"/>
      <c r="BR261" s="487"/>
      <c r="BS261" s="487"/>
      <c r="BT261" s="487"/>
      <c r="BU261" s="487"/>
      <c r="BV261" s="500"/>
      <c r="BW261" s="501"/>
      <c r="BX261" s="501"/>
      <c r="BY261" s="501"/>
      <c r="BZ261" s="501"/>
      <c r="CA261" s="501"/>
      <c r="CB261" s="501"/>
      <c r="CC261" s="501"/>
      <c r="CD261" s="502"/>
      <c r="CE261" s="506"/>
      <c r="CF261" s="506"/>
      <c r="CG261" s="506"/>
      <c r="CH261" s="506"/>
      <c r="CI261" s="506"/>
      <c r="CJ261" s="506"/>
      <c r="CK261" s="506"/>
      <c r="CL261" s="506"/>
      <c r="CM261" s="506"/>
      <c r="CN261" s="506"/>
      <c r="CO261" s="500"/>
      <c r="CP261" s="501"/>
      <c r="CQ261" s="501"/>
      <c r="CR261" s="501"/>
      <c r="CS261" s="501"/>
      <c r="CT261" s="501"/>
      <c r="CU261" s="501"/>
      <c r="CV261" s="501"/>
      <c r="CW261" s="501"/>
      <c r="CX261" s="501"/>
      <c r="CY261" s="501"/>
      <c r="CZ261" s="502"/>
      <c r="DA261" s="495"/>
      <c r="DB261" s="495"/>
      <c r="DC261" s="495"/>
      <c r="DD261" s="495"/>
      <c r="DE261" s="495"/>
      <c r="DF261" s="495"/>
      <c r="DG261" s="495"/>
      <c r="DH261" s="495"/>
      <c r="DI261" s="495"/>
      <c r="DJ261" s="495"/>
      <c r="DK261" s="480"/>
      <c r="DL261" s="481"/>
      <c r="DM261" s="481"/>
      <c r="DN261" s="481"/>
      <c r="DO261" s="481"/>
      <c r="DP261" s="481"/>
      <c r="DQ261" s="481"/>
      <c r="DR261" s="482"/>
    </row>
    <row r="262" spans="2:158" ht="22.5" hidden="1" customHeight="1" x14ac:dyDescent="0.3">
      <c r="B262" s="438" t="s">
        <v>2916</v>
      </c>
      <c r="C262" s="436"/>
      <c r="D262" s="436"/>
      <c r="E262" s="436"/>
      <c r="F262" s="436"/>
      <c r="G262" s="436"/>
      <c r="H262" s="436"/>
      <c r="I262" s="436"/>
      <c r="J262" s="436"/>
      <c r="K262" s="387"/>
      <c r="L262" s="387"/>
      <c r="M262" s="435" t="s">
        <v>2086</v>
      </c>
      <c r="N262" s="436"/>
      <c r="O262" s="436"/>
      <c r="P262" s="436"/>
      <c r="Q262" s="436"/>
      <c r="R262" s="436"/>
      <c r="S262" s="439"/>
      <c r="T262" s="387"/>
      <c r="U262" s="387"/>
      <c r="V262" s="387"/>
      <c r="W262" s="387"/>
      <c r="X262" s="435" t="s">
        <v>2087</v>
      </c>
      <c r="Y262" s="436"/>
      <c r="Z262" s="436"/>
      <c r="AA262" s="436"/>
      <c r="AB262" s="436"/>
      <c r="AC262" s="436"/>
      <c r="AD262" s="436"/>
      <c r="AE262" s="387"/>
      <c r="AF262" s="387"/>
      <c r="AG262" s="387"/>
      <c r="AH262" s="387"/>
      <c r="AI262" s="387"/>
      <c r="AJ262" s="435" t="s">
        <v>2088</v>
      </c>
      <c r="AK262" s="436"/>
      <c r="AL262" s="436"/>
      <c r="AM262" s="436"/>
      <c r="AN262" s="436"/>
      <c r="AO262" s="436"/>
      <c r="AP262" s="436"/>
      <c r="AQ262" s="436"/>
      <c r="AR262" s="387"/>
      <c r="AS262" s="387"/>
      <c r="AT262" s="387"/>
      <c r="AU262" s="387"/>
      <c r="AV262" s="387"/>
      <c r="AW262" s="387"/>
      <c r="AX262" s="387"/>
      <c r="AY262" s="387"/>
      <c r="AZ262" s="387"/>
      <c r="BA262" s="387"/>
      <c r="BB262" s="387"/>
      <c r="BC262" s="387"/>
      <c r="BD262" s="387"/>
      <c r="BE262" s="388"/>
      <c r="BF262" s="190"/>
      <c r="BG262" s="190"/>
      <c r="BH262" s="445">
        <v>4</v>
      </c>
      <c r="BI262" s="446"/>
      <c r="BJ262" s="496"/>
      <c r="BK262" s="461"/>
      <c r="BL262" s="461"/>
      <c r="BM262" s="461"/>
      <c r="BN262" s="461"/>
      <c r="BO262" s="461"/>
      <c r="BP262" s="461"/>
      <c r="BQ262" s="461"/>
      <c r="BR262" s="461"/>
      <c r="BS262" s="461"/>
      <c r="BT262" s="461"/>
      <c r="BU262" s="461"/>
      <c r="BV262" s="521"/>
      <c r="BW262" s="522"/>
      <c r="BX262" s="522"/>
      <c r="BY262" s="522"/>
      <c r="BZ262" s="522"/>
      <c r="CA262" s="522"/>
      <c r="CB262" s="522"/>
      <c r="CC262" s="522"/>
      <c r="CD262" s="523"/>
      <c r="CE262" s="497"/>
      <c r="CF262" s="497"/>
      <c r="CG262" s="497"/>
      <c r="CH262" s="497"/>
      <c r="CI262" s="497"/>
      <c r="CJ262" s="497"/>
      <c r="CK262" s="497"/>
      <c r="CL262" s="497"/>
      <c r="CM262" s="497"/>
      <c r="CN262" s="497"/>
      <c r="CO262" s="496"/>
      <c r="CP262" s="461"/>
      <c r="CQ262" s="461"/>
      <c r="CR262" s="461"/>
      <c r="CS262" s="461"/>
      <c r="CT262" s="461"/>
      <c r="CU262" s="461"/>
      <c r="CV262" s="461"/>
      <c r="CW262" s="461"/>
      <c r="CX262" s="461"/>
      <c r="CY262" s="461"/>
      <c r="CZ262" s="520"/>
      <c r="DA262" s="497"/>
      <c r="DB262" s="497"/>
      <c r="DC262" s="497"/>
      <c r="DD262" s="497"/>
      <c r="DE262" s="497"/>
      <c r="DF262" s="497"/>
      <c r="DG262" s="497"/>
      <c r="DH262" s="497"/>
      <c r="DI262" s="497"/>
      <c r="DJ262" s="497"/>
      <c r="DK262" s="503"/>
      <c r="DL262" s="504"/>
      <c r="DM262" s="504"/>
      <c r="DN262" s="504"/>
      <c r="DO262" s="504"/>
      <c r="DP262" s="504"/>
      <c r="DQ262" s="504"/>
      <c r="DR262" s="505"/>
    </row>
    <row r="263" spans="2:158" ht="22.5" hidden="1" customHeight="1" x14ac:dyDescent="0.3">
      <c r="B263" s="381" t="s">
        <v>278</v>
      </c>
      <c r="C263" s="382"/>
      <c r="D263" s="382"/>
      <c r="E263" s="382"/>
      <c r="F263" s="382"/>
      <c r="G263" s="382"/>
      <c r="H263" s="382"/>
      <c r="I263" s="382"/>
      <c r="J263" s="394"/>
      <c r="K263" s="394"/>
      <c r="L263" s="394"/>
      <c r="M263" s="394"/>
      <c r="N263" s="394"/>
      <c r="O263" s="394"/>
      <c r="P263" s="394"/>
      <c r="Q263" s="394"/>
      <c r="R263" s="394"/>
      <c r="S263" s="394"/>
      <c r="T263" s="394"/>
      <c r="U263" s="394"/>
      <c r="V263" s="394"/>
      <c r="W263" s="394"/>
      <c r="X263" s="394"/>
      <c r="Y263" s="394"/>
      <c r="Z263" s="394"/>
      <c r="AA263" s="394"/>
      <c r="AB263" s="394"/>
      <c r="AC263" s="394"/>
      <c r="AD263" s="394"/>
      <c r="AE263" s="394"/>
      <c r="AF263" s="394"/>
      <c r="AG263" s="394"/>
      <c r="AH263" s="394"/>
      <c r="AI263" s="394"/>
      <c r="AJ263" s="394"/>
      <c r="AK263" s="394"/>
      <c r="AL263" s="394"/>
      <c r="AM263" s="394"/>
      <c r="AN263" s="394"/>
      <c r="AO263" s="394"/>
      <c r="AP263" s="394"/>
      <c r="AQ263" s="394"/>
      <c r="AR263" s="394"/>
      <c r="AS263" s="394"/>
      <c r="AT263" s="394"/>
      <c r="AU263" s="394"/>
      <c r="AV263" s="394"/>
      <c r="AW263" s="394"/>
      <c r="AX263" s="394"/>
      <c r="AY263" s="394"/>
      <c r="AZ263" s="394"/>
      <c r="BA263" s="394"/>
      <c r="BB263" s="394"/>
      <c r="BC263" s="394"/>
      <c r="BD263" s="394"/>
      <c r="BE263" s="395"/>
      <c r="BF263" s="190"/>
      <c r="BG263" s="190"/>
      <c r="DA263" s="511" t="s">
        <v>1647</v>
      </c>
      <c r="DB263" s="512"/>
      <c r="DC263" s="512"/>
      <c r="DD263" s="512"/>
      <c r="DE263" s="512"/>
      <c r="DF263" s="512"/>
      <c r="DG263" s="512"/>
      <c r="DH263" s="512"/>
      <c r="DI263" s="512"/>
      <c r="DJ263" s="512"/>
      <c r="DK263" s="418">
        <f>SUM(DK259:DR262)</f>
        <v>0</v>
      </c>
      <c r="DL263" s="419"/>
      <c r="DM263" s="419"/>
      <c r="DN263" s="419"/>
      <c r="DO263" s="419"/>
      <c r="DP263" s="419"/>
      <c r="DQ263" s="419"/>
      <c r="DR263" s="420"/>
    </row>
    <row r="264" spans="2:158" ht="24" hidden="1" customHeight="1" x14ac:dyDescent="0.25">
      <c r="B264" s="383" t="s">
        <v>2944</v>
      </c>
      <c r="C264" s="384"/>
      <c r="D264" s="384"/>
      <c r="E264" s="384"/>
      <c r="F264" s="384"/>
      <c r="G264" s="384"/>
      <c r="H264" s="384"/>
      <c r="I264" s="384"/>
      <c r="J264" s="396"/>
      <c r="K264" s="396"/>
      <c r="L264" s="396"/>
      <c r="M264" s="396"/>
      <c r="N264" s="396"/>
      <c r="O264" s="396"/>
      <c r="P264" s="396"/>
      <c r="Q264" s="396"/>
      <c r="R264" s="396"/>
      <c r="S264" s="396"/>
      <c r="T264" s="396"/>
      <c r="U264" s="396"/>
      <c r="V264" s="396"/>
      <c r="W264" s="396"/>
      <c r="X264" s="396"/>
      <c r="Y264" s="396"/>
      <c r="Z264" s="396"/>
      <c r="AA264" s="396"/>
      <c r="AB264" s="396"/>
      <c r="AC264" s="396"/>
      <c r="AD264" s="396"/>
      <c r="AE264" s="396"/>
      <c r="AF264" s="396"/>
      <c r="AG264" s="396"/>
      <c r="AH264" s="396"/>
      <c r="AI264" s="396"/>
      <c r="AJ264" s="396"/>
      <c r="AK264" s="396"/>
      <c r="AL264" s="396"/>
      <c r="AM264" s="396"/>
      <c r="AN264" s="396"/>
      <c r="AO264" s="396"/>
      <c r="AP264" s="396"/>
      <c r="AQ264" s="396"/>
      <c r="AR264" s="396"/>
      <c r="AS264" s="396"/>
      <c r="AT264" s="396"/>
      <c r="AU264" s="396"/>
      <c r="AV264" s="396"/>
      <c r="AW264" s="396"/>
      <c r="AX264" s="396"/>
      <c r="AY264" s="396"/>
      <c r="AZ264" s="396"/>
      <c r="BA264" s="396"/>
      <c r="BB264" s="396"/>
      <c r="BC264" s="396"/>
      <c r="BD264" s="396"/>
      <c r="BE264" s="397"/>
      <c r="EH264"/>
      <c r="EI264"/>
      <c r="EJ264"/>
      <c r="EK264"/>
      <c r="EL264"/>
      <c r="EM264"/>
      <c r="EN264"/>
      <c r="EO264"/>
      <c r="EP264"/>
      <c r="EQ264"/>
      <c r="ER264"/>
      <c r="ES264"/>
      <c r="ET264"/>
      <c r="EU264"/>
      <c r="EV264"/>
      <c r="EW264"/>
      <c r="EX264"/>
      <c r="EY264"/>
      <c r="EZ264"/>
      <c r="FA264"/>
      <c r="FB264"/>
    </row>
    <row r="265" spans="2:158" ht="24" hidden="1" customHeight="1" thickBot="1" x14ac:dyDescent="0.3">
      <c r="B265" s="385"/>
      <c r="C265" s="386"/>
      <c r="D265" s="386"/>
      <c r="E265" s="386"/>
      <c r="F265" s="386"/>
      <c r="G265" s="386"/>
      <c r="H265" s="386"/>
      <c r="I265" s="386"/>
      <c r="J265" s="398"/>
      <c r="K265" s="398"/>
      <c r="L265" s="398"/>
      <c r="M265" s="398"/>
      <c r="N265" s="398"/>
      <c r="O265" s="398"/>
      <c r="P265" s="398"/>
      <c r="Q265" s="398"/>
      <c r="R265" s="398"/>
      <c r="S265" s="398"/>
      <c r="T265" s="398"/>
      <c r="U265" s="398"/>
      <c r="V265" s="398"/>
      <c r="W265" s="398"/>
      <c r="X265" s="398"/>
      <c r="Y265" s="398"/>
      <c r="Z265" s="398"/>
      <c r="AA265" s="398"/>
      <c r="AB265" s="398"/>
      <c r="AC265" s="398"/>
      <c r="AD265" s="398"/>
      <c r="AE265" s="398"/>
      <c r="AF265" s="398"/>
      <c r="AG265" s="398"/>
      <c r="AH265" s="398"/>
      <c r="AI265" s="398"/>
      <c r="AJ265" s="398"/>
      <c r="AK265" s="398"/>
      <c r="AL265" s="398"/>
      <c r="AM265" s="398"/>
      <c r="AN265" s="398"/>
      <c r="AO265" s="398"/>
      <c r="AP265" s="398"/>
      <c r="AQ265" s="398"/>
      <c r="AR265" s="398"/>
      <c r="AS265" s="398"/>
      <c r="AT265" s="398"/>
      <c r="AU265" s="398"/>
      <c r="AV265" s="398"/>
      <c r="AW265" s="398"/>
      <c r="AX265" s="398"/>
      <c r="AY265" s="398"/>
      <c r="AZ265" s="398"/>
      <c r="BA265" s="398"/>
      <c r="BB265" s="398"/>
      <c r="BC265" s="398"/>
      <c r="BD265" s="398"/>
      <c r="BE265" s="399"/>
      <c r="EH265"/>
      <c r="EI265"/>
      <c r="EJ265"/>
      <c r="EK265"/>
      <c r="EL265"/>
      <c r="EM265"/>
      <c r="EN265"/>
      <c r="EO265"/>
      <c r="EP265"/>
      <c r="EQ265"/>
      <c r="ER265"/>
      <c r="ES265"/>
      <c r="ET265"/>
      <c r="EU265"/>
      <c r="EV265"/>
      <c r="EW265"/>
      <c r="EX265"/>
      <c r="EY265"/>
      <c r="EZ265"/>
      <c r="FA265"/>
      <c r="FB265"/>
    </row>
    <row r="266" spans="2:158" ht="24" hidden="1" customHeight="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EH266"/>
      <c r="EI266"/>
      <c r="EJ266"/>
      <c r="EK266"/>
      <c r="EL266"/>
      <c r="EM266"/>
      <c r="EN266"/>
      <c r="EO266"/>
      <c r="EP266"/>
      <c r="EQ266"/>
      <c r="ER266"/>
      <c r="ES266"/>
      <c r="ET266"/>
      <c r="EU266"/>
      <c r="EV266"/>
      <c r="EW266"/>
      <c r="EX266"/>
      <c r="EY266"/>
      <c r="EZ266"/>
      <c r="FA266"/>
      <c r="FB266"/>
    </row>
    <row r="267" spans="2:158" ht="18.75" hidden="1" customHeight="1" x14ac:dyDescent="0.3">
      <c r="B267" s="190"/>
      <c r="C267" s="190"/>
      <c r="D267" s="190"/>
      <c r="E267" s="190"/>
      <c r="F267" s="190"/>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EH267"/>
      <c r="EI267"/>
      <c r="EJ267"/>
      <c r="EK267"/>
      <c r="EL267"/>
      <c r="EM267"/>
      <c r="EN267"/>
      <c r="EO267"/>
      <c r="EP267"/>
      <c r="EQ267"/>
      <c r="ER267"/>
      <c r="ES267"/>
      <c r="ET267"/>
      <c r="EU267"/>
      <c r="EV267"/>
      <c r="EW267"/>
      <c r="EX267"/>
      <c r="EY267"/>
      <c r="EZ267"/>
      <c r="FA267"/>
      <c r="FB267"/>
    </row>
    <row r="268" spans="2:158" ht="22.5" hidden="1" customHeight="1" thickBot="1" x14ac:dyDescent="0.35">
      <c r="B268" s="440" t="s">
        <v>300</v>
      </c>
      <c r="C268" s="440"/>
      <c r="D268" s="440"/>
      <c r="E268" s="440"/>
      <c r="F268" s="440"/>
      <c r="G268" s="440"/>
      <c r="H268" s="440"/>
      <c r="I268" s="440"/>
      <c r="J268" s="440"/>
      <c r="K268" s="440"/>
      <c r="L268" s="440"/>
      <c r="M268" s="440"/>
      <c r="N268" s="440"/>
      <c r="O268" s="440"/>
      <c r="P268" s="440"/>
      <c r="Q268" s="440"/>
      <c r="R268" s="440"/>
      <c r="S268" s="440"/>
      <c r="T268" s="440"/>
      <c r="U268" s="440"/>
      <c r="V268" s="440"/>
      <c r="W268" s="440"/>
      <c r="X268" s="440"/>
      <c r="Y268" s="440"/>
      <c r="Z268" s="440"/>
      <c r="AA268" s="440"/>
      <c r="AB268" s="440"/>
      <c r="AC268" s="440"/>
      <c r="AD268" s="440"/>
      <c r="AE268" s="440"/>
      <c r="AF268" s="440"/>
      <c r="AG268" s="440"/>
      <c r="AH268" s="440"/>
      <c r="AI268" s="440"/>
      <c r="AJ268" s="440"/>
      <c r="AK268" s="440"/>
      <c r="AL268" s="440"/>
      <c r="AM268" s="440"/>
      <c r="AN268" s="440"/>
      <c r="AO268" s="440"/>
      <c r="AP268" s="440"/>
      <c r="AQ268" s="440"/>
      <c r="AR268" s="440"/>
      <c r="AS268" s="440"/>
      <c r="AT268" s="440"/>
      <c r="AU268" s="440"/>
      <c r="AV268" s="440"/>
      <c r="AW268" s="440"/>
      <c r="AX268" s="440"/>
      <c r="AY268" s="440"/>
      <c r="AZ268" s="440"/>
      <c r="BA268" s="440"/>
      <c r="BB268" s="440"/>
      <c r="BC268" s="440"/>
      <c r="BD268" s="440"/>
      <c r="BE268" s="440"/>
      <c r="BF268" s="187"/>
      <c r="BG268" s="187"/>
      <c r="BJ268" s="178" t="s">
        <v>1648</v>
      </c>
    </row>
    <row r="269" spans="2:158" ht="22.5" hidden="1" customHeight="1" x14ac:dyDescent="0.3">
      <c r="B269" s="454" t="s">
        <v>3221</v>
      </c>
      <c r="C269" s="401"/>
      <c r="D269" s="401"/>
      <c r="E269" s="401"/>
      <c r="F269" s="401"/>
      <c r="G269" s="401"/>
      <c r="H269" s="401"/>
      <c r="I269" s="401"/>
      <c r="J269" s="404"/>
      <c r="K269" s="404"/>
      <c r="L269" s="404"/>
      <c r="M269" s="404"/>
      <c r="N269" s="404"/>
      <c r="O269" s="404"/>
      <c r="P269" s="404"/>
      <c r="Q269" s="404"/>
      <c r="R269" s="404"/>
      <c r="S269" s="404"/>
      <c r="T269" s="404"/>
      <c r="U269" s="404"/>
      <c r="V269" s="404"/>
      <c r="W269" s="404"/>
      <c r="X269" s="405"/>
      <c r="Y269" s="400" t="s">
        <v>2074</v>
      </c>
      <c r="Z269" s="401"/>
      <c r="AA269" s="401"/>
      <c r="AB269" s="402"/>
      <c r="AC269" s="402"/>
      <c r="AD269" s="402"/>
      <c r="AE269" s="402"/>
      <c r="AF269" s="402"/>
      <c r="AG269" s="402"/>
      <c r="AH269" s="402"/>
      <c r="AI269" s="402"/>
      <c r="AJ269" s="402"/>
      <c r="AK269" s="403"/>
      <c r="AL269" s="400" t="s">
        <v>1982</v>
      </c>
      <c r="AM269" s="401"/>
      <c r="AN269" s="401"/>
      <c r="AO269" s="404"/>
      <c r="AP269" s="404"/>
      <c r="AQ269" s="404"/>
      <c r="AR269" s="404"/>
      <c r="AS269" s="404"/>
      <c r="AT269" s="404"/>
      <c r="AU269" s="405"/>
      <c r="AV269" s="400" t="s">
        <v>1983</v>
      </c>
      <c r="AW269" s="401"/>
      <c r="AX269" s="404"/>
      <c r="AY269" s="404"/>
      <c r="AZ269" s="404"/>
      <c r="BA269" s="404"/>
      <c r="BB269" s="404"/>
      <c r="BC269" s="404"/>
      <c r="BD269" s="404"/>
      <c r="BE269" s="406"/>
      <c r="BF269" s="190"/>
      <c r="BG269" s="190"/>
      <c r="BH269" s="517" t="s">
        <v>389</v>
      </c>
      <c r="BI269" s="518"/>
      <c r="BJ269" s="489" t="s">
        <v>1649</v>
      </c>
      <c r="BK269" s="490"/>
      <c r="BL269" s="490"/>
      <c r="BM269" s="490"/>
      <c r="BN269" s="490"/>
      <c r="BO269" s="490"/>
      <c r="BP269" s="490"/>
      <c r="BQ269" s="490"/>
      <c r="BR269" s="490"/>
      <c r="BS269" s="490"/>
      <c r="BT269" s="490"/>
      <c r="BU269" s="490"/>
      <c r="BV269" s="483" t="s">
        <v>1644</v>
      </c>
      <c r="BW269" s="484"/>
      <c r="BX269" s="484"/>
      <c r="BY269" s="484"/>
      <c r="BZ269" s="484"/>
      <c r="CA269" s="484"/>
      <c r="CB269" s="484"/>
      <c r="CC269" s="484"/>
      <c r="CD269" s="485"/>
      <c r="CE269" s="513" t="s">
        <v>1675</v>
      </c>
      <c r="CF269" s="513"/>
      <c r="CG269" s="513"/>
      <c r="CH269" s="513"/>
      <c r="CI269" s="513"/>
      <c r="CJ269" s="513"/>
      <c r="CK269" s="513"/>
      <c r="CL269" s="513"/>
      <c r="CM269" s="513"/>
      <c r="CN269" s="513"/>
      <c r="CO269" s="489" t="s">
        <v>1676</v>
      </c>
      <c r="CP269" s="490"/>
      <c r="CQ269" s="490"/>
      <c r="CR269" s="490"/>
      <c r="CS269" s="490"/>
      <c r="CT269" s="490"/>
      <c r="CU269" s="490"/>
      <c r="CV269" s="490"/>
      <c r="CW269" s="490"/>
      <c r="CX269" s="490"/>
      <c r="CY269" s="490"/>
      <c r="CZ269" s="491"/>
      <c r="DA269" s="516" t="s">
        <v>1645</v>
      </c>
      <c r="DB269" s="516"/>
      <c r="DC269" s="516"/>
      <c r="DD269" s="516"/>
      <c r="DE269" s="516"/>
      <c r="DF269" s="516"/>
      <c r="DG269" s="516"/>
      <c r="DH269" s="516"/>
      <c r="DI269" s="516"/>
      <c r="DJ269" s="516"/>
      <c r="DK269" s="483" t="s">
        <v>1646</v>
      </c>
      <c r="DL269" s="484"/>
      <c r="DM269" s="484"/>
      <c r="DN269" s="484"/>
      <c r="DO269" s="484"/>
      <c r="DP269" s="484"/>
      <c r="DQ269" s="484"/>
      <c r="DR269" s="485"/>
    </row>
    <row r="270" spans="2:158" ht="22.5" hidden="1" customHeight="1" x14ac:dyDescent="0.3">
      <c r="B270" s="393" t="s">
        <v>1984</v>
      </c>
      <c r="C270" s="392"/>
      <c r="D270" s="392"/>
      <c r="E270" s="392"/>
      <c r="F270" s="389"/>
      <c r="G270" s="389"/>
      <c r="H270" s="389"/>
      <c r="I270" s="389"/>
      <c r="J270" s="389"/>
      <c r="K270" s="389"/>
      <c r="L270" s="389"/>
      <c r="M270" s="391" t="s">
        <v>307</v>
      </c>
      <c r="N270" s="392"/>
      <c r="O270" s="392"/>
      <c r="P270" s="392"/>
      <c r="Q270" s="392"/>
      <c r="R270" s="392"/>
      <c r="S270" s="392"/>
      <c r="T270" s="392"/>
      <c r="U270" s="433"/>
      <c r="V270" s="433"/>
      <c r="W270" s="433"/>
      <c r="X270" s="433"/>
      <c r="Y270" s="433"/>
      <c r="Z270" s="433"/>
      <c r="AA270" s="391" t="s">
        <v>2084</v>
      </c>
      <c r="AB270" s="392"/>
      <c r="AC270" s="392"/>
      <c r="AD270" s="392"/>
      <c r="AE270" s="392"/>
      <c r="AF270" s="392"/>
      <c r="AG270" s="392"/>
      <c r="AH270" s="392"/>
      <c r="AI270" s="433"/>
      <c r="AJ270" s="433"/>
      <c r="AK270" s="433"/>
      <c r="AL270" s="433"/>
      <c r="AM270" s="433"/>
      <c r="AN270" s="434"/>
      <c r="AO270" s="391" t="s">
        <v>279</v>
      </c>
      <c r="AP270" s="392"/>
      <c r="AQ270" s="392"/>
      <c r="AR270" s="392"/>
      <c r="AS270" s="392"/>
      <c r="AT270" s="437"/>
      <c r="AU270" s="437"/>
      <c r="AV270" s="437"/>
      <c r="AW270" s="437"/>
      <c r="AX270" s="437"/>
      <c r="AY270" s="437"/>
      <c r="AZ270" s="391" t="s">
        <v>2083</v>
      </c>
      <c r="BA270" s="392"/>
      <c r="BB270" s="392"/>
      <c r="BC270" s="392"/>
      <c r="BD270" s="389"/>
      <c r="BE270" s="390"/>
      <c r="BF270" s="190"/>
      <c r="BG270" s="190"/>
      <c r="BH270" s="514">
        <v>1</v>
      </c>
      <c r="BI270" s="515"/>
      <c r="BJ270" s="498"/>
      <c r="BK270" s="499"/>
      <c r="BL270" s="499"/>
      <c r="BM270" s="499"/>
      <c r="BN270" s="499"/>
      <c r="BO270" s="499"/>
      <c r="BP270" s="499"/>
      <c r="BQ270" s="499"/>
      <c r="BR270" s="499"/>
      <c r="BS270" s="499"/>
      <c r="BT270" s="499"/>
      <c r="BU270" s="499"/>
      <c r="BV270" s="500"/>
      <c r="BW270" s="501"/>
      <c r="BX270" s="501"/>
      <c r="BY270" s="501"/>
      <c r="BZ270" s="501"/>
      <c r="CA270" s="501"/>
      <c r="CB270" s="501"/>
      <c r="CC270" s="501"/>
      <c r="CD270" s="502"/>
      <c r="CE270" s="519"/>
      <c r="CF270" s="519"/>
      <c r="CG270" s="519"/>
      <c r="CH270" s="519"/>
      <c r="CI270" s="519"/>
      <c r="CJ270" s="519"/>
      <c r="CK270" s="519"/>
      <c r="CL270" s="519"/>
      <c r="CM270" s="519"/>
      <c r="CN270" s="519"/>
      <c r="CO270" s="507"/>
      <c r="CP270" s="508"/>
      <c r="CQ270" s="508"/>
      <c r="CR270" s="508"/>
      <c r="CS270" s="508"/>
      <c r="CT270" s="508"/>
      <c r="CU270" s="508"/>
      <c r="CV270" s="508"/>
      <c r="CW270" s="508"/>
      <c r="CX270" s="508"/>
      <c r="CY270" s="508"/>
      <c r="CZ270" s="509"/>
      <c r="DA270" s="510"/>
      <c r="DB270" s="510"/>
      <c r="DC270" s="510"/>
      <c r="DD270" s="510"/>
      <c r="DE270" s="510"/>
      <c r="DF270" s="510"/>
      <c r="DG270" s="510"/>
      <c r="DH270" s="510"/>
      <c r="DI270" s="510"/>
      <c r="DJ270" s="510"/>
      <c r="DK270" s="492"/>
      <c r="DL270" s="493"/>
      <c r="DM270" s="493"/>
      <c r="DN270" s="493"/>
      <c r="DO270" s="493"/>
      <c r="DP270" s="493"/>
      <c r="DQ270" s="493"/>
      <c r="DR270" s="494"/>
    </row>
    <row r="271" spans="2:158" ht="22.5" hidden="1" customHeight="1" x14ac:dyDescent="0.3">
      <c r="B271" s="393" t="s">
        <v>2091</v>
      </c>
      <c r="C271" s="392"/>
      <c r="D271" s="392"/>
      <c r="E271" s="392"/>
      <c r="F271" s="392"/>
      <c r="G271" s="392"/>
      <c r="H271" s="392"/>
      <c r="I271" s="392"/>
      <c r="J271" s="392"/>
      <c r="K271" s="389"/>
      <c r="L271" s="389"/>
      <c r="M271" s="391" t="s">
        <v>2089</v>
      </c>
      <c r="N271" s="392"/>
      <c r="O271" s="392"/>
      <c r="P271" s="392"/>
      <c r="Q271" s="392"/>
      <c r="R271" s="392"/>
      <c r="S271" s="389"/>
      <c r="T271" s="389"/>
      <c r="U271" s="389"/>
      <c r="V271" s="389"/>
      <c r="W271" s="389"/>
      <c r="X271" s="391" t="s">
        <v>2092</v>
      </c>
      <c r="Y271" s="392"/>
      <c r="Z271" s="392"/>
      <c r="AA271" s="392"/>
      <c r="AB271" s="392"/>
      <c r="AC271" s="392"/>
      <c r="AD271" s="392"/>
      <c r="AE271" s="392"/>
      <c r="AF271" s="392"/>
      <c r="AG271" s="392"/>
      <c r="AH271" s="392"/>
      <c r="AI271" s="392"/>
      <c r="AJ271" s="392"/>
      <c r="AK271" s="392"/>
      <c r="AL271" s="392"/>
      <c r="AM271" s="392"/>
      <c r="AN271" s="392"/>
      <c r="AO271" s="392"/>
      <c r="AP271" s="392"/>
      <c r="AQ271" s="392"/>
      <c r="AR271" s="389"/>
      <c r="AS271" s="389"/>
      <c r="AT271" s="389"/>
      <c r="AU271" s="389"/>
      <c r="AV271" s="389"/>
      <c r="AW271" s="432"/>
      <c r="AX271" s="391" t="s">
        <v>796</v>
      </c>
      <c r="AY271" s="392"/>
      <c r="AZ271" s="392"/>
      <c r="BA271" s="392"/>
      <c r="BB271" s="392"/>
      <c r="BC271" s="392"/>
      <c r="BD271" s="389"/>
      <c r="BE271" s="390"/>
      <c r="BF271" s="190"/>
      <c r="BG271" s="190"/>
      <c r="BH271" s="443">
        <v>2</v>
      </c>
      <c r="BI271" s="444"/>
      <c r="BJ271" s="486"/>
      <c r="BK271" s="487"/>
      <c r="BL271" s="487"/>
      <c r="BM271" s="487"/>
      <c r="BN271" s="487"/>
      <c r="BO271" s="487"/>
      <c r="BP271" s="487"/>
      <c r="BQ271" s="487"/>
      <c r="BR271" s="487"/>
      <c r="BS271" s="487"/>
      <c r="BT271" s="487"/>
      <c r="BU271" s="487"/>
      <c r="BV271" s="500"/>
      <c r="BW271" s="501"/>
      <c r="BX271" s="501"/>
      <c r="BY271" s="501"/>
      <c r="BZ271" s="501"/>
      <c r="CA271" s="501"/>
      <c r="CB271" s="501"/>
      <c r="CC271" s="501"/>
      <c r="CD271" s="502"/>
      <c r="CE271" s="495"/>
      <c r="CF271" s="495"/>
      <c r="CG271" s="495"/>
      <c r="CH271" s="495"/>
      <c r="CI271" s="495"/>
      <c r="CJ271" s="495"/>
      <c r="CK271" s="495"/>
      <c r="CL271" s="495"/>
      <c r="CM271" s="495"/>
      <c r="CN271" s="495"/>
      <c r="CO271" s="486"/>
      <c r="CP271" s="487"/>
      <c r="CQ271" s="487"/>
      <c r="CR271" s="487"/>
      <c r="CS271" s="487"/>
      <c r="CT271" s="487"/>
      <c r="CU271" s="487"/>
      <c r="CV271" s="487"/>
      <c r="CW271" s="487"/>
      <c r="CX271" s="487"/>
      <c r="CY271" s="487"/>
      <c r="CZ271" s="488"/>
      <c r="DA271" s="495"/>
      <c r="DB271" s="495"/>
      <c r="DC271" s="495"/>
      <c r="DD271" s="495"/>
      <c r="DE271" s="495"/>
      <c r="DF271" s="495"/>
      <c r="DG271" s="495"/>
      <c r="DH271" s="495"/>
      <c r="DI271" s="495"/>
      <c r="DJ271" s="495"/>
      <c r="DK271" s="480"/>
      <c r="DL271" s="481"/>
      <c r="DM271" s="481"/>
      <c r="DN271" s="481"/>
      <c r="DO271" s="481"/>
      <c r="DP271" s="481"/>
      <c r="DQ271" s="481"/>
      <c r="DR271" s="482"/>
    </row>
    <row r="272" spans="2:158" ht="22.5" hidden="1" customHeight="1" x14ac:dyDescent="0.3">
      <c r="B272" s="393" t="s">
        <v>2978</v>
      </c>
      <c r="C272" s="392"/>
      <c r="D272" s="392"/>
      <c r="E272" s="392"/>
      <c r="F272" s="392"/>
      <c r="G272" s="392"/>
      <c r="H272" s="392"/>
      <c r="I272" s="392"/>
      <c r="J272" s="392"/>
      <c r="K272" s="389"/>
      <c r="L272" s="389"/>
      <c r="M272" s="391" t="s">
        <v>2089</v>
      </c>
      <c r="N272" s="392"/>
      <c r="O272" s="392"/>
      <c r="P272" s="392"/>
      <c r="Q272" s="392"/>
      <c r="R272" s="392"/>
      <c r="S272" s="389"/>
      <c r="T272" s="389"/>
      <c r="U272" s="389"/>
      <c r="V272" s="389"/>
      <c r="W272" s="389"/>
      <c r="X272" s="391" t="s">
        <v>2118</v>
      </c>
      <c r="Y272" s="392"/>
      <c r="Z272" s="392"/>
      <c r="AA272" s="392"/>
      <c r="AB272" s="392"/>
      <c r="AC272" s="392"/>
      <c r="AD272" s="392"/>
      <c r="AE272" s="442"/>
      <c r="AF272" s="442"/>
      <c r="AG272" s="442"/>
      <c r="AH272" s="442"/>
      <c r="AI272" s="442"/>
      <c r="AJ272" s="391" t="s">
        <v>2090</v>
      </c>
      <c r="AK272" s="392"/>
      <c r="AL272" s="392"/>
      <c r="AM272" s="392"/>
      <c r="AN272" s="392"/>
      <c r="AO272" s="392"/>
      <c r="AP272" s="392"/>
      <c r="AQ272" s="392"/>
      <c r="AR272" s="433"/>
      <c r="AS272" s="433"/>
      <c r="AT272" s="433"/>
      <c r="AU272" s="433"/>
      <c r="AV272" s="433"/>
      <c r="AW272" s="434"/>
      <c r="AX272" s="391" t="s">
        <v>2085</v>
      </c>
      <c r="AY272" s="392"/>
      <c r="AZ272" s="392"/>
      <c r="BA272" s="392"/>
      <c r="BB272" s="392"/>
      <c r="BC272" s="392"/>
      <c r="BD272" s="389"/>
      <c r="BE272" s="390"/>
      <c r="BF272" s="190"/>
      <c r="BG272" s="190"/>
      <c r="BH272" s="443">
        <v>3</v>
      </c>
      <c r="BI272" s="444"/>
      <c r="BJ272" s="486"/>
      <c r="BK272" s="487"/>
      <c r="BL272" s="487"/>
      <c r="BM272" s="487"/>
      <c r="BN272" s="487"/>
      <c r="BO272" s="487"/>
      <c r="BP272" s="487"/>
      <c r="BQ272" s="487"/>
      <c r="BR272" s="487"/>
      <c r="BS272" s="487"/>
      <c r="BT272" s="487"/>
      <c r="BU272" s="487"/>
      <c r="BV272" s="500"/>
      <c r="BW272" s="501"/>
      <c r="BX272" s="501"/>
      <c r="BY272" s="501"/>
      <c r="BZ272" s="501"/>
      <c r="CA272" s="501"/>
      <c r="CB272" s="501"/>
      <c r="CC272" s="501"/>
      <c r="CD272" s="502"/>
      <c r="CE272" s="506"/>
      <c r="CF272" s="506"/>
      <c r="CG272" s="506"/>
      <c r="CH272" s="506"/>
      <c r="CI272" s="506"/>
      <c r="CJ272" s="506"/>
      <c r="CK272" s="506"/>
      <c r="CL272" s="506"/>
      <c r="CM272" s="506"/>
      <c r="CN272" s="506"/>
      <c r="CO272" s="500"/>
      <c r="CP272" s="501"/>
      <c r="CQ272" s="501"/>
      <c r="CR272" s="501"/>
      <c r="CS272" s="501"/>
      <c r="CT272" s="501"/>
      <c r="CU272" s="501"/>
      <c r="CV272" s="501"/>
      <c r="CW272" s="501"/>
      <c r="CX272" s="501"/>
      <c r="CY272" s="501"/>
      <c r="CZ272" s="502"/>
      <c r="DA272" s="495"/>
      <c r="DB272" s="495"/>
      <c r="DC272" s="495"/>
      <c r="DD272" s="495"/>
      <c r="DE272" s="495"/>
      <c r="DF272" s="495"/>
      <c r="DG272" s="495"/>
      <c r="DH272" s="495"/>
      <c r="DI272" s="495"/>
      <c r="DJ272" s="495"/>
      <c r="DK272" s="480"/>
      <c r="DL272" s="481"/>
      <c r="DM272" s="481"/>
      <c r="DN272" s="481"/>
      <c r="DO272" s="481"/>
      <c r="DP272" s="481"/>
      <c r="DQ272" s="481"/>
      <c r="DR272" s="482"/>
    </row>
    <row r="273" spans="2:157" ht="22.5" hidden="1" customHeight="1" x14ac:dyDescent="0.3">
      <c r="B273" s="438" t="s">
        <v>2916</v>
      </c>
      <c r="C273" s="436"/>
      <c r="D273" s="436"/>
      <c r="E273" s="436"/>
      <c r="F273" s="436"/>
      <c r="G273" s="436"/>
      <c r="H273" s="436"/>
      <c r="I273" s="436"/>
      <c r="J273" s="436"/>
      <c r="K273" s="387"/>
      <c r="L273" s="387"/>
      <c r="M273" s="435" t="s">
        <v>2086</v>
      </c>
      <c r="N273" s="436"/>
      <c r="O273" s="436"/>
      <c r="P273" s="436"/>
      <c r="Q273" s="436"/>
      <c r="R273" s="436"/>
      <c r="S273" s="439"/>
      <c r="T273" s="387"/>
      <c r="U273" s="387"/>
      <c r="V273" s="387"/>
      <c r="W273" s="387"/>
      <c r="X273" s="435" t="s">
        <v>2087</v>
      </c>
      <c r="Y273" s="436"/>
      <c r="Z273" s="436"/>
      <c r="AA273" s="436"/>
      <c r="AB273" s="436"/>
      <c r="AC273" s="436"/>
      <c r="AD273" s="436"/>
      <c r="AE273" s="387"/>
      <c r="AF273" s="387"/>
      <c r="AG273" s="387"/>
      <c r="AH273" s="387"/>
      <c r="AI273" s="387"/>
      <c r="AJ273" s="435" t="s">
        <v>2088</v>
      </c>
      <c r="AK273" s="436"/>
      <c r="AL273" s="436"/>
      <c r="AM273" s="436"/>
      <c r="AN273" s="436"/>
      <c r="AO273" s="436"/>
      <c r="AP273" s="436"/>
      <c r="AQ273" s="436"/>
      <c r="AR273" s="387"/>
      <c r="AS273" s="387"/>
      <c r="AT273" s="387"/>
      <c r="AU273" s="387"/>
      <c r="AV273" s="387"/>
      <c r="AW273" s="387"/>
      <c r="AX273" s="387"/>
      <c r="AY273" s="387"/>
      <c r="AZ273" s="387"/>
      <c r="BA273" s="387"/>
      <c r="BB273" s="387"/>
      <c r="BC273" s="387"/>
      <c r="BD273" s="387"/>
      <c r="BE273" s="388"/>
      <c r="BF273" s="190"/>
      <c r="BG273" s="190"/>
      <c r="BH273" s="445">
        <v>4</v>
      </c>
      <c r="BI273" s="446"/>
      <c r="BJ273" s="496"/>
      <c r="BK273" s="461"/>
      <c r="BL273" s="461"/>
      <c r="BM273" s="461"/>
      <c r="BN273" s="461"/>
      <c r="BO273" s="461"/>
      <c r="BP273" s="461"/>
      <c r="BQ273" s="461"/>
      <c r="BR273" s="461"/>
      <c r="BS273" s="461"/>
      <c r="BT273" s="461"/>
      <c r="BU273" s="461"/>
      <c r="BV273" s="521"/>
      <c r="BW273" s="522"/>
      <c r="BX273" s="522"/>
      <c r="BY273" s="522"/>
      <c r="BZ273" s="522"/>
      <c r="CA273" s="522"/>
      <c r="CB273" s="522"/>
      <c r="CC273" s="522"/>
      <c r="CD273" s="523"/>
      <c r="CE273" s="497"/>
      <c r="CF273" s="497"/>
      <c r="CG273" s="497"/>
      <c r="CH273" s="497"/>
      <c r="CI273" s="497"/>
      <c r="CJ273" s="497"/>
      <c r="CK273" s="497"/>
      <c r="CL273" s="497"/>
      <c r="CM273" s="497"/>
      <c r="CN273" s="497"/>
      <c r="CO273" s="496"/>
      <c r="CP273" s="461"/>
      <c r="CQ273" s="461"/>
      <c r="CR273" s="461"/>
      <c r="CS273" s="461"/>
      <c r="CT273" s="461"/>
      <c r="CU273" s="461"/>
      <c r="CV273" s="461"/>
      <c r="CW273" s="461"/>
      <c r="CX273" s="461"/>
      <c r="CY273" s="461"/>
      <c r="CZ273" s="520"/>
      <c r="DA273" s="497"/>
      <c r="DB273" s="497"/>
      <c r="DC273" s="497"/>
      <c r="DD273" s="497"/>
      <c r="DE273" s="497"/>
      <c r="DF273" s="497"/>
      <c r="DG273" s="497"/>
      <c r="DH273" s="497"/>
      <c r="DI273" s="497"/>
      <c r="DJ273" s="497"/>
      <c r="DK273" s="503"/>
      <c r="DL273" s="504"/>
      <c r="DM273" s="504"/>
      <c r="DN273" s="504"/>
      <c r="DO273" s="504"/>
      <c r="DP273" s="504"/>
      <c r="DQ273" s="504"/>
      <c r="DR273" s="505"/>
    </row>
    <row r="274" spans="2:157" ht="22.5" hidden="1" customHeight="1" x14ac:dyDescent="0.3">
      <c r="B274" s="381" t="s">
        <v>278</v>
      </c>
      <c r="C274" s="382"/>
      <c r="D274" s="382"/>
      <c r="E274" s="382"/>
      <c r="F274" s="382"/>
      <c r="G274" s="382"/>
      <c r="H274" s="382"/>
      <c r="I274" s="382"/>
      <c r="J274" s="394"/>
      <c r="K274" s="394"/>
      <c r="L274" s="394"/>
      <c r="M274" s="394"/>
      <c r="N274" s="394"/>
      <c r="O274" s="394"/>
      <c r="P274" s="394"/>
      <c r="Q274" s="394"/>
      <c r="R274" s="394"/>
      <c r="S274" s="394"/>
      <c r="T274" s="394"/>
      <c r="U274" s="394"/>
      <c r="V274" s="394"/>
      <c r="W274" s="394"/>
      <c r="X274" s="394"/>
      <c r="Y274" s="394"/>
      <c r="Z274" s="394"/>
      <c r="AA274" s="394"/>
      <c r="AB274" s="394"/>
      <c r="AC274" s="394"/>
      <c r="AD274" s="394"/>
      <c r="AE274" s="394"/>
      <c r="AF274" s="394"/>
      <c r="AG274" s="394"/>
      <c r="AH274" s="394"/>
      <c r="AI274" s="394"/>
      <c r="AJ274" s="394"/>
      <c r="AK274" s="394"/>
      <c r="AL274" s="394"/>
      <c r="AM274" s="394"/>
      <c r="AN274" s="394"/>
      <c r="AO274" s="394"/>
      <c r="AP274" s="394"/>
      <c r="AQ274" s="394"/>
      <c r="AR274" s="394"/>
      <c r="AS274" s="394"/>
      <c r="AT274" s="394"/>
      <c r="AU274" s="394"/>
      <c r="AV274" s="394"/>
      <c r="AW274" s="394"/>
      <c r="AX274" s="394"/>
      <c r="AY274" s="394"/>
      <c r="AZ274" s="394"/>
      <c r="BA274" s="394"/>
      <c r="BB274" s="394"/>
      <c r="BC274" s="394"/>
      <c r="BD274" s="394"/>
      <c r="BE274" s="395"/>
      <c r="BF274" s="190"/>
      <c r="BG274" s="190"/>
      <c r="DA274" s="511" t="s">
        <v>1647</v>
      </c>
      <c r="DB274" s="512"/>
      <c r="DC274" s="512"/>
      <c r="DD274" s="512"/>
      <c r="DE274" s="512"/>
      <c r="DF274" s="512"/>
      <c r="DG274" s="512"/>
      <c r="DH274" s="512"/>
      <c r="DI274" s="512"/>
      <c r="DJ274" s="512"/>
      <c r="DK274" s="418">
        <f>SUM(DK270:DR273)</f>
        <v>0</v>
      </c>
      <c r="DL274" s="419"/>
      <c r="DM274" s="419"/>
      <c r="DN274" s="419"/>
      <c r="DO274" s="419"/>
      <c r="DP274" s="419"/>
      <c r="DQ274" s="419"/>
      <c r="DR274" s="420"/>
    </row>
    <row r="275" spans="2:157" ht="24" hidden="1" customHeight="1" x14ac:dyDescent="0.25">
      <c r="B275" s="383" t="s">
        <v>2944</v>
      </c>
      <c r="C275" s="384"/>
      <c r="D275" s="384"/>
      <c r="E275" s="384"/>
      <c r="F275" s="384"/>
      <c r="G275" s="384"/>
      <c r="H275" s="384"/>
      <c r="I275" s="384"/>
      <c r="J275" s="396"/>
      <c r="K275" s="396"/>
      <c r="L275" s="396"/>
      <c r="M275" s="396"/>
      <c r="N275" s="396"/>
      <c r="O275" s="396"/>
      <c r="P275" s="396"/>
      <c r="Q275" s="396"/>
      <c r="R275" s="396"/>
      <c r="S275" s="396"/>
      <c r="T275" s="396"/>
      <c r="U275" s="396"/>
      <c r="V275" s="396"/>
      <c r="W275" s="396"/>
      <c r="X275" s="396"/>
      <c r="Y275" s="396"/>
      <c r="Z275" s="396"/>
      <c r="AA275" s="396"/>
      <c r="AB275" s="396"/>
      <c r="AC275" s="396"/>
      <c r="AD275" s="396"/>
      <c r="AE275" s="396"/>
      <c r="AF275" s="396"/>
      <c r="AG275" s="396"/>
      <c r="AH275" s="396"/>
      <c r="AI275" s="396"/>
      <c r="AJ275" s="396"/>
      <c r="AK275" s="396"/>
      <c r="AL275" s="396"/>
      <c r="AM275" s="396"/>
      <c r="AN275" s="396"/>
      <c r="AO275" s="396"/>
      <c r="AP275" s="396"/>
      <c r="AQ275" s="396"/>
      <c r="AR275" s="396"/>
      <c r="AS275" s="396"/>
      <c r="AT275" s="396"/>
      <c r="AU275" s="396"/>
      <c r="AV275" s="396"/>
      <c r="AW275" s="396"/>
      <c r="AX275" s="396"/>
      <c r="AY275" s="396"/>
      <c r="AZ275" s="396"/>
      <c r="BA275" s="396"/>
      <c r="BB275" s="396"/>
      <c r="BC275" s="396"/>
      <c r="BD275" s="396"/>
      <c r="BE275" s="397"/>
      <c r="EG275"/>
      <c r="EH275"/>
      <c r="EI275"/>
      <c r="EJ275"/>
      <c r="EK275"/>
      <c r="EL275"/>
      <c r="EM275"/>
      <c r="EN275"/>
      <c r="EO275"/>
      <c r="EP275"/>
      <c r="EQ275"/>
      <c r="ER275"/>
      <c r="ES275"/>
      <c r="ET275"/>
      <c r="EU275"/>
      <c r="EV275"/>
      <c r="EW275"/>
      <c r="EX275"/>
      <c r="EY275"/>
      <c r="EZ275"/>
      <c r="FA275"/>
    </row>
    <row r="276" spans="2:157" ht="24" hidden="1" customHeight="1" thickBot="1" x14ac:dyDescent="0.3">
      <c r="B276" s="385"/>
      <c r="C276" s="386"/>
      <c r="D276" s="386"/>
      <c r="E276" s="386"/>
      <c r="F276" s="386"/>
      <c r="G276" s="386"/>
      <c r="H276" s="386"/>
      <c r="I276" s="386"/>
      <c r="J276" s="398"/>
      <c r="K276" s="398"/>
      <c r="L276" s="398"/>
      <c r="M276" s="398"/>
      <c r="N276" s="398"/>
      <c r="O276" s="398"/>
      <c r="P276" s="398"/>
      <c r="Q276" s="398"/>
      <c r="R276" s="398"/>
      <c r="S276" s="398"/>
      <c r="T276" s="398"/>
      <c r="U276" s="398"/>
      <c r="V276" s="398"/>
      <c r="W276" s="398"/>
      <c r="X276" s="398"/>
      <c r="Y276" s="398"/>
      <c r="Z276" s="398"/>
      <c r="AA276" s="398"/>
      <c r="AB276" s="398"/>
      <c r="AC276" s="398"/>
      <c r="AD276" s="398"/>
      <c r="AE276" s="398"/>
      <c r="AF276" s="398"/>
      <c r="AG276" s="398"/>
      <c r="AH276" s="398"/>
      <c r="AI276" s="398"/>
      <c r="AJ276" s="398"/>
      <c r="AK276" s="398"/>
      <c r="AL276" s="398"/>
      <c r="AM276" s="398"/>
      <c r="AN276" s="398"/>
      <c r="AO276" s="398"/>
      <c r="AP276" s="398"/>
      <c r="AQ276" s="398"/>
      <c r="AR276" s="398"/>
      <c r="AS276" s="398"/>
      <c r="AT276" s="398"/>
      <c r="AU276" s="398"/>
      <c r="AV276" s="398"/>
      <c r="AW276" s="398"/>
      <c r="AX276" s="398"/>
      <c r="AY276" s="398"/>
      <c r="AZ276" s="398"/>
      <c r="BA276" s="398"/>
      <c r="BB276" s="398"/>
      <c r="BC276" s="398"/>
      <c r="BD276" s="398"/>
      <c r="BE276" s="399"/>
      <c r="EG276"/>
      <c r="EH276"/>
      <c r="EI276"/>
      <c r="EJ276"/>
      <c r="EK276"/>
      <c r="EL276"/>
      <c r="EM276"/>
      <c r="EN276"/>
      <c r="EO276"/>
      <c r="EP276"/>
      <c r="EQ276"/>
      <c r="ER276"/>
      <c r="ES276"/>
      <c r="ET276"/>
      <c r="EU276"/>
      <c r="EV276"/>
      <c r="EW276"/>
      <c r="EX276"/>
      <c r="EY276"/>
      <c r="EZ276"/>
      <c r="FA276"/>
    </row>
    <row r="277" spans="2:157" ht="24" hidden="1" customHeight="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EG277"/>
      <c r="EH277"/>
      <c r="EI277"/>
      <c r="EJ277"/>
      <c r="EK277"/>
      <c r="EL277"/>
      <c r="EM277"/>
      <c r="EN277"/>
      <c r="EO277"/>
      <c r="EP277"/>
      <c r="EQ277"/>
      <c r="ER277"/>
      <c r="ES277"/>
      <c r="ET277"/>
      <c r="EU277"/>
      <c r="EV277"/>
      <c r="EW277"/>
      <c r="EX277"/>
      <c r="EY277"/>
      <c r="EZ277"/>
      <c r="FA277"/>
    </row>
    <row r="278" spans="2:157" ht="18.75" hidden="1" customHeight="1" x14ac:dyDescent="0.3">
      <c r="B278" s="190"/>
      <c r="C278" s="190"/>
      <c r="D278" s="190"/>
      <c r="E278" s="190"/>
      <c r="F278" s="190"/>
      <c r="G278" s="190"/>
      <c r="H278" s="190"/>
      <c r="I278" s="190"/>
      <c r="J278" s="190"/>
      <c r="K278" s="190"/>
      <c r="L278" s="190"/>
      <c r="M278" s="190"/>
      <c r="N278" s="190"/>
      <c r="O278" s="190"/>
      <c r="P278" s="190"/>
      <c r="Q278" s="190"/>
      <c r="R278" s="190"/>
      <c r="S278" s="190"/>
      <c r="T278" s="190"/>
      <c r="U278" s="190"/>
      <c r="V278" s="190"/>
      <c r="W278" s="190"/>
      <c r="X278" s="190"/>
      <c r="Y278" s="190"/>
      <c r="Z278" s="190"/>
      <c r="AA278" s="190"/>
      <c r="AB278" s="190"/>
      <c r="AC278" s="190"/>
      <c r="AD278" s="190"/>
      <c r="AE278" s="190"/>
      <c r="AF278" s="190"/>
      <c r="AG278" s="190"/>
      <c r="AH278" s="190"/>
      <c r="AI278" s="190"/>
      <c r="AJ278" s="190"/>
      <c r="AK278" s="190"/>
      <c r="AL278" s="190"/>
      <c r="AM278" s="190"/>
      <c r="AN278" s="190"/>
      <c r="AO278" s="190"/>
      <c r="AP278" s="190"/>
      <c r="AQ278" s="190"/>
      <c r="AR278" s="190"/>
      <c r="AS278" s="190"/>
      <c r="AT278" s="190"/>
      <c r="AU278" s="190"/>
      <c r="AV278" s="190"/>
      <c r="AW278" s="190"/>
      <c r="AX278" s="190"/>
      <c r="AY278" s="190"/>
      <c r="AZ278" s="190"/>
      <c r="BA278" s="190"/>
      <c r="BB278" s="190"/>
      <c r="BC278" s="190"/>
      <c r="BD278" s="190"/>
      <c r="BE278" s="190"/>
      <c r="BF278" s="190"/>
      <c r="BG278" s="190"/>
      <c r="EG278"/>
      <c r="EH278"/>
      <c r="EI278"/>
      <c r="EJ278"/>
      <c r="EK278"/>
      <c r="EL278"/>
      <c r="EM278"/>
      <c r="EN278"/>
      <c r="EO278"/>
      <c r="EP278"/>
      <c r="EQ278"/>
      <c r="ER278"/>
      <c r="ES278"/>
      <c r="ET278"/>
      <c r="EU278"/>
      <c r="EV278"/>
      <c r="EW278"/>
      <c r="EX278"/>
      <c r="EY278"/>
      <c r="EZ278"/>
      <c r="FA278"/>
    </row>
    <row r="279" spans="2:157" ht="22.5" hidden="1" customHeight="1" thickBot="1" x14ac:dyDescent="0.35">
      <c r="B279" s="440" t="s">
        <v>301</v>
      </c>
      <c r="C279" s="440"/>
      <c r="D279" s="440"/>
      <c r="E279" s="440"/>
      <c r="F279" s="440"/>
      <c r="G279" s="440"/>
      <c r="H279" s="440"/>
      <c r="I279" s="440"/>
      <c r="J279" s="440"/>
      <c r="K279" s="440"/>
      <c r="L279" s="440"/>
      <c r="M279" s="440"/>
      <c r="N279" s="440"/>
      <c r="O279" s="440"/>
      <c r="P279" s="440"/>
      <c r="Q279" s="440"/>
      <c r="R279" s="440"/>
      <c r="S279" s="440"/>
      <c r="T279" s="440"/>
      <c r="U279" s="440"/>
      <c r="V279" s="440"/>
      <c r="W279" s="440"/>
      <c r="X279" s="440"/>
      <c r="Y279" s="440"/>
      <c r="Z279" s="440"/>
      <c r="AA279" s="440"/>
      <c r="AB279" s="440"/>
      <c r="AC279" s="440"/>
      <c r="AD279" s="440"/>
      <c r="AE279" s="440"/>
      <c r="AF279" s="440"/>
      <c r="AG279" s="440"/>
      <c r="AH279" s="440"/>
      <c r="AI279" s="440"/>
      <c r="AJ279" s="440"/>
      <c r="AK279" s="440"/>
      <c r="AL279" s="440"/>
      <c r="AM279" s="440"/>
      <c r="AN279" s="440"/>
      <c r="AO279" s="440"/>
      <c r="AP279" s="440"/>
      <c r="AQ279" s="440"/>
      <c r="AR279" s="440"/>
      <c r="AS279" s="440"/>
      <c r="AT279" s="440"/>
      <c r="AU279" s="440"/>
      <c r="AV279" s="440"/>
      <c r="AW279" s="440"/>
      <c r="AX279" s="440"/>
      <c r="AY279" s="440"/>
      <c r="AZ279" s="440"/>
      <c r="BA279" s="440"/>
      <c r="BB279" s="440"/>
      <c r="BC279" s="440"/>
      <c r="BD279" s="440"/>
      <c r="BE279" s="440"/>
      <c r="BF279" s="187"/>
      <c r="BG279" s="187"/>
      <c r="BJ279" s="178" t="s">
        <v>1648</v>
      </c>
    </row>
    <row r="280" spans="2:157" ht="22.5" hidden="1" customHeight="1" x14ac:dyDescent="0.3">
      <c r="B280" s="454" t="s">
        <v>3221</v>
      </c>
      <c r="C280" s="401"/>
      <c r="D280" s="401"/>
      <c r="E280" s="401"/>
      <c r="F280" s="401"/>
      <c r="G280" s="401"/>
      <c r="H280" s="401"/>
      <c r="I280" s="401"/>
      <c r="J280" s="404"/>
      <c r="K280" s="404"/>
      <c r="L280" s="404"/>
      <c r="M280" s="404"/>
      <c r="N280" s="404"/>
      <c r="O280" s="404"/>
      <c r="P280" s="404"/>
      <c r="Q280" s="404"/>
      <c r="R280" s="404"/>
      <c r="S280" s="404"/>
      <c r="T280" s="404"/>
      <c r="U280" s="404"/>
      <c r="V280" s="404"/>
      <c r="W280" s="404"/>
      <c r="X280" s="405"/>
      <c r="Y280" s="400" t="s">
        <v>2074</v>
      </c>
      <c r="Z280" s="401"/>
      <c r="AA280" s="401"/>
      <c r="AB280" s="402"/>
      <c r="AC280" s="402"/>
      <c r="AD280" s="402"/>
      <c r="AE280" s="402"/>
      <c r="AF280" s="402"/>
      <c r="AG280" s="402"/>
      <c r="AH280" s="402"/>
      <c r="AI280" s="402"/>
      <c r="AJ280" s="402"/>
      <c r="AK280" s="403"/>
      <c r="AL280" s="400" t="s">
        <v>1982</v>
      </c>
      <c r="AM280" s="401"/>
      <c r="AN280" s="401"/>
      <c r="AO280" s="404"/>
      <c r="AP280" s="404"/>
      <c r="AQ280" s="404"/>
      <c r="AR280" s="404"/>
      <c r="AS280" s="404"/>
      <c r="AT280" s="404"/>
      <c r="AU280" s="405"/>
      <c r="AV280" s="400" t="s">
        <v>1983</v>
      </c>
      <c r="AW280" s="401"/>
      <c r="AX280" s="404"/>
      <c r="AY280" s="404"/>
      <c r="AZ280" s="404"/>
      <c r="BA280" s="404"/>
      <c r="BB280" s="404"/>
      <c r="BC280" s="404"/>
      <c r="BD280" s="404"/>
      <c r="BE280" s="406"/>
      <c r="BF280" s="190"/>
      <c r="BG280" s="190"/>
      <c r="BH280" s="517" t="s">
        <v>389</v>
      </c>
      <c r="BI280" s="518"/>
      <c r="BJ280" s="489" t="s">
        <v>1649</v>
      </c>
      <c r="BK280" s="490"/>
      <c r="BL280" s="490"/>
      <c r="BM280" s="490"/>
      <c r="BN280" s="490"/>
      <c r="BO280" s="490"/>
      <c r="BP280" s="490"/>
      <c r="BQ280" s="490"/>
      <c r="BR280" s="490"/>
      <c r="BS280" s="490"/>
      <c r="BT280" s="490"/>
      <c r="BU280" s="490"/>
      <c r="BV280" s="483" t="s">
        <v>1644</v>
      </c>
      <c r="BW280" s="484"/>
      <c r="BX280" s="484"/>
      <c r="BY280" s="484"/>
      <c r="BZ280" s="484"/>
      <c r="CA280" s="484"/>
      <c r="CB280" s="484"/>
      <c r="CC280" s="484"/>
      <c r="CD280" s="485"/>
      <c r="CE280" s="513" t="s">
        <v>1675</v>
      </c>
      <c r="CF280" s="513"/>
      <c r="CG280" s="513"/>
      <c r="CH280" s="513"/>
      <c r="CI280" s="513"/>
      <c r="CJ280" s="513"/>
      <c r="CK280" s="513"/>
      <c r="CL280" s="513"/>
      <c r="CM280" s="513"/>
      <c r="CN280" s="513"/>
      <c r="CO280" s="489" t="s">
        <v>1676</v>
      </c>
      <c r="CP280" s="490"/>
      <c r="CQ280" s="490"/>
      <c r="CR280" s="490"/>
      <c r="CS280" s="490"/>
      <c r="CT280" s="490"/>
      <c r="CU280" s="490"/>
      <c r="CV280" s="490"/>
      <c r="CW280" s="490"/>
      <c r="CX280" s="490"/>
      <c r="CY280" s="490"/>
      <c r="CZ280" s="491"/>
      <c r="DA280" s="516" t="s">
        <v>1645</v>
      </c>
      <c r="DB280" s="516"/>
      <c r="DC280" s="516"/>
      <c r="DD280" s="516"/>
      <c r="DE280" s="516"/>
      <c r="DF280" s="516"/>
      <c r="DG280" s="516"/>
      <c r="DH280" s="516"/>
      <c r="DI280" s="516"/>
      <c r="DJ280" s="516"/>
      <c r="DK280" s="483" t="s">
        <v>1646</v>
      </c>
      <c r="DL280" s="484"/>
      <c r="DM280" s="484"/>
      <c r="DN280" s="484"/>
      <c r="DO280" s="484"/>
      <c r="DP280" s="484"/>
      <c r="DQ280" s="484"/>
      <c r="DR280" s="485"/>
    </row>
    <row r="281" spans="2:157" ht="22.5" hidden="1" customHeight="1" x14ac:dyDescent="0.3">
      <c r="B281" s="393" t="s">
        <v>1984</v>
      </c>
      <c r="C281" s="392"/>
      <c r="D281" s="392"/>
      <c r="E281" s="392"/>
      <c r="F281" s="389"/>
      <c r="G281" s="389"/>
      <c r="H281" s="389"/>
      <c r="I281" s="389"/>
      <c r="J281" s="389"/>
      <c r="K281" s="389"/>
      <c r="L281" s="389"/>
      <c r="M281" s="391" t="s">
        <v>307</v>
      </c>
      <c r="N281" s="392"/>
      <c r="O281" s="392"/>
      <c r="P281" s="392"/>
      <c r="Q281" s="392"/>
      <c r="R281" s="392"/>
      <c r="S281" s="392"/>
      <c r="T281" s="392"/>
      <c r="U281" s="433"/>
      <c r="V281" s="433"/>
      <c r="W281" s="433"/>
      <c r="X281" s="433"/>
      <c r="Y281" s="433"/>
      <c r="Z281" s="433"/>
      <c r="AA281" s="391" t="s">
        <v>2084</v>
      </c>
      <c r="AB281" s="392"/>
      <c r="AC281" s="392"/>
      <c r="AD281" s="392"/>
      <c r="AE281" s="392"/>
      <c r="AF281" s="392"/>
      <c r="AG281" s="392"/>
      <c r="AH281" s="392"/>
      <c r="AI281" s="433"/>
      <c r="AJ281" s="433"/>
      <c r="AK281" s="433"/>
      <c r="AL281" s="433"/>
      <c r="AM281" s="433"/>
      <c r="AN281" s="434"/>
      <c r="AO281" s="391" t="s">
        <v>279</v>
      </c>
      <c r="AP281" s="392"/>
      <c r="AQ281" s="392"/>
      <c r="AR281" s="392"/>
      <c r="AS281" s="392"/>
      <c r="AT281" s="437"/>
      <c r="AU281" s="437"/>
      <c r="AV281" s="437"/>
      <c r="AW281" s="437"/>
      <c r="AX281" s="437"/>
      <c r="AY281" s="437"/>
      <c r="AZ281" s="391" t="s">
        <v>2083</v>
      </c>
      <c r="BA281" s="392"/>
      <c r="BB281" s="392"/>
      <c r="BC281" s="392"/>
      <c r="BD281" s="389"/>
      <c r="BE281" s="390"/>
      <c r="BF281" s="190"/>
      <c r="BG281" s="190"/>
      <c r="BH281" s="514">
        <v>1</v>
      </c>
      <c r="BI281" s="515"/>
      <c r="BJ281" s="498"/>
      <c r="BK281" s="499"/>
      <c r="BL281" s="499"/>
      <c r="BM281" s="499"/>
      <c r="BN281" s="499"/>
      <c r="BO281" s="499"/>
      <c r="BP281" s="499"/>
      <c r="BQ281" s="499"/>
      <c r="BR281" s="499"/>
      <c r="BS281" s="499"/>
      <c r="BT281" s="499"/>
      <c r="BU281" s="499"/>
      <c r="BV281" s="500"/>
      <c r="BW281" s="501"/>
      <c r="BX281" s="501"/>
      <c r="BY281" s="501"/>
      <c r="BZ281" s="501"/>
      <c r="CA281" s="501"/>
      <c r="CB281" s="501"/>
      <c r="CC281" s="501"/>
      <c r="CD281" s="502"/>
      <c r="CE281" s="519"/>
      <c r="CF281" s="519"/>
      <c r="CG281" s="519"/>
      <c r="CH281" s="519"/>
      <c r="CI281" s="519"/>
      <c r="CJ281" s="519"/>
      <c r="CK281" s="519"/>
      <c r="CL281" s="519"/>
      <c r="CM281" s="519"/>
      <c r="CN281" s="519"/>
      <c r="CO281" s="507"/>
      <c r="CP281" s="508"/>
      <c r="CQ281" s="508"/>
      <c r="CR281" s="508"/>
      <c r="CS281" s="508"/>
      <c r="CT281" s="508"/>
      <c r="CU281" s="508"/>
      <c r="CV281" s="508"/>
      <c r="CW281" s="508"/>
      <c r="CX281" s="508"/>
      <c r="CY281" s="508"/>
      <c r="CZ281" s="509"/>
      <c r="DA281" s="510"/>
      <c r="DB281" s="510"/>
      <c r="DC281" s="510"/>
      <c r="DD281" s="510"/>
      <c r="DE281" s="510"/>
      <c r="DF281" s="510"/>
      <c r="DG281" s="510"/>
      <c r="DH281" s="510"/>
      <c r="DI281" s="510"/>
      <c r="DJ281" s="510"/>
      <c r="DK281" s="492"/>
      <c r="DL281" s="493"/>
      <c r="DM281" s="493"/>
      <c r="DN281" s="493"/>
      <c r="DO281" s="493"/>
      <c r="DP281" s="493"/>
      <c r="DQ281" s="493"/>
      <c r="DR281" s="494"/>
    </row>
    <row r="282" spans="2:157" ht="22.5" hidden="1" customHeight="1" x14ac:dyDescent="0.3">
      <c r="B282" s="393" t="s">
        <v>2091</v>
      </c>
      <c r="C282" s="392"/>
      <c r="D282" s="392"/>
      <c r="E282" s="392"/>
      <c r="F282" s="392"/>
      <c r="G282" s="392"/>
      <c r="H282" s="392"/>
      <c r="I282" s="392"/>
      <c r="J282" s="392"/>
      <c r="K282" s="389"/>
      <c r="L282" s="389"/>
      <c r="M282" s="391" t="s">
        <v>2089</v>
      </c>
      <c r="N282" s="392"/>
      <c r="O282" s="392"/>
      <c r="P282" s="392"/>
      <c r="Q282" s="392"/>
      <c r="R282" s="392"/>
      <c r="S282" s="389"/>
      <c r="T282" s="389"/>
      <c r="U282" s="389"/>
      <c r="V282" s="389"/>
      <c r="W282" s="389"/>
      <c r="X282" s="391" t="s">
        <v>2092</v>
      </c>
      <c r="Y282" s="392"/>
      <c r="Z282" s="392"/>
      <c r="AA282" s="392"/>
      <c r="AB282" s="392"/>
      <c r="AC282" s="392"/>
      <c r="AD282" s="392"/>
      <c r="AE282" s="392"/>
      <c r="AF282" s="392"/>
      <c r="AG282" s="392"/>
      <c r="AH282" s="392"/>
      <c r="AI282" s="392"/>
      <c r="AJ282" s="392"/>
      <c r="AK282" s="392"/>
      <c r="AL282" s="392"/>
      <c r="AM282" s="392"/>
      <c r="AN282" s="392"/>
      <c r="AO282" s="392"/>
      <c r="AP282" s="392"/>
      <c r="AQ282" s="392"/>
      <c r="AR282" s="389"/>
      <c r="AS282" s="389"/>
      <c r="AT282" s="389"/>
      <c r="AU282" s="389"/>
      <c r="AV282" s="389"/>
      <c r="AW282" s="432"/>
      <c r="AX282" s="391" t="s">
        <v>796</v>
      </c>
      <c r="AY282" s="392"/>
      <c r="AZ282" s="392"/>
      <c r="BA282" s="392"/>
      <c r="BB282" s="392"/>
      <c r="BC282" s="392"/>
      <c r="BD282" s="389"/>
      <c r="BE282" s="390"/>
      <c r="BF282" s="190"/>
      <c r="BG282" s="190"/>
      <c r="BH282" s="443">
        <v>2</v>
      </c>
      <c r="BI282" s="444"/>
      <c r="BJ282" s="486"/>
      <c r="BK282" s="487"/>
      <c r="BL282" s="487"/>
      <c r="BM282" s="487"/>
      <c r="BN282" s="487"/>
      <c r="BO282" s="487"/>
      <c r="BP282" s="487"/>
      <c r="BQ282" s="487"/>
      <c r="BR282" s="487"/>
      <c r="BS282" s="487"/>
      <c r="BT282" s="487"/>
      <c r="BU282" s="487"/>
      <c r="BV282" s="500"/>
      <c r="BW282" s="501"/>
      <c r="BX282" s="501"/>
      <c r="BY282" s="501"/>
      <c r="BZ282" s="501"/>
      <c r="CA282" s="501"/>
      <c r="CB282" s="501"/>
      <c r="CC282" s="501"/>
      <c r="CD282" s="502"/>
      <c r="CE282" s="495"/>
      <c r="CF282" s="495"/>
      <c r="CG282" s="495"/>
      <c r="CH282" s="495"/>
      <c r="CI282" s="495"/>
      <c r="CJ282" s="495"/>
      <c r="CK282" s="495"/>
      <c r="CL282" s="495"/>
      <c r="CM282" s="495"/>
      <c r="CN282" s="495"/>
      <c r="CO282" s="486"/>
      <c r="CP282" s="487"/>
      <c r="CQ282" s="487"/>
      <c r="CR282" s="487"/>
      <c r="CS282" s="487"/>
      <c r="CT282" s="487"/>
      <c r="CU282" s="487"/>
      <c r="CV282" s="487"/>
      <c r="CW282" s="487"/>
      <c r="CX282" s="487"/>
      <c r="CY282" s="487"/>
      <c r="CZ282" s="488"/>
      <c r="DA282" s="495"/>
      <c r="DB282" s="495"/>
      <c r="DC282" s="495"/>
      <c r="DD282" s="495"/>
      <c r="DE282" s="495"/>
      <c r="DF282" s="495"/>
      <c r="DG282" s="495"/>
      <c r="DH282" s="495"/>
      <c r="DI282" s="495"/>
      <c r="DJ282" s="495"/>
      <c r="DK282" s="480"/>
      <c r="DL282" s="481"/>
      <c r="DM282" s="481"/>
      <c r="DN282" s="481"/>
      <c r="DO282" s="481"/>
      <c r="DP282" s="481"/>
      <c r="DQ282" s="481"/>
      <c r="DR282" s="482"/>
    </row>
    <row r="283" spans="2:157" ht="22.5" hidden="1" customHeight="1" x14ac:dyDescent="0.3">
      <c r="B283" s="393" t="s">
        <v>2978</v>
      </c>
      <c r="C283" s="392"/>
      <c r="D283" s="392"/>
      <c r="E283" s="392"/>
      <c r="F283" s="392"/>
      <c r="G283" s="392"/>
      <c r="H283" s="392"/>
      <c r="I283" s="392"/>
      <c r="J283" s="392"/>
      <c r="K283" s="389"/>
      <c r="L283" s="389"/>
      <c r="M283" s="391" t="s">
        <v>2089</v>
      </c>
      <c r="N283" s="392"/>
      <c r="O283" s="392"/>
      <c r="P283" s="392"/>
      <c r="Q283" s="392"/>
      <c r="R283" s="392"/>
      <c r="S283" s="389"/>
      <c r="T283" s="389"/>
      <c r="U283" s="389"/>
      <c r="V283" s="389"/>
      <c r="W283" s="389"/>
      <c r="X283" s="391" t="s">
        <v>2118</v>
      </c>
      <c r="Y283" s="392"/>
      <c r="Z283" s="392"/>
      <c r="AA283" s="392"/>
      <c r="AB283" s="392"/>
      <c r="AC283" s="392"/>
      <c r="AD283" s="392"/>
      <c r="AE283" s="442"/>
      <c r="AF283" s="442"/>
      <c r="AG283" s="442"/>
      <c r="AH283" s="442"/>
      <c r="AI283" s="442"/>
      <c r="AJ283" s="391" t="s">
        <v>2090</v>
      </c>
      <c r="AK283" s="392"/>
      <c r="AL283" s="392"/>
      <c r="AM283" s="392"/>
      <c r="AN283" s="392"/>
      <c r="AO283" s="392"/>
      <c r="AP283" s="392"/>
      <c r="AQ283" s="392"/>
      <c r="AR283" s="433"/>
      <c r="AS283" s="433"/>
      <c r="AT283" s="433"/>
      <c r="AU283" s="433"/>
      <c r="AV283" s="433"/>
      <c r="AW283" s="434"/>
      <c r="AX283" s="391" t="s">
        <v>2085</v>
      </c>
      <c r="AY283" s="392"/>
      <c r="AZ283" s="392"/>
      <c r="BA283" s="392"/>
      <c r="BB283" s="392"/>
      <c r="BC283" s="392"/>
      <c r="BD283" s="389"/>
      <c r="BE283" s="390"/>
      <c r="BF283" s="190"/>
      <c r="BG283" s="190"/>
      <c r="BH283" s="443">
        <v>3</v>
      </c>
      <c r="BI283" s="444"/>
      <c r="BJ283" s="486"/>
      <c r="BK283" s="487"/>
      <c r="BL283" s="487"/>
      <c r="BM283" s="487"/>
      <c r="BN283" s="487"/>
      <c r="BO283" s="487"/>
      <c r="BP283" s="487"/>
      <c r="BQ283" s="487"/>
      <c r="BR283" s="487"/>
      <c r="BS283" s="487"/>
      <c r="BT283" s="487"/>
      <c r="BU283" s="487"/>
      <c r="BV283" s="500"/>
      <c r="BW283" s="501"/>
      <c r="BX283" s="501"/>
      <c r="BY283" s="501"/>
      <c r="BZ283" s="501"/>
      <c r="CA283" s="501"/>
      <c r="CB283" s="501"/>
      <c r="CC283" s="501"/>
      <c r="CD283" s="502"/>
      <c r="CE283" s="506"/>
      <c r="CF283" s="506"/>
      <c r="CG283" s="506"/>
      <c r="CH283" s="506"/>
      <c r="CI283" s="506"/>
      <c r="CJ283" s="506"/>
      <c r="CK283" s="506"/>
      <c r="CL283" s="506"/>
      <c r="CM283" s="506"/>
      <c r="CN283" s="506"/>
      <c r="CO283" s="500"/>
      <c r="CP283" s="501"/>
      <c r="CQ283" s="501"/>
      <c r="CR283" s="501"/>
      <c r="CS283" s="501"/>
      <c r="CT283" s="501"/>
      <c r="CU283" s="501"/>
      <c r="CV283" s="501"/>
      <c r="CW283" s="501"/>
      <c r="CX283" s="501"/>
      <c r="CY283" s="501"/>
      <c r="CZ283" s="502"/>
      <c r="DA283" s="495"/>
      <c r="DB283" s="495"/>
      <c r="DC283" s="495"/>
      <c r="DD283" s="495"/>
      <c r="DE283" s="495"/>
      <c r="DF283" s="495"/>
      <c r="DG283" s="495"/>
      <c r="DH283" s="495"/>
      <c r="DI283" s="495"/>
      <c r="DJ283" s="495"/>
      <c r="DK283" s="480"/>
      <c r="DL283" s="481"/>
      <c r="DM283" s="481"/>
      <c r="DN283" s="481"/>
      <c r="DO283" s="481"/>
      <c r="DP283" s="481"/>
      <c r="DQ283" s="481"/>
      <c r="DR283" s="482"/>
    </row>
    <row r="284" spans="2:157" ht="22.5" hidden="1" customHeight="1" x14ac:dyDescent="0.3">
      <c r="B284" s="438" t="s">
        <v>2916</v>
      </c>
      <c r="C284" s="436"/>
      <c r="D284" s="436"/>
      <c r="E284" s="436"/>
      <c r="F284" s="436"/>
      <c r="G284" s="436"/>
      <c r="H284" s="436"/>
      <c r="I284" s="436"/>
      <c r="J284" s="436"/>
      <c r="K284" s="387"/>
      <c r="L284" s="387"/>
      <c r="M284" s="435" t="s">
        <v>2086</v>
      </c>
      <c r="N284" s="436"/>
      <c r="O284" s="436"/>
      <c r="P284" s="436"/>
      <c r="Q284" s="436"/>
      <c r="R284" s="436"/>
      <c r="S284" s="439"/>
      <c r="T284" s="387"/>
      <c r="U284" s="387"/>
      <c r="V284" s="387"/>
      <c r="W284" s="387"/>
      <c r="X284" s="435" t="s">
        <v>2087</v>
      </c>
      <c r="Y284" s="436"/>
      <c r="Z284" s="436"/>
      <c r="AA284" s="436"/>
      <c r="AB284" s="436"/>
      <c r="AC284" s="436"/>
      <c r="AD284" s="436"/>
      <c r="AE284" s="387"/>
      <c r="AF284" s="387"/>
      <c r="AG284" s="387"/>
      <c r="AH284" s="387"/>
      <c r="AI284" s="387"/>
      <c r="AJ284" s="435" t="s">
        <v>2088</v>
      </c>
      <c r="AK284" s="436"/>
      <c r="AL284" s="436"/>
      <c r="AM284" s="436"/>
      <c r="AN284" s="436"/>
      <c r="AO284" s="436"/>
      <c r="AP284" s="436"/>
      <c r="AQ284" s="436"/>
      <c r="AR284" s="387"/>
      <c r="AS284" s="387"/>
      <c r="AT284" s="387"/>
      <c r="AU284" s="387"/>
      <c r="AV284" s="387"/>
      <c r="AW284" s="387"/>
      <c r="AX284" s="387"/>
      <c r="AY284" s="387"/>
      <c r="AZ284" s="387"/>
      <c r="BA284" s="387"/>
      <c r="BB284" s="387"/>
      <c r="BC284" s="387"/>
      <c r="BD284" s="387"/>
      <c r="BE284" s="388"/>
      <c r="BF284" s="190"/>
      <c r="BG284" s="190"/>
      <c r="BH284" s="445">
        <v>4</v>
      </c>
      <c r="BI284" s="446"/>
      <c r="BJ284" s="496"/>
      <c r="BK284" s="461"/>
      <c r="BL284" s="461"/>
      <c r="BM284" s="461"/>
      <c r="BN284" s="461"/>
      <c r="BO284" s="461"/>
      <c r="BP284" s="461"/>
      <c r="BQ284" s="461"/>
      <c r="BR284" s="461"/>
      <c r="BS284" s="461"/>
      <c r="BT284" s="461"/>
      <c r="BU284" s="461"/>
      <c r="BV284" s="521"/>
      <c r="BW284" s="522"/>
      <c r="BX284" s="522"/>
      <c r="BY284" s="522"/>
      <c r="BZ284" s="522"/>
      <c r="CA284" s="522"/>
      <c r="CB284" s="522"/>
      <c r="CC284" s="522"/>
      <c r="CD284" s="523"/>
      <c r="CE284" s="497"/>
      <c r="CF284" s="497"/>
      <c r="CG284" s="497"/>
      <c r="CH284" s="497"/>
      <c r="CI284" s="497"/>
      <c r="CJ284" s="497"/>
      <c r="CK284" s="497"/>
      <c r="CL284" s="497"/>
      <c r="CM284" s="497"/>
      <c r="CN284" s="497"/>
      <c r="CO284" s="496"/>
      <c r="CP284" s="461"/>
      <c r="CQ284" s="461"/>
      <c r="CR284" s="461"/>
      <c r="CS284" s="461"/>
      <c r="CT284" s="461"/>
      <c r="CU284" s="461"/>
      <c r="CV284" s="461"/>
      <c r="CW284" s="461"/>
      <c r="CX284" s="461"/>
      <c r="CY284" s="461"/>
      <c r="CZ284" s="520"/>
      <c r="DA284" s="497"/>
      <c r="DB284" s="497"/>
      <c r="DC284" s="497"/>
      <c r="DD284" s="497"/>
      <c r="DE284" s="497"/>
      <c r="DF284" s="497"/>
      <c r="DG284" s="497"/>
      <c r="DH284" s="497"/>
      <c r="DI284" s="497"/>
      <c r="DJ284" s="497"/>
      <c r="DK284" s="503"/>
      <c r="DL284" s="504"/>
      <c r="DM284" s="504"/>
      <c r="DN284" s="504"/>
      <c r="DO284" s="504"/>
      <c r="DP284" s="504"/>
      <c r="DQ284" s="504"/>
      <c r="DR284" s="505"/>
    </row>
    <row r="285" spans="2:157" ht="22.5" hidden="1" customHeight="1" x14ac:dyDescent="0.3">
      <c r="B285" s="381" t="s">
        <v>278</v>
      </c>
      <c r="C285" s="382"/>
      <c r="D285" s="382"/>
      <c r="E285" s="382"/>
      <c r="F285" s="382"/>
      <c r="G285" s="382"/>
      <c r="H285" s="382"/>
      <c r="I285" s="382"/>
      <c r="J285" s="394"/>
      <c r="K285" s="394"/>
      <c r="L285" s="394"/>
      <c r="M285" s="394"/>
      <c r="N285" s="394"/>
      <c r="O285" s="394"/>
      <c r="P285" s="394"/>
      <c r="Q285" s="394"/>
      <c r="R285" s="394"/>
      <c r="S285" s="394"/>
      <c r="T285" s="394"/>
      <c r="U285" s="394"/>
      <c r="V285" s="394"/>
      <c r="W285" s="394"/>
      <c r="X285" s="394"/>
      <c r="Y285" s="394"/>
      <c r="Z285" s="394"/>
      <c r="AA285" s="394"/>
      <c r="AB285" s="394"/>
      <c r="AC285" s="394"/>
      <c r="AD285" s="394"/>
      <c r="AE285" s="394"/>
      <c r="AF285" s="394"/>
      <c r="AG285" s="394"/>
      <c r="AH285" s="394"/>
      <c r="AI285" s="394"/>
      <c r="AJ285" s="394"/>
      <c r="AK285" s="394"/>
      <c r="AL285" s="394"/>
      <c r="AM285" s="394"/>
      <c r="AN285" s="394"/>
      <c r="AO285" s="394"/>
      <c r="AP285" s="394"/>
      <c r="AQ285" s="394"/>
      <c r="AR285" s="394"/>
      <c r="AS285" s="394"/>
      <c r="AT285" s="394"/>
      <c r="AU285" s="394"/>
      <c r="AV285" s="394"/>
      <c r="AW285" s="394"/>
      <c r="AX285" s="394"/>
      <c r="AY285" s="394"/>
      <c r="AZ285" s="394"/>
      <c r="BA285" s="394"/>
      <c r="BB285" s="394"/>
      <c r="BC285" s="394"/>
      <c r="BD285" s="394"/>
      <c r="BE285" s="395"/>
      <c r="BF285" s="190"/>
      <c r="DA285" s="511" t="s">
        <v>1647</v>
      </c>
      <c r="DB285" s="512"/>
      <c r="DC285" s="512"/>
      <c r="DD285" s="512"/>
      <c r="DE285" s="512"/>
      <c r="DF285" s="512"/>
      <c r="DG285" s="512"/>
      <c r="DH285" s="512"/>
      <c r="DI285" s="512"/>
      <c r="DJ285" s="512"/>
      <c r="DK285" s="418">
        <f>SUM(DK281:DR284)</f>
        <v>0</v>
      </c>
      <c r="DL285" s="419"/>
      <c r="DM285" s="419"/>
      <c r="DN285" s="419"/>
      <c r="DO285" s="419"/>
      <c r="DP285" s="419"/>
      <c r="DQ285" s="419"/>
      <c r="DR285" s="420"/>
    </row>
    <row r="286" spans="2:157" ht="24" hidden="1" customHeight="1" x14ac:dyDescent="0.25">
      <c r="B286" s="383" t="s">
        <v>2944</v>
      </c>
      <c r="C286" s="384"/>
      <c r="D286" s="384"/>
      <c r="E286" s="384"/>
      <c r="F286" s="384"/>
      <c r="G286" s="384"/>
      <c r="H286" s="384"/>
      <c r="I286" s="384"/>
      <c r="J286" s="396"/>
      <c r="K286" s="396"/>
      <c r="L286" s="396"/>
      <c r="M286" s="396"/>
      <c r="N286" s="396"/>
      <c r="O286" s="396"/>
      <c r="P286" s="396"/>
      <c r="Q286" s="396"/>
      <c r="R286" s="396"/>
      <c r="S286" s="396"/>
      <c r="T286" s="396"/>
      <c r="U286" s="396"/>
      <c r="V286" s="396"/>
      <c r="W286" s="396"/>
      <c r="X286" s="396"/>
      <c r="Y286" s="396"/>
      <c r="Z286" s="396"/>
      <c r="AA286" s="396"/>
      <c r="AB286" s="396"/>
      <c r="AC286" s="396"/>
      <c r="AD286" s="396"/>
      <c r="AE286" s="396"/>
      <c r="AF286" s="396"/>
      <c r="AG286" s="396"/>
      <c r="AH286" s="396"/>
      <c r="AI286" s="396"/>
      <c r="AJ286" s="396"/>
      <c r="AK286" s="396"/>
      <c r="AL286" s="396"/>
      <c r="AM286" s="396"/>
      <c r="AN286" s="396"/>
      <c r="AO286" s="396"/>
      <c r="AP286" s="396"/>
      <c r="AQ286" s="396"/>
      <c r="AR286" s="396"/>
      <c r="AS286" s="396"/>
      <c r="AT286" s="396"/>
      <c r="AU286" s="396"/>
      <c r="AV286" s="396"/>
      <c r="AW286" s="396"/>
      <c r="AX286" s="396"/>
      <c r="AY286" s="396"/>
      <c r="AZ286" s="396"/>
      <c r="BA286" s="396"/>
      <c r="BB286" s="396"/>
      <c r="BC286" s="396"/>
      <c r="BD286" s="396"/>
      <c r="BE286" s="397"/>
      <c r="EG286"/>
      <c r="EH286"/>
      <c r="EI286"/>
      <c r="EJ286"/>
      <c r="EK286"/>
      <c r="EL286"/>
      <c r="EM286"/>
      <c r="EN286"/>
      <c r="EO286"/>
      <c r="EP286"/>
      <c r="EQ286"/>
      <c r="ER286"/>
      <c r="ES286"/>
      <c r="ET286"/>
      <c r="EU286"/>
      <c r="EV286"/>
      <c r="EW286"/>
      <c r="EX286"/>
      <c r="EY286"/>
      <c r="EZ286"/>
      <c r="FA286"/>
    </row>
    <row r="287" spans="2:157" ht="24" hidden="1" customHeight="1" thickBot="1" x14ac:dyDescent="0.3">
      <c r="B287" s="385"/>
      <c r="C287" s="386"/>
      <c r="D287" s="386"/>
      <c r="E287" s="386"/>
      <c r="F287" s="386"/>
      <c r="G287" s="386"/>
      <c r="H287" s="386"/>
      <c r="I287" s="386"/>
      <c r="J287" s="398"/>
      <c r="K287" s="398"/>
      <c r="L287" s="398"/>
      <c r="M287" s="398"/>
      <c r="N287" s="398"/>
      <c r="O287" s="398"/>
      <c r="P287" s="398"/>
      <c r="Q287" s="398"/>
      <c r="R287" s="398"/>
      <c r="S287" s="398"/>
      <c r="T287" s="398"/>
      <c r="U287" s="398"/>
      <c r="V287" s="398"/>
      <c r="W287" s="398"/>
      <c r="X287" s="398"/>
      <c r="Y287" s="398"/>
      <c r="Z287" s="398"/>
      <c r="AA287" s="398"/>
      <c r="AB287" s="398"/>
      <c r="AC287" s="398"/>
      <c r="AD287" s="398"/>
      <c r="AE287" s="398"/>
      <c r="AF287" s="398"/>
      <c r="AG287" s="398"/>
      <c r="AH287" s="398"/>
      <c r="AI287" s="398"/>
      <c r="AJ287" s="398"/>
      <c r="AK287" s="398"/>
      <c r="AL287" s="398"/>
      <c r="AM287" s="398"/>
      <c r="AN287" s="398"/>
      <c r="AO287" s="398"/>
      <c r="AP287" s="398"/>
      <c r="AQ287" s="398"/>
      <c r="AR287" s="398"/>
      <c r="AS287" s="398"/>
      <c r="AT287" s="398"/>
      <c r="AU287" s="398"/>
      <c r="AV287" s="398"/>
      <c r="AW287" s="398"/>
      <c r="AX287" s="398"/>
      <c r="AY287" s="398"/>
      <c r="AZ287" s="398"/>
      <c r="BA287" s="398"/>
      <c r="BB287" s="398"/>
      <c r="BC287" s="398"/>
      <c r="BD287" s="398"/>
      <c r="BE287" s="399"/>
      <c r="EG287"/>
      <c r="EH287"/>
      <c r="EI287"/>
      <c r="EJ287"/>
      <c r="EK287"/>
      <c r="EL287"/>
      <c r="EM287"/>
      <c r="EN287"/>
      <c r="EO287"/>
      <c r="EP287"/>
      <c r="EQ287"/>
      <c r="ER287"/>
      <c r="ES287"/>
      <c r="ET287"/>
      <c r="EU287"/>
      <c r="EV287"/>
      <c r="EW287"/>
      <c r="EX287"/>
      <c r="EY287"/>
      <c r="EZ287"/>
      <c r="FA287"/>
    </row>
    <row r="288" spans="2:157" ht="24" hidden="1" customHeight="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EG288"/>
      <c r="EH288"/>
      <c r="EI288"/>
      <c r="EJ288"/>
      <c r="EK288"/>
      <c r="EL288"/>
      <c r="EM288"/>
      <c r="EN288"/>
      <c r="EO288"/>
      <c r="EP288"/>
      <c r="EQ288"/>
      <c r="ER288"/>
      <c r="ES288"/>
      <c r="ET288"/>
      <c r="EU288"/>
      <c r="EV288"/>
      <c r="EW288"/>
      <c r="EX288"/>
      <c r="EY288"/>
      <c r="EZ288"/>
      <c r="FA288"/>
    </row>
    <row r="289" spans="2:157" ht="18.75" hidden="1" customHeight="1" x14ac:dyDescent="0.3">
      <c r="B289" s="190"/>
      <c r="C289" s="190"/>
      <c r="D289" s="190"/>
      <c r="E289" s="190"/>
      <c r="F289" s="190"/>
      <c r="G289" s="190"/>
      <c r="H289" s="190"/>
      <c r="I289" s="190"/>
      <c r="J289" s="190"/>
      <c r="K289" s="190"/>
      <c r="L289" s="190"/>
      <c r="M289" s="190"/>
      <c r="N289" s="190"/>
      <c r="O289" s="190"/>
      <c r="P289" s="190"/>
      <c r="Q289" s="190"/>
      <c r="R289" s="190"/>
      <c r="S289" s="190"/>
      <c r="T289" s="190"/>
      <c r="U289" s="190"/>
      <c r="V289" s="190"/>
      <c r="W289" s="190"/>
      <c r="X289" s="190"/>
      <c r="Y289" s="190"/>
      <c r="Z289" s="190"/>
      <c r="AA289" s="190"/>
      <c r="AB289" s="190"/>
      <c r="AC289" s="190"/>
      <c r="AD289" s="190"/>
      <c r="AE289" s="190"/>
      <c r="AF289" s="190"/>
      <c r="AG289" s="190"/>
      <c r="AH289" s="190"/>
      <c r="AI289" s="190"/>
      <c r="AJ289" s="190"/>
      <c r="AK289" s="190"/>
      <c r="AL289" s="190"/>
      <c r="AM289" s="190"/>
      <c r="AN289" s="190"/>
      <c r="AO289" s="190"/>
      <c r="AP289" s="190"/>
      <c r="AQ289" s="190"/>
      <c r="AR289" s="190"/>
      <c r="AS289" s="190"/>
      <c r="AT289" s="190"/>
      <c r="AU289" s="190"/>
      <c r="AV289" s="190"/>
      <c r="AW289" s="190"/>
      <c r="AX289" s="190"/>
      <c r="AY289" s="190"/>
      <c r="AZ289" s="190"/>
      <c r="BA289" s="190"/>
      <c r="BB289" s="190"/>
      <c r="BC289" s="190"/>
      <c r="BD289" s="190"/>
      <c r="BE289" s="190"/>
      <c r="BF289" s="190"/>
      <c r="EG289"/>
      <c r="EH289"/>
      <c r="EI289"/>
      <c r="EJ289"/>
      <c r="EK289"/>
      <c r="EL289"/>
      <c r="EM289"/>
      <c r="EN289"/>
      <c r="EO289"/>
      <c r="EP289"/>
      <c r="EQ289"/>
      <c r="ER289"/>
      <c r="ES289"/>
      <c r="ET289"/>
      <c r="EU289"/>
      <c r="EV289"/>
      <c r="EW289"/>
      <c r="EX289"/>
      <c r="EY289"/>
      <c r="EZ289"/>
      <c r="FA289"/>
    </row>
    <row r="290" spans="2:157" ht="22.5" hidden="1" customHeight="1" thickBot="1" x14ac:dyDescent="0.35">
      <c r="B290" s="440" t="s">
        <v>302</v>
      </c>
      <c r="C290" s="440"/>
      <c r="D290" s="440"/>
      <c r="E290" s="440"/>
      <c r="F290" s="440"/>
      <c r="G290" s="440"/>
      <c r="H290" s="440"/>
      <c r="I290" s="440"/>
      <c r="J290" s="440"/>
      <c r="K290" s="440"/>
      <c r="L290" s="440"/>
      <c r="M290" s="440"/>
      <c r="N290" s="440"/>
      <c r="O290" s="440"/>
      <c r="P290" s="440"/>
      <c r="Q290" s="440"/>
      <c r="R290" s="440"/>
      <c r="S290" s="440"/>
      <c r="T290" s="440"/>
      <c r="U290" s="440"/>
      <c r="V290" s="440"/>
      <c r="W290" s="440"/>
      <c r="X290" s="440"/>
      <c r="Y290" s="440"/>
      <c r="Z290" s="440"/>
      <c r="AA290" s="440"/>
      <c r="AB290" s="440"/>
      <c r="AC290" s="440"/>
      <c r="AD290" s="440"/>
      <c r="AE290" s="440"/>
      <c r="AF290" s="440"/>
      <c r="AG290" s="440"/>
      <c r="AH290" s="440"/>
      <c r="AI290" s="440"/>
      <c r="AJ290" s="440"/>
      <c r="AK290" s="440"/>
      <c r="AL290" s="440"/>
      <c r="AM290" s="440"/>
      <c r="AN290" s="440"/>
      <c r="AO290" s="440"/>
      <c r="AP290" s="440"/>
      <c r="AQ290" s="440"/>
      <c r="AR290" s="440"/>
      <c r="AS290" s="440"/>
      <c r="AT290" s="440"/>
      <c r="AU290" s="440"/>
      <c r="AV290" s="440"/>
      <c r="AW290" s="440"/>
      <c r="AX290" s="440"/>
      <c r="AY290" s="440"/>
      <c r="AZ290" s="440"/>
      <c r="BA290" s="440"/>
      <c r="BB290" s="440"/>
      <c r="BC290" s="440"/>
      <c r="BD290" s="440"/>
      <c r="BE290" s="440"/>
      <c r="BF290" s="187"/>
      <c r="BG290" s="187"/>
      <c r="BJ290" s="178" t="s">
        <v>1648</v>
      </c>
    </row>
    <row r="291" spans="2:157" ht="22.5" hidden="1" customHeight="1" x14ac:dyDescent="0.3">
      <c r="B291" s="454" t="s">
        <v>3221</v>
      </c>
      <c r="C291" s="401"/>
      <c r="D291" s="401"/>
      <c r="E291" s="401"/>
      <c r="F291" s="401"/>
      <c r="G291" s="401"/>
      <c r="H291" s="401"/>
      <c r="I291" s="401"/>
      <c r="J291" s="404"/>
      <c r="K291" s="404"/>
      <c r="L291" s="404"/>
      <c r="M291" s="404"/>
      <c r="N291" s="404"/>
      <c r="O291" s="404"/>
      <c r="P291" s="404"/>
      <c r="Q291" s="404"/>
      <c r="R291" s="404"/>
      <c r="S291" s="404"/>
      <c r="T291" s="404"/>
      <c r="U291" s="404"/>
      <c r="V291" s="404"/>
      <c r="W291" s="404"/>
      <c r="X291" s="405"/>
      <c r="Y291" s="400" t="s">
        <v>2074</v>
      </c>
      <c r="Z291" s="401"/>
      <c r="AA291" s="401"/>
      <c r="AB291" s="402"/>
      <c r="AC291" s="402"/>
      <c r="AD291" s="402"/>
      <c r="AE291" s="402"/>
      <c r="AF291" s="402"/>
      <c r="AG291" s="402"/>
      <c r="AH291" s="402"/>
      <c r="AI291" s="402"/>
      <c r="AJ291" s="402"/>
      <c r="AK291" s="403"/>
      <c r="AL291" s="400" t="s">
        <v>1982</v>
      </c>
      <c r="AM291" s="401"/>
      <c r="AN291" s="401"/>
      <c r="AO291" s="404"/>
      <c r="AP291" s="404"/>
      <c r="AQ291" s="404"/>
      <c r="AR291" s="404"/>
      <c r="AS291" s="404"/>
      <c r="AT291" s="404"/>
      <c r="AU291" s="405"/>
      <c r="AV291" s="400" t="s">
        <v>1983</v>
      </c>
      <c r="AW291" s="401"/>
      <c r="AX291" s="404"/>
      <c r="AY291" s="404"/>
      <c r="AZ291" s="404"/>
      <c r="BA291" s="404"/>
      <c r="BB291" s="404"/>
      <c r="BC291" s="404"/>
      <c r="BD291" s="404"/>
      <c r="BE291" s="406"/>
      <c r="BF291" s="190"/>
      <c r="BG291" s="190"/>
      <c r="BH291" s="517" t="s">
        <v>389</v>
      </c>
      <c r="BI291" s="518"/>
      <c r="BJ291" s="489" t="s">
        <v>1649</v>
      </c>
      <c r="BK291" s="490"/>
      <c r="BL291" s="490"/>
      <c r="BM291" s="490"/>
      <c r="BN291" s="490"/>
      <c r="BO291" s="490"/>
      <c r="BP291" s="490"/>
      <c r="BQ291" s="490"/>
      <c r="BR291" s="490"/>
      <c r="BS291" s="490"/>
      <c r="BT291" s="490"/>
      <c r="BU291" s="490"/>
      <c r="BV291" s="483" t="s">
        <v>1644</v>
      </c>
      <c r="BW291" s="484"/>
      <c r="BX291" s="484"/>
      <c r="BY291" s="484"/>
      <c r="BZ291" s="484"/>
      <c r="CA291" s="484"/>
      <c r="CB291" s="484"/>
      <c r="CC291" s="484"/>
      <c r="CD291" s="485"/>
      <c r="CE291" s="513" t="s">
        <v>1675</v>
      </c>
      <c r="CF291" s="513"/>
      <c r="CG291" s="513"/>
      <c r="CH291" s="513"/>
      <c r="CI291" s="513"/>
      <c r="CJ291" s="513"/>
      <c r="CK291" s="513"/>
      <c r="CL291" s="513"/>
      <c r="CM291" s="513"/>
      <c r="CN291" s="513"/>
      <c r="CO291" s="489" t="s">
        <v>1676</v>
      </c>
      <c r="CP291" s="490"/>
      <c r="CQ291" s="490"/>
      <c r="CR291" s="490"/>
      <c r="CS291" s="490"/>
      <c r="CT291" s="490"/>
      <c r="CU291" s="490"/>
      <c r="CV291" s="490"/>
      <c r="CW291" s="490"/>
      <c r="CX291" s="490"/>
      <c r="CY291" s="490"/>
      <c r="CZ291" s="491"/>
      <c r="DA291" s="516" t="s">
        <v>1645</v>
      </c>
      <c r="DB291" s="516"/>
      <c r="DC291" s="516"/>
      <c r="DD291" s="516"/>
      <c r="DE291" s="516"/>
      <c r="DF291" s="516"/>
      <c r="DG291" s="516"/>
      <c r="DH291" s="516"/>
      <c r="DI291" s="516"/>
      <c r="DJ291" s="516"/>
      <c r="DK291" s="483" t="s">
        <v>1646</v>
      </c>
      <c r="DL291" s="484"/>
      <c r="DM291" s="484"/>
      <c r="DN291" s="484"/>
      <c r="DO291" s="484"/>
      <c r="DP291" s="484"/>
      <c r="DQ291" s="484"/>
      <c r="DR291" s="485"/>
    </row>
    <row r="292" spans="2:157" ht="22.5" hidden="1" customHeight="1" x14ac:dyDescent="0.3">
      <c r="B292" s="393" t="s">
        <v>1984</v>
      </c>
      <c r="C292" s="392"/>
      <c r="D292" s="392"/>
      <c r="E292" s="392"/>
      <c r="F292" s="389"/>
      <c r="G292" s="389"/>
      <c r="H292" s="389"/>
      <c r="I292" s="389"/>
      <c r="J292" s="389"/>
      <c r="K292" s="389"/>
      <c r="L292" s="389"/>
      <c r="M292" s="391" t="s">
        <v>307</v>
      </c>
      <c r="N292" s="392"/>
      <c r="O292" s="392"/>
      <c r="P292" s="392"/>
      <c r="Q292" s="392"/>
      <c r="R292" s="392"/>
      <c r="S292" s="392"/>
      <c r="T292" s="392"/>
      <c r="U292" s="433"/>
      <c r="V292" s="433"/>
      <c r="W292" s="433"/>
      <c r="X292" s="433"/>
      <c r="Y292" s="433"/>
      <c r="Z292" s="433"/>
      <c r="AA292" s="391" t="s">
        <v>2084</v>
      </c>
      <c r="AB292" s="392"/>
      <c r="AC292" s="392"/>
      <c r="AD292" s="392"/>
      <c r="AE292" s="392"/>
      <c r="AF292" s="392"/>
      <c r="AG292" s="392"/>
      <c r="AH292" s="392"/>
      <c r="AI292" s="433"/>
      <c r="AJ292" s="433"/>
      <c r="AK292" s="433"/>
      <c r="AL292" s="433"/>
      <c r="AM292" s="433"/>
      <c r="AN292" s="434"/>
      <c r="AO292" s="391" t="s">
        <v>279</v>
      </c>
      <c r="AP292" s="392"/>
      <c r="AQ292" s="392"/>
      <c r="AR292" s="392"/>
      <c r="AS292" s="392"/>
      <c r="AT292" s="437"/>
      <c r="AU292" s="437"/>
      <c r="AV292" s="437"/>
      <c r="AW292" s="437"/>
      <c r="AX292" s="437"/>
      <c r="AY292" s="437"/>
      <c r="AZ292" s="391" t="s">
        <v>2083</v>
      </c>
      <c r="BA292" s="392"/>
      <c r="BB292" s="392"/>
      <c r="BC292" s="392"/>
      <c r="BD292" s="389"/>
      <c r="BE292" s="390"/>
      <c r="BF292" s="190"/>
      <c r="BG292" s="190"/>
      <c r="BH292" s="514">
        <v>1</v>
      </c>
      <c r="BI292" s="515"/>
      <c r="BJ292" s="498"/>
      <c r="BK292" s="499"/>
      <c r="BL292" s="499"/>
      <c r="BM292" s="499"/>
      <c r="BN292" s="499"/>
      <c r="BO292" s="499"/>
      <c r="BP292" s="499"/>
      <c r="BQ292" s="499"/>
      <c r="BR292" s="499"/>
      <c r="BS292" s="499"/>
      <c r="BT292" s="499"/>
      <c r="BU292" s="499"/>
      <c r="BV292" s="500"/>
      <c r="BW292" s="501"/>
      <c r="BX292" s="501"/>
      <c r="BY292" s="501"/>
      <c r="BZ292" s="501"/>
      <c r="CA292" s="501"/>
      <c r="CB292" s="501"/>
      <c r="CC292" s="501"/>
      <c r="CD292" s="502"/>
      <c r="CE292" s="519"/>
      <c r="CF292" s="519"/>
      <c r="CG292" s="519"/>
      <c r="CH292" s="519"/>
      <c r="CI292" s="519"/>
      <c r="CJ292" s="519"/>
      <c r="CK292" s="519"/>
      <c r="CL292" s="519"/>
      <c r="CM292" s="519"/>
      <c r="CN292" s="519"/>
      <c r="CO292" s="507"/>
      <c r="CP292" s="508"/>
      <c r="CQ292" s="508"/>
      <c r="CR292" s="508"/>
      <c r="CS292" s="508"/>
      <c r="CT292" s="508"/>
      <c r="CU292" s="508"/>
      <c r="CV292" s="508"/>
      <c r="CW292" s="508"/>
      <c r="CX292" s="508"/>
      <c r="CY292" s="508"/>
      <c r="CZ292" s="509"/>
      <c r="DA292" s="510"/>
      <c r="DB292" s="510"/>
      <c r="DC292" s="510"/>
      <c r="DD292" s="510"/>
      <c r="DE292" s="510"/>
      <c r="DF292" s="510"/>
      <c r="DG292" s="510"/>
      <c r="DH292" s="510"/>
      <c r="DI292" s="510"/>
      <c r="DJ292" s="510"/>
      <c r="DK292" s="492"/>
      <c r="DL292" s="493"/>
      <c r="DM292" s="493"/>
      <c r="DN292" s="493"/>
      <c r="DO292" s="493"/>
      <c r="DP292" s="493"/>
      <c r="DQ292" s="493"/>
      <c r="DR292" s="494"/>
    </row>
    <row r="293" spans="2:157" ht="22.5" hidden="1" customHeight="1" x14ac:dyDescent="0.3">
      <c r="B293" s="393" t="s">
        <v>2091</v>
      </c>
      <c r="C293" s="392"/>
      <c r="D293" s="392"/>
      <c r="E293" s="392"/>
      <c r="F293" s="392"/>
      <c r="G293" s="392"/>
      <c r="H293" s="392"/>
      <c r="I293" s="392"/>
      <c r="J293" s="392"/>
      <c r="K293" s="389"/>
      <c r="L293" s="389"/>
      <c r="M293" s="391" t="s">
        <v>2089</v>
      </c>
      <c r="N293" s="392"/>
      <c r="O293" s="392"/>
      <c r="P293" s="392"/>
      <c r="Q293" s="392"/>
      <c r="R293" s="392"/>
      <c r="S293" s="389"/>
      <c r="T293" s="389"/>
      <c r="U293" s="389"/>
      <c r="V293" s="389"/>
      <c r="W293" s="389"/>
      <c r="X293" s="391" t="s">
        <v>2092</v>
      </c>
      <c r="Y293" s="392"/>
      <c r="Z293" s="392"/>
      <c r="AA293" s="392"/>
      <c r="AB293" s="392"/>
      <c r="AC293" s="392"/>
      <c r="AD293" s="392"/>
      <c r="AE293" s="392"/>
      <c r="AF293" s="392"/>
      <c r="AG293" s="392"/>
      <c r="AH293" s="392"/>
      <c r="AI293" s="392"/>
      <c r="AJ293" s="392"/>
      <c r="AK293" s="392"/>
      <c r="AL293" s="392"/>
      <c r="AM293" s="392"/>
      <c r="AN293" s="392"/>
      <c r="AO293" s="392"/>
      <c r="AP293" s="392"/>
      <c r="AQ293" s="392"/>
      <c r="AR293" s="389"/>
      <c r="AS293" s="389"/>
      <c r="AT293" s="389"/>
      <c r="AU293" s="389"/>
      <c r="AV293" s="389"/>
      <c r="AW293" s="432"/>
      <c r="AX293" s="391" t="s">
        <v>796</v>
      </c>
      <c r="AY293" s="392"/>
      <c r="AZ293" s="392"/>
      <c r="BA293" s="392"/>
      <c r="BB293" s="392"/>
      <c r="BC293" s="392"/>
      <c r="BD293" s="389"/>
      <c r="BE293" s="390"/>
      <c r="BF293" s="190"/>
      <c r="BG293" s="190"/>
      <c r="BH293" s="443">
        <v>2</v>
      </c>
      <c r="BI293" s="444"/>
      <c r="BJ293" s="486"/>
      <c r="BK293" s="487"/>
      <c r="BL293" s="487"/>
      <c r="BM293" s="487"/>
      <c r="BN293" s="487"/>
      <c r="BO293" s="487"/>
      <c r="BP293" s="487"/>
      <c r="BQ293" s="487"/>
      <c r="BR293" s="487"/>
      <c r="BS293" s="487"/>
      <c r="BT293" s="487"/>
      <c r="BU293" s="487"/>
      <c r="BV293" s="500"/>
      <c r="BW293" s="501"/>
      <c r="BX293" s="501"/>
      <c r="BY293" s="501"/>
      <c r="BZ293" s="501"/>
      <c r="CA293" s="501"/>
      <c r="CB293" s="501"/>
      <c r="CC293" s="501"/>
      <c r="CD293" s="502"/>
      <c r="CE293" s="495"/>
      <c r="CF293" s="495"/>
      <c r="CG293" s="495"/>
      <c r="CH293" s="495"/>
      <c r="CI293" s="495"/>
      <c r="CJ293" s="495"/>
      <c r="CK293" s="495"/>
      <c r="CL293" s="495"/>
      <c r="CM293" s="495"/>
      <c r="CN293" s="495"/>
      <c r="CO293" s="486"/>
      <c r="CP293" s="487"/>
      <c r="CQ293" s="487"/>
      <c r="CR293" s="487"/>
      <c r="CS293" s="487"/>
      <c r="CT293" s="487"/>
      <c r="CU293" s="487"/>
      <c r="CV293" s="487"/>
      <c r="CW293" s="487"/>
      <c r="CX293" s="487"/>
      <c r="CY293" s="487"/>
      <c r="CZ293" s="488"/>
      <c r="DA293" s="495"/>
      <c r="DB293" s="495"/>
      <c r="DC293" s="495"/>
      <c r="DD293" s="495"/>
      <c r="DE293" s="495"/>
      <c r="DF293" s="495"/>
      <c r="DG293" s="495"/>
      <c r="DH293" s="495"/>
      <c r="DI293" s="495"/>
      <c r="DJ293" s="495"/>
      <c r="DK293" s="480"/>
      <c r="DL293" s="481"/>
      <c r="DM293" s="481"/>
      <c r="DN293" s="481"/>
      <c r="DO293" s="481"/>
      <c r="DP293" s="481"/>
      <c r="DQ293" s="481"/>
      <c r="DR293" s="482"/>
    </row>
    <row r="294" spans="2:157" ht="22.5" hidden="1" customHeight="1" x14ac:dyDescent="0.3">
      <c r="B294" s="393" t="s">
        <v>2978</v>
      </c>
      <c r="C294" s="392"/>
      <c r="D294" s="392"/>
      <c r="E294" s="392"/>
      <c r="F294" s="392"/>
      <c r="G294" s="392"/>
      <c r="H294" s="392"/>
      <c r="I294" s="392"/>
      <c r="J294" s="392"/>
      <c r="K294" s="389"/>
      <c r="L294" s="389"/>
      <c r="M294" s="391" t="s">
        <v>2089</v>
      </c>
      <c r="N294" s="392"/>
      <c r="O294" s="392"/>
      <c r="P294" s="392"/>
      <c r="Q294" s="392"/>
      <c r="R294" s="392"/>
      <c r="S294" s="389"/>
      <c r="T294" s="389"/>
      <c r="U294" s="389"/>
      <c r="V294" s="389"/>
      <c r="W294" s="389"/>
      <c r="X294" s="391" t="s">
        <v>2118</v>
      </c>
      <c r="Y294" s="392"/>
      <c r="Z294" s="392"/>
      <c r="AA294" s="392"/>
      <c r="AB294" s="392"/>
      <c r="AC294" s="392"/>
      <c r="AD294" s="392"/>
      <c r="AE294" s="442"/>
      <c r="AF294" s="442"/>
      <c r="AG294" s="442"/>
      <c r="AH294" s="442"/>
      <c r="AI294" s="442"/>
      <c r="AJ294" s="391" t="s">
        <v>2090</v>
      </c>
      <c r="AK294" s="392"/>
      <c r="AL294" s="392"/>
      <c r="AM294" s="392"/>
      <c r="AN294" s="392"/>
      <c r="AO294" s="392"/>
      <c r="AP294" s="392"/>
      <c r="AQ294" s="392"/>
      <c r="AR294" s="433"/>
      <c r="AS294" s="433"/>
      <c r="AT294" s="433"/>
      <c r="AU294" s="433"/>
      <c r="AV294" s="433"/>
      <c r="AW294" s="434"/>
      <c r="AX294" s="391" t="s">
        <v>2085</v>
      </c>
      <c r="AY294" s="392"/>
      <c r="AZ294" s="392"/>
      <c r="BA294" s="392"/>
      <c r="BB294" s="392"/>
      <c r="BC294" s="392"/>
      <c r="BD294" s="389"/>
      <c r="BE294" s="390"/>
      <c r="BF294" s="190"/>
      <c r="BG294" s="190"/>
      <c r="BH294" s="443">
        <v>3</v>
      </c>
      <c r="BI294" s="444"/>
      <c r="BJ294" s="486"/>
      <c r="BK294" s="487"/>
      <c r="BL294" s="487"/>
      <c r="BM294" s="487"/>
      <c r="BN294" s="487"/>
      <c r="BO294" s="487"/>
      <c r="BP294" s="487"/>
      <c r="BQ294" s="487"/>
      <c r="BR294" s="487"/>
      <c r="BS294" s="487"/>
      <c r="BT294" s="487"/>
      <c r="BU294" s="487"/>
      <c r="BV294" s="500"/>
      <c r="BW294" s="501"/>
      <c r="BX294" s="501"/>
      <c r="BY294" s="501"/>
      <c r="BZ294" s="501"/>
      <c r="CA294" s="501"/>
      <c r="CB294" s="501"/>
      <c r="CC294" s="501"/>
      <c r="CD294" s="502"/>
      <c r="CE294" s="506"/>
      <c r="CF294" s="506"/>
      <c r="CG294" s="506"/>
      <c r="CH294" s="506"/>
      <c r="CI294" s="506"/>
      <c r="CJ294" s="506"/>
      <c r="CK294" s="506"/>
      <c r="CL294" s="506"/>
      <c r="CM294" s="506"/>
      <c r="CN294" s="506"/>
      <c r="CO294" s="500"/>
      <c r="CP294" s="501"/>
      <c r="CQ294" s="501"/>
      <c r="CR294" s="501"/>
      <c r="CS294" s="501"/>
      <c r="CT294" s="501"/>
      <c r="CU294" s="501"/>
      <c r="CV294" s="501"/>
      <c r="CW294" s="501"/>
      <c r="CX294" s="501"/>
      <c r="CY294" s="501"/>
      <c r="CZ294" s="502"/>
      <c r="DA294" s="495"/>
      <c r="DB294" s="495"/>
      <c r="DC294" s="495"/>
      <c r="DD294" s="495"/>
      <c r="DE294" s="495"/>
      <c r="DF294" s="495"/>
      <c r="DG294" s="495"/>
      <c r="DH294" s="495"/>
      <c r="DI294" s="495"/>
      <c r="DJ294" s="495"/>
      <c r="DK294" s="480"/>
      <c r="DL294" s="481"/>
      <c r="DM294" s="481"/>
      <c r="DN294" s="481"/>
      <c r="DO294" s="481"/>
      <c r="DP294" s="481"/>
      <c r="DQ294" s="481"/>
      <c r="DR294" s="482"/>
    </row>
    <row r="295" spans="2:157" ht="22.5" hidden="1" customHeight="1" x14ac:dyDescent="0.3">
      <c r="B295" s="438" t="s">
        <v>2916</v>
      </c>
      <c r="C295" s="436"/>
      <c r="D295" s="436"/>
      <c r="E295" s="436"/>
      <c r="F295" s="436"/>
      <c r="G295" s="436"/>
      <c r="H295" s="436"/>
      <c r="I295" s="436"/>
      <c r="J295" s="436"/>
      <c r="K295" s="387"/>
      <c r="L295" s="387"/>
      <c r="M295" s="435" t="s">
        <v>2086</v>
      </c>
      <c r="N295" s="436"/>
      <c r="O295" s="436"/>
      <c r="P295" s="436"/>
      <c r="Q295" s="436"/>
      <c r="R295" s="436"/>
      <c r="S295" s="439"/>
      <c r="T295" s="387"/>
      <c r="U295" s="387"/>
      <c r="V295" s="387"/>
      <c r="W295" s="387"/>
      <c r="X295" s="435" t="s">
        <v>2087</v>
      </c>
      <c r="Y295" s="436"/>
      <c r="Z295" s="436"/>
      <c r="AA295" s="436"/>
      <c r="AB295" s="436"/>
      <c r="AC295" s="436"/>
      <c r="AD295" s="436"/>
      <c r="AE295" s="387"/>
      <c r="AF295" s="387"/>
      <c r="AG295" s="387"/>
      <c r="AH295" s="387"/>
      <c r="AI295" s="387"/>
      <c r="AJ295" s="435" t="s">
        <v>2088</v>
      </c>
      <c r="AK295" s="436"/>
      <c r="AL295" s="436"/>
      <c r="AM295" s="436"/>
      <c r="AN295" s="436"/>
      <c r="AO295" s="436"/>
      <c r="AP295" s="436"/>
      <c r="AQ295" s="436"/>
      <c r="AR295" s="387"/>
      <c r="AS295" s="387"/>
      <c r="AT295" s="387"/>
      <c r="AU295" s="387"/>
      <c r="AV295" s="387"/>
      <c r="AW295" s="387"/>
      <c r="AX295" s="387"/>
      <c r="AY295" s="387"/>
      <c r="AZ295" s="387"/>
      <c r="BA295" s="387"/>
      <c r="BB295" s="387"/>
      <c r="BC295" s="387"/>
      <c r="BD295" s="387"/>
      <c r="BE295" s="388"/>
      <c r="BF295" s="190"/>
      <c r="BG295" s="190"/>
      <c r="BH295" s="445">
        <v>4</v>
      </c>
      <c r="BI295" s="446"/>
      <c r="BJ295" s="496"/>
      <c r="BK295" s="461"/>
      <c r="BL295" s="461"/>
      <c r="BM295" s="461"/>
      <c r="BN295" s="461"/>
      <c r="BO295" s="461"/>
      <c r="BP295" s="461"/>
      <c r="BQ295" s="461"/>
      <c r="BR295" s="461"/>
      <c r="BS295" s="461"/>
      <c r="BT295" s="461"/>
      <c r="BU295" s="461"/>
      <c r="BV295" s="521"/>
      <c r="BW295" s="522"/>
      <c r="BX295" s="522"/>
      <c r="BY295" s="522"/>
      <c r="BZ295" s="522"/>
      <c r="CA295" s="522"/>
      <c r="CB295" s="522"/>
      <c r="CC295" s="522"/>
      <c r="CD295" s="523"/>
      <c r="CE295" s="497"/>
      <c r="CF295" s="497"/>
      <c r="CG295" s="497"/>
      <c r="CH295" s="497"/>
      <c r="CI295" s="497"/>
      <c r="CJ295" s="497"/>
      <c r="CK295" s="497"/>
      <c r="CL295" s="497"/>
      <c r="CM295" s="497"/>
      <c r="CN295" s="497"/>
      <c r="CO295" s="496"/>
      <c r="CP295" s="461"/>
      <c r="CQ295" s="461"/>
      <c r="CR295" s="461"/>
      <c r="CS295" s="461"/>
      <c r="CT295" s="461"/>
      <c r="CU295" s="461"/>
      <c r="CV295" s="461"/>
      <c r="CW295" s="461"/>
      <c r="CX295" s="461"/>
      <c r="CY295" s="461"/>
      <c r="CZ295" s="520"/>
      <c r="DA295" s="497"/>
      <c r="DB295" s="497"/>
      <c r="DC295" s="497"/>
      <c r="DD295" s="497"/>
      <c r="DE295" s="497"/>
      <c r="DF295" s="497"/>
      <c r="DG295" s="497"/>
      <c r="DH295" s="497"/>
      <c r="DI295" s="497"/>
      <c r="DJ295" s="497"/>
      <c r="DK295" s="503"/>
      <c r="DL295" s="504"/>
      <c r="DM295" s="504"/>
      <c r="DN295" s="504"/>
      <c r="DO295" s="504"/>
      <c r="DP295" s="504"/>
      <c r="DQ295" s="504"/>
      <c r="DR295" s="505"/>
    </row>
    <row r="296" spans="2:157" ht="22.5" hidden="1" customHeight="1" x14ac:dyDescent="0.3">
      <c r="B296" s="381" t="s">
        <v>278</v>
      </c>
      <c r="C296" s="382"/>
      <c r="D296" s="382"/>
      <c r="E296" s="382"/>
      <c r="F296" s="382"/>
      <c r="G296" s="382"/>
      <c r="H296" s="382"/>
      <c r="I296" s="382"/>
      <c r="J296" s="394"/>
      <c r="K296" s="394"/>
      <c r="L296" s="394"/>
      <c r="M296" s="394"/>
      <c r="N296" s="394"/>
      <c r="O296" s="394"/>
      <c r="P296" s="394"/>
      <c r="Q296" s="394"/>
      <c r="R296" s="394"/>
      <c r="S296" s="394"/>
      <c r="T296" s="394"/>
      <c r="U296" s="394"/>
      <c r="V296" s="394"/>
      <c r="W296" s="394"/>
      <c r="X296" s="394"/>
      <c r="Y296" s="394"/>
      <c r="Z296" s="394"/>
      <c r="AA296" s="394"/>
      <c r="AB296" s="394"/>
      <c r="AC296" s="394"/>
      <c r="AD296" s="394"/>
      <c r="AE296" s="394"/>
      <c r="AF296" s="394"/>
      <c r="AG296" s="394"/>
      <c r="AH296" s="394"/>
      <c r="AI296" s="394"/>
      <c r="AJ296" s="394"/>
      <c r="AK296" s="394"/>
      <c r="AL296" s="394"/>
      <c r="AM296" s="394"/>
      <c r="AN296" s="394"/>
      <c r="AO296" s="394"/>
      <c r="AP296" s="394"/>
      <c r="AQ296" s="394"/>
      <c r="AR296" s="394"/>
      <c r="AS296" s="394"/>
      <c r="AT296" s="394"/>
      <c r="AU296" s="394"/>
      <c r="AV296" s="394"/>
      <c r="AW296" s="394"/>
      <c r="AX296" s="394"/>
      <c r="AY296" s="394"/>
      <c r="AZ296" s="394"/>
      <c r="BA296" s="394"/>
      <c r="BB296" s="394"/>
      <c r="BC296" s="394"/>
      <c r="BD296" s="394"/>
      <c r="BE296" s="395"/>
      <c r="BF296" s="190"/>
      <c r="BG296" s="190"/>
      <c r="DA296" s="511" t="s">
        <v>1647</v>
      </c>
      <c r="DB296" s="512"/>
      <c r="DC296" s="512"/>
      <c r="DD296" s="512"/>
      <c r="DE296" s="512"/>
      <c r="DF296" s="512"/>
      <c r="DG296" s="512"/>
      <c r="DH296" s="512"/>
      <c r="DI296" s="512"/>
      <c r="DJ296" s="512"/>
      <c r="DK296" s="418">
        <f>SUM(DK292:DR295)</f>
        <v>0</v>
      </c>
      <c r="DL296" s="419"/>
      <c r="DM296" s="419"/>
      <c r="DN296" s="419"/>
      <c r="DO296" s="419"/>
      <c r="DP296" s="419"/>
      <c r="DQ296" s="419"/>
      <c r="DR296" s="420"/>
    </row>
    <row r="297" spans="2:157" ht="24" hidden="1" customHeight="1" x14ac:dyDescent="0.25">
      <c r="B297" s="383" t="s">
        <v>2944</v>
      </c>
      <c r="C297" s="384"/>
      <c r="D297" s="384"/>
      <c r="E297" s="384"/>
      <c r="F297" s="384"/>
      <c r="G297" s="384"/>
      <c r="H297" s="384"/>
      <c r="I297" s="384"/>
      <c r="J297" s="396"/>
      <c r="K297" s="396"/>
      <c r="L297" s="396"/>
      <c r="M297" s="396"/>
      <c r="N297" s="396"/>
      <c r="O297" s="396"/>
      <c r="P297" s="396"/>
      <c r="Q297" s="396"/>
      <c r="R297" s="396"/>
      <c r="S297" s="396"/>
      <c r="T297" s="396"/>
      <c r="U297" s="396"/>
      <c r="V297" s="396"/>
      <c r="W297" s="396"/>
      <c r="X297" s="396"/>
      <c r="Y297" s="396"/>
      <c r="Z297" s="396"/>
      <c r="AA297" s="396"/>
      <c r="AB297" s="396"/>
      <c r="AC297" s="396"/>
      <c r="AD297" s="396"/>
      <c r="AE297" s="396"/>
      <c r="AF297" s="396"/>
      <c r="AG297" s="396"/>
      <c r="AH297" s="396"/>
      <c r="AI297" s="396"/>
      <c r="AJ297" s="396"/>
      <c r="AK297" s="396"/>
      <c r="AL297" s="396"/>
      <c r="AM297" s="396"/>
      <c r="AN297" s="396"/>
      <c r="AO297" s="396"/>
      <c r="AP297" s="396"/>
      <c r="AQ297" s="396"/>
      <c r="AR297" s="396"/>
      <c r="AS297" s="396"/>
      <c r="AT297" s="396"/>
      <c r="AU297" s="396"/>
      <c r="AV297" s="396"/>
      <c r="AW297" s="396"/>
      <c r="AX297" s="396"/>
      <c r="AY297" s="396"/>
      <c r="AZ297" s="396"/>
      <c r="BA297" s="396"/>
      <c r="BB297" s="396"/>
      <c r="BC297" s="396"/>
      <c r="BD297" s="396"/>
      <c r="BE297" s="397"/>
      <c r="ED297"/>
      <c r="EE297"/>
      <c r="EF297"/>
      <c r="EG297"/>
      <c r="EH297"/>
      <c r="EI297"/>
      <c r="EJ297"/>
      <c r="EK297"/>
      <c r="EL297"/>
      <c r="EM297"/>
      <c r="EN297"/>
      <c r="EO297"/>
      <c r="EP297"/>
      <c r="EQ297"/>
      <c r="ER297"/>
      <c r="ES297"/>
      <c r="ET297"/>
      <c r="EU297"/>
      <c r="EV297"/>
      <c r="EW297"/>
      <c r="EX297"/>
    </row>
    <row r="298" spans="2:157" ht="24" hidden="1" customHeight="1" thickBot="1" x14ac:dyDescent="0.3">
      <c r="B298" s="385"/>
      <c r="C298" s="386"/>
      <c r="D298" s="386"/>
      <c r="E298" s="386"/>
      <c r="F298" s="386"/>
      <c r="G298" s="386"/>
      <c r="H298" s="386"/>
      <c r="I298" s="386"/>
      <c r="J298" s="398"/>
      <c r="K298" s="398"/>
      <c r="L298" s="398"/>
      <c r="M298" s="398"/>
      <c r="N298" s="398"/>
      <c r="O298" s="398"/>
      <c r="P298" s="398"/>
      <c r="Q298" s="398"/>
      <c r="R298" s="398"/>
      <c r="S298" s="398"/>
      <c r="T298" s="398"/>
      <c r="U298" s="398"/>
      <c r="V298" s="398"/>
      <c r="W298" s="398"/>
      <c r="X298" s="398"/>
      <c r="Y298" s="398"/>
      <c r="Z298" s="398"/>
      <c r="AA298" s="398"/>
      <c r="AB298" s="398"/>
      <c r="AC298" s="398"/>
      <c r="AD298" s="398"/>
      <c r="AE298" s="398"/>
      <c r="AF298" s="398"/>
      <c r="AG298" s="398"/>
      <c r="AH298" s="398"/>
      <c r="AI298" s="398"/>
      <c r="AJ298" s="398"/>
      <c r="AK298" s="398"/>
      <c r="AL298" s="398"/>
      <c r="AM298" s="398"/>
      <c r="AN298" s="398"/>
      <c r="AO298" s="398"/>
      <c r="AP298" s="398"/>
      <c r="AQ298" s="398"/>
      <c r="AR298" s="398"/>
      <c r="AS298" s="398"/>
      <c r="AT298" s="398"/>
      <c r="AU298" s="398"/>
      <c r="AV298" s="398"/>
      <c r="AW298" s="398"/>
      <c r="AX298" s="398"/>
      <c r="AY298" s="398"/>
      <c r="AZ298" s="398"/>
      <c r="BA298" s="398"/>
      <c r="BB298" s="398"/>
      <c r="BC298" s="398"/>
      <c r="BD298" s="398"/>
      <c r="BE298" s="399"/>
      <c r="ED298"/>
      <c r="EE298"/>
      <c r="EF298"/>
      <c r="EG298"/>
      <c r="EH298"/>
      <c r="EI298"/>
      <c r="EJ298"/>
      <c r="EK298"/>
      <c r="EL298"/>
      <c r="EM298"/>
      <c r="EN298"/>
      <c r="EO298"/>
      <c r="EP298"/>
      <c r="EQ298"/>
      <c r="ER298"/>
      <c r="ES298"/>
      <c r="ET298"/>
      <c r="EU298"/>
      <c r="EV298"/>
      <c r="EW298"/>
      <c r="EX298"/>
    </row>
    <row r="299" spans="2:157" ht="24" hidden="1" customHeight="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ED299"/>
      <c r="EE299"/>
      <c r="EF299"/>
      <c r="EG299"/>
      <c r="EH299"/>
      <c r="EI299"/>
      <c r="EJ299"/>
      <c r="EK299"/>
      <c r="EL299"/>
      <c r="EM299"/>
      <c r="EN299"/>
      <c r="EO299"/>
      <c r="EP299"/>
      <c r="EQ299"/>
      <c r="ER299"/>
      <c r="ES299"/>
      <c r="ET299"/>
      <c r="EU299"/>
      <c r="EV299"/>
      <c r="EW299"/>
      <c r="EX299"/>
    </row>
    <row r="300" spans="2:157" ht="18.75" hidden="1" customHeight="1" x14ac:dyDescent="0.3">
      <c r="B300" s="190"/>
      <c r="C300" s="190"/>
      <c r="D300" s="190"/>
      <c r="E300" s="190"/>
      <c r="F300" s="190"/>
      <c r="G300" s="190"/>
      <c r="H300" s="190"/>
      <c r="I300" s="190"/>
      <c r="J300" s="190"/>
      <c r="K300" s="190"/>
      <c r="L300" s="190"/>
      <c r="M300" s="190"/>
      <c r="N300" s="190"/>
      <c r="O300" s="190"/>
      <c r="P300" s="190"/>
      <c r="Q300" s="190"/>
      <c r="R300" s="190"/>
      <c r="S300" s="190"/>
      <c r="T300" s="190"/>
      <c r="U300" s="190"/>
      <c r="V300" s="190"/>
      <c r="W300" s="190"/>
      <c r="X300" s="190"/>
      <c r="Y300" s="190"/>
      <c r="Z300" s="190"/>
      <c r="AA300" s="190"/>
      <c r="AB300" s="190"/>
      <c r="AC300" s="190"/>
      <c r="AD300" s="190"/>
      <c r="AE300" s="190"/>
      <c r="AF300" s="190"/>
      <c r="AG300" s="190"/>
      <c r="AH300" s="190"/>
      <c r="AI300" s="190"/>
      <c r="AJ300" s="190"/>
      <c r="AK300" s="190"/>
      <c r="AL300" s="190"/>
      <c r="AM300" s="190"/>
      <c r="AN300" s="190"/>
      <c r="AO300" s="190"/>
      <c r="AP300" s="190"/>
      <c r="AQ300" s="190"/>
      <c r="AR300" s="190"/>
      <c r="AS300" s="190"/>
      <c r="AT300" s="190"/>
      <c r="AU300" s="190"/>
      <c r="AV300" s="190"/>
      <c r="AW300" s="190"/>
      <c r="AX300" s="190"/>
      <c r="AY300" s="190"/>
      <c r="AZ300" s="190"/>
      <c r="BA300" s="190"/>
      <c r="BB300" s="190"/>
      <c r="BC300" s="190"/>
      <c r="BD300" s="190"/>
      <c r="BE300" s="190"/>
      <c r="BF300" s="190"/>
      <c r="BG300" s="190"/>
      <c r="ED300"/>
      <c r="EE300"/>
      <c r="EF300"/>
      <c r="EG300"/>
      <c r="EH300"/>
      <c r="EI300"/>
      <c r="EJ300"/>
      <c r="EK300"/>
      <c r="EL300"/>
      <c r="EM300"/>
      <c r="EN300"/>
      <c r="EO300"/>
      <c r="EP300"/>
      <c r="EQ300"/>
      <c r="ER300"/>
      <c r="ES300"/>
      <c r="ET300"/>
      <c r="EU300"/>
      <c r="EV300"/>
      <c r="EW300"/>
      <c r="EX300"/>
    </row>
    <row r="301" spans="2:157" ht="22.5" hidden="1" customHeight="1" thickBot="1" x14ac:dyDescent="0.35">
      <c r="B301" s="440" t="s">
        <v>303</v>
      </c>
      <c r="C301" s="440"/>
      <c r="D301" s="440"/>
      <c r="E301" s="440"/>
      <c r="F301" s="440"/>
      <c r="G301" s="440"/>
      <c r="H301" s="440"/>
      <c r="I301" s="440"/>
      <c r="J301" s="440"/>
      <c r="K301" s="440"/>
      <c r="L301" s="440"/>
      <c r="M301" s="440"/>
      <c r="N301" s="440"/>
      <c r="O301" s="440"/>
      <c r="P301" s="440"/>
      <c r="Q301" s="440"/>
      <c r="R301" s="440"/>
      <c r="S301" s="440"/>
      <c r="T301" s="440"/>
      <c r="U301" s="440"/>
      <c r="V301" s="440"/>
      <c r="W301" s="440"/>
      <c r="X301" s="440"/>
      <c r="Y301" s="440"/>
      <c r="Z301" s="440"/>
      <c r="AA301" s="440"/>
      <c r="AB301" s="440"/>
      <c r="AC301" s="440"/>
      <c r="AD301" s="440"/>
      <c r="AE301" s="440"/>
      <c r="AF301" s="440"/>
      <c r="AG301" s="440"/>
      <c r="AH301" s="440"/>
      <c r="AI301" s="440"/>
      <c r="AJ301" s="440"/>
      <c r="AK301" s="440"/>
      <c r="AL301" s="440"/>
      <c r="AM301" s="440"/>
      <c r="AN301" s="440"/>
      <c r="AO301" s="440"/>
      <c r="AP301" s="440"/>
      <c r="AQ301" s="440"/>
      <c r="AR301" s="440"/>
      <c r="AS301" s="440"/>
      <c r="AT301" s="440"/>
      <c r="AU301" s="440"/>
      <c r="AV301" s="440"/>
      <c r="AW301" s="440"/>
      <c r="AX301" s="440"/>
      <c r="AY301" s="440"/>
      <c r="AZ301" s="440"/>
      <c r="BA301" s="440"/>
      <c r="BB301" s="440"/>
      <c r="BC301" s="440"/>
      <c r="BD301" s="440"/>
      <c r="BE301" s="440"/>
      <c r="BF301" s="187"/>
      <c r="BG301" s="187"/>
      <c r="BJ301" s="178" t="s">
        <v>1648</v>
      </c>
    </row>
    <row r="302" spans="2:157" ht="22.5" hidden="1" customHeight="1" x14ac:dyDescent="0.3">
      <c r="B302" s="454" t="s">
        <v>3221</v>
      </c>
      <c r="C302" s="401"/>
      <c r="D302" s="401"/>
      <c r="E302" s="401"/>
      <c r="F302" s="401"/>
      <c r="G302" s="401"/>
      <c r="H302" s="401"/>
      <c r="I302" s="401"/>
      <c r="J302" s="404"/>
      <c r="K302" s="404"/>
      <c r="L302" s="404"/>
      <c r="M302" s="404"/>
      <c r="N302" s="404"/>
      <c r="O302" s="404"/>
      <c r="P302" s="404"/>
      <c r="Q302" s="404"/>
      <c r="R302" s="404"/>
      <c r="S302" s="404"/>
      <c r="T302" s="404"/>
      <c r="U302" s="404"/>
      <c r="V302" s="404"/>
      <c r="W302" s="404"/>
      <c r="X302" s="405"/>
      <c r="Y302" s="400" t="s">
        <v>2074</v>
      </c>
      <c r="Z302" s="401"/>
      <c r="AA302" s="401"/>
      <c r="AB302" s="402"/>
      <c r="AC302" s="402"/>
      <c r="AD302" s="402"/>
      <c r="AE302" s="402"/>
      <c r="AF302" s="402"/>
      <c r="AG302" s="402"/>
      <c r="AH302" s="402"/>
      <c r="AI302" s="402"/>
      <c r="AJ302" s="402"/>
      <c r="AK302" s="403"/>
      <c r="AL302" s="400" t="s">
        <v>1982</v>
      </c>
      <c r="AM302" s="401"/>
      <c r="AN302" s="401"/>
      <c r="AO302" s="404"/>
      <c r="AP302" s="404"/>
      <c r="AQ302" s="404"/>
      <c r="AR302" s="404"/>
      <c r="AS302" s="404"/>
      <c r="AT302" s="404"/>
      <c r="AU302" s="405"/>
      <c r="AV302" s="400" t="s">
        <v>1983</v>
      </c>
      <c r="AW302" s="401"/>
      <c r="AX302" s="404"/>
      <c r="AY302" s="404"/>
      <c r="AZ302" s="404"/>
      <c r="BA302" s="404"/>
      <c r="BB302" s="404"/>
      <c r="BC302" s="404"/>
      <c r="BD302" s="404"/>
      <c r="BE302" s="406"/>
      <c r="BF302" s="190"/>
      <c r="BG302" s="190"/>
      <c r="BH302" s="517" t="s">
        <v>389</v>
      </c>
      <c r="BI302" s="518"/>
      <c r="BJ302" s="489" t="s">
        <v>1649</v>
      </c>
      <c r="BK302" s="490"/>
      <c r="BL302" s="490"/>
      <c r="BM302" s="490"/>
      <c r="BN302" s="490"/>
      <c r="BO302" s="490"/>
      <c r="BP302" s="490"/>
      <c r="BQ302" s="490"/>
      <c r="BR302" s="490"/>
      <c r="BS302" s="490"/>
      <c r="BT302" s="490"/>
      <c r="BU302" s="490"/>
      <c r="BV302" s="483" t="s">
        <v>1644</v>
      </c>
      <c r="BW302" s="484"/>
      <c r="BX302" s="484"/>
      <c r="BY302" s="484"/>
      <c r="BZ302" s="484"/>
      <c r="CA302" s="484"/>
      <c r="CB302" s="484"/>
      <c r="CC302" s="484"/>
      <c r="CD302" s="485"/>
      <c r="CE302" s="513" t="s">
        <v>1675</v>
      </c>
      <c r="CF302" s="513"/>
      <c r="CG302" s="513"/>
      <c r="CH302" s="513"/>
      <c r="CI302" s="513"/>
      <c r="CJ302" s="513"/>
      <c r="CK302" s="513"/>
      <c r="CL302" s="513"/>
      <c r="CM302" s="513"/>
      <c r="CN302" s="513"/>
      <c r="CO302" s="489" t="s">
        <v>1676</v>
      </c>
      <c r="CP302" s="490"/>
      <c r="CQ302" s="490"/>
      <c r="CR302" s="490"/>
      <c r="CS302" s="490"/>
      <c r="CT302" s="490"/>
      <c r="CU302" s="490"/>
      <c r="CV302" s="490"/>
      <c r="CW302" s="490"/>
      <c r="CX302" s="490"/>
      <c r="CY302" s="490"/>
      <c r="CZ302" s="491"/>
      <c r="DA302" s="516" t="s">
        <v>1645</v>
      </c>
      <c r="DB302" s="516"/>
      <c r="DC302" s="516"/>
      <c r="DD302" s="516"/>
      <c r="DE302" s="516"/>
      <c r="DF302" s="516"/>
      <c r="DG302" s="516"/>
      <c r="DH302" s="516"/>
      <c r="DI302" s="516"/>
      <c r="DJ302" s="516"/>
      <c r="DK302" s="483" t="s">
        <v>1646</v>
      </c>
      <c r="DL302" s="484"/>
      <c r="DM302" s="484"/>
      <c r="DN302" s="484"/>
      <c r="DO302" s="484"/>
      <c r="DP302" s="484"/>
      <c r="DQ302" s="484"/>
      <c r="DR302" s="485"/>
    </row>
    <row r="303" spans="2:157" ht="22.5" hidden="1" customHeight="1" x14ac:dyDescent="0.3">
      <c r="B303" s="393" t="s">
        <v>1984</v>
      </c>
      <c r="C303" s="392"/>
      <c r="D303" s="392"/>
      <c r="E303" s="392"/>
      <c r="F303" s="389"/>
      <c r="G303" s="389"/>
      <c r="H303" s="389"/>
      <c r="I303" s="389"/>
      <c r="J303" s="389"/>
      <c r="K303" s="389"/>
      <c r="L303" s="389"/>
      <c r="M303" s="391" t="s">
        <v>307</v>
      </c>
      <c r="N303" s="392"/>
      <c r="O303" s="392"/>
      <c r="P303" s="392"/>
      <c r="Q303" s="392"/>
      <c r="R303" s="392"/>
      <c r="S303" s="392"/>
      <c r="T303" s="392"/>
      <c r="U303" s="433"/>
      <c r="V303" s="433"/>
      <c r="W303" s="433"/>
      <c r="X303" s="433"/>
      <c r="Y303" s="433"/>
      <c r="Z303" s="433"/>
      <c r="AA303" s="391" t="s">
        <v>2084</v>
      </c>
      <c r="AB303" s="392"/>
      <c r="AC303" s="392"/>
      <c r="AD303" s="392"/>
      <c r="AE303" s="392"/>
      <c r="AF303" s="392"/>
      <c r="AG303" s="392"/>
      <c r="AH303" s="392"/>
      <c r="AI303" s="433"/>
      <c r="AJ303" s="433"/>
      <c r="AK303" s="433"/>
      <c r="AL303" s="433"/>
      <c r="AM303" s="433"/>
      <c r="AN303" s="434"/>
      <c r="AO303" s="391" t="s">
        <v>279</v>
      </c>
      <c r="AP303" s="392"/>
      <c r="AQ303" s="392"/>
      <c r="AR303" s="392"/>
      <c r="AS303" s="392"/>
      <c r="AT303" s="437"/>
      <c r="AU303" s="437"/>
      <c r="AV303" s="437"/>
      <c r="AW303" s="437"/>
      <c r="AX303" s="437"/>
      <c r="AY303" s="437"/>
      <c r="AZ303" s="391" t="s">
        <v>2083</v>
      </c>
      <c r="BA303" s="392"/>
      <c r="BB303" s="392"/>
      <c r="BC303" s="392"/>
      <c r="BD303" s="389"/>
      <c r="BE303" s="390"/>
      <c r="BF303" s="190"/>
      <c r="BG303" s="190"/>
      <c r="BH303" s="514">
        <v>1</v>
      </c>
      <c r="BI303" s="515"/>
      <c r="BJ303" s="498"/>
      <c r="BK303" s="499"/>
      <c r="BL303" s="499"/>
      <c r="BM303" s="499"/>
      <c r="BN303" s="499"/>
      <c r="BO303" s="499"/>
      <c r="BP303" s="499"/>
      <c r="BQ303" s="499"/>
      <c r="BR303" s="499"/>
      <c r="BS303" s="499"/>
      <c r="BT303" s="499"/>
      <c r="BU303" s="499"/>
      <c r="BV303" s="500"/>
      <c r="BW303" s="501"/>
      <c r="BX303" s="501"/>
      <c r="BY303" s="501"/>
      <c r="BZ303" s="501"/>
      <c r="CA303" s="501"/>
      <c r="CB303" s="501"/>
      <c r="CC303" s="501"/>
      <c r="CD303" s="502"/>
      <c r="CE303" s="519"/>
      <c r="CF303" s="519"/>
      <c r="CG303" s="519"/>
      <c r="CH303" s="519"/>
      <c r="CI303" s="519"/>
      <c r="CJ303" s="519"/>
      <c r="CK303" s="519"/>
      <c r="CL303" s="519"/>
      <c r="CM303" s="519"/>
      <c r="CN303" s="519"/>
      <c r="CO303" s="507"/>
      <c r="CP303" s="508"/>
      <c r="CQ303" s="508"/>
      <c r="CR303" s="508"/>
      <c r="CS303" s="508"/>
      <c r="CT303" s="508"/>
      <c r="CU303" s="508"/>
      <c r="CV303" s="508"/>
      <c r="CW303" s="508"/>
      <c r="CX303" s="508"/>
      <c r="CY303" s="508"/>
      <c r="CZ303" s="509"/>
      <c r="DA303" s="510"/>
      <c r="DB303" s="510"/>
      <c r="DC303" s="510"/>
      <c r="DD303" s="510"/>
      <c r="DE303" s="510"/>
      <c r="DF303" s="510"/>
      <c r="DG303" s="510"/>
      <c r="DH303" s="510"/>
      <c r="DI303" s="510"/>
      <c r="DJ303" s="510"/>
      <c r="DK303" s="492"/>
      <c r="DL303" s="493"/>
      <c r="DM303" s="493"/>
      <c r="DN303" s="493"/>
      <c r="DO303" s="493"/>
      <c r="DP303" s="493"/>
      <c r="DQ303" s="493"/>
      <c r="DR303" s="494"/>
    </row>
    <row r="304" spans="2:157" ht="22.5" hidden="1" customHeight="1" x14ac:dyDescent="0.3">
      <c r="B304" s="393" t="s">
        <v>2091</v>
      </c>
      <c r="C304" s="392"/>
      <c r="D304" s="392"/>
      <c r="E304" s="392"/>
      <c r="F304" s="392"/>
      <c r="G304" s="392"/>
      <c r="H304" s="392"/>
      <c r="I304" s="392"/>
      <c r="J304" s="392"/>
      <c r="K304" s="389"/>
      <c r="L304" s="389"/>
      <c r="M304" s="391" t="s">
        <v>2089</v>
      </c>
      <c r="N304" s="392"/>
      <c r="O304" s="392"/>
      <c r="P304" s="392"/>
      <c r="Q304" s="392"/>
      <c r="R304" s="392"/>
      <c r="S304" s="389"/>
      <c r="T304" s="389"/>
      <c r="U304" s="389"/>
      <c r="V304" s="389"/>
      <c r="W304" s="389"/>
      <c r="X304" s="391" t="s">
        <v>2092</v>
      </c>
      <c r="Y304" s="392"/>
      <c r="Z304" s="392"/>
      <c r="AA304" s="392"/>
      <c r="AB304" s="392"/>
      <c r="AC304" s="392"/>
      <c r="AD304" s="392"/>
      <c r="AE304" s="392"/>
      <c r="AF304" s="392"/>
      <c r="AG304" s="392"/>
      <c r="AH304" s="392"/>
      <c r="AI304" s="392"/>
      <c r="AJ304" s="392"/>
      <c r="AK304" s="392"/>
      <c r="AL304" s="392"/>
      <c r="AM304" s="392"/>
      <c r="AN304" s="392"/>
      <c r="AO304" s="392"/>
      <c r="AP304" s="392"/>
      <c r="AQ304" s="392"/>
      <c r="AR304" s="389"/>
      <c r="AS304" s="389"/>
      <c r="AT304" s="389"/>
      <c r="AU304" s="389"/>
      <c r="AV304" s="389"/>
      <c r="AW304" s="432"/>
      <c r="AX304" s="391" t="s">
        <v>796</v>
      </c>
      <c r="AY304" s="392"/>
      <c r="AZ304" s="392"/>
      <c r="BA304" s="392"/>
      <c r="BB304" s="392"/>
      <c r="BC304" s="392"/>
      <c r="BD304" s="389"/>
      <c r="BE304" s="390"/>
      <c r="BF304" s="190"/>
      <c r="BG304" s="190"/>
      <c r="BH304" s="443">
        <v>2</v>
      </c>
      <c r="BI304" s="444"/>
      <c r="BJ304" s="486"/>
      <c r="BK304" s="487"/>
      <c r="BL304" s="487"/>
      <c r="BM304" s="487"/>
      <c r="BN304" s="487"/>
      <c r="BO304" s="487"/>
      <c r="BP304" s="487"/>
      <c r="BQ304" s="487"/>
      <c r="BR304" s="487"/>
      <c r="BS304" s="487"/>
      <c r="BT304" s="487"/>
      <c r="BU304" s="487"/>
      <c r="BV304" s="500"/>
      <c r="BW304" s="501"/>
      <c r="BX304" s="501"/>
      <c r="BY304" s="501"/>
      <c r="BZ304" s="501"/>
      <c r="CA304" s="501"/>
      <c r="CB304" s="501"/>
      <c r="CC304" s="501"/>
      <c r="CD304" s="502"/>
      <c r="CE304" s="495"/>
      <c r="CF304" s="495"/>
      <c r="CG304" s="495"/>
      <c r="CH304" s="495"/>
      <c r="CI304" s="495"/>
      <c r="CJ304" s="495"/>
      <c r="CK304" s="495"/>
      <c r="CL304" s="495"/>
      <c r="CM304" s="495"/>
      <c r="CN304" s="495"/>
      <c r="CO304" s="486"/>
      <c r="CP304" s="487"/>
      <c r="CQ304" s="487"/>
      <c r="CR304" s="487"/>
      <c r="CS304" s="487"/>
      <c r="CT304" s="487"/>
      <c r="CU304" s="487"/>
      <c r="CV304" s="487"/>
      <c r="CW304" s="487"/>
      <c r="CX304" s="487"/>
      <c r="CY304" s="487"/>
      <c r="CZ304" s="488"/>
      <c r="DA304" s="495"/>
      <c r="DB304" s="495"/>
      <c r="DC304" s="495"/>
      <c r="DD304" s="495"/>
      <c r="DE304" s="495"/>
      <c r="DF304" s="495"/>
      <c r="DG304" s="495"/>
      <c r="DH304" s="495"/>
      <c r="DI304" s="495"/>
      <c r="DJ304" s="495"/>
      <c r="DK304" s="480"/>
      <c r="DL304" s="481"/>
      <c r="DM304" s="481"/>
      <c r="DN304" s="481"/>
      <c r="DO304" s="481"/>
      <c r="DP304" s="481"/>
      <c r="DQ304" s="481"/>
      <c r="DR304" s="482"/>
    </row>
    <row r="305" spans="2:158" ht="22.5" hidden="1" customHeight="1" x14ac:dyDescent="0.3">
      <c r="B305" s="393" t="s">
        <v>2978</v>
      </c>
      <c r="C305" s="392"/>
      <c r="D305" s="392"/>
      <c r="E305" s="392"/>
      <c r="F305" s="392"/>
      <c r="G305" s="392"/>
      <c r="H305" s="392"/>
      <c r="I305" s="392"/>
      <c r="J305" s="392"/>
      <c r="K305" s="389"/>
      <c r="L305" s="389"/>
      <c r="M305" s="391" t="s">
        <v>2089</v>
      </c>
      <c r="N305" s="392"/>
      <c r="O305" s="392"/>
      <c r="P305" s="392"/>
      <c r="Q305" s="392"/>
      <c r="R305" s="392"/>
      <c r="S305" s="389"/>
      <c r="T305" s="389"/>
      <c r="U305" s="389"/>
      <c r="V305" s="389"/>
      <c r="W305" s="389"/>
      <c r="X305" s="391" t="s">
        <v>2118</v>
      </c>
      <c r="Y305" s="392"/>
      <c r="Z305" s="392"/>
      <c r="AA305" s="392"/>
      <c r="AB305" s="392"/>
      <c r="AC305" s="392"/>
      <c r="AD305" s="392"/>
      <c r="AE305" s="442"/>
      <c r="AF305" s="442"/>
      <c r="AG305" s="442"/>
      <c r="AH305" s="442"/>
      <c r="AI305" s="442"/>
      <c r="AJ305" s="391" t="s">
        <v>2090</v>
      </c>
      <c r="AK305" s="392"/>
      <c r="AL305" s="392"/>
      <c r="AM305" s="392"/>
      <c r="AN305" s="392"/>
      <c r="AO305" s="392"/>
      <c r="AP305" s="392"/>
      <c r="AQ305" s="392"/>
      <c r="AR305" s="433"/>
      <c r="AS305" s="433"/>
      <c r="AT305" s="433"/>
      <c r="AU305" s="433"/>
      <c r="AV305" s="433"/>
      <c r="AW305" s="434"/>
      <c r="AX305" s="391" t="s">
        <v>2085</v>
      </c>
      <c r="AY305" s="392"/>
      <c r="AZ305" s="392"/>
      <c r="BA305" s="392"/>
      <c r="BB305" s="392"/>
      <c r="BC305" s="392"/>
      <c r="BD305" s="389"/>
      <c r="BE305" s="390"/>
      <c r="BF305" s="190"/>
      <c r="BG305" s="190"/>
      <c r="BH305" s="443">
        <v>3</v>
      </c>
      <c r="BI305" s="444"/>
      <c r="BJ305" s="486"/>
      <c r="BK305" s="487"/>
      <c r="BL305" s="487"/>
      <c r="BM305" s="487"/>
      <c r="BN305" s="487"/>
      <c r="BO305" s="487"/>
      <c r="BP305" s="487"/>
      <c r="BQ305" s="487"/>
      <c r="BR305" s="487"/>
      <c r="BS305" s="487"/>
      <c r="BT305" s="487"/>
      <c r="BU305" s="487"/>
      <c r="BV305" s="500"/>
      <c r="BW305" s="501"/>
      <c r="BX305" s="501"/>
      <c r="BY305" s="501"/>
      <c r="BZ305" s="501"/>
      <c r="CA305" s="501"/>
      <c r="CB305" s="501"/>
      <c r="CC305" s="501"/>
      <c r="CD305" s="502"/>
      <c r="CE305" s="506"/>
      <c r="CF305" s="506"/>
      <c r="CG305" s="506"/>
      <c r="CH305" s="506"/>
      <c r="CI305" s="506"/>
      <c r="CJ305" s="506"/>
      <c r="CK305" s="506"/>
      <c r="CL305" s="506"/>
      <c r="CM305" s="506"/>
      <c r="CN305" s="506"/>
      <c r="CO305" s="500"/>
      <c r="CP305" s="501"/>
      <c r="CQ305" s="501"/>
      <c r="CR305" s="501"/>
      <c r="CS305" s="501"/>
      <c r="CT305" s="501"/>
      <c r="CU305" s="501"/>
      <c r="CV305" s="501"/>
      <c r="CW305" s="501"/>
      <c r="CX305" s="501"/>
      <c r="CY305" s="501"/>
      <c r="CZ305" s="502"/>
      <c r="DA305" s="495"/>
      <c r="DB305" s="495"/>
      <c r="DC305" s="495"/>
      <c r="DD305" s="495"/>
      <c r="DE305" s="495"/>
      <c r="DF305" s="495"/>
      <c r="DG305" s="495"/>
      <c r="DH305" s="495"/>
      <c r="DI305" s="495"/>
      <c r="DJ305" s="495"/>
      <c r="DK305" s="480"/>
      <c r="DL305" s="481"/>
      <c r="DM305" s="481"/>
      <c r="DN305" s="481"/>
      <c r="DO305" s="481"/>
      <c r="DP305" s="481"/>
      <c r="DQ305" s="481"/>
      <c r="DR305" s="482"/>
    </row>
    <row r="306" spans="2:158" ht="22.5" hidden="1" customHeight="1" x14ac:dyDescent="0.3">
      <c r="B306" s="438" t="s">
        <v>2916</v>
      </c>
      <c r="C306" s="436"/>
      <c r="D306" s="436"/>
      <c r="E306" s="436"/>
      <c r="F306" s="436"/>
      <c r="G306" s="436"/>
      <c r="H306" s="436"/>
      <c r="I306" s="436"/>
      <c r="J306" s="436"/>
      <c r="K306" s="387"/>
      <c r="L306" s="387"/>
      <c r="M306" s="435" t="s">
        <v>2086</v>
      </c>
      <c r="N306" s="436"/>
      <c r="O306" s="436"/>
      <c r="P306" s="436"/>
      <c r="Q306" s="436"/>
      <c r="R306" s="436"/>
      <c r="S306" s="439"/>
      <c r="T306" s="387"/>
      <c r="U306" s="387"/>
      <c r="V306" s="387"/>
      <c r="W306" s="387"/>
      <c r="X306" s="435" t="s">
        <v>2087</v>
      </c>
      <c r="Y306" s="436"/>
      <c r="Z306" s="436"/>
      <c r="AA306" s="436"/>
      <c r="AB306" s="436"/>
      <c r="AC306" s="436"/>
      <c r="AD306" s="436"/>
      <c r="AE306" s="387"/>
      <c r="AF306" s="387"/>
      <c r="AG306" s="387"/>
      <c r="AH306" s="387"/>
      <c r="AI306" s="387"/>
      <c r="AJ306" s="435" t="s">
        <v>2088</v>
      </c>
      <c r="AK306" s="436"/>
      <c r="AL306" s="436"/>
      <c r="AM306" s="436"/>
      <c r="AN306" s="436"/>
      <c r="AO306" s="436"/>
      <c r="AP306" s="436"/>
      <c r="AQ306" s="436"/>
      <c r="AR306" s="387"/>
      <c r="AS306" s="387"/>
      <c r="AT306" s="387"/>
      <c r="AU306" s="387"/>
      <c r="AV306" s="387"/>
      <c r="AW306" s="387"/>
      <c r="AX306" s="387"/>
      <c r="AY306" s="387"/>
      <c r="AZ306" s="387"/>
      <c r="BA306" s="387"/>
      <c r="BB306" s="387"/>
      <c r="BC306" s="387"/>
      <c r="BD306" s="387"/>
      <c r="BE306" s="388"/>
      <c r="BF306" s="190"/>
      <c r="BG306" s="190"/>
      <c r="BH306" s="445">
        <v>4</v>
      </c>
      <c r="BI306" s="446"/>
      <c r="BJ306" s="496"/>
      <c r="BK306" s="461"/>
      <c r="BL306" s="461"/>
      <c r="BM306" s="461"/>
      <c r="BN306" s="461"/>
      <c r="BO306" s="461"/>
      <c r="BP306" s="461"/>
      <c r="BQ306" s="461"/>
      <c r="BR306" s="461"/>
      <c r="BS306" s="461"/>
      <c r="BT306" s="461"/>
      <c r="BU306" s="461"/>
      <c r="BV306" s="521"/>
      <c r="BW306" s="522"/>
      <c r="BX306" s="522"/>
      <c r="BY306" s="522"/>
      <c r="BZ306" s="522"/>
      <c r="CA306" s="522"/>
      <c r="CB306" s="522"/>
      <c r="CC306" s="522"/>
      <c r="CD306" s="523"/>
      <c r="CE306" s="497"/>
      <c r="CF306" s="497"/>
      <c r="CG306" s="497"/>
      <c r="CH306" s="497"/>
      <c r="CI306" s="497"/>
      <c r="CJ306" s="497"/>
      <c r="CK306" s="497"/>
      <c r="CL306" s="497"/>
      <c r="CM306" s="497"/>
      <c r="CN306" s="497"/>
      <c r="CO306" s="496"/>
      <c r="CP306" s="461"/>
      <c r="CQ306" s="461"/>
      <c r="CR306" s="461"/>
      <c r="CS306" s="461"/>
      <c r="CT306" s="461"/>
      <c r="CU306" s="461"/>
      <c r="CV306" s="461"/>
      <c r="CW306" s="461"/>
      <c r="CX306" s="461"/>
      <c r="CY306" s="461"/>
      <c r="CZ306" s="520"/>
      <c r="DA306" s="497"/>
      <c r="DB306" s="497"/>
      <c r="DC306" s="497"/>
      <c r="DD306" s="497"/>
      <c r="DE306" s="497"/>
      <c r="DF306" s="497"/>
      <c r="DG306" s="497"/>
      <c r="DH306" s="497"/>
      <c r="DI306" s="497"/>
      <c r="DJ306" s="497"/>
      <c r="DK306" s="503"/>
      <c r="DL306" s="504"/>
      <c r="DM306" s="504"/>
      <c r="DN306" s="504"/>
      <c r="DO306" s="504"/>
      <c r="DP306" s="504"/>
      <c r="DQ306" s="504"/>
      <c r="DR306" s="505"/>
    </row>
    <row r="307" spans="2:158" ht="22.5" hidden="1" customHeight="1" x14ac:dyDescent="0.3">
      <c r="B307" s="381" t="s">
        <v>278</v>
      </c>
      <c r="C307" s="382"/>
      <c r="D307" s="382"/>
      <c r="E307" s="382"/>
      <c r="F307" s="382"/>
      <c r="G307" s="382"/>
      <c r="H307" s="382"/>
      <c r="I307" s="382"/>
      <c r="J307" s="394"/>
      <c r="K307" s="394"/>
      <c r="L307" s="394"/>
      <c r="M307" s="394"/>
      <c r="N307" s="394"/>
      <c r="O307" s="394"/>
      <c r="P307" s="394"/>
      <c r="Q307" s="394"/>
      <c r="R307" s="394"/>
      <c r="S307" s="394"/>
      <c r="T307" s="394"/>
      <c r="U307" s="394"/>
      <c r="V307" s="394"/>
      <c r="W307" s="394"/>
      <c r="X307" s="394"/>
      <c r="Y307" s="394"/>
      <c r="Z307" s="394"/>
      <c r="AA307" s="394"/>
      <c r="AB307" s="394"/>
      <c r="AC307" s="394"/>
      <c r="AD307" s="394"/>
      <c r="AE307" s="394"/>
      <c r="AF307" s="394"/>
      <c r="AG307" s="394"/>
      <c r="AH307" s="394"/>
      <c r="AI307" s="394"/>
      <c r="AJ307" s="394"/>
      <c r="AK307" s="394"/>
      <c r="AL307" s="394"/>
      <c r="AM307" s="394"/>
      <c r="AN307" s="394"/>
      <c r="AO307" s="394"/>
      <c r="AP307" s="394"/>
      <c r="AQ307" s="394"/>
      <c r="AR307" s="394"/>
      <c r="AS307" s="394"/>
      <c r="AT307" s="394"/>
      <c r="AU307" s="394"/>
      <c r="AV307" s="394"/>
      <c r="AW307" s="394"/>
      <c r="AX307" s="394"/>
      <c r="AY307" s="394"/>
      <c r="AZ307" s="394"/>
      <c r="BA307" s="394"/>
      <c r="BB307" s="394"/>
      <c r="BC307" s="394"/>
      <c r="BD307" s="394"/>
      <c r="BE307" s="395"/>
      <c r="BF307" s="190"/>
      <c r="BG307" s="190"/>
      <c r="DA307" s="511" t="s">
        <v>1647</v>
      </c>
      <c r="DB307" s="512"/>
      <c r="DC307" s="512"/>
      <c r="DD307" s="512"/>
      <c r="DE307" s="512"/>
      <c r="DF307" s="512"/>
      <c r="DG307" s="512"/>
      <c r="DH307" s="512"/>
      <c r="DI307" s="512"/>
      <c r="DJ307" s="512"/>
      <c r="DK307" s="418">
        <f>SUM(DK303:DR306)</f>
        <v>0</v>
      </c>
      <c r="DL307" s="419"/>
      <c r="DM307" s="419"/>
      <c r="DN307" s="419"/>
      <c r="DO307" s="419"/>
      <c r="DP307" s="419"/>
      <c r="DQ307" s="419"/>
      <c r="DR307" s="420"/>
    </row>
    <row r="308" spans="2:158" ht="24" hidden="1" customHeight="1" x14ac:dyDescent="0.25">
      <c r="B308" s="383" t="s">
        <v>2944</v>
      </c>
      <c r="C308" s="384"/>
      <c r="D308" s="384"/>
      <c r="E308" s="384"/>
      <c r="F308" s="384"/>
      <c r="G308" s="384"/>
      <c r="H308" s="384"/>
      <c r="I308" s="384"/>
      <c r="J308" s="396"/>
      <c r="K308" s="396"/>
      <c r="L308" s="396"/>
      <c r="M308" s="396"/>
      <c r="N308" s="396"/>
      <c r="O308" s="396"/>
      <c r="P308" s="396"/>
      <c r="Q308" s="396"/>
      <c r="R308" s="396"/>
      <c r="S308" s="396"/>
      <c r="T308" s="396"/>
      <c r="U308" s="396"/>
      <c r="V308" s="396"/>
      <c r="W308" s="396"/>
      <c r="X308" s="396"/>
      <c r="Y308" s="396"/>
      <c r="Z308" s="396"/>
      <c r="AA308" s="396"/>
      <c r="AB308" s="396"/>
      <c r="AC308" s="396"/>
      <c r="AD308" s="396"/>
      <c r="AE308" s="396"/>
      <c r="AF308" s="396"/>
      <c r="AG308" s="396"/>
      <c r="AH308" s="396"/>
      <c r="AI308" s="396"/>
      <c r="AJ308" s="396"/>
      <c r="AK308" s="396"/>
      <c r="AL308" s="396"/>
      <c r="AM308" s="396"/>
      <c r="AN308" s="396"/>
      <c r="AO308" s="396"/>
      <c r="AP308" s="396"/>
      <c r="AQ308" s="396"/>
      <c r="AR308" s="396"/>
      <c r="AS308" s="396"/>
      <c r="AT308" s="396"/>
      <c r="AU308" s="396"/>
      <c r="AV308" s="396"/>
      <c r="AW308" s="396"/>
      <c r="AX308" s="396"/>
      <c r="AY308" s="396"/>
      <c r="AZ308" s="396"/>
      <c r="BA308" s="396"/>
      <c r="BB308" s="396"/>
      <c r="BC308" s="396"/>
      <c r="BD308" s="396"/>
      <c r="BE308" s="397"/>
      <c r="EH308"/>
      <c r="EI308"/>
      <c r="EJ308"/>
      <c r="EK308"/>
      <c r="EL308"/>
      <c r="EM308"/>
      <c r="EN308"/>
      <c r="EO308"/>
      <c r="EP308"/>
      <c r="EQ308"/>
      <c r="ER308"/>
      <c r="ES308"/>
      <c r="ET308"/>
      <c r="EU308"/>
      <c r="EV308"/>
      <c r="EW308"/>
      <c r="EX308"/>
      <c r="EY308"/>
      <c r="EZ308"/>
      <c r="FA308"/>
      <c r="FB308"/>
    </row>
    <row r="309" spans="2:158" ht="24" hidden="1" customHeight="1" thickBot="1" x14ac:dyDescent="0.3">
      <c r="B309" s="385"/>
      <c r="C309" s="386"/>
      <c r="D309" s="386"/>
      <c r="E309" s="386"/>
      <c r="F309" s="386"/>
      <c r="G309" s="386"/>
      <c r="H309" s="386"/>
      <c r="I309" s="386"/>
      <c r="J309" s="398"/>
      <c r="K309" s="398"/>
      <c r="L309" s="398"/>
      <c r="M309" s="398"/>
      <c r="N309" s="398"/>
      <c r="O309" s="398"/>
      <c r="P309" s="398"/>
      <c r="Q309" s="398"/>
      <c r="R309" s="398"/>
      <c r="S309" s="398"/>
      <c r="T309" s="398"/>
      <c r="U309" s="398"/>
      <c r="V309" s="398"/>
      <c r="W309" s="398"/>
      <c r="X309" s="398"/>
      <c r="Y309" s="398"/>
      <c r="Z309" s="398"/>
      <c r="AA309" s="398"/>
      <c r="AB309" s="398"/>
      <c r="AC309" s="398"/>
      <c r="AD309" s="398"/>
      <c r="AE309" s="398"/>
      <c r="AF309" s="398"/>
      <c r="AG309" s="398"/>
      <c r="AH309" s="398"/>
      <c r="AI309" s="398"/>
      <c r="AJ309" s="398"/>
      <c r="AK309" s="398"/>
      <c r="AL309" s="398"/>
      <c r="AM309" s="398"/>
      <c r="AN309" s="398"/>
      <c r="AO309" s="398"/>
      <c r="AP309" s="398"/>
      <c r="AQ309" s="398"/>
      <c r="AR309" s="398"/>
      <c r="AS309" s="398"/>
      <c r="AT309" s="398"/>
      <c r="AU309" s="398"/>
      <c r="AV309" s="398"/>
      <c r="AW309" s="398"/>
      <c r="AX309" s="398"/>
      <c r="AY309" s="398"/>
      <c r="AZ309" s="398"/>
      <c r="BA309" s="398"/>
      <c r="BB309" s="398"/>
      <c r="BC309" s="398"/>
      <c r="BD309" s="398"/>
      <c r="BE309" s="399"/>
      <c r="EH309"/>
      <c r="EI309"/>
      <c r="EJ309"/>
      <c r="EK309"/>
      <c r="EL309"/>
      <c r="EM309"/>
      <c r="EN309"/>
      <c r="EO309"/>
      <c r="EP309"/>
      <c r="EQ309"/>
      <c r="ER309"/>
      <c r="ES309"/>
      <c r="ET309"/>
      <c r="EU309"/>
      <c r="EV309"/>
      <c r="EW309"/>
      <c r="EX309"/>
      <c r="EY309"/>
      <c r="EZ309"/>
      <c r="FA309"/>
      <c r="FB309"/>
    </row>
    <row r="310" spans="2:158" ht="24" hidden="1" customHeight="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EH310"/>
      <c r="EI310"/>
      <c r="EJ310"/>
      <c r="EK310"/>
      <c r="EL310"/>
      <c r="EM310"/>
      <c r="EN310"/>
      <c r="EO310"/>
      <c r="EP310"/>
      <c r="EQ310"/>
      <c r="ER310"/>
      <c r="ES310"/>
      <c r="ET310"/>
      <c r="EU310"/>
      <c r="EV310"/>
      <c r="EW310"/>
      <c r="EX310"/>
      <c r="EY310"/>
      <c r="EZ310"/>
      <c r="FA310"/>
      <c r="FB310"/>
    </row>
    <row r="311" spans="2:158" ht="18.75" hidden="1" customHeight="1" x14ac:dyDescent="0.3">
      <c r="B311" s="190"/>
      <c r="C311" s="190"/>
      <c r="D311" s="190"/>
      <c r="E311" s="190"/>
      <c r="F311" s="190"/>
      <c r="G311" s="190"/>
      <c r="H311" s="190"/>
      <c r="I311" s="190"/>
      <c r="J311" s="190"/>
      <c r="K311" s="190"/>
      <c r="L311" s="190"/>
      <c r="M311" s="190"/>
      <c r="N311" s="190"/>
      <c r="O311" s="190"/>
      <c r="P311" s="190"/>
      <c r="Q311" s="190"/>
      <c r="R311" s="190"/>
      <c r="S311" s="190"/>
      <c r="T311" s="190"/>
      <c r="U311" s="190"/>
      <c r="V311" s="190"/>
      <c r="W311" s="190"/>
      <c r="X311" s="190"/>
      <c r="Y311" s="190"/>
      <c r="Z311" s="190"/>
      <c r="AA311" s="190"/>
      <c r="AB311" s="190"/>
      <c r="AC311" s="190"/>
      <c r="AD311" s="190"/>
      <c r="AE311" s="190"/>
      <c r="AF311" s="190"/>
      <c r="AG311" s="190"/>
      <c r="AH311" s="190"/>
      <c r="AI311" s="190"/>
      <c r="AJ311" s="190"/>
      <c r="AK311" s="190"/>
      <c r="AL311" s="190"/>
      <c r="AM311" s="190"/>
      <c r="AN311" s="190"/>
      <c r="AO311" s="190"/>
      <c r="AP311" s="190"/>
      <c r="AQ311" s="190"/>
      <c r="AR311" s="190"/>
      <c r="AS311" s="190"/>
      <c r="AT311" s="190"/>
      <c r="AU311" s="190"/>
      <c r="AV311" s="190"/>
      <c r="AW311" s="190"/>
      <c r="AX311" s="190"/>
      <c r="AY311" s="190"/>
      <c r="AZ311" s="190"/>
      <c r="BA311" s="190"/>
      <c r="BB311" s="190"/>
      <c r="BC311" s="190"/>
      <c r="BD311" s="190"/>
      <c r="BE311" s="190"/>
      <c r="BF311" s="190"/>
      <c r="BG311" s="190"/>
      <c r="BH311" s="190"/>
      <c r="BI311" s="190"/>
      <c r="BJ311" s="190"/>
      <c r="BK311" s="190"/>
      <c r="BL311" s="190"/>
      <c r="BM311" s="190"/>
      <c r="BN311" s="190"/>
      <c r="BO311" s="190"/>
      <c r="BP311" s="190"/>
      <c r="BQ311" s="190"/>
      <c r="BR311" s="190"/>
      <c r="BS311" s="190"/>
      <c r="BT311" s="190"/>
      <c r="BU311" s="190"/>
      <c r="BV311" s="190"/>
      <c r="BW311" s="190"/>
      <c r="BX311" s="190"/>
      <c r="EH311"/>
      <c r="EI311"/>
      <c r="EJ311"/>
      <c r="EK311"/>
      <c r="EL311"/>
      <c r="EM311"/>
      <c r="EN311"/>
      <c r="EO311"/>
      <c r="EP311"/>
      <c r="EQ311"/>
      <c r="ER311"/>
      <c r="ES311"/>
      <c r="ET311"/>
      <c r="EU311"/>
      <c r="EV311"/>
      <c r="EW311"/>
      <c r="EX311"/>
      <c r="EY311"/>
      <c r="EZ311"/>
      <c r="FA311"/>
      <c r="FB311"/>
    </row>
    <row r="312" spans="2:158" ht="22.5" hidden="1" customHeight="1" thickBot="1" x14ac:dyDescent="0.35">
      <c r="B312" s="440" t="s">
        <v>304</v>
      </c>
      <c r="C312" s="440"/>
      <c r="D312" s="440"/>
      <c r="E312" s="440"/>
      <c r="F312" s="440"/>
      <c r="G312" s="440"/>
      <c r="H312" s="440"/>
      <c r="I312" s="440"/>
      <c r="J312" s="440"/>
      <c r="K312" s="440"/>
      <c r="L312" s="440"/>
      <c r="M312" s="440"/>
      <c r="N312" s="440"/>
      <c r="O312" s="440"/>
      <c r="P312" s="440"/>
      <c r="Q312" s="440"/>
      <c r="R312" s="440"/>
      <c r="S312" s="440"/>
      <c r="T312" s="440"/>
      <c r="U312" s="440"/>
      <c r="V312" s="440"/>
      <c r="W312" s="440"/>
      <c r="X312" s="440"/>
      <c r="Y312" s="440"/>
      <c r="Z312" s="440"/>
      <c r="AA312" s="440"/>
      <c r="AB312" s="440"/>
      <c r="AC312" s="440"/>
      <c r="AD312" s="440"/>
      <c r="AE312" s="440"/>
      <c r="AF312" s="440"/>
      <c r="AG312" s="440"/>
      <c r="AH312" s="440"/>
      <c r="AI312" s="440"/>
      <c r="AJ312" s="440"/>
      <c r="AK312" s="440"/>
      <c r="AL312" s="440"/>
      <c r="AM312" s="440"/>
      <c r="AN312" s="440"/>
      <c r="AO312" s="440"/>
      <c r="AP312" s="440"/>
      <c r="AQ312" s="440"/>
      <c r="AR312" s="440"/>
      <c r="AS312" s="440"/>
      <c r="AT312" s="440"/>
      <c r="AU312" s="440"/>
      <c r="AV312" s="440"/>
      <c r="AW312" s="440"/>
      <c r="AX312" s="440"/>
      <c r="AY312" s="440"/>
      <c r="AZ312" s="440"/>
      <c r="BA312" s="440"/>
      <c r="BB312" s="440"/>
      <c r="BC312" s="440"/>
      <c r="BD312" s="440"/>
      <c r="BE312" s="440"/>
      <c r="BF312" s="187"/>
      <c r="BG312" s="187"/>
      <c r="BJ312" s="178" t="s">
        <v>1648</v>
      </c>
    </row>
    <row r="313" spans="2:158" ht="22.5" hidden="1" customHeight="1" x14ac:dyDescent="0.3">
      <c r="B313" s="454" t="s">
        <v>3221</v>
      </c>
      <c r="C313" s="401"/>
      <c r="D313" s="401"/>
      <c r="E313" s="401"/>
      <c r="F313" s="401"/>
      <c r="G313" s="401"/>
      <c r="H313" s="401"/>
      <c r="I313" s="401"/>
      <c r="J313" s="404"/>
      <c r="K313" s="404"/>
      <c r="L313" s="404"/>
      <c r="M313" s="404"/>
      <c r="N313" s="404"/>
      <c r="O313" s="404"/>
      <c r="P313" s="404"/>
      <c r="Q313" s="404"/>
      <c r="R313" s="404"/>
      <c r="S313" s="404"/>
      <c r="T313" s="404"/>
      <c r="U313" s="404"/>
      <c r="V313" s="404"/>
      <c r="W313" s="404"/>
      <c r="X313" s="405"/>
      <c r="Y313" s="400" t="s">
        <v>2074</v>
      </c>
      <c r="Z313" s="401"/>
      <c r="AA313" s="401"/>
      <c r="AB313" s="402"/>
      <c r="AC313" s="402"/>
      <c r="AD313" s="402"/>
      <c r="AE313" s="402"/>
      <c r="AF313" s="402"/>
      <c r="AG313" s="402"/>
      <c r="AH313" s="402"/>
      <c r="AI313" s="402"/>
      <c r="AJ313" s="402"/>
      <c r="AK313" s="403"/>
      <c r="AL313" s="400" t="s">
        <v>1982</v>
      </c>
      <c r="AM313" s="401"/>
      <c r="AN313" s="401"/>
      <c r="AO313" s="404"/>
      <c r="AP313" s="404"/>
      <c r="AQ313" s="404"/>
      <c r="AR313" s="404"/>
      <c r="AS313" s="404"/>
      <c r="AT313" s="404"/>
      <c r="AU313" s="405"/>
      <c r="AV313" s="400" t="s">
        <v>1983</v>
      </c>
      <c r="AW313" s="401"/>
      <c r="AX313" s="404"/>
      <c r="AY313" s="404"/>
      <c r="AZ313" s="404"/>
      <c r="BA313" s="404"/>
      <c r="BB313" s="404"/>
      <c r="BC313" s="404"/>
      <c r="BD313" s="404"/>
      <c r="BE313" s="406"/>
      <c r="BF313" s="190"/>
      <c r="BG313" s="190"/>
      <c r="BH313" s="517" t="s">
        <v>389</v>
      </c>
      <c r="BI313" s="518"/>
      <c r="BJ313" s="489" t="s">
        <v>1649</v>
      </c>
      <c r="BK313" s="490"/>
      <c r="BL313" s="490"/>
      <c r="BM313" s="490"/>
      <c r="BN313" s="490"/>
      <c r="BO313" s="490"/>
      <c r="BP313" s="490"/>
      <c r="BQ313" s="490"/>
      <c r="BR313" s="490"/>
      <c r="BS313" s="490"/>
      <c r="BT313" s="490"/>
      <c r="BU313" s="490"/>
      <c r="BV313" s="483" t="s">
        <v>1644</v>
      </c>
      <c r="BW313" s="484"/>
      <c r="BX313" s="484"/>
      <c r="BY313" s="484"/>
      <c r="BZ313" s="484"/>
      <c r="CA313" s="484"/>
      <c r="CB313" s="484"/>
      <c r="CC313" s="484"/>
      <c r="CD313" s="485"/>
      <c r="CE313" s="513" t="s">
        <v>1675</v>
      </c>
      <c r="CF313" s="513"/>
      <c r="CG313" s="513"/>
      <c r="CH313" s="513"/>
      <c r="CI313" s="513"/>
      <c r="CJ313" s="513"/>
      <c r="CK313" s="513"/>
      <c r="CL313" s="513"/>
      <c r="CM313" s="513"/>
      <c r="CN313" s="513"/>
      <c r="CO313" s="489" t="s">
        <v>1676</v>
      </c>
      <c r="CP313" s="490"/>
      <c r="CQ313" s="490"/>
      <c r="CR313" s="490"/>
      <c r="CS313" s="490"/>
      <c r="CT313" s="490"/>
      <c r="CU313" s="490"/>
      <c r="CV313" s="490"/>
      <c r="CW313" s="490"/>
      <c r="CX313" s="490"/>
      <c r="CY313" s="490"/>
      <c r="CZ313" s="491"/>
      <c r="DA313" s="516" t="s">
        <v>1645</v>
      </c>
      <c r="DB313" s="516"/>
      <c r="DC313" s="516"/>
      <c r="DD313" s="516"/>
      <c r="DE313" s="516"/>
      <c r="DF313" s="516"/>
      <c r="DG313" s="516"/>
      <c r="DH313" s="516"/>
      <c r="DI313" s="516"/>
      <c r="DJ313" s="516"/>
      <c r="DK313" s="483" t="s">
        <v>1646</v>
      </c>
      <c r="DL313" s="484"/>
      <c r="DM313" s="484"/>
      <c r="DN313" s="484"/>
      <c r="DO313" s="484"/>
      <c r="DP313" s="484"/>
      <c r="DQ313" s="484"/>
      <c r="DR313" s="485"/>
    </row>
    <row r="314" spans="2:158" ht="22.5" hidden="1" customHeight="1" x14ac:dyDescent="0.3">
      <c r="B314" s="393" t="s">
        <v>1984</v>
      </c>
      <c r="C314" s="392"/>
      <c r="D314" s="392"/>
      <c r="E314" s="392"/>
      <c r="F314" s="389"/>
      <c r="G314" s="389"/>
      <c r="H314" s="389"/>
      <c r="I314" s="389"/>
      <c r="J314" s="389"/>
      <c r="K314" s="389"/>
      <c r="L314" s="389"/>
      <c r="M314" s="391" t="s">
        <v>307</v>
      </c>
      <c r="N314" s="392"/>
      <c r="O314" s="392"/>
      <c r="P314" s="392"/>
      <c r="Q314" s="392"/>
      <c r="R314" s="392"/>
      <c r="S314" s="392"/>
      <c r="T314" s="392"/>
      <c r="U314" s="433"/>
      <c r="V314" s="433"/>
      <c r="W314" s="433"/>
      <c r="X314" s="433"/>
      <c r="Y314" s="433"/>
      <c r="Z314" s="433"/>
      <c r="AA314" s="391" t="s">
        <v>2084</v>
      </c>
      <c r="AB314" s="392"/>
      <c r="AC314" s="392"/>
      <c r="AD314" s="392"/>
      <c r="AE314" s="392"/>
      <c r="AF314" s="392"/>
      <c r="AG314" s="392"/>
      <c r="AH314" s="392"/>
      <c r="AI314" s="433"/>
      <c r="AJ314" s="433"/>
      <c r="AK314" s="433"/>
      <c r="AL314" s="433"/>
      <c r="AM314" s="433"/>
      <c r="AN314" s="434"/>
      <c r="AO314" s="391" t="s">
        <v>279</v>
      </c>
      <c r="AP314" s="392"/>
      <c r="AQ314" s="392"/>
      <c r="AR314" s="392"/>
      <c r="AS314" s="392"/>
      <c r="AT314" s="437"/>
      <c r="AU314" s="437"/>
      <c r="AV314" s="437"/>
      <c r="AW314" s="437"/>
      <c r="AX314" s="437"/>
      <c r="AY314" s="437"/>
      <c r="AZ314" s="391" t="s">
        <v>2083</v>
      </c>
      <c r="BA314" s="392"/>
      <c r="BB314" s="392"/>
      <c r="BC314" s="392"/>
      <c r="BD314" s="389"/>
      <c r="BE314" s="390"/>
      <c r="BF314" s="190"/>
      <c r="BG314" s="190"/>
      <c r="BH314" s="514">
        <v>1</v>
      </c>
      <c r="BI314" s="515"/>
      <c r="BJ314" s="498"/>
      <c r="BK314" s="499"/>
      <c r="BL314" s="499"/>
      <c r="BM314" s="499"/>
      <c r="BN314" s="499"/>
      <c r="BO314" s="499"/>
      <c r="BP314" s="499"/>
      <c r="BQ314" s="499"/>
      <c r="BR314" s="499"/>
      <c r="BS314" s="499"/>
      <c r="BT314" s="499"/>
      <c r="BU314" s="499"/>
      <c r="BV314" s="500"/>
      <c r="BW314" s="501"/>
      <c r="BX314" s="501"/>
      <c r="BY314" s="501"/>
      <c r="BZ314" s="501"/>
      <c r="CA314" s="501"/>
      <c r="CB314" s="501"/>
      <c r="CC314" s="501"/>
      <c r="CD314" s="502"/>
      <c r="CE314" s="519"/>
      <c r="CF314" s="519"/>
      <c r="CG314" s="519"/>
      <c r="CH314" s="519"/>
      <c r="CI314" s="519"/>
      <c r="CJ314" s="519"/>
      <c r="CK314" s="519"/>
      <c r="CL314" s="519"/>
      <c r="CM314" s="519"/>
      <c r="CN314" s="519"/>
      <c r="CO314" s="507"/>
      <c r="CP314" s="508"/>
      <c r="CQ314" s="508"/>
      <c r="CR314" s="508"/>
      <c r="CS314" s="508"/>
      <c r="CT314" s="508"/>
      <c r="CU314" s="508"/>
      <c r="CV314" s="508"/>
      <c r="CW314" s="508"/>
      <c r="CX314" s="508"/>
      <c r="CY314" s="508"/>
      <c r="CZ314" s="509"/>
      <c r="DA314" s="510"/>
      <c r="DB314" s="510"/>
      <c r="DC314" s="510"/>
      <c r="DD314" s="510"/>
      <c r="DE314" s="510"/>
      <c r="DF314" s="510"/>
      <c r="DG314" s="510"/>
      <c r="DH314" s="510"/>
      <c r="DI314" s="510"/>
      <c r="DJ314" s="510"/>
      <c r="DK314" s="492"/>
      <c r="DL314" s="493"/>
      <c r="DM314" s="493"/>
      <c r="DN314" s="493"/>
      <c r="DO314" s="493"/>
      <c r="DP314" s="493"/>
      <c r="DQ314" s="493"/>
      <c r="DR314" s="494"/>
    </row>
    <row r="315" spans="2:158" ht="22.5" hidden="1" customHeight="1" x14ac:dyDescent="0.3">
      <c r="B315" s="393" t="s">
        <v>2091</v>
      </c>
      <c r="C315" s="392"/>
      <c r="D315" s="392"/>
      <c r="E315" s="392"/>
      <c r="F315" s="392"/>
      <c r="G315" s="392"/>
      <c r="H315" s="392"/>
      <c r="I315" s="392"/>
      <c r="J315" s="392"/>
      <c r="K315" s="389"/>
      <c r="L315" s="389"/>
      <c r="M315" s="391" t="s">
        <v>2089</v>
      </c>
      <c r="N315" s="392"/>
      <c r="O315" s="392"/>
      <c r="P315" s="392"/>
      <c r="Q315" s="392"/>
      <c r="R315" s="392"/>
      <c r="S315" s="389"/>
      <c r="T315" s="389"/>
      <c r="U315" s="389"/>
      <c r="V315" s="389"/>
      <c r="W315" s="389"/>
      <c r="X315" s="391" t="s">
        <v>2092</v>
      </c>
      <c r="Y315" s="392"/>
      <c r="Z315" s="392"/>
      <c r="AA315" s="392"/>
      <c r="AB315" s="392"/>
      <c r="AC315" s="392"/>
      <c r="AD315" s="392"/>
      <c r="AE315" s="392"/>
      <c r="AF315" s="392"/>
      <c r="AG315" s="392"/>
      <c r="AH315" s="392"/>
      <c r="AI315" s="392"/>
      <c r="AJ315" s="392"/>
      <c r="AK315" s="392"/>
      <c r="AL315" s="392"/>
      <c r="AM315" s="392"/>
      <c r="AN315" s="392"/>
      <c r="AO315" s="392"/>
      <c r="AP315" s="392"/>
      <c r="AQ315" s="392"/>
      <c r="AR315" s="389"/>
      <c r="AS315" s="389"/>
      <c r="AT315" s="389"/>
      <c r="AU315" s="389"/>
      <c r="AV315" s="389"/>
      <c r="AW315" s="432"/>
      <c r="AX315" s="391" t="s">
        <v>796</v>
      </c>
      <c r="AY315" s="392"/>
      <c r="AZ315" s="392"/>
      <c r="BA315" s="392"/>
      <c r="BB315" s="392"/>
      <c r="BC315" s="392"/>
      <c r="BD315" s="389"/>
      <c r="BE315" s="390"/>
      <c r="BF315" s="190"/>
      <c r="BG315" s="190"/>
      <c r="BH315" s="443">
        <v>2</v>
      </c>
      <c r="BI315" s="444"/>
      <c r="BJ315" s="486"/>
      <c r="BK315" s="487"/>
      <c r="BL315" s="487"/>
      <c r="BM315" s="487"/>
      <c r="BN315" s="487"/>
      <c r="BO315" s="487"/>
      <c r="BP315" s="487"/>
      <c r="BQ315" s="487"/>
      <c r="BR315" s="487"/>
      <c r="BS315" s="487"/>
      <c r="BT315" s="487"/>
      <c r="BU315" s="487"/>
      <c r="BV315" s="500"/>
      <c r="BW315" s="501"/>
      <c r="BX315" s="501"/>
      <c r="BY315" s="501"/>
      <c r="BZ315" s="501"/>
      <c r="CA315" s="501"/>
      <c r="CB315" s="501"/>
      <c r="CC315" s="501"/>
      <c r="CD315" s="502"/>
      <c r="CE315" s="495"/>
      <c r="CF315" s="495"/>
      <c r="CG315" s="495"/>
      <c r="CH315" s="495"/>
      <c r="CI315" s="495"/>
      <c r="CJ315" s="495"/>
      <c r="CK315" s="495"/>
      <c r="CL315" s="495"/>
      <c r="CM315" s="495"/>
      <c r="CN315" s="495"/>
      <c r="CO315" s="486"/>
      <c r="CP315" s="487"/>
      <c r="CQ315" s="487"/>
      <c r="CR315" s="487"/>
      <c r="CS315" s="487"/>
      <c r="CT315" s="487"/>
      <c r="CU315" s="487"/>
      <c r="CV315" s="487"/>
      <c r="CW315" s="487"/>
      <c r="CX315" s="487"/>
      <c r="CY315" s="487"/>
      <c r="CZ315" s="488"/>
      <c r="DA315" s="495"/>
      <c r="DB315" s="495"/>
      <c r="DC315" s="495"/>
      <c r="DD315" s="495"/>
      <c r="DE315" s="495"/>
      <c r="DF315" s="495"/>
      <c r="DG315" s="495"/>
      <c r="DH315" s="495"/>
      <c r="DI315" s="495"/>
      <c r="DJ315" s="495"/>
      <c r="DK315" s="480"/>
      <c r="DL315" s="481"/>
      <c r="DM315" s="481"/>
      <c r="DN315" s="481"/>
      <c r="DO315" s="481"/>
      <c r="DP315" s="481"/>
      <c r="DQ315" s="481"/>
      <c r="DR315" s="482"/>
    </row>
    <row r="316" spans="2:158" ht="22.5" hidden="1" customHeight="1" x14ac:dyDescent="0.3">
      <c r="B316" s="393" t="s">
        <v>2978</v>
      </c>
      <c r="C316" s="392"/>
      <c r="D316" s="392"/>
      <c r="E316" s="392"/>
      <c r="F316" s="392"/>
      <c r="G316" s="392"/>
      <c r="H316" s="392"/>
      <c r="I316" s="392"/>
      <c r="J316" s="392"/>
      <c r="K316" s="389"/>
      <c r="L316" s="389"/>
      <c r="M316" s="391" t="s">
        <v>2089</v>
      </c>
      <c r="N316" s="392"/>
      <c r="O316" s="392"/>
      <c r="P316" s="392"/>
      <c r="Q316" s="392"/>
      <c r="R316" s="392"/>
      <c r="S316" s="389"/>
      <c r="T316" s="389"/>
      <c r="U316" s="389"/>
      <c r="V316" s="389"/>
      <c r="W316" s="389"/>
      <c r="X316" s="391" t="s">
        <v>2118</v>
      </c>
      <c r="Y316" s="392"/>
      <c r="Z316" s="392"/>
      <c r="AA316" s="392"/>
      <c r="AB316" s="392"/>
      <c r="AC316" s="392"/>
      <c r="AD316" s="392"/>
      <c r="AE316" s="442"/>
      <c r="AF316" s="442"/>
      <c r="AG316" s="442"/>
      <c r="AH316" s="442"/>
      <c r="AI316" s="442"/>
      <c r="AJ316" s="391" t="s">
        <v>2090</v>
      </c>
      <c r="AK316" s="392"/>
      <c r="AL316" s="392"/>
      <c r="AM316" s="392"/>
      <c r="AN316" s="392"/>
      <c r="AO316" s="392"/>
      <c r="AP316" s="392"/>
      <c r="AQ316" s="392"/>
      <c r="AR316" s="433"/>
      <c r="AS316" s="433"/>
      <c r="AT316" s="433"/>
      <c r="AU316" s="433"/>
      <c r="AV316" s="433"/>
      <c r="AW316" s="434"/>
      <c r="AX316" s="391" t="s">
        <v>2085</v>
      </c>
      <c r="AY316" s="392"/>
      <c r="AZ316" s="392"/>
      <c r="BA316" s="392"/>
      <c r="BB316" s="392"/>
      <c r="BC316" s="392"/>
      <c r="BD316" s="389"/>
      <c r="BE316" s="390"/>
      <c r="BF316" s="190"/>
      <c r="BG316" s="190"/>
      <c r="BH316" s="443">
        <v>3</v>
      </c>
      <c r="BI316" s="444"/>
      <c r="BJ316" s="486"/>
      <c r="BK316" s="487"/>
      <c r="BL316" s="487"/>
      <c r="BM316" s="487"/>
      <c r="BN316" s="487"/>
      <c r="BO316" s="487"/>
      <c r="BP316" s="487"/>
      <c r="BQ316" s="487"/>
      <c r="BR316" s="487"/>
      <c r="BS316" s="487"/>
      <c r="BT316" s="487"/>
      <c r="BU316" s="487"/>
      <c r="BV316" s="500"/>
      <c r="BW316" s="501"/>
      <c r="BX316" s="501"/>
      <c r="BY316" s="501"/>
      <c r="BZ316" s="501"/>
      <c r="CA316" s="501"/>
      <c r="CB316" s="501"/>
      <c r="CC316" s="501"/>
      <c r="CD316" s="502"/>
      <c r="CE316" s="506"/>
      <c r="CF316" s="506"/>
      <c r="CG316" s="506"/>
      <c r="CH316" s="506"/>
      <c r="CI316" s="506"/>
      <c r="CJ316" s="506"/>
      <c r="CK316" s="506"/>
      <c r="CL316" s="506"/>
      <c r="CM316" s="506"/>
      <c r="CN316" s="506"/>
      <c r="CO316" s="500"/>
      <c r="CP316" s="501"/>
      <c r="CQ316" s="501"/>
      <c r="CR316" s="501"/>
      <c r="CS316" s="501"/>
      <c r="CT316" s="501"/>
      <c r="CU316" s="501"/>
      <c r="CV316" s="501"/>
      <c r="CW316" s="501"/>
      <c r="CX316" s="501"/>
      <c r="CY316" s="501"/>
      <c r="CZ316" s="502"/>
      <c r="DA316" s="495"/>
      <c r="DB316" s="495"/>
      <c r="DC316" s="495"/>
      <c r="DD316" s="495"/>
      <c r="DE316" s="495"/>
      <c r="DF316" s="495"/>
      <c r="DG316" s="495"/>
      <c r="DH316" s="495"/>
      <c r="DI316" s="495"/>
      <c r="DJ316" s="495"/>
      <c r="DK316" s="480"/>
      <c r="DL316" s="481"/>
      <c r="DM316" s="481"/>
      <c r="DN316" s="481"/>
      <c r="DO316" s="481"/>
      <c r="DP316" s="481"/>
      <c r="DQ316" s="481"/>
      <c r="DR316" s="482"/>
    </row>
    <row r="317" spans="2:158" ht="22.5" hidden="1" customHeight="1" x14ac:dyDescent="0.3">
      <c r="B317" s="438" t="s">
        <v>2916</v>
      </c>
      <c r="C317" s="436"/>
      <c r="D317" s="436"/>
      <c r="E317" s="436"/>
      <c r="F317" s="436"/>
      <c r="G317" s="436"/>
      <c r="H317" s="436"/>
      <c r="I317" s="436"/>
      <c r="J317" s="436"/>
      <c r="K317" s="387"/>
      <c r="L317" s="387"/>
      <c r="M317" s="435" t="s">
        <v>2086</v>
      </c>
      <c r="N317" s="436"/>
      <c r="O317" s="436"/>
      <c r="P317" s="436"/>
      <c r="Q317" s="436"/>
      <c r="R317" s="436"/>
      <c r="S317" s="439"/>
      <c r="T317" s="387"/>
      <c r="U317" s="387"/>
      <c r="V317" s="387"/>
      <c r="W317" s="387"/>
      <c r="X317" s="435" t="s">
        <v>2087</v>
      </c>
      <c r="Y317" s="436"/>
      <c r="Z317" s="436"/>
      <c r="AA317" s="436"/>
      <c r="AB317" s="436"/>
      <c r="AC317" s="436"/>
      <c r="AD317" s="436"/>
      <c r="AE317" s="387"/>
      <c r="AF317" s="387"/>
      <c r="AG317" s="387"/>
      <c r="AH317" s="387"/>
      <c r="AI317" s="387"/>
      <c r="AJ317" s="435" t="s">
        <v>2088</v>
      </c>
      <c r="AK317" s="436"/>
      <c r="AL317" s="436"/>
      <c r="AM317" s="436"/>
      <c r="AN317" s="436"/>
      <c r="AO317" s="436"/>
      <c r="AP317" s="436"/>
      <c r="AQ317" s="436"/>
      <c r="AR317" s="387"/>
      <c r="AS317" s="387"/>
      <c r="AT317" s="387"/>
      <c r="AU317" s="387"/>
      <c r="AV317" s="387"/>
      <c r="AW317" s="387"/>
      <c r="AX317" s="387"/>
      <c r="AY317" s="387"/>
      <c r="AZ317" s="387"/>
      <c r="BA317" s="387"/>
      <c r="BB317" s="387"/>
      <c r="BC317" s="387"/>
      <c r="BD317" s="387"/>
      <c r="BE317" s="388"/>
      <c r="BF317" s="190"/>
      <c r="BG317" s="190"/>
      <c r="BH317" s="445">
        <v>4</v>
      </c>
      <c r="BI317" s="446"/>
      <c r="BJ317" s="496"/>
      <c r="BK317" s="461"/>
      <c r="BL317" s="461"/>
      <c r="BM317" s="461"/>
      <c r="BN317" s="461"/>
      <c r="BO317" s="461"/>
      <c r="BP317" s="461"/>
      <c r="BQ317" s="461"/>
      <c r="BR317" s="461"/>
      <c r="BS317" s="461"/>
      <c r="BT317" s="461"/>
      <c r="BU317" s="461"/>
      <c r="BV317" s="521"/>
      <c r="BW317" s="522"/>
      <c r="BX317" s="522"/>
      <c r="BY317" s="522"/>
      <c r="BZ317" s="522"/>
      <c r="CA317" s="522"/>
      <c r="CB317" s="522"/>
      <c r="CC317" s="522"/>
      <c r="CD317" s="523"/>
      <c r="CE317" s="497"/>
      <c r="CF317" s="497"/>
      <c r="CG317" s="497"/>
      <c r="CH317" s="497"/>
      <c r="CI317" s="497"/>
      <c r="CJ317" s="497"/>
      <c r="CK317" s="497"/>
      <c r="CL317" s="497"/>
      <c r="CM317" s="497"/>
      <c r="CN317" s="497"/>
      <c r="CO317" s="496"/>
      <c r="CP317" s="461"/>
      <c r="CQ317" s="461"/>
      <c r="CR317" s="461"/>
      <c r="CS317" s="461"/>
      <c r="CT317" s="461"/>
      <c r="CU317" s="461"/>
      <c r="CV317" s="461"/>
      <c r="CW317" s="461"/>
      <c r="CX317" s="461"/>
      <c r="CY317" s="461"/>
      <c r="CZ317" s="520"/>
      <c r="DA317" s="497"/>
      <c r="DB317" s="497"/>
      <c r="DC317" s="497"/>
      <c r="DD317" s="497"/>
      <c r="DE317" s="497"/>
      <c r="DF317" s="497"/>
      <c r="DG317" s="497"/>
      <c r="DH317" s="497"/>
      <c r="DI317" s="497"/>
      <c r="DJ317" s="497"/>
      <c r="DK317" s="503"/>
      <c r="DL317" s="504"/>
      <c r="DM317" s="504"/>
      <c r="DN317" s="504"/>
      <c r="DO317" s="504"/>
      <c r="DP317" s="504"/>
      <c r="DQ317" s="504"/>
      <c r="DR317" s="505"/>
    </row>
    <row r="318" spans="2:158" ht="22.5" hidden="1" customHeight="1" x14ac:dyDescent="0.3">
      <c r="B318" s="381" t="s">
        <v>278</v>
      </c>
      <c r="C318" s="382"/>
      <c r="D318" s="382"/>
      <c r="E318" s="382"/>
      <c r="F318" s="382"/>
      <c r="G318" s="382"/>
      <c r="H318" s="382"/>
      <c r="I318" s="382"/>
      <c r="J318" s="394"/>
      <c r="K318" s="394"/>
      <c r="L318" s="394"/>
      <c r="M318" s="394"/>
      <c r="N318" s="394"/>
      <c r="O318" s="394"/>
      <c r="P318" s="394"/>
      <c r="Q318" s="394"/>
      <c r="R318" s="394"/>
      <c r="S318" s="394"/>
      <c r="T318" s="394"/>
      <c r="U318" s="394"/>
      <c r="V318" s="394"/>
      <c r="W318" s="394"/>
      <c r="X318" s="394"/>
      <c r="Y318" s="394"/>
      <c r="Z318" s="394"/>
      <c r="AA318" s="394"/>
      <c r="AB318" s="394"/>
      <c r="AC318" s="394"/>
      <c r="AD318" s="394"/>
      <c r="AE318" s="394"/>
      <c r="AF318" s="394"/>
      <c r="AG318" s="394"/>
      <c r="AH318" s="394"/>
      <c r="AI318" s="394"/>
      <c r="AJ318" s="394"/>
      <c r="AK318" s="394"/>
      <c r="AL318" s="394"/>
      <c r="AM318" s="394"/>
      <c r="AN318" s="394"/>
      <c r="AO318" s="394"/>
      <c r="AP318" s="394"/>
      <c r="AQ318" s="394"/>
      <c r="AR318" s="394"/>
      <c r="AS318" s="394"/>
      <c r="AT318" s="394"/>
      <c r="AU318" s="394"/>
      <c r="AV318" s="394"/>
      <c r="AW318" s="394"/>
      <c r="AX318" s="394"/>
      <c r="AY318" s="394"/>
      <c r="AZ318" s="394"/>
      <c r="BA318" s="394"/>
      <c r="BB318" s="394"/>
      <c r="BC318" s="394"/>
      <c r="BD318" s="394"/>
      <c r="BE318" s="395"/>
      <c r="BF318" s="190"/>
      <c r="BG318" s="190"/>
      <c r="DA318" s="511" t="s">
        <v>1647</v>
      </c>
      <c r="DB318" s="512"/>
      <c r="DC318" s="512"/>
      <c r="DD318" s="512"/>
      <c r="DE318" s="512"/>
      <c r="DF318" s="512"/>
      <c r="DG318" s="512"/>
      <c r="DH318" s="512"/>
      <c r="DI318" s="512"/>
      <c r="DJ318" s="512"/>
      <c r="DK318" s="418">
        <f>SUM(DK314:DR317)</f>
        <v>0</v>
      </c>
      <c r="DL318" s="419"/>
      <c r="DM318" s="419"/>
      <c r="DN318" s="419"/>
      <c r="DO318" s="419"/>
      <c r="DP318" s="419"/>
      <c r="DQ318" s="419"/>
      <c r="DR318" s="420"/>
    </row>
    <row r="319" spans="2:158" ht="24" hidden="1" customHeight="1" x14ac:dyDescent="0.25">
      <c r="B319" s="383" t="s">
        <v>2944</v>
      </c>
      <c r="C319" s="384"/>
      <c r="D319" s="384"/>
      <c r="E319" s="384"/>
      <c r="F319" s="384"/>
      <c r="G319" s="384"/>
      <c r="H319" s="384"/>
      <c r="I319" s="384"/>
      <c r="J319" s="396"/>
      <c r="K319" s="396"/>
      <c r="L319" s="396"/>
      <c r="M319" s="396"/>
      <c r="N319" s="396"/>
      <c r="O319" s="396"/>
      <c r="P319" s="396"/>
      <c r="Q319" s="396"/>
      <c r="R319" s="396"/>
      <c r="S319" s="396"/>
      <c r="T319" s="396"/>
      <c r="U319" s="396"/>
      <c r="V319" s="396"/>
      <c r="W319" s="396"/>
      <c r="X319" s="396"/>
      <c r="Y319" s="396"/>
      <c r="Z319" s="396"/>
      <c r="AA319" s="396"/>
      <c r="AB319" s="396"/>
      <c r="AC319" s="396"/>
      <c r="AD319" s="396"/>
      <c r="AE319" s="396"/>
      <c r="AF319" s="396"/>
      <c r="AG319" s="396"/>
      <c r="AH319" s="396"/>
      <c r="AI319" s="396"/>
      <c r="AJ319" s="396"/>
      <c r="AK319" s="396"/>
      <c r="AL319" s="396"/>
      <c r="AM319" s="396"/>
      <c r="AN319" s="396"/>
      <c r="AO319" s="396"/>
      <c r="AP319" s="396"/>
      <c r="AQ319" s="396"/>
      <c r="AR319" s="396"/>
      <c r="AS319" s="396"/>
      <c r="AT319" s="396"/>
      <c r="AU319" s="396"/>
      <c r="AV319" s="396"/>
      <c r="AW319" s="396"/>
      <c r="AX319" s="396"/>
      <c r="AY319" s="396"/>
      <c r="AZ319" s="396"/>
      <c r="BA319" s="396"/>
      <c r="BB319" s="396"/>
      <c r="BC319" s="396"/>
      <c r="BD319" s="396"/>
      <c r="BE319" s="397"/>
      <c r="EH319"/>
      <c r="EI319"/>
      <c r="EJ319"/>
      <c r="EK319"/>
      <c r="EL319"/>
      <c r="EM319"/>
      <c r="EN319"/>
      <c r="EO319"/>
      <c r="EP319"/>
      <c r="EQ319"/>
      <c r="ER319"/>
      <c r="ES319"/>
      <c r="ET319"/>
      <c r="EU319"/>
      <c r="EV319"/>
      <c r="EW319"/>
      <c r="EX319"/>
      <c r="EY319"/>
      <c r="EZ319"/>
      <c r="FA319"/>
      <c r="FB319"/>
    </row>
    <row r="320" spans="2:158" ht="24" hidden="1" customHeight="1" thickBot="1" x14ac:dyDescent="0.3">
      <c r="B320" s="385"/>
      <c r="C320" s="386"/>
      <c r="D320" s="386"/>
      <c r="E320" s="386"/>
      <c r="F320" s="386"/>
      <c r="G320" s="386"/>
      <c r="H320" s="386"/>
      <c r="I320" s="386"/>
      <c r="J320" s="398"/>
      <c r="K320" s="398"/>
      <c r="L320" s="398"/>
      <c r="M320" s="398"/>
      <c r="N320" s="398"/>
      <c r="O320" s="398"/>
      <c r="P320" s="398"/>
      <c r="Q320" s="398"/>
      <c r="R320" s="398"/>
      <c r="S320" s="398"/>
      <c r="T320" s="398"/>
      <c r="U320" s="398"/>
      <c r="V320" s="398"/>
      <c r="W320" s="398"/>
      <c r="X320" s="398"/>
      <c r="Y320" s="398"/>
      <c r="Z320" s="398"/>
      <c r="AA320" s="398"/>
      <c r="AB320" s="398"/>
      <c r="AC320" s="398"/>
      <c r="AD320" s="398"/>
      <c r="AE320" s="398"/>
      <c r="AF320" s="398"/>
      <c r="AG320" s="398"/>
      <c r="AH320" s="398"/>
      <c r="AI320" s="398"/>
      <c r="AJ320" s="398"/>
      <c r="AK320" s="398"/>
      <c r="AL320" s="398"/>
      <c r="AM320" s="398"/>
      <c r="AN320" s="398"/>
      <c r="AO320" s="398"/>
      <c r="AP320" s="398"/>
      <c r="AQ320" s="398"/>
      <c r="AR320" s="398"/>
      <c r="AS320" s="398"/>
      <c r="AT320" s="398"/>
      <c r="AU320" s="398"/>
      <c r="AV320" s="398"/>
      <c r="AW320" s="398"/>
      <c r="AX320" s="398"/>
      <c r="AY320" s="398"/>
      <c r="AZ320" s="398"/>
      <c r="BA320" s="398"/>
      <c r="BB320" s="398"/>
      <c r="BC320" s="398"/>
      <c r="BD320" s="398"/>
      <c r="BE320" s="399"/>
      <c r="EH320"/>
      <c r="EI320"/>
      <c r="EJ320"/>
      <c r="EK320"/>
      <c r="EL320"/>
      <c r="EM320"/>
      <c r="EN320"/>
      <c r="EO320"/>
      <c r="EP320"/>
      <c r="EQ320"/>
      <c r="ER320"/>
      <c r="ES320"/>
      <c r="ET320"/>
      <c r="EU320"/>
      <c r="EV320"/>
      <c r="EW320"/>
      <c r="EX320"/>
      <c r="EY320"/>
      <c r="EZ320"/>
      <c r="FA320"/>
      <c r="FB320"/>
    </row>
    <row r="321" spans="2:159" ht="24" hidden="1" customHeight="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EH321"/>
      <c r="EI321"/>
      <c r="EJ321"/>
      <c r="EK321"/>
      <c r="EL321"/>
      <c r="EM321"/>
      <c r="EN321"/>
      <c r="EO321"/>
      <c r="EP321"/>
      <c r="EQ321"/>
      <c r="ER321"/>
      <c r="ES321"/>
      <c r="ET321"/>
      <c r="EU321"/>
      <c r="EV321"/>
      <c r="EW321"/>
      <c r="EX321"/>
      <c r="EY321"/>
      <c r="EZ321"/>
      <c r="FA321"/>
      <c r="FB321"/>
    </row>
    <row r="322" spans="2:159" ht="18.75" hidden="1" customHeight="1" x14ac:dyDescent="0.3">
      <c r="B322" s="190"/>
      <c r="C322" s="190"/>
      <c r="D322" s="190"/>
      <c r="E322" s="190"/>
      <c r="F322" s="190"/>
      <c r="G322" s="190"/>
      <c r="H322" s="190"/>
      <c r="I322" s="190"/>
      <c r="J322" s="190"/>
      <c r="K322" s="190"/>
      <c r="L322" s="190"/>
      <c r="M322" s="190"/>
      <c r="N322" s="190"/>
      <c r="O322" s="190"/>
      <c r="P322" s="190"/>
      <c r="Q322" s="190"/>
      <c r="R322" s="190"/>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EH322"/>
      <c r="EI322"/>
      <c r="EJ322"/>
      <c r="EK322"/>
      <c r="EL322"/>
      <c r="EM322"/>
      <c r="EN322"/>
      <c r="EO322"/>
      <c r="EP322"/>
      <c r="EQ322"/>
      <c r="ER322"/>
      <c r="ES322"/>
      <c r="ET322"/>
      <c r="EU322"/>
      <c r="EV322"/>
      <c r="EW322"/>
      <c r="EX322"/>
      <c r="EY322"/>
      <c r="EZ322"/>
      <c r="FA322"/>
      <c r="FB322"/>
    </row>
    <row r="323" spans="2:159" ht="22.5" hidden="1" customHeight="1" thickBot="1" x14ac:dyDescent="0.35">
      <c r="B323" s="440" t="s">
        <v>305</v>
      </c>
      <c r="C323" s="440"/>
      <c r="D323" s="440"/>
      <c r="E323" s="440"/>
      <c r="F323" s="440"/>
      <c r="G323" s="440"/>
      <c r="H323" s="440"/>
      <c r="I323" s="440"/>
      <c r="J323" s="440"/>
      <c r="K323" s="440"/>
      <c r="L323" s="440"/>
      <c r="M323" s="440"/>
      <c r="N323" s="440"/>
      <c r="O323" s="440"/>
      <c r="P323" s="440"/>
      <c r="Q323" s="440"/>
      <c r="R323" s="440"/>
      <c r="S323" s="440"/>
      <c r="T323" s="440"/>
      <c r="U323" s="440"/>
      <c r="V323" s="440"/>
      <c r="W323" s="440"/>
      <c r="X323" s="440"/>
      <c r="Y323" s="440"/>
      <c r="Z323" s="440"/>
      <c r="AA323" s="440"/>
      <c r="AB323" s="440"/>
      <c r="AC323" s="440"/>
      <c r="AD323" s="440"/>
      <c r="AE323" s="440"/>
      <c r="AF323" s="440"/>
      <c r="AG323" s="440"/>
      <c r="AH323" s="440"/>
      <c r="AI323" s="440"/>
      <c r="AJ323" s="440"/>
      <c r="AK323" s="440"/>
      <c r="AL323" s="440"/>
      <c r="AM323" s="440"/>
      <c r="AN323" s="440"/>
      <c r="AO323" s="440"/>
      <c r="AP323" s="440"/>
      <c r="AQ323" s="440"/>
      <c r="AR323" s="440"/>
      <c r="AS323" s="440"/>
      <c r="AT323" s="440"/>
      <c r="AU323" s="440"/>
      <c r="AV323" s="440"/>
      <c r="AW323" s="440"/>
      <c r="AX323" s="440"/>
      <c r="AY323" s="440"/>
      <c r="AZ323" s="440"/>
      <c r="BA323" s="440"/>
      <c r="BB323" s="440"/>
      <c r="BC323" s="440"/>
      <c r="BD323" s="440"/>
      <c r="BE323" s="440"/>
      <c r="BF323" s="187"/>
      <c r="BG323" s="187"/>
      <c r="BJ323" s="178" t="s">
        <v>1648</v>
      </c>
    </row>
    <row r="324" spans="2:159" ht="22.5" hidden="1" customHeight="1" x14ac:dyDescent="0.3">
      <c r="B324" s="454" t="s">
        <v>3221</v>
      </c>
      <c r="C324" s="401"/>
      <c r="D324" s="401"/>
      <c r="E324" s="401"/>
      <c r="F324" s="401"/>
      <c r="G324" s="401"/>
      <c r="H324" s="401"/>
      <c r="I324" s="401"/>
      <c r="J324" s="404"/>
      <c r="K324" s="404"/>
      <c r="L324" s="404"/>
      <c r="M324" s="404"/>
      <c r="N324" s="404"/>
      <c r="O324" s="404"/>
      <c r="P324" s="404"/>
      <c r="Q324" s="404"/>
      <c r="R324" s="404"/>
      <c r="S324" s="404"/>
      <c r="T324" s="404"/>
      <c r="U324" s="404"/>
      <c r="V324" s="404"/>
      <c r="W324" s="404"/>
      <c r="X324" s="405"/>
      <c r="Y324" s="400" t="s">
        <v>2074</v>
      </c>
      <c r="Z324" s="401"/>
      <c r="AA324" s="401"/>
      <c r="AB324" s="402"/>
      <c r="AC324" s="402"/>
      <c r="AD324" s="402"/>
      <c r="AE324" s="402"/>
      <c r="AF324" s="402"/>
      <c r="AG324" s="402"/>
      <c r="AH324" s="402"/>
      <c r="AI324" s="402"/>
      <c r="AJ324" s="402"/>
      <c r="AK324" s="403"/>
      <c r="AL324" s="400" t="s">
        <v>1982</v>
      </c>
      <c r="AM324" s="401"/>
      <c r="AN324" s="401"/>
      <c r="AO324" s="404"/>
      <c r="AP324" s="404"/>
      <c r="AQ324" s="404"/>
      <c r="AR324" s="404"/>
      <c r="AS324" s="404"/>
      <c r="AT324" s="404"/>
      <c r="AU324" s="405"/>
      <c r="AV324" s="400" t="s">
        <v>1983</v>
      </c>
      <c r="AW324" s="401"/>
      <c r="AX324" s="404"/>
      <c r="AY324" s="404"/>
      <c r="AZ324" s="404"/>
      <c r="BA324" s="404"/>
      <c r="BB324" s="404"/>
      <c r="BC324" s="404"/>
      <c r="BD324" s="404"/>
      <c r="BE324" s="406"/>
      <c r="BF324" s="190"/>
      <c r="BG324" s="190"/>
      <c r="BH324" s="517" t="s">
        <v>389</v>
      </c>
      <c r="BI324" s="518"/>
      <c r="BJ324" s="489" t="s">
        <v>1649</v>
      </c>
      <c r="BK324" s="490"/>
      <c r="BL324" s="490"/>
      <c r="BM324" s="490"/>
      <c r="BN324" s="490"/>
      <c r="BO324" s="490"/>
      <c r="BP324" s="490"/>
      <c r="BQ324" s="490"/>
      <c r="BR324" s="490"/>
      <c r="BS324" s="490"/>
      <c r="BT324" s="490"/>
      <c r="BU324" s="490"/>
      <c r="BV324" s="483" t="s">
        <v>1644</v>
      </c>
      <c r="BW324" s="484"/>
      <c r="BX324" s="484"/>
      <c r="BY324" s="484"/>
      <c r="BZ324" s="484"/>
      <c r="CA324" s="484"/>
      <c r="CB324" s="484"/>
      <c r="CC324" s="484"/>
      <c r="CD324" s="485"/>
      <c r="CE324" s="513" t="s">
        <v>1675</v>
      </c>
      <c r="CF324" s="513"/>
      <c r="CG324" s="513"/>
      <c r="CH324" s="513"/>
      <c r="CI324" s="513"/>
      <c r="CJ324" s="513"/>
      <c r="CK324" s="513"/>
      <c r="CL324" s="513"/>
      <c r="CM324" s="513"/>
      <c r="CN324" s="513"/>
      <c r="CO324" s="489" t="s">
        <v>1676</v>
      </c>
      <c r="CP324" s="490"/>
      <c r="CQ324" s="490"/>
      <c r="CR324" s="490"/>
      <c r="CS324" s="490"/>
      <c r="CT324" s="490"/>
      <c r="CU324" s="490"/>
      <c r="CV324" s="490"/>
      <c r="CW324" s="490"/>
      <c r="CX324" s="490"/>
      <c r="CY324" s="490"/>
      <c r="CZ324" s="491"/>
      <c r="DA324" s="516" t="s">
        <v>1645</v>
      </c>
      <c r="DB324" s="516"/>
      <c r="DC324" s="516"/>
      <c r="DD324" s="516"/>
      <c r="DE324" s="516"/>
      <c r="DF324" s="516"/>
      <c r="DG324" s="516"/>
      <c r="DH324" s="516"/>
      <c r="DI324" s="516"/>
      <c r="DJ324" s="516"/>
      <c r="DK324" s="483" t="s">
        <v>1646</v>
      </c>
      <c r="DL324" s="484"/>
      <c r="DM324" s="484"/>
      <c r="DN324" s="484"/>
      <c r="DO324" s="484"/>
      <c r="DP324" s="484"/>
      <c r="DQ324" s="484"/>
      <c r="DR324" s="485"/>
    </row>
    <row r="325" spans="2:159" ht="22.5" hidden="1" customHeight="1" x14ac:dyDescent="0.3">
      <c r="B325" s="393" t="s">
        <v>1984</v>
      </c>
      <c r="C325" s="392"/>
      <c r="D325" s="392"/>
      <c r="E325" s="392"/>
      <c r="F325" s="389"/>
      <c r="G325" s="389"/>
      <c r="H325" s="389"/>
      <c r="I325" s="389"/>
      <c r="J325" s="389"/>
      <c r="K325" s="389"/>
      <c r="L325" s="389"/>
      <c r="M325" s="391" t="s">
        <v>307</v>
      </c>
      <c r="N325" s="392"/>
      <c r="O325" s="392"/>
      <c r="P325" s="392"/>
      <c r="Q325" s="392"/>
      <c r="R325" s="392"/>
      <c r="S325" s="392"/>
      <c r="T325" s="392"/>
      <c r="U325" s="433"/>
      <c r="V325" s="433"/>
      <c r="W325" s="433"/>
      <c r="X325" s="433"/>
      <c r="Y325" s="433"/>
      <c r="Z325" s="433"/>
      <c r="AA325" s="391" t="s">
        <v>2084</v>
      </c>
      <c r="AB325" s="392"/>
      <c r="AC325" s="392"/>
      <c r="AD325" s="392"/>
      <c r="AE325" s="392"/>
      <c r="AF325" s="392"/>
      <c r="AG325" s="392"/>
      <c r="AH325" s="392"/>
      <c r="AI325" s="433"/>
      <c r="AJ325" s="433"/>
      <c r="AK325" s="433"/>
      <c r="AL325" s="433"/>
      <c r="AM325" s="433"/>
      <c r="AN325" s="434"/>
      <c r="AO325" s="391" t="s">
        <v>279</v>
      </c>
      <c r="AP325" s="392"/>
      <c r="AQ325" s="392"/>
      <c r="AR325" s="392"/>
      <c r="AS325" s="392"/>
      <c r="AT325" s="437"/>
      <c r="AU325" s="437"/>
      <c r="AV325" s="437"/>
      <c r="AW325" s="437"/>
      <c r="AX325" s="437"/>
      <c r="AY325" s="437"/>
      <c r="AZ325" s="391" t="s">
        <v>2083</v>
      </c>
      <c r="BA325" s="392"/>
      <c r="BB325" s="392"/>
      <c r="BC325" s="392"/>
      <c r="BD325" s="389"/>
      <c r="BE325" s="390"/>
      <c r="BF325" s="190"/>
      <c r="BG325" s="190"/>
      <c r="BH325" s="514">
        <v>1</v>
      </c>
      <c r="BI325" s="515"/>
      <c r="BJ325" s="498"/>
      <c r="BK325" s="499"/>
      <c r="BL325" s="499"/>
      <c r="BM325" s="499"/>
      <c r="BN325" s="499"/>
      <c r="BO325" s="499"/>
      <c r="BP325" s="499"/>
      <c r="BQ325" s="499"/>
      <c r="BR325" s="499"/>
      <c r="BS325" s="499"/>
      <c r="BT325" s="499"/>
      <c r="BU325" s="499"/>
      <c r="BV325" s="500"/>
      <c r="BW325" s="501"/>
      <c r="BX325" s="501"/>
      <c r="BY325" s="501"/>
      <c r="BZ325" s="501"/>
      <c r="CA325" s="501"/>
      <c r="CB325" s="501"/>
      <c r="CC325" s="501"/>
      <c r="CD325" s="502"/>
      <c r="CE325" s="519"/>
      <c r="CF325" s="519"/>
      <c r="CG325" s="519"/>
      <c r="CH325" s="519"/>
      <c r="CI325" s="519"/>
      <c r="CJ325" s="519"/>
      <c r="CK325" s="519"/>
      <c r="CL325" s="519"/>
      <c r="CM325" s="519"/>
      <c r="CN325" s="519"/>
      <c r="CO325" s="507"/>
      <c r="CP325" s="508"/>
      <c r="CQ325" s="508"/>
      <c r="CR325" s="508"/>
      <c r="CS325" s="508"/>
      <c r="CT325" s="508"/>
      <c r="CU325" s="508"/>
      <c r="CV325" s="508"/>
      <c r="CW325" s="508"/>
      <c r="CX325" s="508"/>
      <c r="CY325" s="508"/>
      <c r="CZ325" s="509"/>
      <c r="DA325" s="510"/>
      <c r="DB325" s="510"/>
      <c r="DC325" s="510"/>
      <c r="DD325" s="510"/>
      <c r="DE325" s="510"/>
      <c r="DF325" s="510"/>
      <c r="DG325" s="510"/>
      <c r="DH325" s="510"/>
      <c r="DI325" s="510"/>
      <c r="DJ325" s="510"/>
      <c r="DK325" s="492"/>
      <c r="DL325" s="493"/>
      <c r="DM325" s="493"/>
      <c r="DN325" s="493"/>
      <c r="DO325" s="493"/>
      <c r="DP325" s="493"/>
      <c r="DQ325" s="493"/>
      <c r="DR325" s="494"/>
    </row>
    <row r="326" spans="2:159" ht="22.5" hidden="1" customHeight="1" x14ac:dyDescent="0.3">
      <c r="B326" s="393" t="s">
        <v>2091</v>
      </c>
      <c r="C326" s="392"/>
      <c r="D326" s="392"/>
      <c r="E326" s="392"/>
      <c r="F326" s="392"/>
      <c r="G326" s="392"/>
      <c r="H326" s="392"/>
      <c r="I326" s="392"/>
      <c r="J326" s="392"/>
      <c r="K326" s="389"/>
      <c r="L326" s="389"/>
      <c r="M326" s="391" t="s">
        <v>2089</v>
      </c>
      <c r="N326" s="392"/>
      <c r="O326" s="392"/>
      <c r="P326" s="392"/>
      <c r="Q326" s="392"/>
      <c r="R326" s="392"/>
      <c r="S326" s="389"/>
      <c r="T326" s="389"/>
      <c r="U326" s="389"/>
      <c r="V326" s="389"/>
      <c r="W326" s="389"/>
      <c r="X326" s="391" t="s">
        <v>2092</v>
      </c>
      <c r="Y326" s="392"/>
      <c r="Z326" s="392"/>
      <c r="AA326" s="392"/>
      <c r="AB326" s="392"/>
      <c r="AC326" s="392"/>
      <c r="AD326" s="392"/>
      <c r="AE326" s="392"/>
      <c r="AF326" s="392"/>
      <c r="AG326" s="392"/>
      <c r="AH326" s="392"/>
      <c r="AI326" s="392"/>
      <c r="AJ326" s="392"/>
      <c r="AK326" s="392"/>
      <c r="AL326" s="392"/>
      <c r="AM326" s="392"/>
      <c r="AN326" s="392"/>
      <c r="AO326" s="392"/>
      <c r="AP326" s="392"/>
      <c r="AQ326" s="392"/>
      <c r="AR326" s="389"/>
      <c r="AS326" s="389"/>
      <c r="AT326" s="389"/>
      <c r="AU326" s="389"/>
      <c r="AV326" s="389"/>
      <c r="AW326" s="432"/>
      <c r="AX326" s="391" t="s">
        <v>796</v>
      </c>
      <c r="AY326" s="392"/>
      <c r="AZ326" s="392"/>
      <c r="BA326" s="392"/>
      <c r="BB326" s="392"/>
      <c r="BC326" s="392"/>
      <c r="BD326" s="389"/>
      <c r="BE326" s="390"/>
      <c r="BF326" s="190"/>
      <c r="BG326" s="190"/>
      <c r="BH326" s="443">
        <v>2</v>
      </c>
      <c r="BI326" s="444"/>
      <c r="BJ326" s="486"/>
      <c r="BK326" s="487"/>
      <c r="BL326" s="487"/>
      <c r="BM326" s="487"/>
      <c r="BN326" s="487"/>
      <c r="BO326" s="487"/>
      <c r="BP326" s="487"/>
      <c r="BQ326" s="487"/>
      <c r="BR326" s="487"/>
      <c r="BS326" s="487"/>
      <c r="BT326" s="487"/>
      <c r="BU326" s="487"/>
      <c r="BV326" s="500"/>
      <c r="BW326" s="501"/>
      <c r="BX326" s="501"/>
      <c r="BY326" s="501"/>
      <c r="BZ326" s="501"/>
      <c r="CA326" s="501"/>
      <c r="CB326" s="501"/>
      <c r="CC326" s="501"/>
      <c r="CD326" s="502"/>
      <c r="CE326" s="495"/>
      <c r="CF326" s="495"/>
      <c r="CG326" s="495"/>
      <c r="CH326" s="495"/>
      <c r="CI326" s="495"/>
      <c r="CJ326" s="495"/>
      <c r="CK326" s="495"/>
      <c r="CL326" s="495"/>
      <c r="CM326" s="495"/>
      <c r="CN326" s="495"/>
      <c r="CO326" s="486"/>
      <c r="CP326" s="487"/>
      <c r="CQ326" s="487"/>
      <c r="CR326" s="487"/>
      <c r="CS326" s="487"/>
      <c r="CT326" s="487"/>
      <c r="CU326" s="487"/>
      <c r="CV326" s="487"/>
      <c r="CW326" s="487"/>
      <c r="CX326" s="487"/>
      <c r="CY326" s="487"/>
      <c r="CZ326" s="488"/>
      <c r="DA326" s="495"/>
      <c r="DB326" s="495"/>
      <c r="DC326" s="495"/>
      <c r="DD326" s="495"/>
      <c r="DE326" s="495"/>
      <c r="DF326" s="495"/>
      <c r="DG326" s="495"/>
      <c r="DH326" s="495"/>
      <c r="DI326" s="495"/>
      <c r="DJ326" s="495"/>
      <c r="DK326" s="480"/>
      <c r="DL326" s="481"/>
      <c r="DM326" s="481"/>
      <c r="DN326" s="481"/>
      <c r="DO326" s="481"/>
      <c r="DP326" s="481"/>
      <c r="DQ326" s="481"/>
      <c r="DR326" s="482"/>
    </row>
    <row r="327" spans="2:159" ht="22.5" hidden="1" customHeight="1" x14ac:dyDescent="0.3">
      <c r="B327" s="393" t="s">
        <v>2978</v>
      </c>
      <c r="C327" s="392"/>
      <c r="D327" s="392"/>
      <c r="E327" s="392"/>
      <c r="F327" s="392"/>
      <c r="G327" s="392"/>
      <c r="H327" s="392"/>
      <c r="I327" s="392"/>
      <c r="J327" s="392"/>
      <c r="K327" s="389"/>
      <c r="L327" s="389"/>
      <c r="M327" s="391" t="s">
        <v>2089</v>
      </c>
      <c r="N327" s="392"/>
      <c r="O327" s="392"/>
      <c r="P327" s="392"/>
      <c r="Q327" s="392"/>
      <c r="R327" s="392"/>
      <c r="S327" s="389"/>
      <c r="T327" s="389"/>
      <c r="U327" s="389"/>
      <c r="V327" s="389"/>
      <c r="W327" s="389"/>
      <c r="X327" s="391" t="s">
        <v>2118</v>
      </c>
      <c r="Y327" s="392"/>
      <c r="Z327" s="392"/>
      <c r="AA327" s="392"/>
      <c r="AB327" s="392"/>
      <c r="AC327" s="392"/>
      <c r="AD327" s="392"/>
      <c r="AE327" s="442"/>
      <c r="AF327" s="442"/>
      <c r="AG327" s="442"/>
      <c r="AH327" s="442"/>
      <c r="AI327" s="442"/>
      <c r="AJ327" s="391" t="s">
        <v>2090</v>
      </c>
      <c r="AK327" s="392"/>
      <c r="AL327" s="392"/>
      <c r="AM327" s="392"/>
      <c r="AN327" s="392"/>
      <c r="AO327" s="392"/>
      <c r="AP327" s="392"/>
      <c r="AQ327" s="392"/>
      <c r="AR327" s="433"/>
      <c r="AS327" s="433"/>
      <c r="AT327" s="433"/>
      <c r="AU327" s="433"/>
      <c r="AV327" s="433"/>
      <c r="AW327" s="434"/>
      <c r="AX327" s="391" t="s">
        <v>2085</v>
      </c>
      <c r="AY327" s="392"/>
      <c r="AZ327" s="392"/>
      <c r="BA327" s="392"/>
      <c r="BB327" s="392"/>
      <c r="BC327" s="392"/>
      <c r="BD327" s="389"/>
      <c r="BE327" s="390"/>
      <c r="BF327" s="190"/>
      <c r="BG327" s="190"/>
      <c r="BH327" s="443">
        <v>3</v>
      </c>
      <c r="BI327" s="444"/>
      <c r="BJ327" s="486"/>
      <c r="BK327" s="487"/>
      <c r="BL327" s="487"/>
      <c r="BM327" s="487"/>
      <c r="BN327" s="487"/>
      <c r="BO327" s="487"/>
      <c r="BP327" s="487"/>
      <c r="BQ327" s="487"/>
      <c r="BR327" s="487"/>
      <c r="BS327" s="487"/>
      <c r="BT327" s="487"/>
      <c r="BU327" s="487"/>
      <c r="BV327" s="500"/>
      <c r="BW327" s="501"/>
      <c r="BX327" s="501"/>
      <c r="BY327" s="501"/>
      <c r="BZ327" s="501"/>
      <c r="CA327" s="501"/>
      <c r="CB327" s="501"/>
      <c r="CC327" s="501"/>
      <c r="CD327" s="502"/>
      <c r="CE327" s="506"/>
      <c r="CF327" s="506"/>
      <c r="CG327" s="506"/>
      <c r="CH327" s="506"/>
      <c r="CI327" s="506"/>
      <c r="CJ327" s="506"/>
      <c r="CK327" s="506"/>
      <c r="CL327" s="506"/>
      <c r="CM327" s="506"/>
      <c r="CN327" s="506"/>
      <c r="CO327" s="500"/>
      <c r="CP327" s="501"/>
      <c r="CQ327" s="501"/>
      <c r="CR327" s="501"/>
      <c r="CS327" s="501"/>
      <c r="CT327" s="501"/>
      <c r="CU327" s="501"/>
      <c r="CV327" s="501"/>
      <c r="CW327" s="501"/>
      <c r="CX327" s="501"/>
      <c r="CY327" s="501"/>
      <c r="CZ327" s="502"/>
      <c r="DA327" s="495"/>
      <c r="DB327" s="495"/>
      <c r="DC327" s="495"/>
      <c r="DD327" s="495"/>
      <c r="DE327" s="495"/>
      <c r="DF327" s="495"/>
      <c r="DG327" s="495"/>
      <c r="DH327" s="495"/>
      <c r="DI327" s="495"/>
      <c r="DJ327" s="495"/>
      <c r="DK327" s="480"/>
      <c r="DL327" s="481"/>
      <c r="DM327" s="481"/>
      <c r="DN327" s="481"/>
      <c r="DO327" s="481"/>
      <c r="DP327" s="481"/>
      <c r="DQ327" s="481"/>
      <c r="DR327" s="482"/>
    </row>
    <row r="328" spans="2:159" ht="22.5" hidden="1" customHeight="1" x14ac:dyDescent="0.3">
      <c r="B328" s="438" t="s">
        <v>2916</v>
      </c>
      <c r="C328" s="436"/>
      <c r="D328" s="436"/>
      <c r="E328" s="436"/>
      <c r="F328" s="436"/>
      <c r="G328" s="436"/>
      <c r="H328" s="436"/>
      <c r="I328" s="436"/>
      <c r="J328" s="436"/>
      <c r="K328" s="387"/>
      <c r="L328" s="387"/>
      <c r="M328" s="435" t="s">
        <v>2086</v>
      </c>
      <c r="N328" s="436"/>
      <c r="O328" s="436"/>
      <c r="P328" s="436"/>
      <c r="Q328" s="436"/>
      <c r="R328" s="436"/>
      <c r="S328" s="439"/>
      <c r="T328" s="387"/>
      <c r="U328" s="387"/>
      <c r="V328" s="387"/>
      <c r="W328" s="387"/>
      <c r="X328" s="435" t="s">
        <v>2087</v>
      </c>
      <c r="Y328" s="436"/>
      <c r="Z328" s="436"/>
      <c r="AA328" s="436"/>
      <c r="AB328" s="436"/>
      <c r="AC328" s="436"/>
      <c r="AD328" s="436"/>
      <c r="AE328" s="387"/>
      <c r="AF328" s="387"/>
      <c r="AG328" s="387"/>
      <c r="AH328" s="387"/>
      <c r="AI328" s="387"/>
      <c r="AJ328" s="435" t="s">
        <v>2088</v>
      </c>
      <c r="AK328" s="436"/>
      <c r="AL328" s="436"/>
      <c r="AM328" s="436"/>
      <c r="AN328" s="436"/>
      <c r="AO328" s="436"/>
      <c r="AP328" s="436"/>
      <c r="AQ328" s="436"/>
      <c r="AR328" s="387"/>
      <c r="AS328" s="387"/>
      <c r="AT328" s="387"/>
      <c r="AU328" s="387"/>
      <c r="AV328" s="387"/>
      <c r="AW328" s="387"/>
      <c r="AX328" s="387"/>
      <c r="AY328" s="387"/>
      <c r="AZ328" s="387"/>
      <c r="BA328" s="387"/>
      <c r="BB328" s="387"/>
      <c r="BC328" s="387"/>
      <c r="BD328" s="387"/>
      <c r="BE328" s="388"/>
      <c r="BF328" s="190"/>
      <c r="BG328" s="190"/>
      <c r="BH328" s="445">
        <v>4</v>
      </c>
      <c r="BI328" s="446"/>
      <c r="BJ328" s="496"/>
      <c r="BK328" s="461"/>
      <c r="BL328" s="461"/>
      <c r="BM328" s="461"/>
      <c r="BN328" s="461"/>
      <c r="BO328" s="461"/>
      <c r="BP328" s="461"/>
      <c r="BQ328" s="461"/>
      <c r="BR328" s="461"/>
      <c r="BS328" s="461"/>
      <c r="BT328" s="461"/>
      <c r="BU328" s="461"/>
      <c r="BV328" s="521"/>
      <c r="BW328" s="522"/>
      <c r="BX328" s="522"/>
      <c r="BY328" s="522"/>
      <c r="BZ328" s="522"/>
      <c r="CA328" s="522"/>
      <c r="CB328" s="522"/>
      <c r="CC328" s="522"/>
      <c r="CD328" s="523"/>
      <c r="CE328" s="497"/>
      <c r="CF328" s="497"/>
      <c r="CG328" s="497"/>
      <c r="CH328" s="497"/>
      <c r="CI328" s="497"/>
      <c r="CJ328" s="497"/>
      <c r="CK328" s="497"/>
      <c r="CL328" s="497"/>
      <c r="CM328" s="497"/>
      <c r="CN328" s="497"/>
      <c r="CO328" s="496"/>
      <c r="CP328" s="461"/>
      <c r="CQ328" s="461"/>
      <c r="CR328" s="461"/>
      <c r="CS328" s="461"/>
      <c r="CT328" s="461"/>
      <c r="CU328" s="461"/>
      <c r="CV328" s="461"/>
      <c r="CW328" s="461"/>
      <c r="CX328" s="461"/>
      <c r="CY328" s="461"/>
      <c r="CZ328" s="520"/>
      <c r="DA328" s="497"/>
      <c r="DB328" s="497"/>
      <c r="DC328" s="497"/>
      <c r="DD328" s="497"/>
      <c r="DE328" s="497"/>
      <c r="DF328" s="497"/>
      <c r="DG328" s="497"/>
      <c r="DH328" s="497"/>
      <c r="DI328" s="497"/>
      <c r="DJ328" s="497"/>
      <c r="DK328" s="503"/>
      <c r="DL328" s="504"/>
      <c r="DM328" s="504"/>
      <c r="DN328" s="504"/>
      <c r="DO328" s="504"/>
      <c r="DP328" s="504"/>
      <c r="DQ328" s="504"/>
      <c r="DR328" s="505"/>
    </row>
    <row r="329" spans="2:159" ht="22.5" hidden="1" customHeight="1" x14ac:dyDescent="0.3">
      <c r="B329" s="381" t="s">
        <v>278</v>
      </c>
      <c r="C329" s="382"/>
      <c r="D329" s="382"/>
      <c r="E329" s="382"/>
      <c r="F329" s="382"/>
      <c r="G329" s="382"/>
      <c r="H329" s="382"/>
      <c r="I329" s="382"/>
      <c r="J329" s="394"/>
      <c r="K329" s="394"/>
      <c r="L329" s="394"/>
      <c r="M329" s="394"/>
      <c r="N329" s="394"/>
      <c r="O329" s="394"/>
      <c r="P329" s="394"/>
      <c r="Q329" s="394"/>
      <c r="R329" s="394"/>
      <c r="S329" s="394"/>
      <c r="T329" s="394"/>
      <c r="U329" s="394"/>
      <c r="V329" s="394"/>
      <c r="W329" s="394"/>
      <c r="X329" s="394"/>
      <c r="Y329" s="394"/>
      <c r="Z329" s="394"/>
      <c r="AA329" s="394"/>
      <c r="AB329" s="394"/>
      <c r="AC329" s="394"/>
      <c r="AD329" s="394"/>
      <c r="AE329" s="394"/>
      <c r="AF329" s="394"/>
      <c r="AG329" s="394"/>
      <c r="AH329" s="394"/>
      <c r="AI329" s="394"/>
      <c r="AJ329" s="394"/>
      <c r="AK329" s="394"/>
      <c r="AL329" s="394"/>
      <c r="AM329" s="394"/>
      <c r="AN329" s="394"/>
      <c r="AO329" s="394"/>
      <c r="AP329" s="394"/>
      <c r="AQ329" s="394"/>
      <c r="AR329" s="394"/>
      <c r="AS329" s="394"/>
      <c r="AT329" s="394"/>
      <c r="AU329" s="394"/>
      <c r="AV329" s="394"/>
      <c r="AW329" s="394"/>
      <c r="AX329" s="394"/>
      <c r="AY329" s="394"/>
      <c r="AZ329" s="394"/>
      <c r="BA329" s="394"/>
      <c r="BB329" s="394"/>
      <c r="BC329" s="394"/>
      <c r="BD329" s="394"/>
      <c r="BE329" s="395"/>
      <c r="BF329" s="190"/>
      <c r="BG329" s="190"/>
      <c r="DA329" s="511" t="s">
        <v>1647</v>
      </c>
      <c r="DB329" s="512"/>
      <c r="DC329" s="512"/>
      <c r="DD329" s="512"/>
      <c r="DE329" s="512"/>
      <c r="DF329" s="512"/>
      <c r="DG329" s="512"/>
      <c r="DH329" s="512"/>
      <c r="DI329" s="512"/>
      <c r="DJ329" s="512"/>
      <c r="DK329" s="418">
        <f>SUM(DK325:DR328)</f>
        <v>0</v>
      </c>
      <c r="DL329" s="419"/>
      <c r="DM329" s="419"/>
      <c r="DN329" s="419"/>
      <c r="DO329" s="419"/>
      <c r="DP329" s="419"/>
      <c r="DQ329" s="419"/>
      <c r="DR329" s="420"/>
    </row>
    <row r="330" spans="2:159" ht="24" hidden="1" customHeight="1" x14ac:dyDescent="0.25">
      <c r="B330" s="383" t="s">
        <v>2944</v>
      </c>
      <c r="C330" s="384"/>
      <c r="D330" s="384"/>
      <c r="E330" s="384"/>
      <c r="F330" s="384"/>
      <c r="G330" s="384"/>
      <c r="H330" s="384"/>
      <c r="I330" s="384"/>
      <c r="J330" s="396"/>
      <c r="K330" s="396"/>
      <c r="L330" s="396"/>
      <c r="M330" s="396"/>
      <c r="N330" s="396"/>
      <c r="O330" s="396"/>
      <c r="P330" s="396"/>
      <c r="Q330" s="396"/>
      <c r="R330" s="396"/>
      <c r="S330" s="396"/>
      <c r="T330" s="396"/>
      <c r="U330" s="396"/>
      <c r="V330" s="396"/>
      <c r="W330" s="396"/>
      <c r="X330" s="396"/>
      <c r="Y330" s="396"/>
      <c r="Z330" s="396"/>
      <c r="AA330" s="396"/>
      <c r="AB330" s="396"/>
      <c r="AC330" s="396"/>
      <c r="AD330" s="396"/>
      <c r="AE330" s="396"/>
      <c r="AF330" s="396"/>
      <c r="AG330" s="396"/>
      <c r="AH330" s="396"/>
      <c r="AI330" s="396"/>
      <c r="AJ330" s="396"/>
      <c r="AK330" s="396"/>
      <c r="AL330" s="396"/>
      <c r="AM330" s="396"/>
      <c r="AN330" s="396"/>
      <c r="AO330" s="396"/>
      <c r="AP330" s="396"/>
      <c r="AQ330" s="396"/>
      <c r="AR330" s="396"/>
      <c r="AS330" s="396"/>
      <c r="AT330" s="396"/>
      <c r="AU330" s="396"/>
      <c r="AV330" s="396"/>
      <c r="AW330" s="396"/>
      <c r="AX330" s="396"/>
      <c r="AY330" s="396"/>
      <c r="AZ330" s="396"/>
      <c r="BA330" s="396"/>
      <c r="BB330" s="396"/>
      <c r="BC330" s="396"/>
      <c r="BD330" s="396"/>
      <c r="BE330" s="397"/>
    </row>
    <row r="331" spans="2:159" ht="24" hidden="1" customHeight="1" thickBot="1" x14ac:dyDescent="0.3">
      <c r="B331" s="385"/>
      <c r="C331" s="386"/>
      <c r="D331" s="386"/>
      <c r="E331" s="386"/>
      <c r="F331" s="386"/>
      <c r="G331" s="386"/>
      <c r="H331" s="386"/>
      <c r="I331" s="386"/>
      <c r="J331" s="398"/>
      <c r="K331" s="398"/>
      <c r="L331" s="398"/>
      <c r="M331" s="398"/>
      <c r="N331" s="398"/>
      <c r="O331" s="398"/>
      <c r="P331" s="398"/>
      <c r="Q331" s="398"/>
      <c r="R331" s="398"/>
      <c r="S331" s="398"/>
      <c r="T331" s="398"/>
      <c r="U331" s="398"/>
      <c r="V331" s="398"/>
      <c r="W331" s="398"/>
      <c r="X331" s="398"/>
      <c r="Y331" s="398"/>
      <c r="Z331" s="398"/>
      <c r="AA331" s="398"/>
      <c r="AB331" s="398"/>
      <c r="AC331" s="398"/>
      <c r="AD331" s="398"/>
      <c r="AE331" s="398"/>
      <c r="AF331" s="398"/>
      <c r="AG331" s="398"/>
      <c r="AH331" s="398"/>
      <c r="AI331" s="398"/>
      <c r="AJ331" s="398"/>
      <c r="AK331" s="398"/>
      <c r="AL331" s="398"/>
      <c r="AM331" s="398"/>
      <c r="AN331" s="398"/>
      <c r="AO331" s="398"/>
      <c r="AP331" s="398"/>
      <c r="AQ331" s="398"/>
      <c r="AR331" s="398"/>
      <c r="AS331" s="398"/>
      <c r="AT331" s="398"/>
      <c r="AU331" s="398"/>
      <c r="AV331" s="398"/>
      <c r="AW331" s="398"/>
      <c r="AX331" s="398"/>
      <c r="AY331" s="398"/>
      <c r="AZ331" s="398"/>
      <c r="BA331" s="398"/>
      <c r="BB331" s="398"/>
      <c r="BC331" s="398"/>
      <c r="BD331" s="398"/>
      <c r="BE331" s="399"/>
      <c r="EI331"/>
      <c r="EJ331"/>
      <c r="EK331"/>
      <c r="EL331"/>
      <c r="EM331"/>
      <c r="EN331"/>
      <c r="EO331"/>
      <c r="EP331"/>
      <c r="EQ331"/>
      <c r="ER331"/>
      <c r="ES331"/>
      <c r="ET331"/>
      <c r="EU331"/>
      <c r="EV331"/>
      <c r="EW331"/>
      <c r="EX331"/>
      <c r="EY331"/>
      <c r="EZ331"/>
      <c r="FA331"/>
      <c r="FB331"/>
      <c r="FC331"/>
    </row>
    <row r="332" spans="2:159" ht="24" hidden="1" customHeight="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EI332"/>
      <c r="EJ332"/>
      <c r="EK332"/>
      <c r="EL332"/>
      <c r="EM332"/>
      <c r="EN332"/>
      <c r="EO332"/>
      <c r="EP332"/>
      <c r="EQ332"/>
      <c r="ER332"/>
      <c r="ES332"/>
      <c r="ET332"/>
      <c r="EU332"/>
      <c r="EV332"/>
      <c r="EW332"/>
      <c r="EX332"/>
      <c r="EY332"/>
      <c r="EZ332"/>
      <c r="FA332"/>
      <c r="FB332"/>
      <c r="FC332"/>
    </row>
    <row r="333" spans="2:159" ht="18.75" hidden="1" customHeight="1" x14ac:dyDescent="0.3">
      <c r="B333" s="190"/>
      <c r="C333" s="190"/>
      <c r="D333" s="190"/>
      <c r="E333" s="190"/>
      <c r="F333" s="190"/>
      <c r="G333" s="190"/>
      <c r="H333" s="190"/>
      <c r="I333" s="190"/>
      <c r="J333" s="190"/>
      <c r="K333" s="190"/>
      <c r="L333" s="190"/>
      <c r="M333" s="190"/>
      <c r="N333" s="190"/>
      <c r="O333" s="190"/>
      <c r="P333" s="190"/>
      <c r="Q333" s="190"/>
      <c r="R333" s="190"/>
      <c r="S333" s="190"/>
      <c r="T333" s="190"/>
      <c r="U333" s="190"/>
      <c r="V333" s="190"/>
      <c r="W333" s="190"/>
      <c r="X333" s="190"/>
      <c r="Y333" s="190"/>
      <c r="Z333" s="190"/>
      <c r="AA333" s="190"/>
      <c r="AB333" s="190"/>
      <c r="AC333" s="190"/>
      <c r="AD333" s="190"/>
      <c r="AE333" s="190"/>
      <c r="AF333" s="190"/>
      <c r="AG333" s="190"/>
      <c r="AH333" s="190"/>
      <c r="AI333" s="190"/>
      <c r="AJ333" s="190"/>
      <c r="AK333" s="190"/>
      <c r="AL333" s="190"/>
      <c r="AM333" s="190"/>
      <c r="AN333" s="190"/>
      <c r="AO333" s="190"/>
      <c r="AP333" s="190"/>
      <c r="AQ333" s="190"/>
      <c r="AR333" s="190"/>
      <c r="AS333" s="190"/>
      <c r="AT333" s="190"/>
      <c r="AU333" s="190"/>
      <c r="AV333" s="190"/>
      <c r="AW333" s="190"/>
      <c r="AX333" s="190"/>
      <c r="AY333" s="190"/>
      <c r="AZ333" s="190"/>
      <c r="BA333" s="190"/>
      <c r="BB333" s="190"/>
      <c r="BC333" s="190"/>
      <c r="BD333" s="190"/>
      <c r="BE333" s="190"/>
      <c r="BF333" s="190"/>
      <c r="BG333" s="190"/>
      <c r="BH333" s="190"/>
      <c r="BI333" s="190"/>
      <c r="BJ333" s="190"/>
      <c r="BK333" s="190"/>
      <c r="BL333" s="190"/>
      <c r="BM333" s="190"/>
      <c r="BN333" s="190"/>
      <c r="BO333" s="190"/>
      <c r="BP333" s="190"/>
      <c r="BQ333" s="190"/>
      <c r="BR333" s="190"/>
      <c r="BS333" s="190"/>
      <c r="BT333" s="190"/>
      <c r="BU333" s="190"/>
      <c r="BV333" s="190"/>
      <c r="BW333" s="190"/>
      <c r="BX333" s="190"/>
      <c r="EI333"/>
      <c r="EJ333"/>
      <c r="EK333"/>
      <c r="EL333"/>
      <c r="EM333"/>
      <c r="EN333"/>
      <c r="EO333"/>
      <c r="EP333"/>
      <c r="EQ333"/>
      <c r="ER333"/>
      <c r="ES333"/>
      <c r="ET333"/>
      <c r="EU333"/>
      <c r="EV333"/>
      <c r="EW333"/>
      <c r="EX333"/>
      <c r="EY333"/>
      <c r="EZ333"/>
      <c r="FA333"/>
      <c r="FB333"/>
      <c r="FC333"/>
    </row>
    <row r="334" spans="2:159" ht="22.5" hidden="1" customHeight="1" thickBot="1" x14ac:dyDescent="0.35">
      <c r="B334" s="440" t="s">
        <v>306</v>
      </c>
      <c r="C334" s="440"/>
      <c r="D334" s="440"/>
      <c r="E334" s="440"/>
      <c r="F334" s="440"/>
      <c r="G334" s="440"/>
      <c r="H334" s="440"/>
      <c r="I334" s="440"/>
      <c r="J334" s="440"/>
      <c r="K334" s="440"/>
      <c r="L334" s="440"/>
      <c r="M334" s="440"/>
      <c r="N334" s="440"/>
      <c r="O334" s="440"/>
      <c r="P334" s="440"/>
      <c r="Q334" s="440"/>
      <c r="R334" s="440"/>
      <c r="S334" s="440"/>
      <c r="T334" s="440"/>
      <c r="U334" s="440"/>
      <c r="V334" s="440"/>
      <c r="W334" s="440"/>
      <c r="X334" s="440"/>
      <c r="Y334" s="440"/>
      <c r="Z334" s="440"/>
      <c r="AA334" s="440"/>
      <c r="AB334" s="440"/>
      <c r="AC334" s="440"/>
      <c r="AD334" s="440"/>
      <c r="AE334" s="440"/>
      <c r="AF334" s="440"/>
      <c r="AG334" s="440"/>
      <c r="AH334" s="440"/>
      <c r="AI334" s="440"/>
      <c r="AJ334" s="440"/>
      <c r="AK334" s="440"/>
      <c r="AL334" s="440"/>
      <c r="AM334" s="440"/>
      <c r="AN334" s="440"/>
      <c r="AO334" s="440"/>
      <c r="AP334" s="440"/>
      <c r="AQ334" s="440"/>
      <c r="AR334" s="440"/>
      <c r="AS334" s="440"/>
      <c r="AT334" s="440"/>
      <c r="AU334" s="440"/>
      <c r="AV334" s="440"/>
      <c r="AW334" s="440"/>
      <c r="AX334" s="440"/>
      <c r="AY334" s="440"/>
      <c r="AZ334" s="440"/>
      <c r="BA334" s="440"/>
      <c r="BB334" s="440"/>
      <c r="BC334" s="440"/>
      <c r="BD334" s="440"/>
      <c r="BE334" s="440"/>
      <c r="BF334" s="187"/>
      <c r="BG334" s="187"/>
      <c r="BJ334" s="178" t="s">
        <v>1648</v>
      </c>
    </row>
    <row r="335" spans="2:159" ht="22.5" hidden="1" customHeight="1" x14ac:dyDescent="0.3">
      <c r="B335" s="454" t="s">
        <v>3221</v>
      </c>
      <c r="C335" s="401"/>
      <c r="D335" s="401"/>
      <c r="E335" s="401"/>
      <c r="F335" s="401"/>
      <c r="G335" s="401"/>
      <c r="H335" s="401"/>
      <c r="I335" s="401"/>
      <c r="J335" s="404"/>
      <c r="K335" s="404"/>
      <c r="L335" s="404"/>
      <c r="M335" s="404"/>
      <c r="N335" s="404"/>
      <c r="O335" s="404"/>
      <c r="P335" s="404"/>
      <c r="Q335" s="404"/>
      <c r="R335" s="404"/>
      <c r="S335" s="404"/>
      <c r="T335" s="404"/>
      <c r="U335" s="404"/>
      <c r="V335" s="404"/>
      <c r="W335" s="404"/>
      <c r="X335" s="405"/>
      <c r="Y335" s="400" t="s">
        <v>2074</v>
      </c>
      <c r="Z335" s="401"/>
      <c r="AA335" s="401"/>
      <c r="AB335" s="402"/>
      <c r="AC335" s="402"/>
      <c r="AD335" s="402"/>
      <c r="AE335" s="402"/>
      <c r="AF335" s="402"/>
      <c r="AG335" s="402"/>
      <c r="AH335" s="402"/>
      <c r="AI335" s="402"/>
      <c r="AJ335" s="402"/>
      <c r="AK335" s="403"/>
      <c r="AL335" s="400" t="s">
        <v>1982</v>
      </c>
      <c r="AM335" s="401"/>
      <c r="AN335" s="401"/>
      <c r="AO335" s="404"/>
      <c r="AP335" s="404"/>
      <c r="AQ335" s="404"/>
      <c r="AR335" s="404"/>
      <c r="AS335" s="404"/>
      <c r="AT335" s="404"/>
      <c r="AU335" s="405"/>
      <c r="AV335" s="400" t="s">
        <v>1983</v>
      </c>
      <c r="AW335" s="401"/>
      <c r="AX335" s="404"/>
      <c r="AY335" s="404"/>
      <c r="AZ335" s="404"/>
      <c r="BA335" s="404"/>
      <c r="BB335" s="404"/>
      <c r="BC335" s="404"/>
      <c r="BD335" s="404"/>
      <c r="BE335" s="406"/>
      <c r="BF335" s="190"/>
      <c r="BG335" s="190"/>
      <c r="BH335" s="517" t="s">
        <v>389</v>
      </c>
      <c r="BI335" s="518"/>
      <c r="BJ335" s="489" t="s">
        <v>1649</v>
      </c>
      <c r="BK335" s="490"/>
      <c r="BL335" s="490"/>
      <c r="BM335" s="490"/>
      <c r="BN335" s="490"/>
      <c r="BO335" s="490"/>
      <c r="BP335" s="490"/>
      <c r="BQ335" s="490"/>
      <c r="BR335" s="490"/>
      <c r="BS335" s="490"/>
      <c r="BT335" s="490"/>
      <c r="BU335" s="490"/>
      <c r="BV335" s="483" t="s">
        <v>1644</v>
      </c>
      <c r="BW335" s="484"/>
      <c r="BX335" s="484"/>
      <c r="BY335" s="484"/>
      <c r="BZ335" s="484"/>
      <c r="CA335" s="484"/>
      <c r="CB335" s="484"/>
      <c r="CC335" s="484"/>
      <c r="CD335" s="485"/>
      <c r="CE335" s="513" t="s">
        <v>1675</v>
      </c>
      <c r="CF335" s="513"/>
      <c r="CG335" s="513"/>
      <c r="CH335" s="513"/>
      <c r="CI335" s="513"/>
      <c r="CJ335" s="513"/>
      <c r="CK335" s="513"/>
      <c r="CL335" s="513"/>
      <c r="CM335" s="513"/>
      <c r="CN335" s="513"/>
      <c r="CO335" s="489" t="s">
        <v>1676</v>
      </c>
      <c r="CP335" s="490"/>
      <c r="CQ335" s="490"/>
      <c r="CR335" s="490"/>
      <c r="CS335" s="490"/>
      <c r="CT335" s="490"/>
      <c r="CU335" s="490"/>
      <c r="CV335" s="490"/>
      <c r="CW335" s="490"/>
      <c r="CX335" s="490"/>
      <c r="CY335" s="490"/>
      <c r="CZ335" s="491"/>
      <c r="DA335" s="516" t="s">
        <v>1645</v>
      </c>
      <c r="DB335" s="516"/>
      <c r="DC335" s="516"/>
      <c r="DD335" s="516"/>
      <c r="DE335" s="516"/>
      <c r="DF335" s="516"/>
      <c r="DG335" s="516"/>
      <c r="DH335" s="516"/>
      <c r="DI335" s="516"/>
      <c r="DJ335" s="516"/>
      <c r="DK335" s="483" t="s">
        <v>1646</v>
      </c>
      <c r="DL335" s="484"/>
      <c r="DM335" s="484"/>
      <c r="DN335" s="484"/>
      <c r="DO335" s="484"/>
      <c r="DP335" s="484"/>
      <c r="DQ335" s="484"/>
      <c r="DR335" s="485"/>
    </row>
    <row r="336" spans="2:159" ht="22.5" hidden="1" customHeight="1" x14ac:dyDescent="0.3">
      <c r="B336" s="393" t="s">
        <v>1984</v>
      </c>
      <c r="C336" s="392"/>
      <c r="D336" s="392"/>
      <c r="E336" s="392"/>
      <c r="F336" s="389"/>
      <c r="G336" s="389"/>
      <c r="H336" s="389"/>
      <c r="I336" s="389"/>
      <c r="J336" s="389"/>
      <c r="K336" s="389"/>
      <c r="L336" s="389"/>
      <c r="M336" s="391" t="s">
        <v>307</v>
      </c>
      <c r="N336" s="392"/>
      <c r="O336" s="392"/>
      <c r="P336" s="392"/>
      <c r="Q336" s="392"/>
      <c r="R336" s="392"/>
      <c r="S336" s="392"/>
      <c r="T336" s="392"/>
      <c r="U336" s="433"/>
      <c r="V336" s="433"/>
      <c r="W336" s="433"/>
      <c r="X336" s="433"/>
      <c r="Y336" s="433"/>
      <c r="Z336" s="433"/>
      <c r="AA336" s="391" t="s">
        <v>2084</v>
      </c>
      <c r="AB336" s="392"/>
      <c r="AC336" s="392"/>
      <c r="AD336" s="392"/>
      <c r="AE336" s="392"/>
      <c r="AF336" s="392"/>
      <c r="AG336" s="392"/>
      <c r="AH336" s="392"/>
      <c r="AI336" s="433"/>
      <c r="AJ336" s="433"/>
      <c r="AK336" s="433"/>
      <c r="AL336" s="433"/>
      <c r="AM336" s="433"/>
      <c r="AN336" s="434"/>
      <c r="AO336" s="391" t="s">
        <v>279</v>
      </c>
      <c r="AP336" s="392"/>
      <c r="AQ336" s="392"/>
      <c r="AR336" s="392"/>
      <c r="AS336" s="392"/>
      <c r="AT336" s="437"/>
      <c r="AU336" s="437"/>
      <c r="AV336" s="437"/>
      <c r="AW336" s="437"/>
      <c r="AX336" s="437"/>
      <c r="AY336" s="437"/>
      <c r="AZ336" s="391" t="s">
        <v>2083</v>
      </c>
      <c r="BA336" s="392"/>
      <c r="BB336" s="392"/>
      <c r="BC336" s="392"/>
      <c r="BD336" s="389"/>
      <c r="BE336" s="390"/>
      <c r="BF336" s="190"/>
      <c r="BG336" s="190"/>
      <c r="BH336" s="514">
        <v>1</v>
      </c>
      <c r="BI336" s="515"/>
      <c r="BJ336" s="498"/>
      <c r="BK336" s="499"/>
      <c r="BL336" s="499"/>
      <c r="BM336" s="499"/>
      <c r="BN336" s="499"/>
      <c r="BO336" s="499"/>
      <c r="BP336" s="499"/>
      <c r="BQ336" s="499"/>
      <c r="BR336" s="499"/>
      <c r="BS336" s="499"/>
      <c r="BT336" s="499"/>
      <c r="BU336" s="499"/>
      <c r="BV336" s="500"/>
      <c r="BW336" s="501"/>
      <c r="BX336" s="501"/>
      <c r="BY336" s="501"/>
      <c r="BZ336" s="501"/>
      <c r="CA336" s="501"/>
      <c r="CB336" s="501"/>
      <c r="CC336" s="501"/>
      <c r="CD336" s="502"/>
      <c r="CE336" s="519"/>
      <c r="CF336" s="519"/>
      <c r="CG336" s="519"/>
      <c r="CH336" s="519"/>
      <c r="CI336" s="519"/>
      <c r="CJ336" s="519"/>
      <c r="CK336" s="519"/>
      <c r="CL336" s="519"/>
      <c r="CM336" s="519"/>
      <c r="CN336" s="519"/>
      <c r="CO336" s="507"/>
      <c r="CP336" s="508"/>
      <c r="CQ336" s="508"/>
      <c r="CR336" s="508"/>
      <c r="CS336" s="508"/>
      <c r="CT336" s="508"/>
      <c r="CU336" s="508"/>
      <c r="CV336" s="508"/>
      <c r="CW336" s="508"/>
      <c r="CX336" s="508"/>
      <c r="CY336" s="508"/>
      <c r="CZ336" s="509"/>
      <c r="DA336" s="510"/>
      <c r="DB336" s="510"/>
      <c r="DC336" s="510"/>
      <c r="DD336" s="510"/>
      <c r="DE336" s="510"/>
      <c r="DF336" s="510"/>
      <c r="DG336" s="510"/>
      <c r="DH336" s="510"/>
      <c r="DI336" s="510"/>
      <c r="DJ336" s="510"/>
      <c r="DK336" s="492"/>
      <c r="DL336" s="493"/>
      <c r="DM336" s="493"/>
      <c r="DN336" s="493"/>
      <c r="DO336" s="493"/>
      <c r="DP336" s="493"/>
      <c r="DQ336" s="493"/>
      <c r="DR336" s="494"/>
    </row>
    <row r="337" spans="2:159" ht="22.5" hidden="1" customHeight="1" x14ac:dyDescent="0.3">
      <c r="B337" s="393" t="s">
        <v>2091</v>
      </c>
      <c r="C337" s="392"/>
      <c r="D337" s="392"/>
      <c r="E337" s="392"/>
      <c r="F337" s="392"/>
      <c r="G337" s="392"/>
      <c r="H337" s="392"/>
      <c r="I337" s="392"/>
      <c r="J337" s="392"/>
      <c r="K337" s="389"/>
      <c r="L337" s="389"/>
      <c r="M337" s="391" t="s">
        <v>2089</v>
      </c>
      <c r="N337" s="392"/>
      <c r="O337" s="392"/>
      <c r="P337" s="392"/>
      <c r="Q337" s="392"/>
      <c r="R337" s="392"/>
      <c r="S337" s="389"/>
      <c r="T337" s="389"/>
      <c r="U337" s="389"/>
      <c r="V337" s="389"/>
      <c r="W337" s="389"/>
      <c r="X337" s="391" t="s">
        <v>2092</v>
      </c>
      <c r="Y337" s="392"/>
      <c r="Z337" s="392"/>
      <c r="AA337" s="392"/>
      <c r="AB337" s="392"/>
      <c r="AC337" s="392"/>
      <c r="AD337" s="392"/>
      <c r="AE337" s="392"/>
      <c r="AF337" s="392"/>
      <c r="AG337" s="392"/>
      <c r="AH337" s="392"/>
      <c r="AI337" s="392"/>
      <c r="AJ337" s="392"/>
      <c r="AK337" s="392"/>
      <c r="AL337" s="392"/>
      <c r="AM337" s="392"/>
      <c r="AN337" s="392"/>
      <c r="AO337" s="392"/>
      <c r="AP337" s="392"/>
      <c r="AQ337" s="392"/>
      <c r="AR337" s="389"/>
      <c r="AS337" s="389"/>
      <c r="AT337" s="389"/>
      <c r="AU337" s="389"/>
      <c r="AV337" s="389"/>
      <c r="AW337" s="432"/>
      <c r="AX337" s="391" t="s">
        <v>796</v>
      </c>
      <c r="AY337" s="392"/>
      <c r="AZ337" s="392"/>
      <c r="BA337" s="392"/>
      <c r="BB337" s="392"/>
      <c r="BC337" s="392"/>
      <c r="BD337" s="389"/>
      <c r="BE337" s="390"/>
      <c r="BF337" s="190"/>
      <c r="BG337" s="190"/>
      <c r="BH337" s="443">
        <v>2</v>
      </c>
      <c r="BI337" s="444"/>
      <c r="BJ337" s="486"/>
      <c r="BK337" s="487"/>
      <c r="BL337" s="487"/>
      <c r="BM337" s="487"/>
      <c r="BN337" s="487"/>
      <c r="BO337" s="487"/>
      <c r="BP337" s="487"/>
      <c r="BQ337" s="487"/>
      <c r="BR337" s="487"/>
      <c r="BS337" s="487"/>
      <c r="BT337" s="487"/>
      <c r="BU337" s="487"/>
      <c r="BV337" s="500"/>
      <c r="BW337" s="501"/>
      <c r="BX337" s="501"/>
      <c r="BY337" s="501"/>
      <c r="BZ337" s="501"/>
      <c r="CA337" s="501"/>
      <c r="CB337" s="501"/>
      <c r="CC337" s="501"/>
      <c r="CD337" s="502"/>
      <c r="CE337" s="495"/>
      <c r="CF337" s="495"/>
      <c r="CG337" s="495"/>
      <c r="CH337" s="495"/>
      <c r="CI337" s="495"/>
      <c r="CJ337" s="495"/>
      <c r="CK337" s="495"/>
      <c r="CL337" s="495"/>
      <c r="CM337" s="495"/>
      <c r="CN337" s="495"/>
      <c r="CO337" s="486"/>
      <c r="CP337" s="487"/>
      <c r="CQ337" s="487"/>
      <c r="CR337" s="487"/>
      <c r="CS337" s="487"/>
      <c r="CT337" s="487"/>
      <c r="CU337" s="487"/>
      <c r="CV337" s="487"/>
      <c r="CW337" s="487"/>
      <c r="CX337" s="487"/>
      <c r="CY337" s="487"/>
      <c r="CZ337" s="488"/>
      <c r="DA337" s="495"/>
      <c r="DB337" s="495"/>
      <c r="DC337" s="495"/>
      <c r="DD337" s="495"/>
      <c r="DE337" s="495"/>
      <c r="DF337" s="495"/>
      <c r="DG337" s="495"/>
      <c r="DH337" s="495"/>
      <c r="DI337" s="495"/>
      <c r="DJ337" s="495"/>
      <c r="DK337" s="480"/>
      <c r="DL337" s="481"/>
      <c r="DM337" s="481"/>
      <c r="DN337" s="481"/>
      <c r="DO337" s="481"/>
      <c r="DP337" s="481"/>
      <c r="DQ337" s="481"/>
      <c r="DR337" s="482"/>
    </row>
    <row r="338" spans="2:159" ht="22.5" hidden="1" customHeight="1" x14ac:dyDescent="0.3">
      <c r="B338" s="393" t="s">
        <v>2978</v>
      </c>
      <c r="C338" s="392"/>
      <c r="D338" s="392"/>
      <c r="E338" s="392"/>
      <c r="F338" s="392"/>
      <c r="G338" s="392"/>
      <c r="H338" s="392"/>
      <c r="I338" s="392"/>
      <c r="J338" s="392"/>
      <c r="K338" s="389"/>
      <c r="L338" s="389"/>
      <c r="M338" s="391" t="s">
        <v>2089</v>
      </c>
      <c r="N338" s="392"/>
      <c r="O338" s="392"/>
      <c r="P338" s="392"/>
      <c r="Q338" s="392"/>
      <c r="R338" s="392"/>
      <c r="S338" s="389"/>
      <c r="T338" s="389"/>
      <c r="U338" s="389"/>
      <c r="V338" s="389"/>
      <c r="W338" s="389"/>
      <c r="X338" s="391" t="s">
        <v>2118</v>
      </c>
      <c r="Y338" s="392"/>
      <c r="Z338" s="392"/>
      <c r="AA338" s="392"/>
      <c r="AB338" s="392"/>
      <c r="AC338" s="392"/>
      <c r="AD338" s="392"/>
      <c r="AE338" s="442"/>
      <c r="AF338" s="442"/>
      <c r="AG338" s="442"/>
      <c r="AH338" s="442"/>
      <c r="AI338" s="442"/>
      <c r="AJ338" s="391" t="s">
        <v>2090</v>
      </c>
      <c r="AK338" s="392"/>
      <c r="AL338" s="392"/>
      <c r="AM338" s="392"/>
      <c r="AN338" s="392"/>
      <c r="AO338" s="392"/>
      <c r="AP338" s="392"/>
      <c r="AQ338" s="392"/>
      <c r="AR338" s="433"/>
      <c r="AS338" s="433"/>
      <c r="AT338" s="433"/>
      <c r="AU338" s="433"/>
      <c r="AV338" s="433"/>
      <c r="AW338" s="434"/>
      <c r="AX338" s="391" t="s">
        <v>2085</v>
      </c>
      <c r="AY338" s="392"/>
      <c r="AZ338" s="392"/>
      <c r="BA338" s="392"/>
      <c r="BB338" s="392"/>
      <c r="BC338" s="392"/>
      <c r="BD338" s="389"/>
      <c r="BE338" s="390"/>
      <c r="BF338" s="190"/>
      <c r="BG338" s="190"/>
      <c r="BH338" s="443">
        <v>3</v>
      </c>
      <c r="BI338" s="444"/>
      <c r="BJ338" s="486"/>
      <c r="BK338" s="487"/>
      <c r="BL338" s="487"/>
      <c r="BM338" s="487"/>
      <c r="BN338" s="487"/>
      <c r="BO338" s="487"/>
      <c r="BP338" s="487"/>
      <c r="BQ338" s="487"/>
      <c r="BR338" s="487"/>
      <c r="BS338" s="487"/>
      <c r="BT338" s="487"/>
      <c r="BU338" s="487"/>
      <c r="BV338" s="500"/>
      <c r="BW338" s="501"/>
      <c r="BX338" s="501"/>
      <c r="BY338" s="501"/>
      <c r="BZ338" s="501"/>
      <c r="CA338" s="501"/>
      <c r="CB338" s="501"/>
      <c r="CC338" s="501"/>
      <c r="CD338" s="502"/>
      <c r="CE338" s="506"/>
      <c r="CF338" s="506"/>
      <c r="CG338" s="506"/>
      <c r="CH338" s="506"/>
      <c r="CI338" s="506"/>
      <c r="CJ338" s="506"/>
      <c r="CK338" s="506"/>
      <c r="CL338" s="506"/>
      <c r="CM338" s="506"/>
      <c r="CN338" s="506"/>
      <c r="CO338" s="500"/>
      <c r="CP338" s="501"/>
      <c r="CQ338" s="501"/>
      <c r="CR338" s="501"/>
      <c r="CS338" s="501"/>
      <c r="CT338" s="501"/>
      <c r="CU338" s="501"/>
      <c r="CV338" s="501"/>
      <c r="CW338" s="501"/>
      <c r="CX338" s="501"/>
      <c r="CY338" s="501"/>
      <c r="CZ338" s="502"/>
      <c r="DA338" s="495"/>
      <c r="DB338" s="495"/>
      <c r="DC338" s="495"/>
      <c r="DD338" s="495"/>
      <c r="DE338" s="495"/>
      <c r="DF338" s="495"/>
      <c r="DG338" s="495"/>
      <c r="DH338" s="495"/>
      <c r="DI338" s="495"/>
      <c r="DJ338" s="495"/>
      <c r="DK338" s="480"/>
      <c r="DL338" s="481"/>
      <c r="DM338" s="481"/>
      <c r="DN338" s="481"/>
      <c r="DO338" s="481"/>
      <c r="DP338" s="481"/>
      <c r="DQ338" s="481"/>
      <c r="DR338" s="482"/>
    </row>
    <row r="339" spans="2:159" ht="22.5" hidden="1" customHeight="1" x14ac:dyDescent="0.3">
      <c r="B339" s="438" t="s">
        <v>2916</v>
      </c>
      <c r="C339" s="436"/>
      <c r="D339" s="436"/>
      <c r="E339" s="436"/>
      <c r="F339" s="436"/>
      <c r="G339" s="436"/>
      <c r="H339" s="436"/>
      <c r="I339" s="436"/>
      <c r="J339" s="436"/>
      <c r="K339" s="387"/>
      <c r="L339" s="387"/>
      <c r="M339" s="435" t="s">
        <v>2086</v>
      </c>
      <c r="N339" s="436"/>
      <c r="O339" s="436"/>
      <c r="P339" s="436"/>
      <c r="Q339" s="436"/>
      <c r="R339" s="436"/>
      <c r="S339" s="439"/>
      <c r="T339" s="387"/>
      <c r="U339" s="387"/>
      <c r="V339" s="387"/>
      <c r="W339" s="387"/>
      <c r="X339" s="435" t="s">
        <v>2087</v>
      </c>
      <c r="Y339" s="436"/>
      <c r="Z339" s="436"/>
      <c r="AA339" s="436"/>
      <c r="AB339" s="436"/>
      <c r="AC339" s="436"/>
      <c r="AD339" s="436"/>
      <c r="AE339" s="387"/>
      <c r="AF339" s="387"/>
      <c r="AG339" s="387"/>
      <c r="AH339" s="387"/>
      <c r="AI339" s="387"/>
      <c r="AJ339" s="435" t="s">
        <v>2088</v>
      </c>
      <c r="AK339" s="436"/>
      <c r="AL339" s="436"/>
      <c r="AM339" s="436"/>
      <c r="AN339" s="436"/>
      <c r="AO339" s="436"/>
      <c r="AP339" s="436"/>
      <c r="AQ339" s="436"/>
      <c r="AR339" s="387"/>
      <c r="AS339" s="387"/>
      <c r="AT339" s="387"/>
      <c r="AU339" s="387"/>
      <c r="AV339" s="387"/>
      <c r="AW339" s="387"/>
      <c r="AX339" s="387"/>
      <c r="AY339" s="387"/>
      <c r="AZ339" s="387"/>
      <c r="BA339" s="387"/>
      <c r="BB339" s="387"/>
      <c r="BC339" s="387"/>
      <c r="BD339" s="387"/>
      <c r="BE339" s="388"/>
      <c r="BF339" s="190"/>
      <c r="BG339" s="190"/>
      <c r="BH339" s="445">
        <v>4</v>
      </c>
      <c r="BI339" s="446"/>
      <c r="BJ339" s="496"/>
      <c r="BK339" s="461"/>
      <c r="BL339" s="461"/>
      <c r="BM339" s="461"/>
      <c r="BN339" s="461"/>
      <c r="BO339" s="461"/>
      <c r="BP339" s="461"/>
      <c r="BQ339" s="461"/>
      <c r="BR339" s="461"/>
      <c r="BS339" s="461"/>
      <c r="BT339" s="461"/>
      <c r="BU339" s="461"/>
      <c r="BV339" s="521"/>
      <c r="BW339" s="522"/>
      <c r="BX339" s="522"/>
      <c r="BY339" s="522"/>
      <c r="BZ339" s="522"/>
      <c r="CA339" s="522"/>
      <c r="CB339" s="522"/>
      <c r="CC339" s="522"/>
      <c r="CD339" s="523"/>
      <c r="CE339" s="497"/>
      <c r="CF339" s="497"/>
      <c r="CG339" s="497"/>
      <c r="CH339" s="497"/>
      <c r="CI339" s="497"/>
      <c r="CJ339" s="497"/>
      <c r="CK339" s="497"/>
      <c r="CL339" s="497"/>
      <c r="CM339" s="497"/>
      <c r="CN339" s="497"/>
      <c r="CO339" s="496"/>
      <c r="CP339" s="461"/>
      <c r="CQ339" s="461"/>
      <c r="CR339" s="461"/>
      <c r="CS339" s="461"/>
      <c r="CT339" s="461"/>
      <c r="CU339" s="461"/>
      <c r="CV339" s="461"/>
      <c r="CW339" s="461"/>
      <c r="CX339" s="461"/>
      <c r="CY339" s="461"/>
      <c r="CZ339" s="520"/>
      <c r="DA339" s="497"/>
      <c r="DB339" s="497"/>
      <c r="DC339" s="497"/>
      <c r="DD339" s="497"/>
      <c r="DE339" s="497"/>
      <c r="DF339" s="497"/>
      <c r="DG339" s="497"/>
      <c r="DH339" s="497"/>
      <c r="DI339" s="497"/>
      <c r="DJ339" s="497"/>
      <c r="DK339" s="503"/>
      <c r="DL339" s="504"/>
      <c r="DM339" s="504"/>
      <c r="DN339" s="504"/>
      <c r="DO339" s="504"/>
      <c r="DP339" s="504"/>
      <c r="DQ339" s="504"/>
      <c r="DR339" s="505"/>
    </row>
    <row r="340" spans="2:159" ht="22.5" hidden="1" customHeight="1" x14ac:dyDescent="0.3">
      <c r="B340" s="381" t="s">
        <v>278</v>
      </c>
      <c r="C340" s="382"/>
      <c r="D340" s="382"/>
      <c r="E340" s="382"/>
      <c r="F340" s="382"/>
      <c r="G340" s="382"/>
      <c r="H340" s="382"/>
      <c r="I340" s="382"/>
      <c r="J340" s="394"/>
      <c r="K340" s="394"/>
      <c r="L340" s="394"/>
      <c r="M340" s="394"/>
      <c r="N340" s="394"/>
      <c r="O340" s="394"/>
      <c r="P340" s="394"/>
      <c r="Q340" s="394"/>
      <c r="R340" s="394"/>
      <c r="S340" s="394"/>
      <c r="T340" s="394"/>
      <c r="U340" s="394"/>
      <c r="V340" s="394"/>
      <c r="W340" s="394"/>
      <c r="X340" s="394"/>
      <c r="Y340" s="394"/>
      <c r="Z340" s="394"/>
      <c r="AA340" s="394"/>
      <c r="AB340" s="394"/>
      <c r="AC340" s="394"/>
      <c r="AD340" s="394"/>
      <c r="AE340" s="394"/>
      <c r="AF340" s="394"/>
      <c r="AG340" s="394"/>
      <c r="AH340" s="394"/>
      <c r="AI340" s="394"/>
      <c r="AJ340" s="394"/>
      <c r="AK340" s="394"/>
      <c r="AL340" s="394"/>
      <c r="AM340" s="394"/>
      <c r="AN340" s="394"/>
      <c r="AO340" s="394"/>
      <c r="AP340" s="394"/>
      <c r="AQ340" s="394"/>
      <c r="AR340" s="394"/>
      <c r="AS340" s="394"/>
      <c r="AT340" s="394"/>
      <c r="AU340" s="394"/>
      <c r="AV340" s="394"/>
      <c r="AW340" s="394"/>
      <c r="AX340" s="394"/>
      <c r="AY340" s="394"/>
      <c r="AZ340" s="394"/>
      <c r="BA340" s="394"/>
      <c r="BB340" s="394"/>
      <c r="BC340" s="394"/>
      <c r="BD340" s="394"/>
      <c r="BE340" s="395"/>
      <c r="BF340" s="190"/>
      <c r="BG340" s="190"/>
      <c r="DA340" s="511" t="s">
        <v>1647</v>
      </c>
      <c r="DB340" s="512"/>
      <c r="DC340" s="512"/>
      <c r="DD340" s="512"/>
      <c r="DE340" s="512"/>
      <c r="DF340" s="512"/>
      <c r="DG340" s="512"/>
      <c r="DH340" s="512"/>
      <c r="DI340" s="512"/>
      <c r="DJ340" s="512"/>
      <c r="DK340" s="418">
        <f>SUM(DK336:DR339)</f>
        <v>0</v>
      </c>
      <c r="DL340" s="419"/>
      <c r="DM340" s="419"/>
      <c r="DN340" s="419"/>
      <c r="DO340" s="419"/>
      <c r="DP340" s="419"/>
      <c r="DQ340" s="419"/>
      <c r="DR340" s="420"/>
      <c r="EI340"/>
      <c r="EJ340"/>
      <c r="EK340"/>
      <c r="EL340"/>
      <c r="EM340"/>
      <c r="EN340"/>
      <c r="EO340"/>
      <c r="EP340"/>
      <c r="EQ340"/>
      <c r="ER340"/>
      <c r="ES340"/>
      <c r="ET340"/>
      <c r="EU340"/>
      <c r="EV340"/>
      <c r="EW340"/>
      <c r="EX340"/>
      <c r="EY340"/>
      <c r="EZ340"/>
      <c r="FA340"/>
      <c r="FB340"/>
      <c r="FC340"/>
    </row>
    <row r="341" spans="2:159" ht="24" hidden="1" customHeight="1" x14ac:dyDescent="0.25">
      <c r="B341" s="383" t="s">
        <v>2944</v>
      </c>
      <c r="C341" s="384"/>
      <c r="D341" s="384"/>
      <c r="E341" s="384"/>
      <c r="F341" s="384"/>
      <c r="G341" s="384"/>
      <c r="H341" s="384"/>
      <c r="I341" s="384"/>
      <c r="J341" s="396"/>
      <c r="K341" s="396"/>
      <c r="L341" s="396"/>
      <c r="M341" s="396"/>
      <c r="N341" s="396"/>
      <c r="O341" s="396"/>
      <c r="P341" s="396"/>
      <c r="Q341" s="396"/>
      <c r="R341" s="396"/>
      <c r="S341" s="396"/>
      <c r="T341" s="396"/>
      <c r="U341" s="396"/>
      <c r="V341" s="396"/>
      <c r="W341" s="396"/>
      <c r="X341" s="396"/>
      <c r="Y341" s="396"/>
      <c r="Z341" s="396"/>
      <c r="AA341" s="396"/>
      <c r="AB341" s="396"/>
      <c r="AC341" s="396"/>
      <c r="AD341" s="396"/>
      <c r="AE341" s="396"/>
      <c r="AF341" s="396"/>
      <c r="AG341" s="396"/>
      <c r="AH341" s="396"/>
      <c r="AI341" s="396"/>
      <c r="AJ341" s="396"/>
      <c r="AK341" s="396"/>
      <c r="AL341" s="396"/>
      <c r="AM341" s="396"/>
      <c r="AN341" s="396"/>
      <c r="AO341" s="396"/>
      <c r="AP341" s="396"/>
      <c r="AQ341" s="396"/>
      <c r="AR341" s="396"/>
      <c r="AS341" s="396"/>
      <c r="AT341" s="396"/>
      <c r="AU341" s="396"/>
      <c r="AV341" s="396"/>
      <c r="AW341" s="396"/>
      <c r="AX341" s="396"/>
      <c r="AY341" s="396"/>
      <c r="AZ341" s="396"/>
      <c r="BA341" s="396"/>
      <c r="BB341" s="396"/>
      <c r="BC341" s="396"/>
      <c r="BD341" s="396"/>
      <c r="BE341" s="397"/>
      <c r="EI341"/>
      <c r="EJ341"/>
      <c r="EK341"/>
      <c r="EL341"/>
      <c r="EM341"/>
      <c r="EN341"/>
      <c r="EO341"/>
      <c r="EP341"/>
      <c r="EQ341"/>
      <c r="ER341"/>
      <c r="ES341"/>
      <c r="ET341"/>
      <c r="EU341"/>
      <c r="EV341"/>
      <c r="EW341"/>
      <c r="EX341"/>
      <c r="EY341"/>
      <c r="EZ341"/>
      <c r="FA341"/>
      <c r="FB341"/>
      <c r="FC341"/>
    </row>
    <row r="342" spans="2:159" ht="24" hidden="1" customHeight="1" thickBot="1" x14ac:dyDescent="0.3">
      <c r="B342" s="385"/>
      <c r="C342" s="386"/>
      <c r="D342" s="386"/>
      <c r="E342" s="386"/>
      <c r="F342" s="386"/>
      <c r="G342" s="386"/>
      <c r="H342" s="386"/>
      <c r="I342" s="386"/>
      <c r="J342" s="398"/>
      <c r="K342" s="398"/>
      <c r="L342" s="398"/>
      <c r="M342" s="398"/>
      <c r="N342" s="398"/>
      <c r="O342" s="398"/>
      <c r="P342" s="398"/>
      <c r="Q342" s="398"/>
      <c r="R342" s="398"/>
      <c r="S342" s="398"/>
      <c r="T342" s="398"/>
      <c r="U342" s="398"/>
      <c r="V342" s="398"/>
      <c r="W342" s="398"/>
      <c r="X342" s="398"/>
      <c r="Y342" s="398"/>
      <c r="Z342" s="398"/>
      <c r="AA342" s="398"/>
      <c r="AB342" s="398"/>
      <c r="AC342" s="398"/>
      <c r="AD342" s="398"/>
      <c r="AE342" s="398"/>
      <c r="AF342" s="398"/>
      <c r="AG342" s="398"/>
      <c r="AH342" s="398"/>
      <c r="AI342" s="398"/>
      <c r="AJ342" s="398"/>
      <c r="AK342" s="398"/>
      <c r="AL342" s="398"/>
      <c r="AM342" s="398"/>
      <c r="AN342" s="398"/>
      <c r="AO342" s="398"/>
      <c r="AP342" s="398"/>
      <c r="AQ342" s="398"/>
      <c r="AR342" s="398"/>
      <c r="AS342" s="398"/>
      <c r="AT342" s="398"/>
      <c r="AU342" s="398"/>
      <c r="AV342" s="398"/>
      <c r="AW342" s="398"/>
      <c r="AX342" s="398"/>
      <c r="AY342" s="398"/>
      <c r="AZ342" s="398"/>
      <c r="BA342" s="398"/>
      <c r="BB342" s="398"/>
      <c r="BC342" s="398"/>
      <c r="BD342" s="398"/>
      <c r="BE342" s="399"/>
      <c r="EI342"/>
      <c r="EJ342"/>
      <c r="EK342"/>
      <c r="EL342"/>
      <c r="EM342"/>
      <c r="EN342"/>
      <c r="EO342"/>
      <c r="EP342"/>
      <c r="EQ342"/>
      <c r="ER342"/>
      <c r="ES342"/>
      <c r="ET342"/>
      <c r="EU342"/>
      <c r="EV342"/>
      <c r="EW342"/>
      <c r="EX342"/>
      <c r="EY342"/>
      <c r="EZ342"/>
      <c r="FA342"/>
      <c r="FB342"/>
      <c r="FC342"/>
    </row>
    <row r="343" spans="2:159" ht="24" hidden="1" customHeight="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EI343"/>
      <c r="EJ343"/>
      <c r="EK343"/>
      <c r="EL343"/>
      <c r="EM343"/>
      <c r="EN343"/>
      <c r="EO343"/>
      <c r="EP343"/>
      <c r="EQ343"/>
      <c r="ER343"/>
      <c r="ES343"/>
      <c r="ET343"/>
      <c r="EU343"/>
      <c r="EV343"/>
      <c r="EW343"/>
      <c r="EX343"/>
      <c r="EY343"/>
      <c r="EZ343"/>
      <c r="FA343"/>
      <c r="FB343"/>
      <c r="FC343"/>
    </row>
    <row r="344" spans="2:159" ht="18.75" hidden="1" customHeight="1" x14ac:dyDescent="0.3">
      <c r="B344" s="190"/>
      <c r="C344" s="190"/>
      <c r="D344" s="190"/>
      <c r="E344" s="190"/>
      <c r="F344" s="190"/>
      <c r="G344" s="190"/>
      <c r="H344" s="190"/>
      <c r="I344" s="190"/>
      <c r="J344" s="190"/>
      <c r="K344" s="190"/>
      <c r="L344" s="190"/>
      <c r="M344" s="190"/>
      <c r="N344" s="190"/>
      <c r="O344" s="190"/>
      <c r="P344" s="190"/>
      <c r="Q344" s="190"/>
      <c r="R344" s="190"/>
      <c r="S344" s="190"/>
      <c r="T344" s="190"/>
      <c r="U344" s="190"/>
      <c r="V344" s="190"/>
      <c r="W344" s="190"/>
      <c r="X344" s="190"/>
      <c r="Y344" s="190"/>
      <c r="Z344" s="190"/>
      <c r="AA344" s="190"/>
      <c r="AB344" s="190"/>
      <c r="AC344" s="190"/>
      <c r="AD344" s="190"/>
      <c r="AE344" s="190"/>
      <c r="AF344" s="190"/>
      <c r="AG344" s="190"/>
      <c r="AH344" s="190"/>
      <c r="AI344" s="190"/>
      <c r="AJ344" s="190"/>
      <c r="AK344" s="190"/>
      <c r="AL344" s="190"/>
      <c r="AM344" s="190"/>
      <c r="AN344" s="190"/>
      <c r="AO344" s="190"/>
      <c r="AP344" s="190"/>
      <c r="AQ344" s="190"/>
      <c r="AR344" s="190"/>
      <c r="AS344" s="190"/>
      <c r="AT344" s="190"/>
      <c r="AU344" s="190"/>
      <c r="AV344" s="190"/>
      <c r="AW344" s="190"/>
      <c r="AX344" s="190"/>
      <c r="AY344" s="190"/>
      <c r="AZ344" s="190"/>
      <c r="BA344" s="190"/>
      <c r="BB344" s="190"/>
      <c r="BC344" s="190"/>
      <c r="BD344" s="190"/>
      <c r="BE344" s="190"/>
      <c r="BF344" s="190"/>
      <c r="BG344" s="190"/>
      <c r="BH344" s="190"/>
      <c r="BI344" s="190"/>
      <c r="BJ344" s="190"/>
      <c r="BK344" s="190"/>
      <c r="BL344" s="190"/>
      <c r="BM344" s="190"/>
      <c r="BN344" s="190"/>
      <c r="BO344" s="190"/>
      <c r="BP344" s="190"/>
      <c r="BQ344" s="190"/>
      <c r="BR344" s="190"/>
      <c r="BS344" s="190"/>
      <c r="BT344" s="190"/>
      <c r="BU344" s="190"/>
      <c r="BV344" s="190"/>
      <c r="BW344" s="190"/>
      <c r="BX344" s="190"/>
    </row>
    <row r="345" spans="2:159" hidden="1" x14ac:dyDescent="0.25"/>
    <row r="346" spans="2:159" ht="21" x14ac:dyDescent="0.35">
      <c r="B346" s="453" t="s">
        <v>3229</v>
      </c>
      <c r="C346" s="453"/>
      <c r="D346" s="453"/>
      <c r="E346" s="453"/>
      <c r="F346" s="453"/>
      <c r="G346" s="453"/>
      <c r="H346" s="453"/>
      <c r="I346" s="453"/>
      <c r="J346" s="453"/>
      <c r="K346" s="453"/>
      <c r="L346" s="453"/>
      <c r="M346" s="453"/>
      <c r="N346" s="453"/>
      <c r="O346" s="453"/>
      <c r="P346" s="453"/>
      <c r="Q346" s="453"/>
      <c r="R346" s="453"/>
      <c r="S346" s="453"/>
      <c r="T346" s="453"/>
      <c r="U346" s="453"/>
      <c r="V346" s="453"/>
      <c r="W346" s="453"/>
      <c r="X346" s="453"/>
      <c r="Y346" s="453"/>
      <c r="Z346" s="453"/>
      <c r="AA346" s="453"/>
      <c r="AB346" s="453"/>
      <c r="AC346" s="453"/>
      <c r="AD346" s="453"/>
      <c r="AE346" s="453"/>
      <c r="AF346" s="453"/>
      <c r="AG346" s="453"/>
      <c r="AH346" s="453"/>
      <c r="AI346" s="453"/>
      <c r="AJ346" s="453"/>
      <c r="AK346" s="453"/>
      <c r="AL346" s="453"/>
      <c r="AM346" s="453"/>
      <c r="AN346" s="453"/>
      <c r="AO346" s="453"/>
      <c r="AP346" s="453"/>
      <c r="AQ346" s="453"/>
      <c r="AR346" s="453"/>
      <c r="AS346" s="453"/>
      <c r="AT346" s="453"/>
      <c r="AU346" s="453"/>
      <c r="AV346" s="453"/>
      <c r="AW346" s="453"/>
      <c r="AX346" s="453"/>
      <c r="AY346" s="453"/>
      <c r="AZ346" s="453"/>
      <c r="BA346" s="453"/>
      <c r="BB346" s="453"/>
      <c r="BC346" s="453"/>
      <c r="BD346" s="453"/>
      <c r="BE346" s="453"/>
      <c r="BF346" s="453"/>
      <c r="BG346" s="453"/>
      <c r="BH346" s="453"/>
      <c r="BI346" s="453"/>
      <c r="BJ346" s="453"/>
      <c r="BK346" s="453"/>
      <c r="BL346" s="453"/>
      <c r="BM346" s="453"/>
      <c r="BN346" s="453"/>
      <c r="BO346" s="453"/>
      <c r="BP346" s="453"/>
      <c r="BQ346" s="453"/>
      <c r="BR346" s="453"/>
      <c r="BS346" s="453"/>
      <c r="BT346" s="453"/>
      <c r="BU346" s="453"/>
      <c r="BV346" s="453"/>
      <c r="BW346" s="453"/>
      <c r="BX346" s="453"/>
      <c r="BY346" s="453"/>
      <c r="BZ346" s="453"/>
    </row>
    <row r="349" spans="2:159" ht="22.5" customHeight="1" x14ac:dyDescent="0.25">
      <c r="B349" s="192" t="s">
        <v>277</v>
      </c>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3"/>
      <c r="AY349" s="193"/>
      <c r="AZ349" s="193"/>
      <c r="BA349" s="193"/>
      <c r="BB349" s="193"/>
      <c r="BC349" s="193"/>
      <c r="BD349" s="193"/>
      <c r="BE349" s="193"/>
      <c r="BF349" s="193"/>
      <c r="BG349" s="193"/>
      <c r="BH349" s="193"/>
      <c r="BI349" s="193"/>
      <c r="BJ349" s="193"/>
      <c r="BK349" s="193"/>
      <c r="BL349" s="193"/>
      <c r="BM349" s="193"/>
      <c r="BN349" s="193"/>
      <c r="BO349" s="193"/>
      <c r="BP349" s="193"/>
      <c r="BQ349" s="193"/>
      <c r="BR349" s="193"/>
      <c r="BS349" s="193"/>
      <c r="BT349" s="193"/>
      <c r="BU349" s="193"/>
      <c r="BV349" s="193"/>
      <c r="BW349" s="193"/>
      <c r="BX349" s="193"/>
      <c r="BY349" s="193"/>
      <c r="BZ349" s="194"/>
    </row>
    <row r="350" spans="2:159" ht="22.5" customHeight="1" x14ac:dyDescent="0.25">
      <c r="B350" s="171"/>
      <c r="C350" s="178" t="s">
        <v>2093</v>
      </c>
      <c r="Q350" s="178" t="s">
        <v>2125</v>
      </c>
      <c r="U350" s="431"/>
      <c r="V350" s="432"/>
      <c r="W350" s="178" t="s">
        <v>2126</v>
      </c>
      <c r="AB350" s="431"/>
      <c r="AC350" s="432"/>
      <c r="AD350" s="178" t="s">
        <v>2127</v>
      </c>
      <c r="AI350" s="431"/>
      <c r="AJ350" s="432"/>
      <c r="AK350" s="178" t="s">
        <v>2128</v>
      </c>
      <c r="AU350" s="431"/>
      <c r="AV350" s="389"/>
      <c r="AW350" s="432"/>
      <c r="AX350" s="178" t="s">
        <v>2129</v>
      </c>
      <c r="BZ350" s="195"/>
    </row>
    <row r="351" spans="2:159" ht="22.5" customHeight="1" x14ac:dyDescent="0.25">
      <c r="B351" s="171"/>
      <c r="C351" s="178" t="s">
        <v>2094</v>
      </c>
      <c r="R351" s="178" t="s">
        <v>2130</v>
      </c>
      <c r="X351" s="431"/>
      <c r="Y351" s="432"/>
      <c r="Z351" s="178" t="s">
        <v>2131</v>
      </c>
      <c r="AE351" s="431"/>
      <c r="AF351" s="432"/>
      <c r="AG351" s="178" t="s">
        <v>2132</v>
      </c>
      <c r="AM351" s="431"/>
      <c r="AN351" s="389"/>
      <c r="AO351" s="432"/>
      <c r="AP351" s="178" t="s">
        <v>2133</v>
      </c>
      <c r="BZ351" s="195"/>
    </row>
    <row r="352" spans="2:159" ht="22.5" customHeight="1" x14ac:dyDescent="0.25">
      <c r="B352" s="171"/>
      <c r="C352" s="178" t="s">
        <v>2095</v>
      </c>
      <c r="J352" s="431"/>
      <c r="K352" s="389"/>
      <c r="L352" s="432"/>
      <c r="M352" s="178" t="s">
        <v>2091</v>
      </c>
      <c r="R352" s="431"/>
      <c r="S352" s="389"/>
      <c r="T352" s="432"/>
      <c r="U352" s="178" t="s">
        <v>2089</v>
      </c>
      <c r="AB352" s="431"/>
      <c r="AC352" s="389"/>
      <c r="AD352" s="389"/>
      <c r="AE352" s="389"/>
      <c r="AF352" s="389"/>
      <c r="AG352" s="389"/>
      <c r="AH352" s="432"/>
      <c r="AI352" s="178" t="s">
        <v>2134</v>
      </c>
      <c r="AP352" s="431"/>
      <c r="AQ352" s="389"/>
      <c r="AR352" s="389"/>
      <c r="AS352" s="432"/>
      <c r="AT352" s="178" t="s">
        <v>2135</v>
      </c>
      <c r="BG352" s="431"/>
      <c r="BH352" s="389"/>
      <c r="BI352" s="389"/>
      <c r="BJ352" s="389"/>
      <c r="BK352" s="389"/>
      <c r="BL352" s="389"/>
      <c r="BM352" s="389"/>
      <c r="BN352" s="389"/>
      <c r="BO352" s="389"/>
      <c r="BP352" s="389"/>
      <c r="BQ352" s="389"/>
      <c r="BR352" s="389"/>
      <c r="BS352" s="389"/>
      <c r="BT352" s="389"/>
      <c r="BU352" s="389"/>
      <c r="BV352" s="389"/>
      <c r="BW352" s="389"/>
      <c r="BX352" s="389"/>
      <c r="BY352" s="389"/>
      <c r="BZ352" s="432"/>
    </row>
    <row r="353" spans="2:78" ht="22.5" customHeight="1" x14ac:dyDescent="0.25">
      <c r="B353" s="171"/>
      <c r="C353" s="178" t="s">
        <v>2096</v>
      </c>
      <c r="AM353" s="431"/>
      <c r="AN353" s="432"/>
      <c r="BZ353" s="195"/>
    </row>
    <row r="354" spans="2:78" ht="22.5" customHeight="1" x14ac:dyDescent="0.25">
      <c r="B354" s="171"/>
      <c r="C354" s="178" t="s">
        <v>2097</v>
      </c>
      <c r="Q354" s="431"/>
      <c r="R354" s="432"/>
      <c r="S354" s="178" t="s">
        <v>2136</v>
      </c>
      <c r="AC354" s="431"/>
      <c r="AD354" s="389"/>
      <c r="AE354" s="389"/>
      <c r="AF354" s="389"/>
      <c r="AG354" s="389"/>
      <c r="AH354" s="389"/>
      <c r="AI354" s="389"/>
      <c r="AJ354" s="389"/>
      <c r="AK354" s="389"/>
      <c r="AL354" s="432"/>
      <c r="AM354" s="178" t="s">
        <v>2137</v>
      </c>
      <c r="BN354" s="178" t="s">
        <v>2138</v>
      </c>
      <c r="BV354" s="431"/>
      <c r="BW354" s="389"/>
      <c r="BX354" s="389"/>
      <c r="BY354" s="389"/>
      <c r="BZ354" s="432"/>
    </row>
    <row r="355" spans="2:78" ht="22.5" customHeight="1" x14ac:dyDescent="0.25">
      <c r="B355" s="171"/>
      <c r="C355" s="178" t="s">
        <v>2098</v>
      </c>
      <c r="I355" s="431"/>
      <c r="J355" s="432"/>
      <c r="K355" s="178" t="s">
        <v>2139</v>
      </c>
      <c r="Y355" s="431"/>
      <c r="Z355" s="389"/>
      <c r="AA355" s="389"/>
      <c r="AB355" s="389"/>
      <c r="AC355" s="389"/>
      <c r="AD355" s="389"/>
      <c r="AE355" s="389"/>
      <c r="AF355" s="389"/>
      <c r="AG355" s="389"/>
      <c r="AH355" s="389"/>
      <c r="AI355" s="432"/>
      <c r="AJ355" s="178" t="s">
        <v>2140</v>
      </c>
      <c r="AQ355" s="431"/>
      <c r="AR355" s="389"/>
      <c r="AS355" s="432"/>
      <c r="BZ355" s="195"/>
    </row>
    <row r="356" spans="2:78" ht="22.5" customHeight="1" x14ac:dyDescent="0.25">
      <c r="B356" s="171"/>
      <c r="C356" s="178" t="s">
        <v>2099</v>
      </c>
      <c r="R356" s="431"/>
      <c r="S356" s="432"/>
      <c r="T356" s="178" t="s">
        <v>2141</v>
      </c>
      <c r="AE356" s="431"/>
      <c r="AF356" s="389"/>
      <c r="AG356" s="389"/>
      <c r="AH356" s="389"/>
      <c r="AI356" s="389"/>
      <c r="AJ356" s="389"/>
      <c r="AK356" s="389"/>
      <c r="AL356" s="389"/>
      <c r="AM356" s="389"/>
      <c r="AN356" s="389"/>
      <c r="AO356" s="389"/>
      <c r="AP356" s="389"/>
      <c r="AQ356" s="389"/>
      <c r="AR356" s="389"/>
      <c r="AS356" s="389"/>
      <c r="AT356" s="389"/>
      <c r="AU356" s="389"/>
      <c r="AV356" s="389"/>
      <c r="AW356" s="389"/>
      <c r="AX356" s="389"/>
      <c r="AY356" s="389"/>
      <c r="AZ356" s="389"/>
      <c r="BA356" s="389"/>
      <c r="BB356" s="389"/>
      <c r="BC356" s="389"/>
      <c r="BD356" s="389"/>
      <c r="BE356" s="389"/>
      <c r="BF356" s="389"/>
      <c r="BG356" s="432"/>
      <c r="BZ356" s="195"/>
    </row>
    <row r="357" spans="2:78" ht="22.5" customHeight="1" x14ac:dyDescent="0.25">
      <c r="B357" s="171"/>
      <c r="C357" s="178" t="s">
        <v>2100</v>
      </c>
      <c r="AF357" s="431"/>
      <c r="AG357" s="389"/>
      <c r="AH357" s="389"/>
      <c r="AI357" s="389"/>
      <c r="AJ357" s="389"/>
      <c r="AK357" s="389"/>
      <c r="AL357" s="389"/>
      <c r="AM357" s="389"/>
      <c r="AN357" s="389"/>
      <c r="AO357" s="432"/>
      <c r="BZ357" s="195"/>
    </row>
    <row r="358" spans="2:78" ht="22.5" customHeight="1" x14ac:dyDescent="0.25">
      <c r="B358" s="171"/>
      <c r="BZ358" s="195"/>
    </row>
    <row r="359" spans="2:78" ht="22.5" customHeight="1" x14ac:dyDescent="0.25">
      <c r="B359" s="171" t="s">
        <v>2917</v>
      </c>
      <c r="BZ359" s="195"/>
    </row>
    <row r="360" spans="2:78" ht="22.5" customHeight="1" x14ac:dyDescent="0.25">
      <c r="B360" s="171"/>
      <c r="C360" s="441" t="s">
        <v>2101</v>
      </c>
      <c r="D360" s="441"/>
      <c r="E360" s="441"/>
      <c r="F360" s="441"/>
      <c r="G360" s="441"/>
      <c r="H360" s="441"/>
      <c r="I360" s="441"/>
      <c r="J360" s="441"/>
      <c r="K360" s="441"/>
      <c r="L360" s="431"/>
      <c r="M360" s="432"/>
      <c r="BZ360" s="195"/>
    </row>
    <row r="361" spans="2:78" ht="22.5" customHeight="1" x14ac:dyDescent="0.25">
      <c r="B361" s="171"/>
      <c r="C361" s="441" t="s">
        <v>2102</v>
      </c>
      <c r="D361" s="441"/>
      <c r="E361" s="441"/>
      <c r="F361" s="441"/>
      <c r="G361" s="441"/>
      <c r="H361" s="441"/>
      <c r="I361" s="441"/>
      <c r="J361" s="441"/>
      <c r="K361" s="441"/>
      <c r="L361" s="441"/>
      <c r="M361" s="441"/>
      <c r="N361" s="431"/>
      <c r="O361" s="389"/>
      <c r="P361" s="389"/>
      <c r="Q361" s="389"/>
      <c r="R361" s="389"/>
      <c r="S361" s="389"/>
      <c r="T361" s="389"/>
      <c r="U361" s="389"/>
      <c r="V361" s="389"/>
      <c r="W361" s="432"/>
      <c r="X361" s="441" t="s">
        <v>2142</v>
      </c>
      <c r="Y361" s="441"/>
      <c r="Z361" s="441"/>
      <c r="AA361" s="441"/>
      <c r="AB361" s="441"/>
      <c r="AC361" s="431"/>
      <c r="AD361" s="389"/>
      <c r="AE361" s="389"/>
      <c r="AF361" s="389"/>
      <c r="AG361" s="389"/>
      <c r="AH361" s="389"/>
      <c r="AI361" s="389"/>
      <c r="AJ361" s="389"/>
      <c r="AK361" s="389"/>
      <c r="AL361" s="432"/>
      <c r="AM361" s="441" t="s">
        <v>2143</v>
      </c>
      <c r="AN361" s="441"/>
      <c r="AO361" s="441"/>
      <c r="AP361" s="441"/>
      <c r="AQ361" s="441"/>
      <c r="AR361" s="441"/>
      <c r="AS361" s="431"/>
      <c r="AT361" s="389"/>
      <c r="AU361" s="389"/>
      <c r="AV361" s="432"/>
      <c r="BZ361" s="195"/>
    </row>
    <row r="362" spans="2:78" ht="22.5" customHeight="1" x14ac:dyDescent="0.25">
      <c r="B362" s="171"/>
      <c r="C362" s="441" t="s">
        <v>2103</v>
      </c>
      <c r="D362" s="441"/>
      <c r="E362" s="441"/>
      <c r="F362" s="441"/>
      <c r="G362" s="441"/>
      <c r="H362" s="441"/>
      <c r="I362" s="441"/>
      <c r="J362" s="441"/>
      <c r="K362" s="441"/>
      <c r="L362" s="441"/>
      <c r="M362" s="441"/>
      <c r="N362" s="441"/>
      <c r="O362" s="441"/>
      <c r="P362" s="431"/>
      <c r="Q362" s="389"/>
      <c r="R362" s="389"/>
      <c r="S362" s="389"/>
      <c r="T362" s="389"/>
      <c r="U362" s="389"/>
      <c r="V362" s="389"/>
      <c r="W362" s="389"/>
      <c r="X362" s="389"/>
      <c r="Y362" s="432"/>
      <c r="Z362" s="441" t="s">
        <v>2142</v>
      </c>
      <c r="AA362" s="441"/>
      <c r="AB362" s="441"/>
      <c r="AC362" s="441"/>
      <c r="AD362" s="441"/>
      <c r="AE362" s="431"/>
      <c r="AF362" s="389"/>
      <c r="AG362" s="389"/>
      <c r="AH362" s="389"/>
      <c r="AI362" s="389"/>
      <c r="AJ362" s="389"/>
      <c r="AK362" s="389"/>
      <c r="AL362" s="389"/>
      <c r="AM362" s="389"/>
      <c r="AN362" s="432"/>
      <c r="AO362" s="441" t="s">
        <v>2143</v>
      </c>
      <c r="AP362" s="441"/>
      <c r="AQ362" s="441"/>
      <c r="AR362" s="441"/>
      <c r="AS362" s="441"/>
      <c r="AT362" s="441"/>
      <c r="AU362" s="431"/>
      <c r="AV362" s="389"/>
      <c r="AW362" s="389"/>
      <c r="AX362" s="432"/>
      <c r="BZ362" s="195"/>
    </row>
    <row r="363" spans="2:78" ht="22.5" customHeight="1" x14ac:dyDescent="0.25">
      <c r="B363" s="171"/>
      <c r="C363" s="441" t="s">
        <v>2104</v>
      </c>
      <c r="D363" s="441"/>
      <c r="E363" s="441"/>
      <c r="F363" s="441"/>
      <c r="G363" s="441"/>
      <c r="H363" s="441"/>
      <c r="I363" s="441"/>
      <c r="J363" s="441"/>
      <c r="K363" s="441"/>
      <c r="L363" s="441"/>
      <c r="M363" s="441"/>
      <c r="N363" s="441"/>
      <c r="O363" s="441"/>
      <c r="P363" s="441"/>
      <c r="Q363" s="431"/>
      <c r="R363" s="389"/>
      <c r="S363" s="389"/>
      <c r="T363" s="389"/>
      <c r="U363" s="389"/>
      <c r="V363" s="389"/>
      <c r="W363" s="389"/>
      <c r="X363" s="389"/>
      <c r="Y363" s="389"/>
      <c r="Z363" s="432"/>
      <c r="BZ363" s="195"/>
    </row>
    <row r="364" spans="2:78" ht="22.5" customHeight="1" x14ac:dyDescent="0.25">
      <c r="B364" s="171"/>
      <c r="C364" s="441" t="s">
        <v>2918</v>
      </c>
      <c r="D364" s="441"/>
      <c r="E364" s="441"/>
      <c r="F364" s="441"/>
      <c r="G364" s="441"/>
      <c r="H364" s="441"/>
      <c r="I364" s="441"/>
      <c r="J364" s="441"/>
      <c r="K364" s="441"/>
      <c r="L364" s="441"/>
      <c r="M364" s="441"/>
      <c r="N364" s="441"/>
      <c r="O364" s="441"/>
      <c r="P364" s="441"/>
      <c r="Q364" s="441"/>
      <c r="R364" s="441"/>
      <c r="S364" s="447"/>
      <c r="T364" s="433"/>
      <c r="U364" s="433"/>
      <c r="V364" s="433"/>
      <c r="W364" s="433"/>
      <c r="X364" s="434"/>
      <c r="BZ364" s="195"/>
    </row>
    <row r="365" spans="2:78" ht="22.5" customHeight="1" x14ac:dyDescent="0.25">
      <c r="B365" s="171"/>
      <c r="C365" s="178" t="s">
        <v>2105</v>
      </c>
      <c r="W365" s="447"/>
      <c r="X365" s="433"/>
      <c r="Y365" s="433"/>
      <c r="Z365" s="433"/>
      <c r="AA365" s="433"/>
      <c r="AB365" s="434"/>
      <c r="BZ365" s="195"/>
    </row>
    <row r="366" spans="2:78" ht="22.5" customHeight="1" x14ac:dyDescent="0.25">
      <c r="B366" s="171"/>
      <c r="C366" s="178" t="s">
        <v>2144</v>
      </c>
      <c r="BK366" s="431"/>
      <c r="BL366" s="432"/>
      <c r="BZ366" s="195"/>
    </row>
    <row r="367" spans="2:78" ht="22.5" customHeight="1" x14ac:dyDescent="0.25">
      <c r="B367" s="171"/>
      <c r="C367" s="178" t="s">
        <v>2106</v>
      </c>
      <c r="W367" s="431"/>
      <c r="X367" s="432"/>
      <c r="BZ367" s="195"/>
    </row>
    <row r="368" spans="2:78" ht="22.5" customHeight="1" x14ac:dyDescent="0.25">
      <c r="B368" s="171"/>
      <c r="C368" s="178" t="s">
        <v>2107</v>
      </c>
      <c r="AN368" s="431"/>
      <c r="AO368" s="389"/>
      <c r="AP368" s="389"/>
      <c r="AQ368" s="389"/>
      <c r="AR368" s="389"/>
      <c r="AS368" s="389"/>
      <c r="AT368" s="389"/>
      <c r="AU368" s="389"/>
      <c r="AV368" s="432"/>
      <c r="BZ368" s="195"/>
    </row>
    <row r="369" spans="2:78" ht="22.5" customHeight="1" x14ac:dyDescent="0.25">
      <c r="B369" s="171"/>
      <c r="C369" s="178" t="s">
        <v>2108</v>
      </c>
      <c r="S369" s="431"/>
      <c r="T369" s="432"/>
      <c r="BZ369" s="195"/>
    </row>
    <row r="370" spans="2:78" ht="22.5" customHeight="1" x14ac:dyDescent="0.25">
      <c r="B370" s="171"/>
      <c r="C370" s="178" t="s">
        <v>2109</v>
      </c>
      <c r="X370" s="431"/>
      <c r="Y370" s="432"/>
      <c r="Z370" s="441" t="s">
        <v>2145</v>
      </c>
      <c r="AA370" s="441"/>
      <c r="AB370" s="441"/>
      <c r="AC370" s="441"/>
      <c r="AD370" s="441"/>
      <c r="AE370" s="441"/>
      <c r="AF370" s="441"/>
      <c r="AG370" s="441"/>
      <c r="AH370" s="441"/>
      <c r="AI370" s="441"/>
      <c r="AJ370" s="441"/>
      <c r="AK370" s="441"/>
      <c r="AL370" s="431"/>
      <c r="AM370" s="389"/>
      <c r="AN370" s="389"/>
      <c r="AO370" s="389"/>
      <c r="AP370" s="389"/>
      <c r="AQ370" s="389"/>
      <c r="AR370" s="389"/>
      <c r="AS370" s="389"/>
      <c r="AT370" s="389"/>
      <c r="AU370" s="389"/>
      <c r="AV370" s="389"/>
      <c r="AW370" s="389"/>
      <c r="AX370" s="389"/>
      <c r="AY370" s="389"/>
      <c r="AZ370" s="389"/>
      <c r="BA370" s="432"/>
      <c r="BZ370" s="195"/>
    </row>
    <row r="371" spans="2:78" ht="22.5" customHeight="1" x14ac:dyDescent="0.25">
      <c r="B371" s="171"/>
      <c r="BZ371" s="195"/>
    </row>
    <row r="372" spans="2:78" ht="22.5" customHeight="1" x14ac:dyDescent="0.25">
      <c r="B372" s="171" t="s">
        <v>2110</v>
      </c>
      <c r="BZ372" s="195"/>
    </row>
    <row r="373" spans="2:78" ht="22.5" customHeight="1" x14ac:dyDescent="0.25">
      <c r="B373" s="171"/>
      <c r="C373" s="178" t="s">
        <v>2111</v>
      </c>
      <c r="M373" s="448"/>
      <c r="N373" s="389"/>
      <c r="O373" s="389"/>
      <c r="P373" s="389"/>
      <c r="Q373" s="432"/>
      <c r="R373" s="441" t="s">
        <v>1920</v>
      </c>
      <c r="S373" s="441"/>
      <c r="T373" s="441"/>
      <c r="U373" s="441"/>
      <c r="V373" s="441"/>
      <c r="W373" s="441"/>
      <c r="X373" s="441"/>
      <c r="Y373" s="441"/>
      <c r="Z373" s="441"/>
      <c r="AA373" s="448"/>
      <c r="AB373" s="389"/>
      <c r="AC373" s="389"/>
      <c r="AD373" s="389"/>
      <c r="AE373" s="432"/>
      <c r="AF373" s="441" t="s">
        <v>2146</v>
      </c>
      <c r="AG373" s="441"/>
      <c r="AH373" s="441"/>
      <c r="AI373" s="441"/>
      <c r="AJ373" s="441"/>
      <c r="AK373" s="441"/>
      <c r="AL373" s="441"/>
      <c r="AM373" s="431"/>
      <c r="AN373" s="432"/>
      <c r="AO373" s="178" t="s">
        <v>2147</v>
      </c>
      <c r="BZ373" s="195"/>
    </row>
    <row r="374" spans="2:78" ht="22.5" customHeight="1" x14ac:dyDescent="0.25">
      <c r="B374" s="171"/>
      <c r="C374" s="178" t="s">
        <v>2112</v>
      </c>
      <c r="BZ374" s="195"/>
    </row>
    <row r="375" spans="2:78" ht="22.5" customHeight="1" x14ac:dyDescent="0.25">
      <c r="B375" s="171"/>
      <c r="D375" s="441" t="s">
        <v>2113</v>
      </c>
      <c r="E375" s="441"/>
      <c r="F375" s="441"/>
      <c r="G375" s="441"/>
      <c r="H375" s="441"/>
      <c r="I375" s="441"/>
      <c r="J375" s="441"/>
      <c r="K375" s="441"/>
      <c r="L375" s="431"/>
      <c r="M375" s="432"/>
      <c r="N375" s="441" t="s">
        <v>2148</v>
      </c>
      <c r="O375" s="441"/>
      <c r="P375" s="441"/>
      <c r="Q375" s="441"/>
      <c r="R375" s="441"/>
      <c r="S375" s="441"/>
      <c r="T375" s="441"/>
      <c r="U375" s="441"/>
      <c r="V375" s="441"/>
      <c r="W375" s="441"/>
      <c r="X375" s="431"/>
      <c r="Y375" s="389"/>
      <c r="Z375" s="389"/>
      <c r="AA375" s="432"/>
      <c r="AB375" s="441" t="s">
        <v>2149</v>
      </c>
      <c r="AC375" s="441"/>
      <c r="AD375" s="441"/>
      <c r="AE375" s="441"/>
      <c r="AF375" s="441"/>
      <c r="AG375" s="441"/>
      <c r="AH375" s="441"/>
      <c r="AI375" s="441"/>
      <c r="AJ375" s="441"/>
      <c r="AK375" s="441"/>
      <c r="AL375" s="441"/>
      <c r="AM375" s="441"/>
      <c r="AN375" s="441"/>
      <c r="AO375" s="441"/>
      <c r="AP375" s="441"/>
      <c r="AQ375" s="441"/>
      <c r="AR375" s="449"/>
      <c r="AS375" s="450"/>
      <c r="AT375" s="450"/>
      <c r="AU375" s="450"/>
      <c r="AV375" s="450"/>
      <c r="AW375" s="450"/>
      <c r="AX375" s="450"/>
      <c r="AY375" s="450"/>
      <c r="AZ375" s="450"/>
      <c r="BA375" s="451"/>
      <c r="BZ375" s="195"/>
    </row>
    <row r="376" spans="2:78" ht="22.5" customHeight="1" x14ac:dyDescent="0.25">
      <c r="B376" s="171"/>
      <c r="D376" s="441" t="s">
        <v>2114</v>
      </c>
      <c r="E376" s="441"/>
      <c r="F376" s="441"/>
      <c r="G376" s="441"/>
      <c r="H376" s="441"/>
      <c r="I376" s="441"/>
      <c r="J376" s="441"/>
      <c r="K376" s="441"/>
      <c r="L376" s="441"/>
      <c r="M376" s="441"/>
      <c r="N376" s="441"/>
      <c r="O376" s="441"/>
      <c r="P376" s="441"/>
      <c r="Q376" s="441"/>
      <c r="R376" s="441"/>
      <c r="S376" s="441"/>
      <c r="T376" s="441"/>
      <c r="U376" s="441"/>
      <c r="V376" s="441"/>
      <c r="W376" s="441"/>
      <c r="X376" s="441"/>
      <c r="Y376" s="431"/>
      <c r="Z376" s="389"/>
      <c r="AA376" s="389"/>
      <c r="AB376" s="389"/>
      <c r="AC376" s="389"/>
      <c r="AD376" s="389"/>
      <c r="AE376" s="389"/>
      <c r="AF376" s="389"/>
      <c r="AG376" s="389"/>
      <c r="AH376" s="389"/>
      <c r="AI376" s="389"/>
      <c r="AJ376" s="389"/>
      <c r="AK376" s="389"/>
      <c r="AL376" s="389"/>
      <c r="AM376" s="389"/>
      <c r="AN376" s="432"/>
      <c r="BZ376" s="195"/>
    </row>
    <row r="377" spans="2:78" ht="22.5" customHeight="1" x14ac:dyDescent="0.25">
      <c r="B377" s="171"/>
      <c r="D377" s="178" t="s">
        <v>2115</v>
      </c>
      <c r="M377" s="431"/>
      <c r="N377" s="432"/>
      <c r="O377" s="441" t="s">
        <v>2150</v>
      </c>
      <c r="P377" s="441"/>
      <c r="Q377" s="441"/>
      <c r="R377" s="441"/>
      <c r="S377" s="441"/>
      <c r="T377" s="441"/>
      <c r="U377" s="431"/>
      <c r="V377" s="432"/>
      <c r="W377" s="441" t="s">
        <v>2151</v>
      </c>
      <c r="X377" s="441"/>
      <c r="Y377" s="441"/>
      <c r="Z377" s="441"/>
      <c r="AA377" s="441"/>
      <c r="AB377" s="431"/>
      <c r="AC377" s="432"/>
      <c r="AD377" s="441" t="s">
        <v>2152</v>
      </c>
      <c r="AE377" s="441"/>
      <c r="AF377" s="441"/>
      <c r="AG377" s="441"/>
      <c r="AH377" s="431"/>
      <c r="AI377" s="432"/>
      <c r="AJ377" s="441" t="s">
        <v>2153</v>
      </c>
      <c r="AK377" s="441"/>
      <c r="AL377" s="441"/>
      <c r="AM377" s="441"/>
      <c r="AN377" s="431"/>
      <c r="AO377" s="432"/>
      <c r="AP377" s="441" t="s">
        <v>2154</v>
      </c>
      <c r="AQ377" s="441"/>
      <c r="AR377" s="441"/>
      <c r="AS377" s="431"/>
      <c r="AT377" s="432"/>
      <c r="AU377" s="441" t="s">
        <v>2155</v>
      </c>
      <c r="AV377" s="441"/>
      <c r="AW377" s="441"/>
      <c r="AX377" s="441"/>
      <c r="AY377" s="441"/>
      <c r="AZ377" s="431"/>
      <c r="BA377" s="432"/>
      <c r="BB377" s="441" t="s">
        <v>2156</v>
      </c>
      <c r="BC377" s="441"/>
      <c r="BD377" s="441"/>
      <c r="BE377" s="441"/>
      <c r="BF377" s="441"/>
      <c r="BG377" s="441"/>
      <c r="BH377" s="441"/>
      <c r="BI377" s="431"/>
      <c r="BJ377" s="432"/>
      <c r="BZ377" s="195"/>
    </row>
    <row r="378" spans="2:78" ht="22.5" customHeight="1" x14ac:dyDescent="0.25">
      <c r="B378" s="171"/>
      <c r="D378" s="178" t="s">
        <v>2116</v>
      </c>
      <c r="T378" s="431"/>
      <c r="U378" s="432"/>
      <c r="V378" s="441" t="s">
        <v>2157</v>
      </c>
      <c r="W378" s="441"/>
      <c r="X378" s="441"/>
      <c r="Y378" s="431"/>
      <c r="Z378" s="432"/>
      <c r="BZ378" s="195"/>
    </row>
    <row r="379" spans="2:78" ht="22.5" customHeight="1" x14ac:dyDescent="0.25">
      <c r="B379" s="175"/>
      <c r="C379" s="196"/>
      <c r="D379" s="455" t="s">
        <v>2117</v>
      </c>
      <c r="E379" s="455"/>
      <c r="F379" s="455"/>
      <c r="G379" s="455"/>
      <c r="H379" s="455"/>
      <c r="I379" s="455"/>
      <c r="J379" s="455"/>
      <c r="K379" s="455"/>
      <c r="L379" s="455"/>
      <c r="M379" s="455"/>
      <c r="N379" s="455"/>
      <c r="O379" s="431"/>
      <c r="P379" s="389"/>
      <c r="Q379" s="389"/>
      <c r="R379" s="389"/>
      <c r="S379" s="389"/>
      <c r="T379" s="389"/>
      <c r="U379" s="389"/>
      <c r="V379" s="389"/>
      <c r="W379" s="389"/>
      <c r="X379" s="432"/>
      <c r="Y379" s="196"/>
      <c r="Z379" s="196"/>
      <c r="AA379" s="196"/>
      <c r="AB379" s="196"/>
      <c r="AC379" s="196"/>
      <c r="AD379" s="196"/>
      <c r="AE379" s="196"/>
      <c r="AF379" s="196"/>
      <c r="AG379" s="196"/>
      <c r="AH379" s="196"/>
      <c r="AI379" s="196"/>
      <c r="AJ379" s="196"/>
      <c r="AK379" s="196"/>
      <c r="AL379" s="196"/>
      <c r="AM379" s="196"/>
      <c r="AN379" s="196"/>
      <c r="AO379" s="196"/>
      <c r="AP379" s="196"/>
      <c r="AQ379" s="196"/>
      <c r="AR379" s="196"/>
      <c r="AS379" s="196"/>
      <c r="AT379" s="196"/>
      <c r="AU379" s="196"/>
      <c r="AV379" s="196"/>
      <c r="AW379" s="196"/>
      <c r="AX379" s="196"/>
      <c r="AY379" s="196"/>
      <c r="AZ379" s="196"/>
      <c r="BA379" s="196"/>
      <c r="BB379" s="196"/>
      <c r="BC379" s="196"/>
      <c r="BD379" s="196"/>
      <c r="BE379" s="196"/>
      <c r="BF379" s="196"/>
      <c r="BG379" s="196"/>
      <c r="BH379" s="196"/>
      <c r="BI379" s="196"/>
      <c r="BJ379" s="196"/>
      <c r="BK379" s="196"/>
      <c r="BL379" s="196"/>
      <c r="BM379" s="196"/>
      <c r="BN379" s="196"/>
      <c r="BO379" s="196"/>
      <c r="BP379" s="196"/>
      <c r="BQ379" s="196"/>
      <c r="BR379" s="196"/>
      <c r="BS379" s="196"/>
      <c r="BT379" s="196"/>
      <c r="BU379" s="196"/>
      <c r="BV379" s="196"/>
      <c r="BW379" s="196"/>
      <c r="BX379" s="196"/>
      <c r="BY379" s="196"/>
      <c r="BZ379" s="197"/>
    </row>
  </sheetData>
  <sheetProtection algorithmName="SHA-512" hashValue="PJIKFrQMQ4+hyf6/o/jbVv1AwYDtEWihBY9vq5HcEj/waLf28Gfi3tJttIkW7ASx1R/B1LgHXh1lcVJB+wLjtg==" saltValue="vjF82rcR/NwhOegQpJxgrQ==" spinCount="100000" sheet="1" objects="1" scenarios="1" selectLockedCells="1"/>
  <dataConsolidate/>
  <mergeCells count="2474">
    <mergeCell ref="Y181:AA181"/>
    <mergeCell ref="AB181:AK181"/>
    <mergeCell ref="AL181:AN181"/>
    <mergeCell ref="AO181:AU181"/>
    <mergeCell ref="AV181:AW181"/>
    <mergeCell ref="AX181:BE181"/>
    <mergeCell ref="B306:J306"/>
    <mergeCell ref="B280:I280"/>
    <mergeCell ref="B180:BE180"/>
    <mergeCell ref="B304:J304"/>
    <mergeCell ref="K304:L304"/>
    <mergeCell ref="M304:R304"/>
    <mergeCell ref="S304:W304"/>
    <mergeCell ref="X304:AQ304"/>
    <mergeCell ref="B293:J293"/>
    <mergeCell ref="B303:E303"/>
    <mergeCell ref="F303:L303"/>
    <mergeCell ref="M303:T303"/>
    <mergeCell ref="U303:Z303"/>
    <mergeCell ref="AA303:AH303"/>
    <mergeCell ref="B184:J184"/>
    <mergeCell ref="K184:L184"/>
    <mergeCell ref="M184:R184"/>
    <mergeCell ref="S184:W184"/>
    <mergeCell ref="X184:AD184"/>
    <mergeCell ref="AE184:AI184"/>
    <mergeCell ref="AJ184:AQ184"/>
    <mergeCell ref="AR184:AW184"/>
    <mergeCell ref="AX184:BC184"/>
    <mergeCell ref="BD184:BE184"/>
    <mergeCell ref="B185:J185"/>
    <mergeCell ref="K185:L185"/>
    <mergeCell ref="BD173:BE173"/>
    <mergeCell ref="B170:I170"/>
    <mergeCell ref="J170:X170"/>
    <mergeCell ref="AE174:AI174"/>
    <mergeCell ref="X174:AD174"/>
    <mergeCell ref="AJ174:AQ174"/>
    <mergeCell ref="AR174:BE174"/>
    <mergeCell ref="B173:J173"/>
    <mergeCell ref="AZ303:BC303"/>
    <mergeCell ref="BD303:BE303"/>
    <mergeCell ref="S306:W306"/>
    <mergeCell ref="X306:AD306"/>
    <mergeCell ref="AE306:AI306"/>
    <mergeCell ref="AJ306:AQ306"/>
    <mergeCell ref="AR306:BE306"/>
    <mergeCell ref="AI303:AN303"/>
    <mergeCell ref="AO303:AS303"/>
    <mergeCell ref="X293:AQ293"/>
    <mergeCell ref="X173:AD173"/>
    <mergeCell ref="AE173:AI173"/>
    <mergeCell ref="AJ173:AQ173"/>
    <mergeCell ref="AR173:AW173"/>
    <mergeCell ref="AX173:BC173"/>
    <mergeCell ref="K173:L173"/>
    <mergeCell ref="S183:W183"/>
    <mergeCell ref="X183:AQ183"/>
    <mergeCell ref="AR183:AW183"/>
    <mergeCell ref="AX183:BC183"/>
    <mergeCell ref="BD183:BE183"/>
    <mergeCell ref="M173:R173"/>
    <mergeCell ref="S173:W173"/>
    <mergeCell ref="B181:I181"/>
    <mergeCell ref="AB302:AK302"/>
    <mergeCell ref="AL302:AN302"/>
    <mergeCell ref="S294:W294"/>
    <mergeCell ref="X294:AD294"/>
    <mergeCell ref="AE294:AI294"/>
    <mergeCell ref="B305:J305"/>
    <mergeCell ref="X282:AQ282"/>
    <mergeCell ref="AR282:AW282"/>
    <mergeCell ref="AX282:BC282"/>
    <mergeCell ref="J280:X280"/>
    <mergeCell ref="Y280:AA280"/>
    <mergeCell ref="AO270:AS270"/>
    <mergeCell ref="BD304:BE304"/>
    <mergeCell ref="S272:W272"/>
    <mergeCell ref="X272:AD272"/>
    <mergeCell ref="AE272:AI272"/>
    <mergeCell ref="B272:J272"/>
    <mergeCell ref="AX305:BC305"/>
    <mergeCell ref="Y302:AA302"/>
    <mergeCell ref="B294:J294"/>
    <mergeCell ref="AV291:AW291"/>
    <mergeCell ref="AX291:BE291"/>
    <mergeCell ref="B290:BE290"/>
    <mergeCell ref="AZ292:BC292"/>
    <mergeCell ref="S284:W284"/>
    <mergeCell ref="X284:AD284"/>
    <mergeCell ref="AE284:AI284"/>
    <mergeCell ref="AJ284:AQ284"/>
    <mergeCell ref="AR284:BE284"/>
    <mergeCell ref="B271:J271"/>
    <mergeCell ref="K271:L271"/>
    <mergeCell ref="M271:R271"/>
    <mergeCell ref="B315:J315"/>
    <mergeCell ref="AR304:AW304"/>
    <mergeCell ref="AX304:BC304"/>
    <mergeCell ref="K338:L338"/>
    <mergeCell ref="M338:R338"/>
    <mergeCell ref="B313:I313"/>
    <mergeCell ref="J313:X313"/>
    <mergeCell ref="U116:Z116"/>
    <mergeCell ref="AA116:AH116"/>
    <mergeCell ref="AI116:AN116"/>
    <mergeCell ref="AO116:AS116"/>
    <mergeCell ref="AT116:AY116"/>
    <mergeCell ref="AZ116:BC116"/>
    <mergeCell ref="K174:L174"/>
    <mergeCell ref="M174:R174"/>
    <mergeCell ref="S174:W174"/>
    <mergeCell ref="B119:J119"/>
    <mergeCell ref="K119:L119"/>
    <mergeCell ref="AR119:BE119"/>
    <mergeCell ref="B126:I126"/>
    <mergeCell ref="J126:X126"/>
    <mergeCell ref="Y126:AA126"/>
    <mergeCell ref="AB126:AK126"/>
    <mergeCell ref="J302:X302"/>
    <mergeCell ref="AR163:BE163"/>
    <mergeCell ref="J181:X181"/>
    <mergeCell ref="BD305:BE305"/>
    <mergeCell ref="M282:R282"/>
    <mergeCell ref="S282:W282"/>
    <mergeCell ref="AB280:AK280"/>
    <mergeCell ref="AL280:AN280"/>
    <mergeCell ref="AO280:AU280"/>
    <mergeCell ref="Y104:AA104"/>
    <mergeCell ref="AB104:AK104"/>
    <mergeCell ref="AL104:AN104"/>
    <mergeCell ref="AO104:AU104"/>
    <mergeCell ref="S119:W119"/>
    <mergeCell ref="X119:AD119"/>
    <mergeCell ref="M105:T105"/>
    <mergeCell ref="U105:Z105"/>
    <mergeCell ref="AA105:AH105"/>
    <mergeCell ref="B339:J339"/>
    <mergeCell ref="K339:L339"/>
    <mergeCell ref="M339:R339"/>
    <mergeCell ref="S339:W339"/>
    <mergeCell ref="X339:AD339"/>
    <mergeCell ref="AE339:AI339"/>
    <mergeCell ref="AJ339:AQ339"/>
    <mergeCell ref="U336:Z336"/>
    <mergeCell ref="B174:J174"/>
    <mergeCell ref="K305:L305"/>
    <mergeCell ref="M305:R305"/>
    <mergeCell ref="S305:W305"/>
    <mergeCell ref="X305:AD305"/>
    <mergeCell ref="AE305:AI305"/>
    <mergeCell ref="AJ305:AQ305"/>
    <mergeCell ref="AR305:AW305"/>
    <mergeCell ref="AL126:AN126"/>
    <mergeCell ref="AO126:AU126"/>
    <mergeCell ref="B335:I335"/>
    <mergeCell ref="K282:L282"/>
    <mergeCell ref="K306:L306"/>
    <mergeCell ref="M306:R306"/>
    <mergeCell ref="B336:E336"/>
    <mergeCell ref="B93:I93"/>
    <mergeCell ref="J93:X93"/>
    <mergeCell ref="Y93:AA93"/>
    <mergeCell ref="AB93:AK93"/>
    <mergeCell ref="AL93:AN93"/>
    <mergeCell ref="AO93:AU93"/>
    <mergeCell ref="AV93:AW93"/>
    <mergeCell ref="J87:BE89"/>
    <mergeCell ref="X96:AD96"/>
    <mergeCell ref="AX115:BE115"/>
    <mergeCell ref="S117:W117"/>
    <mergeCell ref="F160:L160"/>
    <mergeCell ref="M160:T160"/>
    <mergeCell ref="U160:Z160"/>
    <mergeCell ref="X117:AQ117"/>
    <mergeCell ref="J98:BE100"/>
    <mergeCell ref="F105:L105"/>
    <mergeCell ref="AE108:AI108"/>
    <mergeCell ref="B107:J107"/>
    <mergeCell ref="K107:L107"/>
    <mergeCell ref="M107:R107"/>
    <mergeCell ref="S107:W107"/>
    <mergeCell ref="X107:AD107"/>
    <mergeCell ref="AE107:AI107"/>
    <mergeCell ref="B106:J106"/>
    <mergeCell ref="K106:L106"/>
    <mergeCell ref="BD106:BE106"/>
    <mergeCell ref="M106:R106"/>
    <mergeCell ref="K108:L108"/>
    <mergeCell ref="B115:I115"/>
    <mergeCell ref="B104:I104"/>
    <mergeCell ref="J104:X104"/>
    <mergeCell ref="Y41:AK41"/>
    <mergeCell ref="B42:X42"/>
    <mergeCell ref="Y42:AK42"/>
    <mergeCell ref="AO43:BK43"/>
    <mergeCell ref="P37:R37"/>
    <mergeCell ref="S37:AC37"/>
    <mergeCell ref="AD37:AF37"/>
    <mergeCell ref="AG37:AQ37"/>
    <mergeCell ref="AR37:AT37"/>
    <mergeCell ref="AU37:BE37"/>
    <mergeCell ref="B46:AK46"/>
    <mergeCell ref="B40:BX40"/>
    <mergeCell ref="AO41:BK41"/>
    <mergeCell ref="BL44:BX44"/>
    <mergeCell ref="B47:X47"/>
    <mergeCell ref="J82:X82"/>
    <mergeCell ref="Y82:AA82"/>
    <mergeCell ref="B71:I71"/>
    <mergeCell ref="J71:X71"/>
    <mergeCell ref="BJ82:BU82"/>
    <mergeCell ref="S73:W73"/>
    <mergeCell ref="AR73:AW73"/>
    <mergeCell ref="X73:AQ73"/>
    <mergeCell ref="S75:W75"/>
    <mergeCell ref="B63:X63"/>
    <mergeCell ref="Y63:AK63"/>
    <mergeCell ref="BL47:BX47"/>
    <mergeCell ref="AO47:BK47"/>
    <mergeCell ref="Y49:AK49"/>
    <mergeCell ref="B48:X48"/>
    <mergeCell ref="Y48:AK48"/>
    <mergeCell ref="B55:X55"/>
    <mergeCell ref="AB2:AL2"/>
    <mergeCell ref="B10:BE10"/>
    <mergeCell ref="B20:BE20"/>
    <mergeCell ref="B30:BE30"/>
    <mergeCell ref="Y31:AA31"/>
    <mergeCell ref="AB31:AK31"/>
    <mergeCell ref="AL31:AN31"/>
    <mergeCell ref="AO31:AU31"/>
    <mergeCell ref="B33:I33"/>
    <mergeCell ref="J33:X33"/>
    <mergeCell ref="Y33:AA33"/>
    <mergeCell ref="AB33:AK33"/>
    <mergeCell ref="AL33:AN33"/>
    <mergeCell ref="AO33:AU33"/>
    <mergeCell ref="AV33:AW33"/>
    <mergeCell ref="AX33:BE33"/>
    <mergeCell ref="B35:D35"/>
    <mergeCell ref="AU27:BE27"/>
    <mergeCell ref="E35:Q35"/>
    <mergeCell ref="R35:X35"/>
    <mergeCell ref="Y35:AE35"/>
    <mergeCell ref="AF35:AK35"/>
    <mergeCell ref="AL35:AR35"/>
    <mergeCell ref="AS35:AX35"/>
    <mergeCell ref="AY35:BE35"/>
    <mergeCell ref="AC12:BE12"/>
    <mergeCell ref="Y11:AA11"/>
    <mergeCell ref="AL23:AN23"/>
    <mergeCell ref="AO23:AU23"/>
    <mergeCell ref="AV23:AW23"/>
    <mergeCell ref="AX23:BE23"/>
    <mergeCell ref="AO24:AU24"/>
    <mergeCell ref="B36:D36"/>
    <mergeCell ref="E36:AC36"/>
    <mergeCell ref="AD36:AF36"/>
    <mergeCell ref="AG36:AQ36"/>
    <mergeCell ref="AR36:AT36"/>
    <mergeCell ref="AU36:BE36"/>
    <mergeCell ref="B37:D37"/>
    <mergeCell ref="E37:O37"/>
    <mergeCell ref="H31:X31"/>
    <mergeCell ref="AZ31:BE31"/>
    <mergeCell ref="J34:X34"/>
    <mergeCell ref="Y34:AA34"/>
    <mergeCell ref="AB34:AK34"/>
    <mergeCell ref="AL34:AN34"/>
    <mergeCell ref="AO34:AU34"/>
    <mergeCell ref="AV34:AW34"/>
    <mergeCell ref="AX34:BE34"/>
    <mergeCell ref="B32:K32"/>
    <mergeCell ref="L32:M32"/>
    <mergeCell ref="N32:R32"/>
    <mergeCell ref="S32:T32"/>
    <mergeCell ref="U32:Z32"/>
    <mergeCell ref="AA32:AB32"/>
    <mergeCell ref="B34:I34"/>
    <mergeCell ref="AV24:AW24"/>
    <mergeCell ref="AX24:BE24"/>
    <mergeCell ref="AD27:AF27"/>
    <mergeCell ref="AG27:AQ27"/>
    <mergeCell ref="AR27:AT27"/>
    <mergeCell ref="B23:I23"/>
    <mergeCell ref="AV31:AY31"/>
    <mergeCell ref="B31:G31"/>
    <mergeCell ref="AY25:BE25"/>
    <mergeCell ref="J23:X23"/>
    <mergeCell ref="Y23:AA23"/>
    <mergeCell ref="AB23:AK23"/>
    <mergeCell ref="J24:X24"/>
    <mergeCell ref="Y24:AA24"/>
    <mergeCell ref="AB24:AK24"/>
    <mergeCell ref="AL24:AN24"/>
    <mergeCell ref="B26:D26"/>
    <mergeCell ref="E26:AC26"/>
    <mergeCell ref="AD26:AF26"/>
    <mergeCell ref="AG26:AQ26"/>
    <mergeCell ref="AR26:AT26"/>
    <mergeCell ref="B24:I24"/>
    <mergeCell ref="E27:O27"/>
    <mergeCell ref="P27:R27"/>
    <mergeCell ref="S27:AC27"/>
    <mergeCell ref="AV11:AY11"/>
    <mergeCell ref="AA12:AB12"/>
    <mergeCell ref="AV14:AW14"/>
    <mergeCell ref="AX14:BE14"/>
    <mergeCell ref="B15:D15"/>
    <mergeCell ref="AZ11:BE11"/>
    <mergeCell ref="B11:G11"/>
    <mergeCell ref="H11:X11"/>
    <mergeCell ref="N12:R12"/>
    <mergeCell ref="U12:Z12"/>
    <mergeCell ref="L12:M12"/>
    <mergeCell ref="S12:T12"/>
    <mergeCell ref="AV13:AW13"/>
    <mergeCell ref="AX13:BE13"/>
    <mergeCell ref="B14:I14"/>
    <mergeCell ref="B12:K12"/>
    <mergeCell ref="AY15:BE15"/>
    <mergeCell ref="AB14:AK14"/>
    <mergeCell ref="B13:I13"/>
    <mergeCell ref="J13:X13"/>
    <mergeCell ref="Y13:AA13"/>
    <mergeCell ref="AB13:AK13"/>
    <mergeCell ref="AL13:AN13"/>
    <mergeCell ref="AO13:AU13"/>
    <mergeCell ref="E15:Q15"/>
    <mergeCell ref="R15:X15"/>
    <mergeCell ref="Y15:AE15"/>
    <mergeCell ref="AF15:AK15"/>
    <mergeCell ref="AL15:AR15"/>
    <mergeCell ref="AS15:AX15"/>
    <mergeCell ref="AA22:AB22"/>
    <mergeCell ref="AU26:BE26"/>
    <mergeCell ref="B25:D25"/>
    <mergeCell ref="DK306:DR306"/>
    <mergeCell ref="DK292:DR292"/>
    <mergeCell ref="DK295:DR295"/>
    <mergeCell ref="BV292:CD292"/>
    <mergeCell ref="CE292:CN292"/>
    <mergeCell ref="BV294:CD294"/>
    <mergeCell ref="DK305:DR305"/>
    <mergeCell ref="CO292:CZ292"/>
    <mergeCell ref="BV293:CD293"/>
    <mergeCell ref="CE293:CN293"/>
    <mergeCell ref="CO293:CZ293"/>
    <mergeCell ref="DK294:DR294"/>
    <mergeCell ref="CE283:CN283"/>
    <mergeCell ref="CO283:CZ283"/>
    <mergeCell ref="E25:Q25"/>
    <mergeCell ref="R25:X25"/>
    <mergeCell ref="Y25:AE25"/>
    <mergeCell ref="AF25:AK25"/>
    <mergeCell ref="AL25:AR25"/>
    <mergeCell ref="AS25:AX25"/>
    <mergeCell ref="BV306:CD306"/>
    <mergeCell ref="BV303:CD303"/>
    <mergeCell ref="BV302:CD302"/>
    <mergeCell ref="CE302:CN302"/>
    <mergeCell ref="K294:L294"/>
    <mergeCell ref="M294:R294"/>
    <mergeCell ref="B27:D27"/>
    <mergeCell ref="U292:Z292"/>
    <mergeCell ref="M272:R272"/>
    <mergeCell ref="DA282:DJ282"/>
    <mergeCell ref="DK282:DR282"/>
    <mergeCell ref="DA295:DJ295"/>
    <mergeCell ref="AT303:AY303"/>
    <mergeCell ref="DK304:DR304"/>
    <mergeCell ref="DA303:DJ303"/>
    <mergeCell ref="BD294:BE294"/>
    <mergeCell ref="AJ294:AQ294"/>
    <mergeCell ref="AR294:AW294"/>
    <mergeCell ref="AX294:BC294"/>
    <mergeCell ref="BJ284:BU284"/>
    <mergeCell ref="DA284:DJ284"/>
    <mergeCell ref="BH283:BI283"/>
    <mergeCell ref="BV284:CD284"/>
    <mergeCell ref="CE284:CN284"/>
    <mergeCell ref="CO284:CZ284"/>
    <mergeCell ref="BJ283:BU283"/>
    <mergeCell ref="B301:BE301"/>
    <mergeCell ref="DK291:DR291"/>
    <mergeCell ref="BV283:CD283"/>
    <mergeCell ref="DA294:DJ294"/>
    <mergeCell ref="BH303:BI303"/>
    <mergeCell ref="DA283:DJ283"/>
    <mergeCell ref="AR293:AW293"/>
    <mergeCell ref="AX293:BC293"/>
    <mergeCell ref="BD293:BE293"/>
    <mergeCell ref="DK283:DR283"/>
    <mergeCell ref="BH284:BI284"/>
    <mergeCell ref="AO302:AU302"/>
    <mergeCell ref="AV302:AW302"/>
    <mergeCell ref="AX302:BE302"/>
    <mergeCell ref="AO291:AU291"/>
    <mergeCell ref="BV281:CD281"/>
    <mergeCell ref="CE281:CN281"/>
    <mergeCell ref="CO281:CZ281"/>
    <mergeCell ref="BV282:CD282"/>
    <mergeCell ref="CE282:CN282"/>
    <mergeCell ref="CO282:CZ282"/>
    <mergeCell ref="DK303:DR303"/>
    <mergeCell ref="BH293:BI293"/>
    <mergeCell ref="BJ293:BU293"/>
    <mergeCell ref="DA293:DJ293"/>
    <mergeCell ref="DK293:DR293"/>
    <mergeCell ref="BH294:BI294"/>
    <mergeCell ref="BJ294:BU294"/>
    <mergeCell ref="BV291:CD291"/>
    <mergeCell ref="CE291:CN291"/>
    <mergeCell ref="CO291:CZ291"/>
    <mergeCell ref="BH291:BI291"/>
    <mergeCell ref="BJ291:BU291"/>
    <mergeCell ref="DA291:DJ291"/>
    <mergeCell ref="BJ292:BU292"/>
    <mergeCell ref="DA292:DJ292"/>
    <mergeCell ref="CE294:CN294"/>
    <mergeCell ref="BH282:BI282"/>
    <mergeCell ref="BJ282:BU282"/>
    <mergeCell ref="DA281:DJ281"/>
    <mergeCell ref="DK281:DR281"/>
    <mergeCell ref="DK296:DR296"/>
    <mergeCell ref="DK302:DR302"/>
    <mergeCell ref="CO302:CZ302"/>
    <mergeCell ref="DK284:DR284"/>
    <mergeCell ref="DA285:DJ285"/>
    <mergeCell ref="DK285:DR285"/>
    <mergeCell ref="CO294:CZ294"/>
    <mergeCell ref="BV295:CD295"/>
    <mergeCell ref="CE295:CN295"/>
    <mergeCell ref="DA296:DJ296"/>
    <mergeCell ref="DA304:DJ304"/>
    <mergeCell ref="DA302:DJ302"/>
    <mergeCell ref="DK313:DR313"/>
    <mergeCell ref="BH304:BI304"/>
    <mergeCell ref="DK318:DR318"/>
    <mergeCell ref="CO317:CZ317"/>
    <mergeCell ref="BJ315:BU315"/>
    <mergeCell ref="DA315:DJ315"/>
    <mergeCell ref="DK315:DR315"/>
    <mergeCell ref="CO295:CZ295"/>
    <mergeCell ref="DA324:DJ324"/>
    <mergeCell ref="BJ303:BU303"/>
    <mergeCell ref="CO304:CZ304"/>
    <mergeCell ref="BH306:BI306"/>
    <mergeCell ref="CO306:CZ306"/>
    <mergeCell ref="DA306:DJ306"/>
    <mergeCell ref="DA305:DJ305"/>
    <mergeCell ref="CE303:CN303"/>
    <mergeCell ref="CO303:CZ303"/>
    <mergeCell ref="BV304:CD304"/>
    <mergeCell ref="CE304:CN304"/>
    <mergeCell ref="DA307:DJ307"/>
    <mergeCell ref="DK307:DR307"/>
    <mergeCell ref="BJ304:BU304"/>
    <mergeCell ref="CE313:CN313"/>
    <mergeCell ref="BV314:CD314"/>
    <mergeCell ref="BH315:BI315"/>
    <mergeCell ref="BD314:BE314"/>
    <mergeCell ref="B302:I302"/>
    <mergeCell ref="DK340:DR340"/>
    <mergeCell ref="DK327:DR327"/>
    <mergeCell ref="BJ328:BU328"/>
    <mergeCell ref="DA328:DJ328"/>
    <mergeCell ref="DK328:DR328"/>
    <mergeCell ref="DA329:DJ329"/>
    <mergeCell ref="DK329:DR329"/>
    <mergeCell ref="BJ335:BU335"/>
    <mergeCell ref="DA335:DJ335"/>
    <mergeCell ref="DK335:DR335"/>
    <mergeCell ref="BJ336:BU336"/>
    <mergeCell ref="DA336:DJ336"/>
    <mergeCell ref="DK336:DR336"/>
    <mergeCell ref="BJ327:BU327"/>
    <mergeCell ref="DA327:DJ327"/>
    <mergeCell ref="DA339:DJ339"/>
    <mergeCell ref="BV337:CD337"/>
    <mergeCell ref="CE337:CN337"/>
    <mergeCell ref="CO337:CZ337"/>
    <mergeCell ref="DK339:DR339"/>
    <mergeCell ref="DK337:DR337"/>
    <mergeCell ref="BV339:CD339"/>
    <mergeCell ref="CE339:CN339"/>
    <mergeCell ref="CE328:CN328"/>
    <mergeCell ref="DK338:DR338"/>
    <mergeCell ref="CO335:CZ335"/>
    <mergeCell ref="DA340:DJ340"/>
    <mergeCell ref="BJ338:BU338"/>
    <mergeCell ref="CE335:CN335"/>
    <mergeCell ref="BV335:CD335"/>
    <mergeCell ref="BJ339:BU339"/>
    <mergeCell ref="CE317:CN317"/>
    <mergeCell ref="BJ316:BU316"/>
    <mergeCell ref="CO324:CZ324"/>
    <mergeCell ref="BV326:CD326"/>
    <mergeCell ref="CE326:CN326"/>
    <mergeCell ref="BV338:CD338"/>
    <mergeCell ref="DK324:DR324"/>
    <mergeCell ref="CO328:CZ328"/>
    <mergeCell ref="BJ325:BU325"/>
    <mergeCell ref="BJ317:BU317"/>
    <mergeCell ref="CE325:CN325"/>
    <mergeCell ref="CO325:CZ325"/>
    <mergeCell ref="CO339:CZ339"/>
    <mergeCell ref="DA338:DJ338"/>
    <mergeCell ref="BH327:BI327"/>
    <mergeCell ref="CO313:CZ313"/>
    <mergeCell ref="BH325:BI325"/>
    <mergeCell ref="BJ314:BU314"/>
    <mergeCell ref="DA314:DJ314"/>
    <mergeCell ref="DK314:DR314"/>
    <mergeCell ref="CO315:CZ315"/>
    <mergeCell ref="BV316:CD316"/>
    <mergeCell ref="CE316:CN316"/>
    <mergeCell ref="CO316:CZ316"/>
    <mergeCell ref="BH313:BI313"/>
    <mergeCell ref="BJ313:BU313"/>
    <mergeCell ref="DA313:DJ313"/>
    <mergeCell ref="BV313:CD313"/>
    <mergeCell ref="BV327:CD327"/>
    <mergeCell ref="CE327:CN327"/>
    <mergeCell ref="CO327:CZ327"/>
    <mergeCell ref="DK326:DR326"/>
    <mergeCell ref="BH335:BI335"/>
    <mergeCell ref="BH326:BI326"/>
    <mergeCell ref="BH336:BI336"/>
    <mergeCell ref="BH338:BI338"/>
    <mergeCell ref="DA337:DJ337"/>
    <mergeCell ref="BV328:CD328"/>
    <mergeCell ref="BV336:CD336"/>
    <mergeCell ref="CE336:CN336"/>
    <mergeCell ref="CO336:CZ336"/>
    <mergeCell ref="DA316:DJ316"/>
    <mergeCell ref="DA325:DJ325"/>
    <mergeCell ref="CE324:CN324"/>
    <mergeCell ref="DK325:DR325"/>
    <mergeCell ref="DK316:DR316"/>
    <mergeCell ref="DK317:DR317"/>
    <mergeCell ref="DA318:DJ318"/>
    <mergeCell ref="BH317:BI317"/>
    <mergeCell ref="BH316:BI316"/>
    <mergeCell ref="CE338:CN338"/>
    <mergeCell ref="CO338:CZ338"/>
    <mergeCell ref="AL324:AN324"/>
    <mergeCell ref="AO324:AU324"/>
    <mergeCell ref="AV324:AW324"/>
    <mergeCell ref="AX324:BE324"/>
    <mergeCell ref="AX327:BC327"/>
    <mergeCell ref="B334:BE334"/>
    <mergeCell ref="J335:X335"/>
    <mergeCell ref="BJ326:BU326"/>
    <mergeCell ref="DA326:DJ326"/>
    <mergeCell ref="BV324:CD324"/>
    <mergeCell ref="BV317:CD317"/>
    <mergeCell ref="S327:W327"/>
    <mergeCell ref="X327:AD327"/>
    <mergeCell ref="B338:J338"/>
    <mergeCell ref="F336:L336"/>
    <mergeCell ref="M336:T336"/>
    <mergeCell ref="AE327:AI327"/>
    <mergeCell ref="BV325:CD325"/>
    <mergeCell ref="DA317:DJ317"/>
    <mergeCell ref="BH328:BI328"/>
    <mergeCell ref="BJ337:BU337"/>
    <mergeCell ref="F325:L325"/>
    <mergeCell ref="M325:T325"/>
    <mergeCell ref="AJ328:AQ328"/>
    <mergeCell ref="AR328:BE328"/>
    <mergeCell ref="AE338:AI338"/>
    <mergeCell ref="AR326:AW326"/>
    <mergeCell ref="AX326:BC326"/>
    <mergeCell ref="BD326:BE326"/>
    <mergeCell ref="K317:L317"/>
    <mergeCell ref="M317:R317"/>
    <mergeCell ref="AZ336:BC336"/>
    <mergeCell ref="Y313:AA313"/>
    <mergeCell ref="AB313:AK313"/>
    <mergeCell ref="CE305:CN305"/>
    <mergeCell ref="BH305:BI305"/>
    <mergeCell ref="K316:L316"/>
    <mergeCell ref="X317:AD317"/>
    <mergeCell ref="AR317:BE317"/>
    <mergeCell ref="B324:I324"/>
    <mergeCell ref="J324:X324"/>
    <mergeCell ref="Y324:AA324"/>
    <mergeCell ref="AB324:AK324"/>
    <mergeCell ref="CE314:CN314"/>
    <mergeCell ref="AL313:AN313"/>
    <mergeCell ref="AO313:AU313"/>
    <mergeCell ref="AV313:AW313"/>
    <mergeCell ref="AX313:BE313"/>
    <mergeCell ref="B314:E314"/>
    <mergeCell ref="F314:L314"/>
    <mergeCell ref="M314:T314"/>
    <mergeCell ref="U314:Z314"/>
    <mergeCell ref="AA314:AH314"/>
    <mergeCell ref="AI314:AN314"/>
    <mergeCell ref="AO314:AS314"/>
    <mergeCell ref="AT314:AY314"/>
    <mergeCell ref="AZ314:BC314"/>
    <mergeCell ref="M316:R316"/>
    <mergeCell ref="B323:BE323"/>
    <mergeCell ref="BJ305:BU305"/>
    <mergeCell ref="BH314:BI314"/>
    <mergeCell ref="CE315:CN315"/>
    <mergeCell ref="BV315:CD315"/>
    <mergeCell ref="BV305:CD305"/>
    <mergeCell ref="CE280:CN280"/>
    <mergeCell ref="CO280:CZ280"/>
    <mergeCell ref="BH280:BI280"/>
    <mergeCell ref="BJ280:BU280"/>
    <mergeCell ref="BH281:BI281"/>
    <mergeCell ref="BJ281:BU281"/>
    <mergeCell ref="BH324:BI324"/>
    <mergeCell ref="BJ324:BU324"/>
    <mergeCell ref="B295:J295"/>
    <mergeCell ref="K295:L295"/>
    <mergeCell ref="M295:R295"/>
    <mergeCell ref="S295:W295"/>
    <mergeCell ref="X295:AD295"/>
    <mergeCell ref="AE295:AI295"/>
    <mergeCell ref="AJ295:AQ295"/>
    <mergeCell ref="AR295:BE295"/>
    <mergeCell ref="K293:L293"/>
    <mergeCell ref="M293:R293"/>
    <mergeCell ref="S293:W293"/>
    <mergeCell ref="CO314:CZ314"/>
    <mergeCell ref="CE306:CN306"/>
    <mergeCell ref="BJ306:BU306"/>
    <mergeCell ref="K283:L283"/>
    <mergeCell ref="BH292:BI292"/>
    <mergeCell ref="B292:E292"/>
    <mergeCell ref="F292:L292"/>
    <mergeCell ref="M292:T292"/>
    <mergeCell ref="BV280:CD280"/>
    <mergeCell ref="AO292:AS292"/>
    <mergeCell ref="AT292:AY292"/>
    <mergeCell ref="Y291:AA291"/>
    <mergeCell ref="AB291:AK291"/>
    <mergeCell ref="CO269:CZ269"/>
    <mergeCell ref="AJ262:AQ262"/>
    <mergeCell ref="AR262:BE262"/>
    <mergeCell ref="AZ270:BC270"/>
    <mergeCell ref="BD270:BE270"/>
    <mergeCell ref="X260:AQ260"/>
    <mergeCell ref="AR260:AW260"/>
    <mergeCell ref="AX260:BC260"/>
    <mergeCell ref="BD260:BE260"/>
    <mergeCell ref="AT270:AY270"/>
    <mergeCell ref="BV270:CD270"/>
    <mergeCell ref="CE270:CN270"/>
    <mergeCell ref="B261:J261"/>
    <mergeCell ref="K261:L261"/>
    <mergeCell ref="M261:R261"/>
    <mergeCell ref="S261:W261"/>
    <mergeCell ref="X261:AD261"/>
    <mergeCell ref="AE261:AI261"/>
    <mergeCell ref="AJ261:AQ261"/>
    <mergeCell ref="AR261:AW261"/>
    <mergeCell ref="AX261:BC261"/>
    <mergeCell ref="BD261:BE261"/>
    <mergeCell ref="B262:J262"/>
    <mergeCell ref="K262:L262"/>
    <mergeCell ref="M262:R262"/>
    <mergeCell ref="S262:W262"/>
    <mergeCell ref="X262:AD262"/>
    <mergeCell ref="AE262:AI262"/>
    <mergeCell ref="F270:L270"/>
    <mergeCell ref="M270:T270"/>
    <mergeCell ref="U270:Z270"/>
    <mergeCell ref="AI270:AN270"/>
    <mergeCell ref="DA273:DJ273"/>
    <mergeCell ref="CE260:CN260"/>
    <mergeCell ref="AR271:AW271"/>
    <mergeCell ref="AX271:BC271"/>
    <mergeCell ref="BD271:BE271"/>
    <mergeCell ref="BH262:BI262"/>
    <mergeCell ref="BJ262:BU262"/>
    <mergeCell ref="BH269:BI269"/>
    <mergeCell ref="BJ269:BU269"/>
    <mergeCell ref="B268:BE268"/>
    <mergeCell ref="B269:I269"/>
    <mergeCell ref="J269:X269"/>
    <mergeCell ref="Y269:AA269"/>
    <mergeCell ref="B259:E259"/>
    <mergeCell ref="F259:L259"/>
    <mergeCell ref="M259:T259"/>
    <mergeCell ref="U259:Z259"/>
    <mergeCell ref="AA259:AH259"/>
    <mergeCell ref="AI259:AN259"/>
    <mergeCell ref="AO259:AS259"/>
    <mergeCell ref="AT259:AY259"/>
    <mergeCell ref="AZ259:BC259"/>
    <mergeCell ref="BD259:BE259"/>
    <mergeCell ref="B260:J260"/>
    <mergeCell ref="K260:L260"/>
    <mergeCell ref="M260:R260"/>
    <mergeCell ref="S260:W260"/>
    <mergeCell ref="CO260:CZ260"/>
    <mergeCell ref="BV261:CD261"/>
    <mergeCell ref="CE261:CN261"/>
    <mergeCell ref="CE259:CN259"/>
    <mergeCell ref="CE269:CN269"/>
    <mergeCell ref="BH225:BI225"/>
    <mergeCell ref="DK273:DR273"/>
    <mergeCell ref="DA274:DJ274"/>
    <mergeCell ref="DK274:DR274"/>
    <mergeCell ref="BV272:CD272"/>
    <mergeCell ref="CE272:CN272"/>
    <mergeCell ref="CO272:CZ272"/>
    <mergeCell ref="BV273:CD273"/>
    <mergeCell ref="CE273:CN273"/>
    <mergeCell ref="CO273:CZ273"/>
    <mergeCell ref="BH270:BI270"/>
    <mergeCell ref="BJ270:BU270"/>
    <mergeCell ref="BJ272:BU272"/>
    <mergeCell ref="BH271:BI271"/>
    <mergeCell ref="DK272:DR272"/>
    <mergeCell ref="BH273:BI273"/>
    <mergeCell ref="DA272:DJ272"/>
    <mergeCell ref="DA261:DJ261"/>
    <mergeCell ref="DK269:DR269"/>
    <mergeCell ref="CO270:CZ270"/>
    <mergeCell ref="BV271:CD271"/>
    <mergeCell ref="CE271:CN271"/>
    <mergeCell ref="CO271:CZ271"/>
    <mergeCell ref="BH272:BI272"/>
    <mergeCell ref="BH259:BI259"/>
    <mergeCell ref="DA269:DJ269"/>
    <mergeCell ref="CO261:CZ261"/>
    <mergeCell ref="BV262:CD262"/>
    <mergeCell ref="CE262:CN262"/>
    <mergeCell ref="CO262:CZ262"/>
    <mergeCell ref="BV269:CD269"/>
    <mergeCell ref="BJ273:BU273"/>
    <mergeCell ref="BH226:BI226"/>
    <mergeCell ref="BJ226:BU226"/>
    <mergeCell ref="DA226:DJ226"/>
    <mergeCell ref="DK226:DR226"/>
    <mergeCell ref="DK217:DR217"/>
    <mergeCell ref="DK218:DR218"/>
    <mergeCell ref="DA225:DJ225"/>
    <mergeCell ref="BH227:BI227"/>
    <mergeCell ref="BJ227:BU227"/>
    <mergeCell ref="DA227:DJ227"/>
    <mergeCell ref="DK227:DR227"/>
    <mergeCell ref="DK228:DR228"/>
    <mergeCell ref="DK229:DR229"/>
    <mergeCell ref="DA230:DJ230"/>
    <mergeCell ref="DK230:DR230"/>
    <mergeCell ref="BV225:CD225"/>
    <mergeCell ref="CE225:CN225"/>
    <mergeCell ref="CO225:CZ225"/>
    <mergeCell ref="BV226:CD226"/>
    <mergeCell ref="CE226:CN226"/>
    <mergeCell ref="CO226:CZ226"/>
    <mergeCell ref="BV227:CD227"/>
    <mergeCell ref="CE227:CN227"/>
    <mergeCell ref="CO227:CZ227"/>
    <mergeCell ref="BV228:CD228"/>
    <mergeCell ref="CE228:CN228"/>
    <mergeCell ref="CO228:CZ228"/>
    <mergeCell ref="BV229:CD229"/>
    <mergeCell ref="CE229:CN229"/>
    <mergeCell ref="CO229:CZ229"/>
    <mergeCell ref="BJ228:BU228"/>
    <mergeCell ref="BH228:BI228"/>
    <mergeCell ref="BV215:CD215"/>
    <mergeCell ref="CE215:CN215"/>
    <mergeCell ref="CO215:CZ215"/>
    <mergeCell ref="BV216:CD216"/>
    <mergeCell ref="CE216:CN216"/>
    <mergeCell ref="CO216:CZ216"/>
    <mergeCell ref="BV217:CD217"/>
    <mergeCell ref="CE217:CN217"/>
    <mergeCell ref="CO217:CZ217"/>
    <mergeCell ref="BV218:CD218"/>
    <mergeCell ref="CE218:CN218"/>
    <mergeCell ref="CO218:CZ218"/>
    <mergeCell ref="DA216:DJ216"/>
    <mergeCell ref="DA214:DJ214"/>
    <mergeCell ref="DA217:DJ217"/>
    <mergeCell ref="DA218:DJ218"/>
    <mergeCell ref="DK225:DR225"/>
    <mergeCell ref="BJ160:BU160"/>
    <mergeCell ref="DA160:DJ160"/>
    <mergeCell ref="DK160:DR160"/>
    <mergeCell ref="CO140:CZ140"/>
    <mergeCell ref="DA151:DJ151"/>
    <mergeCell ref="BH150:BI150"/>
    <mergeCell ref="DK141:DR141"/>
    <mergeCell ref="DA142:DJ142"/>
    <mergeCell ref="DK142:DR142"/>
    <mergeCell ref="BH206:BI206"/>
    <mergeCell ref="BJ206:BU206"/>
    <mergeCell ref="DA206:DJ206"/>
    <mergeCell ref="DK206:DR206"/>
    <mergeCell ref="DK151:DR151"/>
    <mergeCell ref="DA152:DJ152"/>
    <mergeCell ref="DK152:DR152"/>
    <mergeCell ref="DA153:DJ153"/>
    <mergeCell ref="CE151:CN151"/>
    <mergeCell ref="BJ171:BU171"/>
    <mergeCell ref="BJ173:BU173"/>
    <mergeCell ref="BV182:CD182"/>
    <mergeCell ref="BH172:BI172"/>
    <mergeCell ref="CE205:CN205"/>
    <mergeCell ref="CO205:CZ205"/>
    <mergeCell ref="BV206:CD206"/>
    <mergeCell ref="CE141:CN141"/>
    <mergeCell ref="CO141:CZ141"/>
    <mergeCell ref="BH141:BI141"/>
    <mergeCell ref="CE206:CN206"/>
    <mergeCell ref="BV203:CD203"/>
    <mergeCell ref="BH203:BI203"/>
    <mergeCell ref="BH194:BI194"/>
    <mergeCell ref="CO138:CZ138"/>
    <mergeCell ref="CE129:CN129"/>
    <mergeCell ref="CO129:CZ129"/>
    <mergeCell ref="CE130:CN130"/>
    <mergeCell ref="CO130:CZ130"/>
    <mergeCell ref="CE126:CN126"/>
    <mergeCell ref="DK140:DR140"/>
    <mergeCell ref="BV173:CD173"/>
    <mergeCell ref="DA193:DJ193"/>
    <mergeCell ref="CE185:CN185"/>
    <mergeCell ref="BV181:CD181"/>
    <mergeCell ref="BH196:BI196"/>
    <mergeCell ref="BJ196:BU196"/>
    <mergeCell ref="DA174:DJ174"/>
    <mergeCell ref="CE172:CN172"/>
    <mergeCell ref="CO172:CZ172"/>
    <mergeCell ref="BH181:BI181"/>
    <mergeCell ref="BJ181:BU181"/>
    <mergeCell ref="BH182:BI182"/>
    <mergeCell ref="BJ182:BU182"/>
    <mergeCell ref="DA181:DJ181"/>
    <mergeCell ref="CO159:CZ159"/>
    <mergeCell ref="BV160:CD160"/>
    <mergeCell ref="CE160:CN160"/>
    <mergeCell ref="BV192:CD192"/>
    <mergeCell ref="CE192:CN192"/>
    <mergeCell ref="CO192:CZ192"/>
    <mergeCell ref="BV193:CD193"/>
    <mergeCell ref="CE193:CN193"/>
    <mergeCell ref="DK193:DR193"/>
    <mergeCell ref="DK159:DR159"/>
    <mergeCell ref="BH160:BI160"/>
    <mergeCell ref="BV150:CD150"/>
    <mergeCell ref="BJ139:BU139"/>
    <mergeCell ref="CE139:CN139"/>
    <mergeCell ref="CE152:CN152"/>
    <mergeCell ref="CO152:CZ152"/>
    <mergeCell ref="DA140:DJ140"/>
    <mergeCell ref="BH140:BI140"/>
    <mergeCell ref="BJ140:BU140"/>
    <mergeCell ref="CO139:CZ139"/>
    <mergeCell ref="CE149:CN149"/>
    <mergeCell ref="CO149:CZ149"/>
    <mergeCell ref="DA141:DJ141"/>
    <mergeCell ref="CO151:CZ151"/>
    <mergeCell ref="CE150:CN150"/>
    <mergeCell ref="CE148:CN148"/>
    <mergeCell ref="CE140:CN140"/>
    <mergeCell ref="BJ149:BU149"/>
    <mergeCell ref="BJ150:BU150"/>
    <mergeCell ref="DA139:DJ139"/>
    <mergeCell ref="BJ141:BU141"/>
    <mergeCell ref="BH151:BI151"/>
    <mergeCell ref="BV141:CD141"/>
    <mergeCell ref="DK129:DR129"/>
    <mergeCell ref="DA127:DJ127"/>
    <mergeCell ref="DA129:DJ129"/>
    <mergeCell ref="DK128:DR128"/>
    <mergeCell ref="DK130:DR130"/>
    <mergeCell ref="CE127:CN127"/>
    <mergeCell ref="CO127:CZ127"/>
    <mergeCell ref="DA137:DJ137"/>
    <mergeCell ref="DK137:DR137"/>
    <mergeCell ref="DA138:DJ138"/>
    <mergeCell ref="DK138:DR138"/>
    <mergeCell ref="CE137:CN137"/>
    <mergeCell ref="DA126:DJ126"/>
    <mergeCell ref="AB11:AK11"/>
    <mergeCell ref="AL11:AN11"/>
    <mergeCell ref="AO11:AU11"/>
    <mergeCell ref="BH82:BI82"/>
    <mergeCell ref="CE86:CN86"/>
    <mergeCell ref="BH86:BI86"/>
    <mergeCell ref="AB82:AK82"/>
    <mergeCell ref="AL82:AN82"/>
    <mergeCell ref="AO82:AU82"/>
    <mergeCell ref="AV82:AW82"/>
    <mergeCell ref="AX82:BE82"/>
    <mergeCell ref="AO71:AU71"/>
    <mergeCell ref="AV71:AW71"/>
    <mergeCell ref="AX71:BE71"/>
    <mergeCell ref="BV83:CD83"/>
    <mergeCell ref="CE83:CN83"/>
    <mergeCell ref="CO119:CZ119"/>
    <mergeCell ref="BJ104:BU104"/>
    <mergeCell ref="CO137:CZ137"/>
    <mergeCell ref="AM2:AN2"/>
    <mergeCell ref="B59:X59"/>
    <mergeCell ref="CO71:CZ71"/>
    <mergeCell ref="DA74:DJ74"/>
    <mergeCell ref="DK75:DR75"/>
    <mergeCell ref="BJ71:BU71"/>
    <mergeCell ref="BJ73:BU73"/>
    <mergeCell ref="BV72:CD72"/>
    <mergeCell ref="BH75:BI75"/>
    <mergeCell ref="Y71:AA71"/>
    <mergeCell ref="AB71:AK71"/>
    <mergeCell ref="AL71:AN71"/>
    <mergeCell ref="B72:E72"/>
    <mergeCell ref="U72:Z72"/>
    <mergeCell ref="M72:T72"/>
    <mergeCell ref="AI72:AN72"/>
    <mergeCell ref="AA72:AH72"/>
    <mergeCell ref="AT72:AY72"/>
    <mergeCell ref="F72:L72"/>
    <mergeCell ref="AO72:AS72"/>
    <mergeCell ref="CO75:CZ75"/>
    <mergeCell ref="CE73:CN73"/>
    <mergeCell ref="CE74:CN74"/>
    <mergeCell ref="DA72:DJ72"/>
    <mergeCell ref="CO72:CZ72"/>
    <mergeCell ref="DA71:DJ71"/>
    <mergeCell ref="DK71:DR71"/>
    <mergeCell ref="AM3:AN3"/>
    <mergeCell ref="BV75:CD75"/>
    <mergeCell ref="CE71:CN71"/>
    <mergeCell ref="BH72:BI72"/>
    <mergeCell ref="BH73:BI73"/>
    <mergeCell ref="CE82:CN82"/>
    <mergeCell ref="AX85:BC85"/>
    <mergeCell ref="BV128:CD128"/>
    <mergeCell ref="BH127:BI127"/>
    <mergeCell ref="BH108:BI108"/>
    <mergeCell ref="BH128:BI128"/>
    <mergeCell ref="BJ119:BU119"/>
    <mergeCell ref="BV115:CD115"/>
    <mergeCell ref="BV108:CD108"/>
    <mergeCell ref="BJ148:BU148"/>
    <mergeCell ref="BH149:BI149"/>
    <mergeCell ref="CE108:CN108"/>
    <mergeCell ref="BV116:CD116"/>
    <mergeCell ref="CE116:CN116"/>
    <mergeCell ref="BJ95:BU95"/>
    <mergeCell ref="BJ117:BU117"/>
    <mergeCell ref="BH126:BI126"/>
    <mergeCell ref="AX106:BC106"/>
    <mergeCell ref="B136:BE136"/>
    <mergeCell ref="B147:BE147"/>
    <mergeCell ref="CE138:CN138"/>
    <mergeCell ref="BD85:BE85"/>
    <mergeCell ref="AX95:BC95"/>
    <mergeCell ref="BD95:BE95"/>
    <mergeCell ref="F83:L83"/>
    <mergeCell ref="M83:T83"/>
    <mergeCell ref="BH85:BI85"/>
    <mergeCell ref="AT83:AY83"/>
    <mergeCell ref="AX84:BC84"/>
    <mergeCell ref="B83:E83"/>
    <mergeCell ref="U83:Z83"/>
    <mergeCell ref="AA83:AH83"/>
    <mergeCell ref="CO118:CZ118"/>
    <mergeCell ref="BJ118:BU118"/>
    <mergeCell ref="CE96:CN96"/>
    <mergeCell ref="DA117:DJ117"/>
    <mergeCell ref="DK117:DR117"/>
    <mergeCell ref="DA116:DJ116"/>
    <mergeCell ref="CO117:CZ117"/>
    <mergeCell ref="BJ105:BU105"/>
    <mergeCell ref="DA107:DJ107"/>
    <mergeCell ref="BV105:CD105"/>
    <mergeCell ref="CE105:CN105"/>
    <mergeCell ref="CO108:CZ108"/>
    <mergeCell ref="CE107:CN107"/>
    <mergeCell ref="BH104:BI104"/>
    <mergeCell ref="DK139:DR139"/>
    <mergeCell ref="BV138:CD138"/>
    <mergeCell ref="BV137:CD137"/>
    <mergeCell ref="BV130:CD130"/>
    <mergeCell ref="BV126:CD126"/>
    <mergeCell ref="BV127:CD127"/>
    <mergeCell ref="BH138:BI138"/>
    <mergeCell ref="BV129:CD129"/>
    <mergeCell ref="BJ137:BU137"/>
    <mergeCell ref="BV104:CD104"/>
    <mergeCell ref="BH117:BI117"/>
    <mergeCell ref="BH116:BI116"/>
    <mergeCell ref="BV107:CD107"/>
    <mergeCell ref="DK119:DR119"/>
    <mergeCell ref="DA120:DJ120"/>
    <mergeCell ref="CO126:CZ126"/>
    <mergeCell ref="DA131:DJ131"/>
    <mergeCell ref="DK131:DR131"/>
    <mergeCell ref="BH97:BI97"/>
    <mergeCell ref="B74:J74"/>
    <mergeCell ref="K74:L74"/>
    <mergeCell ref="M74:R74"/>
    <mergeCell ref="S74:W74"/>
    <mergeCell ref="X74:AD74"/>
    <mergeCell ref="AE74:AI74"/>
    <mergeCell ref="AR74:AW74"/>
    <mergeCell ref="BD83:BE83"/>
    <mergeCell ref="B81:BE81"/>
    <mergeCell ref="AR84:AW84"/>
    <mergeCell ref="B70:BE70"/>
    <mergeCell ref="B67:BX67"/>
    <mergeCell ref="BJ93:BU93"/>
    <mergeCell ref="BV96:CD96"/>
    <mergeCell ref="BH93:BI93"/>
    <mergeCell ref="BJ74:BU74"/>
    <mergeCell ref="BH83:BI83"/>
    <mergeCell ref="BJ83:BU83"/>
    <mergeCell ref="BH94:BI94"/>
    <mergeCell ref="BJ94:BU94"/>
    <mergeCell ref="AZ72:BC72"/>
    <mergeCell ref="BD72:BE72"/>
    <mergeCell ref="BD73:BE73"/>
    <mergeCell ref="BD74:BE74"/>
    <mergeCell ref="AX73:BC73"/>
    <mergeCell ref="AX74:BC74"/>
    <mergeCell ref="B96:J96"/>
    <mergeCell ref="AE75:AI75"/>
    <mergeCell ref="AJ75:AQ75"/>
    <mergeCell ref="K96:L96"/>
    <mergeCell ref="AJ85:AQ85"/>
    <mergeCell ref="DK87:DR87"/>
    <mergeCell ref="BV94:CD94"/>
    <mergeCell ref="BJ97:BU97"/>
    <mergeCell ref="CO116:CZ116"/>
    <mergeCell ref="CE117:CN117"/>
    <mergeCell ref="BH115:BI115"/>
    <mergeCell ref="BV95:CD95"/>
    <mergeCell ref="BV85:CD85"/>
    <mergeCell ref="DK95:DR95"/>
    <mergeCell ref="DA93:DJ93"/>
    <mergeCell ref="BJ86:BU86"/>
    <mergeCell ref="BJ107:BU107"/>
    <mergeCell ref="CE115:CN115"/>
    <mergeCell ref="CO115:CZ115"/>
    <mergeCell ref="DA115:DJ115"/>
    <mergeCell ref="CE104:CN104"/>
    <mergeCell ref="BV106:CD106"/>
    <mergeCell ref="CE106:CN106"/>
    <mergeCell ref="BJ106:BU106"/>
    <mergeCell ref="CO97:CZ97"/>
    <mergeCell ref="DK104:DR104"/>
    <mergeCell ref="DA105:DJ105"/>
    <mergeCell ref="DK105:DR105"/>
    <mergeCell ref="DA98:DJ98"/>
    <mergeCell ref="DK97:DR97"/>
    <mergeCell ref="DA96:DJ96"/>
    <mergeCell ref="BV86:CD86"/>
    <mergeCell ref="BJ85:BU85"/>
    <mergeCell ref="DK108:DR108"/>
    <mergeCell ref="DA109:DJ109"/>
    <mergeCell ref="BH96:BI96"/>
    <mergeCell ref="BJ96:BU96"/>
    <mergeCell ref="DA76:DJ76"/>
    <mergeCell ref="CO74:CZ74"/>
    <mergeCell ref="DK115:DR115"/>
    <mergeCell ref="DA82:DJ82"/>
    <mergeCell ref="DK118:DR118"/>
    <mergeCell ref="DK109:DR109"/>
    <mergeCell ref="DK96:DR96"/>
    <mergeCell ref="CE75:CN75"/>
    <mergeCell ref="BV74:CD74"/>
    <mergeCell ref="BJ75:BU75"/>
    <mergeCell ref="DA97:DJ97"/>
    <mergeCell ref="CE72:CN72"/>
    <mergeCell ref="DA108:DJ108"/>
    <mergeCell ref="DA104:DJ104"/>
    <mergeCell ref="DA106:DJ106"/>
    <mergeCell ref="DK73:DR73"/>
    <mergeCell ref="DK74:DR74"/>
    <mergeCell ref="CE93:CN93"/>
    <mergeCell ref="CO93:CZ93"/>
    <mergeCell ref="CE85:CN85"/>
    <mergeCell ref="DA87:DJ87"/>
    <mergeCell ref="DA86:DJ86"/>
    <mergeCell ref="DA85:DJ85"/>
    <mergeCell ref="DA94:DJ94"/>
    <mergeCell ref="DA95:DJ95"/>
    <mergeCell ref="CO107:CZ107"/>
    <mergeCell ref="BJ72:BU72"/>
    <mergeCell ref="DA118:DJ118"/>
    <mergeCell ref="DK116:DR116"/>
    <mergeCell ref="CO84:CZ84"/>
    <mergeCell ref="BJ84:BU84"/>
    <mergeCell ref="DK86:DR86"/>
    <mergeCell ref="AZ94:BC94"/>
    <mergeCell ref="BD94:BE94"/>
    <mergeCell ref="AR75:BE75"/>
    <mergeCell ref="J76:BE78"/>
    <mergeCell ref="M85:R85"/>
    <mergeCell ref="B84:J84"/>
    <mergeCell ref="BH74:BI74"/>
    <mergeCell ref="B94:E94"/>
    <mergeCell ref="F94:L94"/>
    <mergeCell ref="B82:I82"/>
    <mergeCell ref="B73:J73"/>
    <mergeCell ref="K73:L73"/>
    <mergeCell ref="M73:R73"/>
    <mergeCell ref="BH84:BI84"/>
    <mergeCell ref="K84:L84"/>
    <mergeCell ref="M84:R84"/>
    <mergeCell ref="S84:W84"/>
    <mergeCell ref="X84:AQ84"/>
    <mergeCell ref="M75:R75"/>
    <mergeCell ref="AZ83:BC83"/>
    <mergeCell ref="S85:W85"/>
    <mergeCell ref="X85:AD85"/>
    <mergeCell ref="AE85:AI85"/>
    <mergeCell ref="BD84:BE84"/>
    <mergeCell ref="B86:J86"/>
    <mergeCell ref="B85:J85"/>
    <mergeCell ref="K85:L85"/>
    <mergeCell ref="K86:L86"/>
    <mergeCell ref="M86:R86"/>
    <mergeCell ref="AR85:AW85"/>
    <mergeCell ref="AI83:AN83"/>
    <mergeCell ref="AO83:AS83"/>
    <mergeCell ref="N2:Z2"/>
    <mergeCell ref="N3:Z3"/>
    <mergeCell ref="N4:Z4"/>
    <mergeCell ref="N5:Z5"/>
    <mergeCell ref="CO106:CZ106"/>
    <mergeCell ref="BL42:BX42"/>
    <mergeCell ref="Y50:AK50"/>
    <mergeCell ref="BJ152:BU152"/>
    <mergeCell ref="BV151:CD151"/>
    <mergeCell ref="BV152:CD152"/>
    <mergeCell ref="BH129:BI129"/>
    <mergeCell ref="BH139:BI139"/>
    <mergeCell ref="BJ129:BU129"/>
    <mergeCell ref="CE161:CN161"/>
    <mergeCell ref="CO161:CZ161"/>
    <mergeCell ref="BV162:CD162"/>
    <mergeCell ref="BL53:BX53"/>
    <mergeCell ref="CE95:CN95"/>
    <mergeCell ref="CO95:CZ95"/>
    <mergeCell ref="CO86:CZ86"/>
    <mergeCell ref="BV93:CD93"/>
    <mergeCell ref="BL46:BX46"/>
    <mergeCell ref="BH159:BI159"/>
    <mergeCell ref="AO42:BK42"/>
    <mergeCell ref="BJ159:BU159"/>
    <mergeCell ref="BH95:BI95"/>
    <mergeCell ref="BV71:CD71"/>
    <mergeCell ref="AV104:AW104"/>
    <mergeCell ref="AJ74:AQ74"/>
    <mergeCell ref="AI94:AN94"/>
    <mergeCell ref="AO94:AS94"/>
    <mergeCell ref="AT94:AY94"/>
    <mergeCell ref="BH240:BI240"/>
    <mergeCell ref="BH302:BI302"/>
    <mergeCell ref="BJ302:BU302"/>
    <mergeCell ref="BH118:BI118"/>
    <mergeCell ref="CE128:CN128"/>
    <mergeCell ref="CO128:CZ128"/>
    <mergeCell ref="BV119:CD119"/>
    <mergeCell ref="CE119:CN119"/>
    <mergeCell ref="BV118:CD118"/>
    <mergeCell ref="CE118:CN118"/>
    <mergeCell ref="BV97:CD97"/>
    <mergeCell ref="CE97:CN97"/>
    <mergeCell ref="BV258:CD258"/>
    <mergeCell ref="BJ138:BU138"/>
    <mergeCell ref="BH137:BI137"/>
    <mergeCell ref="BV140:CD140"/>
    <mergeCell ref="BV163:CD163"/>
    <mergeCell ref="BV148:CD148"/>
    <mergeCell ref="BV139:CD139"/>
    <mergeCell ref="CO170:CZ170"/>
    <mergeCell ref="BH148:BI148"/>
    <mergeCell ref="BV161:CD161"/>
    <mergeCell ref="BJ250:BU250"/>
    <mergeCell ref="BH238:BI238"/>
    <mergeCell ref="BH249:BI249"/>
    <mergeCell ref="BV207:CD207"/>
    <mergeCell ref="BV237:CD237"/>
    <mergeCell ref="CO259:CZ259"/>
    <mergeCell ref="BV260:CD260"/>
    <mergeCell ref="CE258:CN258"/>
    <mergeCell ref="CE163:CN163"/>
    <mergeCell ref="CO163:CZ163"/>
    <mergeCell ref="B43:X43"/>
    <mergeCell ref="Y45:AK45"/>
    <mergeCell ref="AO44:BK44"/>
    <mergeCell ref="BL48:BX48"/>
    <mergeCell ref="BL52:BX52"/>
    <mergeCell ref="BL54:BX54"/>
    <mergeCell ref="Y44:AK44"/>
    <mergeCell ref="BL57:BX57"/>
    <mergeCell ref="AO58:BK58"/>
    <mergeCell ref="BL58:BX58"/>
    <mergeCell ref="Y56:AK56"/>
    <mergeCell ref="AO52:BK52"/>
    <mergeCell ref="Y43:AK43"/>
    <mergeCell ref="AO48:BK48"/>
    <mergeCell ref="Y47:AK47"/>
    <mergeCell ref="BL43:BX43"/>
    <mergeCell ref="BL49:BX49"/>
    <mergeCell ref="B49:X49"/>
    <mergeCell ref="Y58:AK58"/>
    <mergeCell ref="Y55:AK55"/>
    <mergeCell ref="B51:X51"/>
    <mergeCell ref="AO55:BK55"/>
    <mergeCell ref="AO53:BK53"/>
    <mergeCell ref="Y61:AK61"/>
    <mergeCell ref="Y62:AK62"/>
    <mergeCell ref="Y59:AK59"/>
    <mergeCell ref="AO50:BK50"/>
    <mergeCell ref="AO51:BK51"/>
    <mergeCell ref="BL50:BX50"/>
    <mergeCell ref="BL51:BX51"/>
    <mergeCell ref="B61:X61"/>
    <mergeCell ref="B56:X56"/>
    <mergeCell ref="AO57:BK57"/>
    <mergeCell ref="AO59:BK59"/>
    <mergeCell ref="Y54:AK54"/>
    <mergeCell ref="BL55:BX55"/>
    <mergeCell ref="AO54:BK54"/>
    <mergeCell ref="BL59:BX59"/>
    <mergeCell ref="AO56:BK56"/>
    <mergeCell ref="AO49:BK49"/>
    <mergeCell ref="B54:X54"/>
    <mergeCell ref="B62:X62"/>
    <mergeCell ref="B58:X58"/>
    <mergeCell ref="B60:X60"/>
    <mergeCell ref="Y60:AK60"/>
    <mergeCell ref="AO61:BK61"/>
    <mergeCell ref="BL61:BX61"/>
    <mergeCell ref="AO60:BK60"/>
    <mergeCell ref="BL60:BX60"/>
    <mergeCell ref="BH71:BI71"/>
    <mergeCell ref="CO73:CZ73"/>
    <mergeCell ref="DK120:DR120"/>
    <mergeCell ref="DK126:DR126"/>
    <mergeCell ref="DA128:DJ128"/>
    <mergeCell ref="BV117:CD117"/>
    <mergeCell ref="DK82:DR82"/>
    <mergeCell ref="DK83:DR83"/>
    <mergeCell ref="CO82:CZ82"/>
    <mergeCell ref="CO96:CZ96"/>
    <mergeCell ref="CE84:CN84"/>
    <mergeCell ref="CO105:CZ105"/>
    <mergeCell ref="DK85:DR85"/>
    <mergeCell ref="DA83:DJ83"/>
    <mergeCell ref="CE94:CN94"/>
    <mergeCell ref="CO94:CZ94"/>
    <mergeCell ref="CO83:CZ83"/>
    <mergeCell ref="BV84:CD84"/>
    <mergeCell ref="DA84:DJ84"/>
    <mergeCell ref="DK84:DR84"/>
    <mergeCell ref="DK107:DR107"/>
    <mergeCell ref="DK106:DR106"/>
    <mergeCell ref="DK98:DR98"/>
    <mergeCell ref="DK93:DR93"/>
    <mergeCell ref="DK94:DR94"/>
    <mergeCell ref="CO85:CZ85"/>
    <mergeCell ref="BH107:BI107"/>
    <mergeCell ref="BV73:CD73"/>
    <mergeCell ref="BV82:CD82"/>
    <mergeCell ref="DK72:DR72"/>
    <mergeCell ref="DA75:DJ75"/>
    <mergeCell ref="DA73:DJ73"/>
    <mergeCell ref="B2:M2"/>
    <mergeCell ref="B41:X41"/>
    <mergeCell ref="BH105:BI105"/>
    <mergeCell ref="B50:X50"/>
    <mergeCell ref="B8:BX8"/>
    <mergeCell ref="BL56:BX56"/>
    <mergeCell ref="Y51:AK51"/>
    <mergeCell ref="B52:X52"/>
    <mergeCell ref="Y52:AK52"/>
    <mergeCell ref="B53:X53"/>
    <mergeCell ref="Y53:AK53"/>
    <mergeCell ref="AO46:BK46"/>
    <mergeCell ref="BH170:BI170"/>
    <mergeCell ref="BJ170:BU170"/>
    <mergeCell ref="BJ128:BU128"/>
    <mergeCell ref="B4:M4"/>
    <mergeCell ref="B3:M3"/>
    <mergeCell ref="AB3:AL3"/>
    <mergeCell ref="B45:X45"/>
    <mergeCell ref="B44:X44"/>
    <mergeCell ref="K75:L75"/>
    <mergeCell ref="B75:J75"/>
    <mergeCell ref="X75:AD75"/>
    <mergeCell ref="B5:M5"/>
    <mergeCell ref="BH130:BI130"/>
    <mergeCell ref="BH119:BI119"/>
    <mergeCell ref="BL41:BX41"/>
    <mergeCell ref="K95:L95"/>
    <mergeCell ref="M95:R95"/>
    <mergeCell ref="S95:W95"/>
    <mergeCell ref="AT105:AY105"/>
    <mergeCell ref="AZ105:BC105"/>
    <mergeCell ref="BJ236:BU236"/>
    <mergeCell ref="BH193:BI193"/>
    <mergeCell ref="BJ172:BU172"/>
    <mergeCell ref="CO171:CZ171"/>
    <mergeCell ref="BH183:BI183"/>
    <mergeCell ref="BH174:BI174"/>
    <mergeCell ref="CO181:CZ181"/>
    <mergeCell ref="CE181:CN181"/>
    <mergeCell ref="CE170:CN170"/>
    <mergeCell ref="BJ174:BU174"/>
    <mergeCell ref="BH185:BI185"/>
    <mergeCell ref="BJ184:BU184"/>
    <mergeCell ref="CE195:CN195"/>
    <mergeCell ref="CO195:CZ195"/>
    <mergeCell ref="BV196:CD196"/>
    <mergeCell ref="CE196:CN196"/>
    <mergeCell ref="CO196:CZ196"/>
    <mergeCell ref="CE204:CN204"/>
    <mergeCell ref="CO204:CZ204"/>
    <mergeCell ref="BH204:BI204"/>
    <mergeCell ref="BJ204:BU204"/>
    <mergeCell ref="CO203:CZ203"/>
    <mergeCell ref="BH205:BI205"/>
    <mergeCell ref="BJ205:BU205"/>
    <mergeCell ref="BH214:BI214"/>
    <mergeCell ref="BH192:BI192"/>
    <mergeCell ref="BV195:CD195"/>
    <mergeCell ref="BH218:BI218"/>
    <mergeCell ref="BJ218:BU218"/>
    <mergeCell ref="CE174:CN174"/>
    <mergeCell ref="BJ193:BU193"/>
    <mergeCell ref="BV185:CD185"/>
    <mergeCell ref="BV249:CD249"/>
    <mergeCell ref="CE249:CN249"/>
    <mergeCell ref="CO249:CZ249"/>
    <mergeCell ref="DK149:DR149"/>
    <mergeCell ref="BV251:CD251"/>
    <mergeCell ref="CE251:CN251"/>
    <mergeCell ref="CO251:CZ251"/>
    <mergeCell ref="CO326:CZ326"/>
    <mergeCell ref="BH261:BI261"/>
    <mergeCell ref="BJ261:BU261"/>
    <mergeCell ref="BH258:BI258"/>
    <mergeCell ref="BJ258:BU258"/>
    <mergeCell ref="BH260:BI260"/>
    <mergeCell ref="BJ260:BU260"/>
    <mergeCell ref="BJ259:BU259"/>
    <mergeCell ref="CE238:CN238"/>
    <mergeCell ref="CO238:CZ238"/>
    <mergeCell ref="BV239:CD239"/>
    <mergeCell ref="CO240:CZ240"/>
    <mergeCell ref="BH250:BI250"/>
    <mergeCell ref="CO305:CZ305"/>
    <mergeCell ref="BH295:BI295"/>
    <mergeCell ref="BJ295:BU295"/>
    <mergeCell ref="CO248:CZ248"/>
    <mergeCell ref="BH247:BI247"/>
    <mergeCell ref="BJ249:BU249"/>
    <mergeCell ref="BJ247:BU247"/>
    <mergeCell ref="BV247:CD247"/>
    <mergeCell ref="CE247:CN247"/>
    <mergeCell ref="BH251:BI251"/>
    <mergeCell ref="BJ251:BU251"/>
    <mergeCell ref="BV259:CD259"/>
    <mergeCell ref="DK208:DR208"/>
    <mergeCell ref="DA148:DJ148"/>
    <mergeCell ref="DA150:DJ150"/>
    <mergeCell ref="DA207:DJ207"/>
    <mergeCell ref="DK214:DR214"/>
    <mergeCell ref="DA205:DJ205"/>
    <mergeCell ref="CO250:CZ250"/>
    <mergeCell ref="BJ271:BU271"/>
    <mergeCell ref="BV250:CD250"/>
    <mergeCell ref="CO258:CZ258"/>
    <mergeCell ref="CE250:CN250"/>
    <mergeCell ref="DA149:DJ149"/>
    <mergeCell ref="DA164:DJ164"/>
    <mergeCell ref="DA219:DJ219"/>
    <mergeCell ref="DA159:DJ159"/>
    <mergeCell ref="CE159:CN159"/>
    <mergeCell ref="DA182:DJ182"/>
    <mergeCell ref="CE162:CN162"/>
    <mergeCell ref="CO247:CZ247"/>
    <mergeCell ref="CE248:CN248"/>
    <mergeCell ref="DA250:DJ250"/>
    <mergeCell ref="DK250:DR250"/>
    <mergeCell ref="DA251:DJ251"/>
    <mergeCell ref="DA258:DJ258"/>
    <mergeCell ref="DA270:DJ270"/>
    <mergeCell ref="DK270:DR270"/>
    <mergeCell ref="BV236:CD236"/>
    <mergeCell ref="BJ225:BU225"/>
    <mergeCell ref="BJ240:BU240"/>
    <mergeCell ref="BV240:CD240"/>
    <mergeCell ref="CO236:CZ236"/>
    <mergeCell ref="DK258:DR258"/>
    <mergeCell ref="DK207:DR207"/>
    <mergeCell ref="DA280:DJ280"/>
    <mergeCell ref="DK280:DR280"/>
    <mergeCell ref="DA228:DJ228"/>
    <mergeCell ref="DK259:DR259"/>
    <mergeCell ref="DA260:DJ260"/>
    <mergeCell ref="DK260:DR260"/>
    <mergeCell ref="DK251:DR251"/>
    <mergeCell ref="DA252:DJ252"/>
    <mergeCell ref="DA259:DJ259"/>
    <mergeCell ref="DA248:DJ248"/>
    <mergeCell ref="DA241:DJ241"/>
    <mergeCell ref="DK241:DR241"/>
    <mergeCell ref="DK261:DR261"/>
    <mergeCell ref="DA271:DJ271"/>
    <mergeCell ref="DK271:DR271"/>
    <mergeCell ref="DA237:DJ237"/>
    <mergeCell ref="DK237:DR237"/>
    <mergeCell ref="DK239:DR239"/>
    <mergeCell ref="DK240:DR240"/>
    <mergeCell ref="DK238:DR238"/>
    <mergeCell ref="DA262:DJ262"/>
    <mergeCell ref="DK262:DR262"/>
    <mergeCell ref="DA263:DJ263"/>
    <mergeCell ref="DK263:DR263"/>
    <mergeCell ref="DA229:DJ229"/>
    <mergeCell ref="DA236:DJ236"/>
    <mergeCell ref="DK248:DR248"/>
    <mergeCell ref="DA249:DJ249"/>
    <mergeCell ref="DK249:DR249"/>
    <mergeCell ref="DA240:DJ240"/>
    <mergeCell ref="DK247:DR247"/>
    <mergeCell ref="DK252:DR252"/>
    <mergeCell ref="DA170:DJ170"/>
    <mergeCell ref="BH237:BI237"/>
    <mergeCell ref="DA239:DJ239"/>
    <mergeCell ref="BH229:BI229"/>
    <mergeCell ref="BH195:BI195"/>
    <mergeCell ref="BJ195:BU195"/>
    <mergeCell ref="BJ185:BU185"/>
    <mergeCell ref="CE237:CN237"/>
    <mergeCell ref="BV238:CD238"/>
    <mergeCell ref="CE239:CN239"/>
    <mergeCell ref="DA173:DJ173"/>
    <mergeCell ref="BJ183:BU183"/>
    <mergeCell ref="DA184:DJ184"/>
    <mergeCell ref="DA185:DJ185"/>
    <mergeCell ref="DA208:DJ208"/>
    <mergeCell ref="BH216:BI216"/>
    <mergeCell ref="BJ216:BU216"/>
    <mergeCell ref="BJ214:BU214"/>
    <mergeCell ref="CO206:CZ206"/>
    <mergeCell ref="BV174:CD174"/>
    <mergeCell ref="CO173:CZ173"/>
    <mergeCell ref="CE203:CN203"/>
    <mergeCell ref="BV194:CD194"/>
    <mergeCell ref="BJ194:BU194"/>
    <mergeCell ref="BJ203:BU203"/>
    <mergeCell ref="BV204:CD204"/>
    <mergeCell ref="BV171:CD171"/>
    <mergeCell ref="BH173:BI173"/>
    <mergeCell ref="CE171:CN171"/>
    <mergeCell ref="CO184:CZ184"/>
    <mergeCell ref="BJ229:BU229"/>
    <mergeCell ref="BJ239:BU239"/>
    <mergeCell ref="DK174:DR174"/>
    <mergeCell ref="DK175:DR175"/>
    <mergeCell ref="DK173:DR173"/>
    <mergeCell ref="DK216:DR216"/>
    <mergeCell ref="DK219:DR219"/>
    <mergeCell ref="DK236:DR236"/>
    <mergeCell ref="CO160:CZ160"/>
    <mergeCell ref="DA186:DJ186"/>
    <mergeCell ref="DK186:DR186"/>
    <mergeCell ref="DK181:DR181"/>
    <mergeCell ref="DA192:DJ192"/>
    <mergeCell ref="CO183:CZ183"/>
    <mergeCell ref="CO182:CZ182"/>
    <mergeCell ref="CO174:CZ174"/>
    <mergeCell ref="DK195:DR195"/>
    <mergeCell ref="DA196:DJ196"/>
    <mergeCell ref="DK196:DR196"/>
    <mergeCell ref="DK203:DR203"/>
    <mergeCell ref="DA194:DJ194"/>
    <mergeCell ref="DK204:DR204"/>
    <mergeCell ref="DK197:DR197"/>
    <mergeCell ref="DK194:DR194"/>
    <mergeCell ref="DK205:DR205"/>
    <mergeCell ref="DA183:DJ183"/>
    <mergeCell ref="DK183:DR183"/>
    <mergeCell ref="DK170:DR170"/>
    <mergeCell ref="DK171:DR171"/>
    <mergeCell ref="DK172:DR172"/>
    <mergeCell ref="DK184:DR184"/>
    <mergeCell ref="DK185:DR185"/>
    <mergeCell ref="DK192:DR192"/>
    <mergeCell ref="DK162:DR162"/>
    <mergeCell ref="DA215:DJ215"/>
    <mergeCell ref="DK215:DR215"/>
    <mergeCell ref="DA203:DJ203"/>
    <mergeCell ref="BH248:BI248"/>
    <mergeCell ref="BV248:CD248"/>
    <mergeCell ref="DA247:DJ247"/>
    <mergeCell ref="BJ248:BU248"/>
    <mergeCell ref="BJ238:BU238"/>
    <mergeCell ref="DA238:DJ238"/>
    <mergeCell ref="CE240:CN240"/>
    <mergeCell ref="BH184:BI184"/>
    <mergeCell ref="BJ237:BU237"/>
    <mergeCell ref="BH215:BI215"/>
    <mergeCell ref="BJ215:BU215"/>
    <mergeCell ref="BH236:BI236"/>
    <mergeCell ref="BV184:CD184"/>
    <mergeCell ref="CE182:CN182"/>
    <mergeCell ref="BV183:CD183"/>
    <mergeCell ref="CE183:CN183"/>
    <mergeCell ref="BH217:BI217"/>
    <mergeCell ref="BJ217:BU217"/>
    <mergeCell ref="CO185:CZ185"/>
    <mergeCell ref="BH207:BI207"/>
    <mergeCell ref="BJ207:BU207"/>
    <mergeCell ref="CE207:CN207"/>
    <mergeCell ref="CO207:CZ207"/>
    <mergeCell ref="DA195:DJ195"/>
    <mergeCell ref="BJ192:BU192"/>
    <mergeCell ref="CO214:CZ214"/>
    <mergeCell ref="CE194:CN194"/>
    <mergeCell ref="CO194:CZ194"/>
    <mergeCell ref="CO237:CZ237"/>
    <mergeCell ref="DA204:DJ204"/>
    <mergeCell ref="DA197:DJ197"/>
    <mergeCell ref="DA175:DJ175"/>
    <mergeCell ref="BH239:BI239"/>
    <mergeCell ref="CO239:CZ239"/>
    <mergeCell ref="CE236:CN236"/>
    <mergeCell ref="CE184:CN184"/>
    <mergeCell ref="CO193:CZ193"/>
    <mergeCell ref="BV205:CD205"/>
    <mergeCell ref="BV214:CD214"/>
    <mergeCell ref="CE214:CN214"/>
    <mergeCell ref="BV172:CD172"/>
    <mergeCell ref="AE118:AI118"/>
    <mergeCell ref="AJ118:AQ118"/>
    <mergeCell ref="AR118:AW118"/>
    <mergeCell ref="AX118:BC118"/>
    <mergeCell ref="BD118:BE118"/>
    <mergeCell ref="BH171:BI171"/>
    <mergeCell ref="BJ151:BU151"/>
    <mergeCell ref="AE119:AI119"/>
    <mergeCell ref="AJ119:AQ119"/>
    <mergeCell ref="DA162:DJ162"/>
    <mergeCell ref="AA138:AH138"/>
    <mergeCell ref="AI138:AN138"/>
    <mergeCell ref="AO138:AS138"/>
    <mergeCell ref="AT138:AY138"/>
    <mergeCell ref="AZ138:BC138"/>
    <mergeCell ref="BD138:BE138"/>
    <mergeCell ref="DA171:DJ171"/>
    <mergeCell ref="AR140:AW140"/>
    <mergeCell ref="B158:BE158"/>
    <mergeCell ref="BD105:BE105"/>
    <mergeCell ref="X106:AQ106"/>
    <mergeCell ref="AR106:AW106"/>
    <mergeCell ref="DK182:DR182"/>
    <mergeCell ref="DA172:DJ172"/>
    <mergeCell ref="BH163:BI163"/>
    <mergeCell ref="BJ163:BU163"/>
    <mergeCell ref="DA119:DJ119"/>
    <mergeCell ref="DA130:DJ130"/>
    <mergeCell ref="CO104:CZ104"/>
    <mergeCell ref="BV159:CD159"/>
    <mergeCell ref="BJ130:BU130"/>
    <mergeCell ref="BJ127:BU127"/>
    <mergeCell ref="BJ115:BU115"/>
    <mergeCell ref="BJ116:BU116"/>
    <mergeCell ref="BH106:BI106"/>
    <mergeCell ref="BJ126:BU126"/>
    <mergeCell ref="BJ108:BU108"/>
    <mergeCell ref="BV149:CD149"/>
    <mergeCell ref="BH162:BI162"/>
    <mergeCell ref="BJ162:BU162"/>
    <mergeCell ref="DK153:DR153"/>
    <mergeCell ref="DK163:DR163"/>
    <mergeCell ref="DA163:DJ163"/>
    <mergeCell ref="CO162:CZ162"/>
    <mergeCell ref="DK164:DR164"/>
    <mergeCell ref="DA161:DJ161"/>
    <mergeCell ref="DK161:DR161"/>
    <mergeCell ref="BV170:CD170"/>
    <mergeCell ref="CE173:CN173"/>
    <mergeCell ref="U138:Z138"/>
    <mergeCell ref="AI160:AN160"/>
    <mergeCell ref="B95:J95"/>
    <mergeCell ref="X95:AQ95"/>
    <mergeCell ref="AR95:AW95"/>
    <mergeCell ref="DK150:DR150"/>
    <mergeCell ref="DK148:DR148"/>
    <mergeCell ref="CO150:CZ150"/>
    <mergeCell ref="CO148:CZ148"/>
    <mergeCell ref="DK127:DR127"/>
    <mergeCell ref="BH161:BI161"/>
    <mergeCell ref="BJ161:BU161"/>
    <mergeCell ref="BH152:BI152"/>
    <mergeCell ref="B160:E160"/>
    <mergeCell ref="B97:J97"/>
    <mergeCell ref="K97:L97"/>
    <mergeCell ref="M97:R97"/>
    <mergeCell ref="B103:BE103"/>
    <mergeCell ref="S97:W97"/>
    <mergeCell ref="X97:AD97"/>
    <mergeCell ref="AE97:AI97"/>
    <mergeCell ref="AJ97:AQ97"/>
    <mergeCell ref="AR97:BE97"/>
    <mergeCell ref="AR117:AW117"/>
    <mergeCell ref="AX117:BC117"/>
    <mergeCell ref="BD117:BE117"/>
    <mergeCell ref="B118:J118"/>
    <mergeCell ref="AJ107:AQ107"/>
    <mergeCell ref="AR107:AW107"/>
    <mergeCell ref="AX107:BC107"/>
    <mergeCell ref="BD107:BE107"/>
    <mergeCell ref="AR108:BE108"/>
    <mergeCell ref="B108:J108"/>
    <mergeCell ref="M119:R119"/>
    <mergeCell ref="S86:W86"/>
    <mergeCell ref="X86:AD86"/>
    <mergeCell ref="AE86:AI86"/>
    <mergeCell ref="AJ86:AQ86"/>
    <mergeCell ref="AR86:BE86"/>
    <mergeCell ref="B92:BE92"/>
    <mergeCell ref="AA94:AH94"/>
    <mergeCell ref="AX93:BE93"/>
    <mergeCell ref="M94:T94"/>
    <mergeCell ref="U94:Z94"/>
    <mergeCell ref="AE96:AI96"/>
    <mergeCell ref="AJ96:AQ96"/>
    <mergeCell ref="U127:Z127"/>
    <mergeCell ref="AA127:AH127"/>
    <mergeCell ref="AI127:AN127"/>
    <mergeCell ref="AO127:AS127"/>
    <mergeCell ref="AT127:AY127"/>
    <mergeCell ref="AZ127:BC127"/>
    <mergeCell ref="BD127:BE127"/>
    <mergeCell ref="AV115:AW115"/>
    <mergeCell ref="M108:R108"/>
    <mergeCell ref="S108:W108"/>
    <mergeCell ref="X108:AD108"/>
    <mergeCell ref="B116:E116"/>
    <mergeCell ref="F116:L116"/>
    <mergeCell ref="M116:T116"/>
    <mergeCell ref="B114:BE114"/>
    <mergeCell ref="S106:W106"/>
    <mergeCell ref="AX104:BE104"/>
    <mergeCell ref="AJ108:AQ108"/>
    <mergeCell ref="B105:E105"/>
    <mergeCell ref="K118:L118"/>
    <mergeCell ref="AR96:AW96"/>
    <mergeCell ref="AX96:BC96"/>
    <mergeCell ref="BD96:BE96"/>
    <mergeCell ref="M96:R96"/>
    <mergeCell ref="S96:W96"/>
    <mergeCell ref="B127:E127"/>
    <mergeCell ref="F127:L127"/>
    <mergeCell ref="M127:T127"/>
    <mergeCell ref="AI105:AN105"/>
    <mergeCell ref="AO105:AS105"/>
    <mergeCell ref="B128:J128"/>
    <mergeCell ref="K128:L128"/>
    <mergeCell ref="M128:R128"/>
    <mergeCell ref="S128:W128"/>
    <mergeCell ref="X128:AQ128"/>
    <mergeCell ref="AR128:AW128"/>
    <mergeCell ref="AX128:BC128"/>
    <mergeCell ref="BD128:BE128"/>
    <mergeCell ref="B125:BE125"/>
    <mergeCell ref="J115:X115"/>
    <mergeCell ref="Y115:AA115"/>
    <mergeCell ref="AB115:AK115"/>
    <mergeCell ref="AL115:AN115"/>
    <mergeCell ref="AO115:AU115"/>
    <mergeCell ref="M118:R118"/>
    <mergeCell ref="S118:W118"/>
    <mergeCell ref="X118:AD118"/>
    <mergeCell ref="BD116:BE116"/>
    <mergeCell ref="AV126:AW126"/>
    <mergeCell ref="AX126:BE126"/>
    <mergeCell ref="B117:J117"/>
    <mergeCell ref="K117:L117"/>
    <mergeCell ref="M117:R117"/>
    <mergeCell ref="B129:J129"/>
    <mergeCell ref="K129:L129"/>
    <mergeCell ref="M129:R129"/>
    <mergeCell ref="S129:W129"/>
    <mergeCell ref="X129:AD129"/>
    <mergeCell ref="AE129:AI129"/>
    <mergeCell ref="AJ129:AQ129"/>
    <mergeCell ref="AR129:AW129"/>
    <mergeCell ref="AX129:BC129"/>
    <mergeCell ref="BD129:BE129"/>
    <mergeCell ref="AX140:BC140"/>
    <mergeCell ref="BD140:BE140"/>
    <mergeCell ref="B130:J130"/>
    <mergeCell ref="K130:L130"/>
    <mergeCell ref="M130:R130"/>
    <mergeCell ref="S130:W130"/>
    <mergeCell ref="X130:AD130"/>
    <mergeCell ref="AE130:AI130"/>
    <mergeCell ref="AJ130:AQ130"/>
    <mergeCell ref="AR130:BE130"/>
    <mergeCell ref="B137:I137"/>
    <mergeCell ref="J137:X137"/>
    <mergeCell ref="Y137:AA137"/>
    <mergeCell ref="AB137:AK137"/>
    <mergeCell ref="AL137:AN137"/>
    <mergeCell ref="AO137:AU137"/>
    <mergeCell ref="AV137:AW137"/>
    <mergeCell ref="AX137:BE137"/>
    <mergeCell ref="B138:E138"/>
    <mergeCell ref="F138:L138"/>
    <mergeCell ref="M138:T138"/>
    <mergeCell ref="B141:J141"/>
    <mergeCell ref="K141:L141"/>
    <mergeCell ref="M141:R141"/>
    <mergeCell ref="S141:W141"/>
    <mergeCell ref="X141:AD141"/>
    <mergeCell ref="AE141:AI141"/>
    <mergeCell ref="AJ141:AQ141"/>
    <mergeCell ref="AR141:BE141"/>
    <mergeCell ref="B148:I148"/>
    <mergeCell ref="J148:X148"/>
    <mergeCell ref="Y148:AA148"/>
    <mergeCell ref="AB148:AK148"/>
    <mergeCell ref="AL148:AN148"/>
    <mergeCell ref="AO148:AU148"/>
    <mergeCell ref="AV148:AW148"/>
    <mergeCell ref="AX148:BE148"/>
    <mergeCell ref="B139:J139"/>
    <mergeCell ref="K139:L139"/>
    <mergeCell ref="M139:R139"/>
    <mergeCell ref="S139:W139"/>
    <mergeCell ref="X139:AQ139"/>
    <mergeCell ref="AR139:AW139"/>
    <mergeCell ref="AX139:BC139"/>
    <mergeCell ref="BD139:BE139"/>
    <mergeCell ref="B140:J140"/>
    <mergeCell ref="K140:L140"/>
    <mergeCell ref="M140:R140"/>
    <mergeCell ref="S140:W140"/>
    <mergeCell ref="X140:AD140"/>
    <mergeCell ref="AE140:AI140"/>
    <mergeCell ref="AJ140:AQ140"/>
    <mergeCell ref="B149:E149"/>
    <mergeCell ref="F149:L149"/>
    <mergeCell ref="M149:T149"/>
    <mergeCell ref="U149:Z149"/>
    <mergeCell ref="AA149:AH149"/>
    <mergeCell ref="AI149:AN149"/>
    <mergeCell ref="AO149:AS149"/>
    <mergeCell ref="AT149:AY149"/>
    <mergeCell ref="AZ149:BC149"/>
    <mergeCell ref="BD149:BE149"/>
    <mergeCell ref="B150:J150"/>
    <mergeCell ref="K150:L150"/>
    <mergeCell ref="M150:R150"/>
    <mergeCell ref="S150:W150"/>
    <mergeCell ref="X150:AQ150"/>
    <mergeCell ref="AR150:AW150"/>
    <mergeCell ref="AX150:BC150"/>
    <mergeCell ref="BD150:BE150"/>
    <mergeCell ref="B151:J151"/>
    <mergeCell ref="K151:L151"/>
    <mergeCell ref="M151:R151"/>
    <mergeCell ref="S151:W151"/>
    <mergeCell ref="X151:AD151"/>
    <mergeCell ref="AE151:AI151"/>
    <mergeCell ref="AJ151:AQ151"/>
    <mergeCell ref="AR151:AW151"/>
    <mergeCell ref="AX151:BC151"/>
    <mergeCell ref="BD151:BE151"/>
    <mergeCell ref="B152:J152"/>
    <mergeCell ref="K152:L152"/>
    <mergeCell ref="M152:R152"/>
    <mergeCell ref="S152:W152"/>
    <mergeCell ref="X152:AD152"/>
    <mergeCell ref="AE152:AI152"/>
    <mergeCell ref="AJ152:AQ152"/>
    <mergeCell ref="AR152:BE152"/>
    <mergeCell ref="AO160:AS160"/>
    <mergeCell ref="AT160:AY160"/>
    <mergeCell ref="AZ160:BC160"/>
    <mergeCell ref="BD160:BE160"/>
    <mergeCell ref="BD162:BE162"/>
    <mergeCell ref="AA160:AH160"/>
    <mergeCell ref="B161:J161"/>
    <mergeCell ref="K161:L161"/>
    <mergeCell ref="M161:R161"/>
    <mergeCell ref="S161:W161"/>
    <mergeCell ref="X161:AQ161"/>
    <mergeCell ref="AR161:AW161"/>
    <mergeCell ref="AX161:BC161"/>
    <mergeCell ref="B159:I159"/>
    <mergeCell ref="J159:X159"/>
    <mergeCell ref="Y159:AA159"/>
    <mergeCell ref="AB159:AK159"/>
    <mergeCell ref="AL159:AN159"/>
    <mergeCell ref="AO159:AU159"/>
    <mergeCell ref="AV159:AW159"/>
    <mergeCell ref="AX159:BE159"/>
    <mergeCell ref="B163:J163"/>
    <mergeCell ref="K163:L163"/>
    <mergeCell ref="M163:R163"/>
    <mergeCell ref="S163:W163"/>
    <mergeCell ref="X163:AD163"/>
    <mergeCell ref="AE163:AI163"/>
    <mergeCell ref="AJ163:AQ163"/>
    <mergeCell ref="BD161:BE161"/>
    <mergeCell ref="B162:J162"/>
    <mergeCell ref="K162:L162"/>
    <mergeCell ref="M162:R162"/>
    <mergeCell ref="S162:W162"/>
    <mergeCell ref="X162:AD162"/>
    <mergeCell ref="AE162:AI162"/>
    <mergeCell ref="AJ162:AQ162"/>
    <mergeCell ref="AR162:AW162"/>
    <mergeCell ref="AX162:BC162"/>
    <mergeCell ref="B169:BE169"/>
    <mergeCell ref="AA171:AH171"/>
    <mergeCell ref="AI171:AN171"/>
    <mergeCell ref="AO171:AS171"/>
    <mergeCell ref="AT171:AY171"/>
    <mergeCell ref="AZ171:BC171"/>
    <mergeCell ref="BD171:BE171"/>
    <mergeCell ref="B172:J172"/>
    <mergeCell ref="K172:L172"/>
    <mergeCell ref="M172:R172"/>
    <mergeCell ref="S172:W172"/>
    <mergeCell ref="X172:AQ172"/>
    <mergeCell ref="AR172:AW172"/>
    <mergeCell ref="AX172:BC172"/>
    <mergeCell ref="BD172:BE172"/>
    <mergeCell ref="Y170:AA170"/>
    <mergeCell ref="AB170:AK170"/>
    <mergeCell ref="AL170:AN170"/>
    <mergeCell ref="AO170:AU170"/>
    <mergeCell ref="AV170:AW170"/>
    <mergeCell ref="AX170:BE170"/>
    <mergeCell ref="B171:E171"/>
    <mergeCell ref="F171:L171"/>
    <mergeCell ref="M171:T171"/>
    <mergeCell ref="U171:Z171"/>
    <mergeCell ref="M185:R185"/>
    <mergeCell ref="S185:W185"/>
    <mergeCell ref="X185:AD185"/>
    <mergeCell ref="AE185:AI185"/>
    <mergeCell ref="AJ185:AQ185"/>
    <mergeCell ref="AR185:BE185"/>
    <mergeCell ref="B182:E182"/>
    <mergeCell ref="F182:L182"/>
    <mergeCell ref="M182:T182"/>
    <mergeCell ref="U182:Z182"/>
    <mergeCell ref="AA182:AH182"/>
    <mergeCell ref="AI182:AN182"/>
    <mergeCell ref="AO182:AS182"/>
    <mergeCell ref="AT182:AY182"/>
    <mergeCell ref="AZ182:BC182"/>
    <mergeCell ref="BD182:BE182"/>
    <mergeCell ref="B183:J183"/>
    <mergeCell ref="K183:L183"/>
    <mergeCell ref="M183:R183"/>
    <mergeCell ref="B192:I192"/>
    <mergeCell ref="J192:X192"/>
    <mergeCell ref="Y192:AA192"/>
    <mergeCell ref="AB192:AK192"/>
    <mergeCell ref="AL192:AN192"/>
    <mergeCell ref="AO192:AU192"/>
    <mergeCell ref="AV192:AW192"/>
    <mergeCell ref="AX192:BE192"/>
    <mergeCell ref="B191:BE191"/>
    <mergeCell ref="B193:E193"/>
    <mergeCell ref="F193:L193"/>
    <mergeCell ref="M193:T193"/>
    <mergeCell ref="U193:Z193"/>
    <mergeCell ref="AA193:AH193"/>
    <mergeCell ref="AI193:AN193"/>
    <mergeCell ref="AO193:AS193"/>
    <mergeCell ref="AT193:AY193"/>
    <mergeCell ref="AZ193:BC193"/>
    <mergeCell ref="BD193:BE193"/>
    <mergeCell ref="B194:J194"/>
    <mergeCell ref="K194:L194"/>
    <mergeCell ref="M194:R194"/>
    <mergeCell ref="S194:W194"/>
    <mergeCell ref="X194:AQ194"/>
    <mergeCell ref="AR194:AW194"/>
    <mergeCell ref="AX194:BC194"/>
    <mergeCell ref="BD194:BE194"/>
    <mergeCell ref="AZ204:BC204"/>
    <mergeCell ref="BD204:BE204"/>
    <mergeCell ref="B195:J195"/>
    <mergeCell ref="K195:L195"/>
    <mergeCell ref="M195:R195"/>
    <mergeCell ref="S195:W195"/>
    <mergeCell ref="X195:AD195"/>
    <mergeCell ref="AE195:AI195"/>
    <mergeCell ref="AJ195:AQ195"/>
    <mergeCell ref="AR195:AW195"/>
    <mergeCell ref="AX195:BC195"/>
    <mergeCell ref="BD195:BE195"/>
    <mergeCell ref="B196:J196"/>
    <mergeCell ref="K196:L196"/>
    <mergeCell ref="M196:R196"/>
    <mergeCell ref="S196:W196"/>
    <mergeCell ref="X196:AD196"/>
    <mergeCell ref="AE196:AI196"/>
    <mergeCell ref="AJ196:AQ196"/>
    <mergeCell ref="AR196:BE196"/>
    <mergeCell ref="B202:BE202"/>
    <mergeCell ref="B203:I203"/>
    <mergeCell ref="J203:X203"/>
    <mergeCell ref="Y203:AA203"/>
    <mergeCell ref="AB203:AK203"/>
    <mergeCell ref="AL203:AN203"/>
    <mergeCell ref="AO203:AU203"/>
    <mergeCell ref="AV203:AW203"/>
    <mergeCell ref="AX203:BE203"/>
    <mergeCell ref="B204:E204"/>
    <mergeCell ref="F204:L204"/>
    <mergeCell ref="B215:E215"/>
    <mergeCell ref="B205:J205"/>
    <mergeCell ref="K205:L205"/>
    <mergeCell ref="M205:R205"/>
    <mergeCell ref="S205:W205"/>
    <mergeCell ref="X205:AQ205"/>
    <mergeCell ref="AR205:AW205"/>
    <mergeCell ref="AX205:BC205"/>
    <mergeCell ref="BD205:BE205"/>
    <mergeCell ref="B206:J206"/>
    <mergeCell ref="K206:L206"/>
    <mergeCell ref="M206:R206"/>
    <mergeCell ref="S206:W206"/>
    <mergeCell ref="X206:AD206"/>
    <mergeCell ref="AE206:AI206"/>
    <mergeCell ref="AJ206:AQ206"/>
    <mergeCell ref="AR206:AW206"/>
    <mergeCell ref="AX206:BC206"/>
    <mergeCell ref="BD206:BE206"/>
    <mergeCell ref="B207:J207"/>
    <mergeCell ref="K207:L207"/>
    <mergeCell ref="M207:R207"/>
    <mergeCell ref="S207:W207"/>
    <mergeCell ref="X207:AD207"/>
    <mergeCell ref="AE207:AI207"/>
    <mergeCell ref="AJ207:AQ207"/>
    <mergeCell ref="AR207:BE207"/>
    <mergeCell ref="B214:I214"/>
    <mergeCell ref="J214:X214"/>
    <mergeCell ref="Y214:AA214"/>
    <mergeCell ref="AB214:AK214"/>
    <mergeCell ref="AL214:AN214"/>
    <mergeCell ref="AO214:AU214"/>
    <mergeCell ref="AV214:AW214"/>
    <mergeCell ref="AX214:BE214"/>
    <mergeCell ref="B213:BE213"/>
    <mergeCell ref="M204:T204"/>
    <mergeCell ref="U204:Z204"/>
    <mergeCell ref="AA204:AH204"/>
    <mergeCell ref="AI204:AN204"/>
    <mergeCell ref="AO204:AS204"/>
    <mergeCell ref="AT204:AY204"/>
    <mergeCell ref="U215:Z215"/>
    <mergeCell ref="AA215:AH215"/>
    <mergeCell ref="AI215:AN215"/>
    <mergeCell ref="AO215:AS215"/>
    <mergeCell ref="AT215:AY215"/>
    <mergeCell ref="AZ215:BC215"/>
    <mergeCell ref="BD215:BE215"/>
    <mergeCell ref="B216:J216"/>
    <mergeCell ref="K216:L216"/>
    <mergeCell ref="M216:R216"/>
    <mergeCell ref="S216:W216"/>
    <mergeCell ref="X216:AQ216"/>
    <mergeCell ref="AR216:AW216"/>
    <mergeCell ref="AX216:BC216"/>
    <mergeCell ref="BD216:BE216"/>
    <mergeCell ref="AB225:AK225"/>
    <mergeCell ref="AL225:AN225"/>
    <mergeCell ref="AO225:AU225"/>
    <mergeCell ref="AV225:AW225"/>
    <mergeCell ref="AX225:BE225"/>
    <mergeCell ref="B224:BE224"/>
    <mergeCell ref="B225:I225"/>
    <mergeCell ref="J225:X225"/>
    <mergeCell ref="Y225:AA225"/>
    <mergeCell ref="F215:L215"/>
    <mergeCell ref="M215:T215"/>
    <mergeCell ref="AO226:AS226"/>
    <mergeCell ref="B217:J217"/>
    <mergeCell ref="K217:L217"/>
    <mergeCell ref="M217:R217"/>
    <mergeCell ref="S217:W217"/>
    <mergeCell ref="X217:AD217"/>
    <mergeCell ref="AE217:AI217"/>
    <mergeCell ref="AJ217:AQ217"/>
    <mergeCell ref="AR217:AW217"/>
    <mergeCell ref="AX217:BC217"/>
    <mergeCell ref="BD217:BE217"/>
    <mergeCell ref="B218:J218"/>
    <mergeCell ref="K218:L218"/>
    <mergeCell ref="M218:R218"/>
    <mergeCell ref="S218:W218"/>
    <mergeCell ref="X218:AD218"/>
    <mergeCell ref="AE218:AI218"/>
    <mergeCell ref="AJ218:AQ218"/>
    <mergeCell ref="AR218:BE218"/>
    <mergeCell ref="AT226:AY226"/>
    <mergeCell ref="AZ226:BC226"/>
    <mergeCell ref="BD226:BE226"/>
    <mergeCell ref="AI226:AN226"/>
    <mergeCell ref="B226:E226"/>
    <mergeCell ref="F226:L226"/>
    <mergeCell ref="M226:T226"/>
    <mergeCell ref="U226:Z226"/>
    <mergeCell ref="AA226:AH226"/>
    <mergeCell ref="B219:I221"/>
    <mergeCell ref="M237:T237"/>
    <mergeCell ref="U237:Z237"/>
    <mergeCell ref="AA237:AH237"/>
    <mergeCell ref="AI237:AN237"/>
    <mergeCell ref="AR227:AW227"/>
    <mergeCell ref="AX227:BC227"/>
    <mergeCell ref="BD227:BE227"/>
    <mergeCell ref="B228:J228"/>
    <mergeCell ref="K228:L228"/>
    <mergeCell ref="M228:R228"/>
    <mergeCell ref="S228:W228"/>
    <mergeCell ref="X228:AD228"/>
    <mergeCell ref="AE228:AI228"/>
    <mergeCell ref="AJ228:AQ228"/>
    <mergeCell ref="AR228:AW228"/>
    <mergeCell ref="AX228:BC228"/>
    <mergeCell ref="BD228:BE228"/>
    <mergeCell ref="S227:W227"/>
    <mergeCell ref="B227:J227"/>
    <mergeCell ref="K227:L227"/>
    <mergeCell ref="M227:R227"/>
    <mergeCell ref="J230:BE232"/>
    <mergeCell ref="B230:I232"/>
    <mergeCell ref="X227:AQ227"/>
    <mergeCell ref="BD250:BE250"/>
    <mergeCell ref="AI248:AN248"/>
    <mergeCell ref="AO248:AS248"/>
    <mergeCell ref="AT248:AY248"/>
    <mergeCell ref="B229:J229"/>
    <mergeCell ref="K229:L229"/>
    <mergeCell ref="M229:R229"/>
    <mergeCell ref="S229:W229"/>
    <mergeCell ref="X229:AD229"/>
    <mergeCell ref="AE229:AI229"/>
    <mergeCell ref="AJ229:AQ229"/>
    <mergeCell ref="AR229:BE229"/>
    <mergeCell ref="B239:J239"/>
    <mergeCell ref="B238:J238"/>
    <mergeCell ref="K238:L238"/>
    <mergeCell ref="M238:R238"/>
    <mergeCell ref="S238:W238"/>
    <mergeCell ref="X238:AQ238"/>
    <mergeCell ref="AR238:AW238"/>
    <mergeCell ref="AX238:BC238"/>
    <mergeCell ref="BD238:BE238"/>
    <mergeCell ref="B236:I236"/>
    <mergeCell ref="J236:X236"/>
    <mergeCell ref="Y236:AA236"/>
    <mergeCell ref="AB236:AK236"/>
    <mergeCell ref="AL236:AN236"/>
    <mergeCell ref="AO236:AU236"/>
    <mergeCell ref="AV236:AW236"/>
    <mergeCell ref="AX236:BE236"/>
    <mergeCell ref="B235:BE235"/>
    <mergeCell ref="B237:E237"/>
    <mergeCell ref="F237:L237"/>
    <mergeCell ref="B249:J249"/>
    <mergeCell ref="K249:L249"/>
    <mergeCell ref="M249:R249"/>
    <mergeCell ref="S249:W249"/>
    <mergeCell ref="B251:J251"/>
    <mergeCell ref="K251:L251"/>
    <mergeCell ref="M251:R251"/>
    <mergeCell ref="S251:W251"/>
    <mergeCell ref="X251:AD251"/>
    <mergeCell ref="AE251:AI251"/>
    <mergeCell ref="AJ251:AQ251"/>
    <mergeCell ref="AR251:BE251"/>
    <mergeCell ref="AO237:AS237"/>
    <mergeCell ref="AT237:AY237"/>
    <mergeCell ref="AZ237:BC237"/>
    <mergeCell ref="BD237:BE237"/>
    <mergeCell ref="B246:BE246"/>
    <mergeCell ref="B247:I247"/>
    <mergeCell ref="J247:X247"/>
    <mergeCell ref="Y247:AA247"/>
    <mergeCell ref="AB247:AK247"/>
    <mergeCell ref="AL247:AN247"/>
    <mergeCell ref="AO247:AU247"/>
    <mergeCell ref="AV247:AW247"/>
    <mergeCell ref="B240:J240"/>
    <mergeCell ref="M250:R250"/>
    <mergeCell ref="S250:W250"/>
    <mergeCell ref="X250:AD250"/>
    <mergeCell ref="AE250:AI250"/>
    <mergeCell ref="AJ250:AQ250"/>
    <mergeCell ref="AR250:AW250"/>
    <mergeCell ref="AX250:BC250"/>
    <mergeCell ref="AR239:AW239"/>
    <mergeCell ref="AX239:BC239"/>
    <mergeCell ref="BD239:BE239"/>
    <mergeCell ref="AX247:BE247"/>
    <mergeCell ref="K240:L240"/>
    <mergeCell ref="M240:R240"/>
    <mergeCell ref="S240:W240"/>
    <mergeCell ref="X240:AD240"/>
    <mergeCell ref="AE240:AI240"/>
    <mergeCell ref="AJ240:AQ240"/>
    <mergeCell ref="AR240:BE240"/>
    <mergeCell ref="B248:E248"/>
    <mergeCell ref="F248:L248"/>
    <mergeCell ref="M248:T248"/>
    <mergeCell ref="U248:Z248"/>
    <mergeCell ref="AA248:AH248"/>
    <mergeCell ref="AZ248:BC248"/>
    <mergeCell ref="BD248:BE248"/>
    <mergeCell ref="K239:L239"/>
    <mergeCell ref="M239:R239"/>
    <mergeCell ref="S239:W239"/>
    <mergeCell ref="X239:AD239"/>
    <mergeCell ref="AE239:AI239"/>
    <mergeCell ref="AJ239:AQ239"/>
    <mergeCell ref="X249:AQ249"/>
    <mergeCell ref="AA292:AH292"/>
    <mergeCell ref="AI292:AN292"/>
    <mergeCell ref="AX283:BC283"/>
    <mergeCell ref="B284:J284"/>
    <mergeCell ref="K284:L284"/>
    <mergeCell ref="B279:BE279"/>
    <mergeCell ref="BD272:BE272"/>
    <mergeCell ref="BD292:BE292"/>
    <mergeCell ref="AJ273:AQ273"/>
    <mergeCell ref="AR273:BE273"/>
    <mergeCell ref="B273:J273"/>
    <mergeCell ref="K273:L273"/>
    <mergeCell ref="M273:R273"/>
    <mergeCell ref="AA281:AH281"/>
    <mergeCell ref="AI281:AN281"/>
    <mergeCell ref="AO281:AS281"/>
    <mergeCell ref="AT281:AY281"/>
    <mergeCell ref="AJ272:AQ272"/>
    <mergeCell ref="AR272:AW272"/>
    <mergeCell ref="BD282:BE282"/>
    <mergeCell ref="J291:X291"/>
    <mergeCell ref="S283:W283"/>
    <mergeCell ref="X283:AD283"/>
    <mergeCell ref="AE283:AI283"/>
    <mergeCell ref="B291:I291"/>
    <mergeCell ref="B283:J283"/>
    <mergeCell ref="AR249:AW249"/>
    <mergeCell ref="AX249:BC249"/>
    <mergeCell ref="BD249:BE249"/>
    <mergeCell ref="B250:J250"/>
    <mergeCell ref="K250:L250"/>
    <mergeCell ref="AU16:BE16"/>
    <mergeCell ref="J14:X14"/>
    <mergeCell ref="Y14:AA14"/>
    <mergeCell ref="AB21:AK21"/>
    <mergeCell ref="AL21:AN21"/>
    <mergeCell ref="AO21:AU21"/>
    <mergeCell ref="B21:G21"/>
    <mergeCell ref="H21:X21"/>
    <mergeCell ref="E16:AC16"/>
    <mergeCell ref="AD16:AF16"/>
    <mergeCell ref="AG16:AQ16"/>
    <mergeCell ref="AR16:AT16"/>
    <mergeCell ref="B16:D16"/>
    <mergeCell ref="Y21:AA21"/>
    <mergeCell ref="AO14:AU14"/>
    <mergeCell ref="B17:D17"/>
    <mergeCell ref="E17:O17"/>
    <mergeCell ref="P17:R17"/>
    <mergeCell ref="AU17:BE17"/>
    <mergeCell ref="AV21:AY21"/>
    <mergeCell ref="AZ21:BE21"/>
    <mergeCell ref="S17:AC17"/>
    <mergeCell ref="AD17:AF17"/>
    <mergeCell ref="AG17:AQ17"/>
    <mergeCell ref="AR17:AT17"/>
    <mergeCell ref="AL14:AN14"/>
    <mergeCell ref="L22:M22"/>
    <mergeCell ref="N22:R22"/>
    <mergeCell ref="S22:T22"/>
    <mergeCell ref="U22:Z22"/>
    <mergeCell ref="AZ325:BC325"/>
    <mergeCell ref="BD325:BE325"/>
    <mergeCell ref="B326:J326"/>
    <mergeCell ref="K326:L326"/>
    <mergeCell ref="AI325:AN325"/>
    <mergeCell ref="AO325:AS325"/>
    <mergeCell ref="S315:W315"/>
    <mergeCell ref="X315:AQ315"/>
    <mergeCell ref="AR315:AW315"/>
    <mergeCell ref="AX315:BC315"/>
    <mergeCell ref="BD315:BE315"/>
    <mergeCell ref="B316:J316"/>
    <mergeCell ref="B325:E325"/>
    <mergeCell ref="AO269:AU269"/>
    <mergeCell ref="AV269:AW269"/>
    <mergeCell ref="AC22:BE22"/>
    <mergeCell ref="AC32:BE32"/>
    <mergeCell ref="B22:K22"/>
    <mergeCell ref="AZ281:BC281"/>
    <mergeCell ref="BD281:BE281"/>
    <mergeCell ref="S316:W316"/>
    <mergeCell ref="X316:AD316"/>
    <mergeCell ref="AX269:BE269"/>
    <mergeCell ref="J175:BE177"/>
    <mergeCell ref="AL291:AN291"/>
    <mergeCell ref="M283:R283"/>
    <mergeCell ref="S271:W271"/>
    <mergeCell ref="X271:AQ271"/>
    <mergeCell ref="O379:X379"/>
    <mergeCell ref="D379:N379"/>
    <mergeCell ref="BV354:BZ354"/>
    <mergeCell ref="U350:V350"/>
    <mergeCell ref="AB350:AC350"/>
    <mergeCell ref="AI350:AJ350"/>
    <mergeCell ref="X351:Y351"/>
    <mergeCell ref="AE351:AF351"/>
    <mergeCell ref="AU350:AW350"/>
    <mergeCell ref="AM351:AO351"/>
    <mergeCell ref="J352:L352"/>
    <mergeCell ref="R352:T352"/>
    <mergeCell ref="AB352:AH352"/>
    <mergeCell ref="AP352:AS352"/>
    <mergeCell ref="BG352:BZ352"/>
    <mergeCell ref="AM353:AN353"/>
    <mergeCell ref="Q354:R354"/>
    <mergeCell ref="AC354:AL354"/>
    <mergeCell ref="I355:J355"/>
    <mergeCell ref="Y355:AI355"/>
    <mergeCell ref="R356:S356"/>
    <mergeCell ref="AE356:BG356"/>
    <mergeCell ref="AB377:AC377"/>
    <mergeCell ref="D376:X376"/>
    <mergeCell ref="AB375:AQ375"/>
    <mergeCell ref="W377:AA377"/>
    <mergeCell ref="R373:Z373"/>
    <mergeCell ref="AA373:AE373"/>
    <mergeCell ref="W367:X367"/>
    <mergeCell ref="L360:M360"/>
    <mergeCell ref="N375:W375"/>
    <mergeCell ref="AQ355:AS355"/>
    <mergeCell ref="CB46:CQ46"/>
    <mergeCell ref="CB48:CQ48"/>
    <mergeCell ref="CB52:CQ52"/>
    <mergeCell ref="CR53:DD53"/>
    <mergeCell ref="CB53:CQ53"/>
    <mergeCell ref="T378:U378"/>
    <mergeCell ref="V378:X378"/>
    <mergeCell ref="Y378:Z378"/>
    <mergeCell ref="B346:BZ346"/>
    <mergeCell ref="AJ338:AQ338"/>
    <mergeCell ref="AR338:AW338"/>
    <mergeCell ref="AX338:BC338"/>
    <mergeCell ref="BD338:BE338"/>
    <mergeCell ref="B258:I258"/>
    <mergeCell ref="J258:X258"/>
    <mergeCell ref="Y258:AA258"/>
    <mergeCell ref="AB258:AK258"/>
    <mergeCell ref="AL258:AN258"/>
    <mergeCell ref="AR327:AW327"/>
    <mergeCell ref="M328:R328"/>
    <mergeCell ref="M284:R284"/>
    <mergeCell ref="J274:BE276"/>
    <mergeCell ref="B274:I276"/>
    <mergeCell ref="J285:BE287"/>
    <mergeCell ref="B285:I287"/>
    <mergeCell ref="S273:W273"/>
    <mergeCell ref="X273:AD273"/>
    <mergeCell ref="AE273:AI273"/>
    <mergeCell ref="AV280:AW280"/>
    <mergeCell ref="AA270:AH270"/>
    <mergeCell ref="B270:E270"/>
    <mergeCell ref="B282:J282"/>
    <mergeCell ref="C360:K360"/>
    <mergeCell ref="AD377:AG377"/>
    <mergeCell ref="O377:T377"/>
    <mergeCell ref="U377:V377"/>
    <mergeCell ref="AF373:AL373"/>
    <mergeCell ref="AR375:BA375"/>
    <mergeCell ref="S317:W317"/>
    <mergeCell ref="CR48:DD48"/>
    <mergeCell ref="CR49:DD49"/>
    <mergeCell ref="CR50:DD50"/>
    <mergeCell ref="CR51:DD51"/>
    <mergeCell ref="CR52:DD52"/>
    <mergeCell ref="CR54:DD54"/>
    <mergeCell ref="CR55:DD55"/>
    <mergeCell ref="CR56:DD56"/>
    <mergeCell ref="CR57:DD57"/>
    <mergeCell ref="CR58:DD58"/>
    <mergeCell ref="AX272:BC272"/>
    <mergeCell ref="AX280:BE280"/>
    <mergeCell ref="K272:L272"/>
    <mergeCell ref="BD283:BE283"/>
    <mergeCell ref="AO258:AU258"/>
    <mergeCell ref="AV258:AW258"/>
    <mergeCell ref="AX258:BE258"/>
    <mergeCell ref="B281:E281"/>
    <mergeCell ref="F281:L281"/>
    <mergeCell ref="M281:T281"/>
    <mergeCell ref="U281:Z281"/>
    <mergeCell ref="AM361:AR361"/>
    <mergeCell ref="AJ283:AQ283"/>
    <mergeCell ref="AR283:AW283"/>
    <mergeCell ref="B257:BE257"/>
    <mergeCell ref="X361:AB361"/>
    <mergeCell ref="C361:M361"/>
    <mergeCell ref="AS377:AT377"/>
    <mergeCell ref="AU377:AY377"/>
    <mergeCell ref="AZ377:BA377"/>
    <mergeCell ref="BB377:BH377"/>
    <mergeCell ref="BI377:BJ377"/>
    <mergeCell ref="AN368:AV368"/>
    <mergeCell ref="S369:T369"/>
    <mergeCell ref="X370:Y370"/>
    <mergeCell ref="Z370:AK370"/>
    <mergeCell ref="AL370:BA370"/>
    <mergeCell ref="Q363:Z363"/>
    <mergeCell ref="C364:R364"/>
    <mergeCell ref="S364:X364"/>
    <mergeCell ref="W365:AB365"/>
    <mergeCell ref="M377:N377"/>
    <mergeCell ref="M373:Q373"/>
    <mergeCell ref="AM373:AN373"/>
    <mergeCell ref="C363:P363"/>
    <mergeCell ref="AE362:AN362"/>
    <mergeCell ref="B312:BE312"/>
    <mergeCell ref="AX337:BC337"/>
    <mergeCell ref="BK366:BL366"/>
    <mergeCell ref="AC361:AL361"/>
    <mergeCell ref="P362:Y362"/>
    <mergeCell ref="N361:W361"/>
    <mergeCell ref="C362:O362"/>
    <mergeCell ref="Z362:AD362"/>
    <mergeCell ref="AO362:AT362"/>
    <mergeCell ref="AS361:AV361"/>
    <mergeCell ref="AU362:AX362"/>
    <mergeCell ref="J340:BE342"/>
    <mergeCell ref="B340:I342"/>
    <mergeCell ref="AH377:AI377"/>
    <mergeCell ref="AJ377:AM377"/>
    <mergeCell ref="AN377:AO377"/>
    <mergeCell ref="AP377:AR377"/>
    <mergeCell ref="D375:K375"/>
    <mergeCell ref="L375:M375"/>
    <mergeCell ref="AF357:AO357"/>
    <mergeCell ref="AA336:AH336"/>
    <mergeCell ref="AI336:AN336"/>
    <mergeCell ref="AO336:AS336"/>
    <mergeCell ref="AJ327:AQ327"/>
    <mergeCell ref="X375:AA375"/>
    <mergeCell ref="AE316:AI316"/>
    <mergeCell ref="AJ316:AQ316"/>
    <mergeCell ref="BH337:BI337"/>
    <mergeCell ref="B328:J328"/>
    <mergeCell ref="K328:L328"/>
    <mergeCell ref="K315:L315"/>
    <mergeCell ref="BH339:BI339"/>
    <mergeCell ref="B175:I177"/>
    <mergeCell ref="J186:BE188"/>
    <mergeCell ref="B186:I188"/>
    <mergeCell ref="J197:BE199"/>
    <mergeCell ref="B197:I199"/>
    <mergeCell ref="J208:BE210"/>
    <mergeCell ref="B208:I210"/>
    <mergeCell ref="J219:BE221"/>
    <mergeCell ref="Y376:AN376"/>
    <mergeCell ref="AR316:AW316"/>
    <mergeCell ref="AX316:BC316"/>
    <mergeCell ref="BD316:BE316"/>
    <mergeCell ref="M315:R315"/>
    <mergeCell ref="AE317:AI317"/>
    <mergeCell ref="AJ317:AQ317"/>
    <mergeCell ref="S338:W338"/>
    <mergeCell ref="X338:AD338"/>
    <mergeCell ref="AT325:AY325"/>
    <mergeCell ref="B317:J317"/>
    <mergeCell ref="AT336:AY336"/>
    <mergeCell ref="AR337:AW337"/>
    <mergeCell ref="S328:W328"/>
    <mergeCell ref="X328:AD328"/>
    <mergeCell ref="AE328:AI328"/>
    <mergeCell ref="J252:BE254"/>
    <mergeCell ref="B252:I254"/>
    <mergeCell ref="J263:BE265"/>
    <mergeCell ref="U325:Z325"/>
    <mergeCell ref="AA325:AH325"/>
    <mergeCell ref="M326:R326"/>
    <mergeCell ref="S326:W326"/>
    <mergeCell ref="X326:AQ326"/>
    <mergeCell ref="BI11:CP14"/>
    <mergeCell ref="CG17:CP17"/>
    <mergeCell ref="B98:I100"/>
    <mergeCell ref="DK76:DR76"/>
    <mergeCell ref="B87:I89"/>
    <mergeCell ref="B76:I78"/>
    <mergeCell ref="J109:BE111"/>
    <mergeCell ref="B109:I111"/>
    <mergeCell ref="B120:I122"/>
    <mergeCell ref="J120:BE122"/>
    <mergeCell ref="B131:I133"/>
    <mergeCell ref="J131:BE133"/>
    <mergeCell ref="J142:BE144"/>
    <mergeCell ref="B142:I144"/>
    <mergeCell ref="J153:BE155"/>
    <mergeCell ref="B153:I155"/>
    <mergeCell ref="J164:BE166"/>
    <mergeCell ref="B164:I166"/>
    <mergeCell ref="CB50:CQ50"/>
    <mergeCell ref="CB45:DD45"/>
    <mergeCell ref="CR59:DD59"/>
    <mergeCell ref="CB47:CQ47"/>
    <mergeCell ref="CB49:CQ49"/>
    <mergeCell ref="CB51:CQ51"/>
    <mergeCell ref="CB54:CQ54"/>
    <mergeCell ref="CB56:CQ56"/>
    <mergeCell ref="CB55:CQ55"/>
    <mergeCell ref="CB57:CQ57"/>
    <mergeCell ref="CB58:CQ58"/>
    <mergeCell ref="CB59:CQ59"/>
    <mergeCell ref="CR46:DD46"/>
    <mergeCell ref="CR47:DD47"/>
    <mergeCell ref="BI10:CP10"/>
    <mergeCell ref="B263:I265"/>
    <mergeCell ref="AR339:BE339"/>
    <mergeCell ref="BD336:BE336"/>
    <mergeCell ref="K327:L327"/>
    <mergeCell ref="M327:R327"/>
    <mergeCell ref="B337:J337"/>
    <mergeCell ref="K337:L337"/>
    <mergeCell ref="M337:R337"/>
    <mergeCell ref="S337:W337"/>
    <mergeCell ref="X337:AQ337"/>
    <mergeCell ref="J296:BE298"/>
    <mergeCell ref="B296:I298"/>
    <mergeCell ref="J307:BE309"/>
    <mergeCell ref="B307:I309"/>
    <mergeCell ref="J318:BE320"/>
    <mergeCell ref="B318:I320"/>
    <mergeCell ref="J329:BE331"/>
    <mergeCell ref="B329:I331"/>
    <mergeCell ref="B327:J327"/>
    <mergeCell ref="BD327:BE327"/>
    <mergeCell ref="BD337:BE337"/>
    <mergeCell ref="Y335:AA335"/>
    <mergeCell ref="AB335:AK335"/>
    <mergeCell ref="AL335:AN335"/>
    <mergeCell ref="AO335:AU335"/>
    <mergeCell ref="AV335:AW335"/>
    <mergeCell ref="AX335:BE335"/>
    <mergeCell ref="AB269:AK269"/>
    <mergeCell ref="AL269:AN269"/>
    <mergeCell ref="B241:I243"/>
    <mergeCell ref="J241:BE243"/>
  </mergeCells>
  <dataValidations xWindow="166" yWindow="290" count="1">
    <dataValidation type="decimal" allowBlank="1" showInputMessage="1" showErrorMessage="1" sqref="BL41:BX41" xr:uid="{994700D0-91A9-4D1E-A9EC-D888DAAFB0E3}">
      <formula1>0.06</formula1>
      <formula2>0.18</formula2>
    </dataValidation>
  </dataValidations>
  <pageMargins left="0.7" right="0.7" top="0.75" bottom="0.75" header="0.3" footer="0.3"/>
  <pageSetup scale="26" orientation="landscape" r:id="rId1"/>
  <drawing r:id="rId2"/>
  <legacyDrawing r:id="rId3"/>
  <controls>
    <mc:AlternateContent xmlns:mc="http://schemas.openxmlformats.org/markup-compatibility/2006">
      <mc:Choice Requires="x14">
        <control shapeId="5999" r:id="rId4" name="CommandButton15">
          <controlPr locked="0" defaultSize="0" autoLine="0" r:id="rId5">
            <anchor moveWithCells="1" sizeWithCells="1">
              <from>
                <xdr:col>59</xdr:col>
                <xdr:colOff>9525</xdr:colOff>
                <xdr:row>230</xdr:row>
                <xdr:rowOff>47625</xdr:rowOff>
              </from>
              <to>
                <xdr:col>71</xdr:col>
                <xdr:colOff>0</xdr:colOff>
                <xdr:row>232</xdr:row>
                <xdr:rowOff>38100</xdr:rowOff>
              </to>
            </anchor>
          </controlPr>
        </control>
      </mc:Choice>
      <mc:Fallback>
        <control shapeId="5999" r:id="rId4" name="CommandButton15"/>
      </mc:Fallback>
    </mc:AlternateContent>
    <mc:AlternateContent xmlns:mc="http://schemas.openxmlformats.org/markup-compatibility/2006">
      <mc:Choice Requires="x14">
        <control shapeId="5998" r:id="rId6" name="CommandButton14">
          <controlPr locked="0" defaultSize="0" autoLine="0" r:id="rId7">
            <anchor moveWithCells="1" sizeWithCells="1">
              <from>
                <xdr:col>59</xdr:col>
                <xdr:colOff>0</xdr:colOff>
                <xdr:row>219</xdr:row>
                <xdr:rowOff>47625</xdr:rowOff>
              </from>
              <to>
                <xdr:col>70</xdr:col>
                <xdr:colOff>133350</xdr:colOff>
                <xdr:row>221</xdr:row>
                <xdr:rowOff>38100</xdr:rowOff>
              </to>
            </anchor>
          </controlPr>
        </control>
      </mc:Choice>
      <mc:Fallback>
        <control shapeId="5998" r:id="rId6" name="CommandButton14"/>
      </mc:Fallback>
    </mc:AlternateContent>
    <mc:AlternateContent xmlns:mc="http://schemas.openxmlformats.org/markup-compatibility/2006">
      <mc:Choice Requires="x14">
        <control shapeId="5997" r:id="rId8" name="CommandButton13">
          <controlPr locked="0" defaultSize="0" autoLine="0" r:id="rId9">
            <anchor moveWithCells="1" sizeWithCells="1">
              <from>
                <xdr:col>59</xdr:col>
                <xdr:colOff>0</xdr:colOff>
                <xdr:row>208</xdr:row>
                <xdr:rowOff>47625</xdr:rowOff>
              </from>
              <to>
                <xdr:col>70</xdr:col>
                <xdr:colOff>133350</xdr:colOff>
                <xdr:row>210</xdr:row>
                <xdr:rowOff>38100</xdr:rowOff>
              </to>
            </anchor>
          </controlPr>
        </control>
      </mc:Choice>
      <mc:Fallback>
        <control shapeId="5997" r:id="rId8" name="CommandButton13"/>
      </mc:Fallback>
    </mc:AlternateContent>
    <mc:AlternateContent xmlns:mc="http://schemas.openxmlformats.org/markup-compatibility/2006">
      <mc:Choice Requires="x14">
        <control shapeId="5996" r:id="rId10" name="CommandButton12">
          <controlPr locked="0" defaultSize="0" autoLine="0" r:id="rId11">
            <anchor moveWithCells="1" sizeWithCells="1">
              <from>
                <xdr:col>59</xdr:col>
                <xdr:colOff>9525</xdr:colOff>
                <xdr:row>197</xdr:row>
                <xdr:rowOff>57150</xdr:rowOff>
              </from>
              <to>
                <xdr:col>71</xdr:col>
                <xdr:colOff>0</xdr:colOff>
                <xdr:row>199</xdr:row>
                <xdr:rowOff>47625</xdr:rowOff>
              </to>
            </anchor>
          </controlPr>
        </control>
      </mc:Choice>
      <mc:Fallback>
        <control shapeId="5996" r:id="rId10" name="CommandButton12"/>
      </mc:Fallback>
    </mc:AlternateContent>
    <mc:AlternateContent xmlns:mc="http://schemas.openxmlformats.org/markup-compatibility/2006">
      <mc:Choice Requires="x14">
        <control shapeId="5995" r:id="rId12" name="CommandButton11">
          <controlPr locked="0" defaultSize="0" autoLine="0" r:id="rId13">
            <anchor moveWithCells="1" sizeWithCells="1">
              <from>
                <xdr:col>59</xdr:col>
                <xdr:colOff>0</xdr:colOff>
                <xdr:row>186</xdr:row>
                <xdr:rowOff>47625</xdr:rowOff>
              </from>
              <to>
                <xdr:col>70</xdr:col>
                <xdr:colOff>133350</xdr:colOff>
                <xdr:row>188</xdr:row>
                <xdr:rowOff>38100</xdr:rowOff>
              </to>
            </anchor>
          </controlPr>
        </control>
      </mc:Choice>
      <mc:Fallback>
        <control shapeId="5995" r:id="rId12" name="CommandButton11"/>
      </mc:Fallback>
    </mc:AlternateContent>
    <mc:AlternateContent xmlns:mc="http://schemas.openxmlformats.org/markup-compatibility/2006">
      <mc:Choice Requires="x14">
        <control shapeId="5994" r:id="rId14" name="CommandButton10">
          <controlPr locked="0" defaultSize="0" autoLine="0" r:id="rId15">
            <anchor moveWithCells="1" sizeWithCells="1">
              <from>
                <xdr:col>59</xdr:col>
                <xdr:colOff>9525</xdr:colOff>
                <xdr:row>175</xdr:row>
                <xdr:rowOff>57150</xdr:rowOff>
              </from>
              <to>
                <xdr:col>71</xdr:col>
                <xdr:colOff>0</xdr:colOff>
                <xdr:row>177</xdr:row>
                <xdr:rowOff>47625</xdr:rowOff>
              </to>
            </anchor>
          </controlPr>
        </control>
      </mc:Choice>
      <mc:Fallback>
        <control shapeId="5994" r:id="rId14" name="CommandButton10"/>
      </mc:Fallback>
    </mc:AlternateContent>
    <mc:AlternateContent xmlns:mc="http://schemas.openxmlformats.org/markup-compatibility/2006">
      <mc:Choice Requires="x14">
        <control shapeId="5993" r:id="rId16" name="CommandButton9">
          <controlPr locked="0" defaultSize="0" autoLine="0" r:id="rId17">
            <anchor moveWithCells="1" sizeWithCells="1">
              <from>
                <xdr:col>59</xdr:col>
                <xdr:colOff>0</xdr:colOff>
                <xdr:row>164</xdr:row>
                <xdr:rowOff>57150</xdr:rowOff>
              </from>
              <to>
                <xdr:col>70</xdr:col>
                <xdr:colOff>133350</xdr:colOff>
                <xdr:row>166</xdr:row>
                <xdr:rowOff>47625</xdr:rowOff>
              </to>
            </anchor>
          </controlPr>
        </control>
      </mc:Choice>
      <mc:Fallback>
        <control shapeId="5993" r:id="rId16" name="CommandButton9"/>
      </mc:Fallback>
    </mc:AlternateContent>
    <mc:AlternateContent xmlns:mc="http://schemas.openxmlformats.org/markup-compatibility/2006">
      <mc:Choice Requires="x14">
        <control shapeId="5992" r:id="rId18" name="CommandButton8">
          <controlPr locked="0" defaultSize="0" autoLine="0" r:id="rId19">
            <anchor moveWithCells="1" sizeWithCells="1">
              <from>
                <xdr:col>59</xdr:col>
                <xdr:colOff>0</xdr:colOff>
                <xdr:row>153</xdr:row>
                <xdr:rowOff>47625</xdr:rowOff>
              </from>
              <to>
                <xdr:col>70</xdr:col>
                <xdr:colOff>133350</xdr:colOff>
                <xdr:row>155</xdr:row>
                <xdr:rowOff>38100</xdr:rowOff>
              </to>
            </anchor>
          </controlPr>
        </control>
      </mc:Choice>
      <mc:Fallback>
        <control shapeId="5992" r:id="rId18" name="CommandButton8"/>
      </mc:Fallback>
    </mc:AlternateContent>
    <mc:AlternateContent xmlns:mc="http://schemas.openxmlformats.org/markup-compatibility/2006">
      <mc:Choice Requires="x14">
        <control shapeId="5991" r:id="rId20" name="CommandButton7">
          <controlPr locked="0" defaultSize="0" autoLine="0" r:id="rId21">
            <anchor moveWithCells="1" sizeWithCells="1">
              <from>
                <xdr:col>59</xdr:col>
                <xdr:colOff>9525</xdr:colOff>
                <xdr:row>142</xdr:row>
                <xdr:rowOff>47625</xdr:rowOff>
              </from>
              <to>
                <xdr:col>71</xdr:col>
                <xdr:colOff>0</xdr:colOff>
                <xdr:row>144</xdr:row>
                <xdr:rowOff>38100</xdr:rowOff>
              </to>
            </anchor>
          </controlPr>
        </control>
      </mc:Choice>
      <mc:Fallback>
        <control shapeId="5991" r:id="rId20" name="CommandButton7"/>
      </mc:Fallback>
    </mc:AlternateContent>
    <mc:AlternateContent xmlns:mc="http://schemas.openxmlformats.org/markup-compatibility/2006">
      <mc:Choice Requires="x14">
        <control shapeId="5990" r:id="rId22" name="CommandButton6">
          <controlPr locked="0" defaultSize="0" autoLine="0" r:id="rId23">
            <anchor moveWithCells="1" sizeWithCells="1">
              <from>
                <xdr:col>59</xdr:col>
                <xdr:colOff>9525</xdr:colOff>
                <xdr:row>131</xdr:row>
                <xdr:rowOff>47625</xdr:rowOff>
              </from>
              <to>
                <xdr:col>71</xdr:col>
                <xdr:colOff>0</xdr:colOff>
                <xdr:row>133</xdr:row>
                <xdr:rowOff>38100</xdr:rowOff>
              </to>
            </anchor>
          </controlPr>
        </control>
      </mc:Choice>
      <mc:Fallback>
        <control shapeId="5990" r:id="rId22" name="CommandButton6"/>
      </mc:Fallback>
    </mc:AlternateContent>
    <mc:AlternateContent xmlns:mc="http://schemas.openxmlformats.org/markup-compatibility/2006">
      <mc:Choice Requires="x14">
        <control shapeId="5989" r:id="rId24" name="CommandButton5">
          <controlPr locked="0" defaultSize="0" autoLine="0" r:id="rId25">
            <anchor moveWithCells="1" sizeWithCells="1">
              <from>
                <xdr:col>59</xdr:col>
                <xdr:colOff>0</xdr:colOff>
                <xdr:row>120</xdr:row>
                <xdr:rowOff>47625</xdr:rowOff>
              </from>
              <to>
                <xdr:col>70</xdr:col>
                <xdr:colOff>133350</xdr:colOff>
                <xdr:row>122</xdr:row>
                <xdr:rowOff>38100</xdr:rowOff>
              </to>
            </anchor>
          </controlPr>
        </control>
      </mc:Choice>
      <mc:Fallback>
        <control shapeId="5989" r:id="rId24" name="CommandButton5"/>
      </mc:Fallback>
    </mc:AlternateContent>
    <mc:AlternateContent xmlns:mc="http://schemas.openxmlformats.org/markup-compatibility/2006">
      <mc:Choice Requires="x14">
        <control shapeId="5988" r:id="rId26" name="CommandButton4">
          <controlPr locked="0" defaultSize="0" autoLine="0" r:id="rId27">
            <anchor moveWithCells="1" sizeWithCells="1">
              <from>
                <xdr:col>59</xdr:col>
                <xdr:colOff>0</xdr:colOff>
                <xdr:row>109</xdr:row>
                <xdr:rowOff>0</xdr:rowOff>
              </from>
              <to>
                <xdr:col>70</xdr:col>
                <xdr:colOff>133350</xdr:colOff>
                <xdr:row>110</xdr:row>
                <xdr:rowOff>295275</xdr:rowOff>
              </to>
            </anchor>
          </controlPr>
        </control>
      </mc:Choice>
      <mc:Fallback>
        <control shapeId="5988" r:id="rId26" name="CommandButton4"/>
      </mc:Fallback>
    </mc:AlternateContent>
    <mc:AlternateContent xmlns:mc="http://schemas.openxmlformats.org/markup-compatibility/2006">
      <mc:Choice Requires="x14">
        <control shapeId="5987" r:id="rId28" name="CommandButton3">
          <controlPr locked="0" defaultSize="0" autoLine="0" r:id="rId29">
            <anchor moveWithCells="1" sizeWithCells="1">
              <from>
                <xdr:col>59</xdr:col>
                <xdr:colOff>0</xdr:colOff>
                <xdr:row>98</xdr:row>
                <xdr:rowOff>9525</xdr:rowOff>
              </from>
              <to>
                <xdr:col>70</xdr:col>
                <xdr:colOff>133350</xdr:colOff>
                <xdr:row>100</xdr:row>
                <xdr:rowOff>0</xdr:rowOff>
              </to>
            </anchor>
          </controlPr>
        </control>
      </mc:Choice>
      <mc:Fallback>
        <control shapeId="5987" r:id="rId28" name="CommandButton3"/>
      </mc:Fallback>
    </mc:AlternateContent>
    <mc:AlternateContent xmlns:mc="http://schemas.openxmlformats.org/markup-compatibility/2006">
      <mc:Choice Requires="x14">
        <control shapeId="5986" r:id="rId30" name="CommandButton2">
          <controlPr locked="0" defaultSize="0" autoLine="0" r:id="rId31">
            <anchor moveWithCells="1" sizeWithCells="1">
              <from>
                <xdr:col>58</xdr:col>
                <xdr:colOff>133350</xdr:colOff>
                <xdr:row>87</xdr:row>
                <xdr:rowOff>28575</xdr:rowOff>
              </from>
              <to>
                <xdr:col>70</xdr:col>
                <xdr:colOff>123825</xdr:colOff>
                <xdr:row>89</xdr:row>
                <xdr:rowOff>19050</xdr:rowOff>
              </to>
            </anchor>
          </controlPr>
        </control>
      </mc:Choice>
      <mc:Fallback>
        <control shapeId="5986" r:id="rId30" name="CommandButton2"/>
      </mc:Fallback>
    </mc:AlternateContent>
    <mc:AlternateContent xmlns:mc="http://schemas.openxmlformats.org/markup-compatibility/2006">
      <mc:Choice Requires="x14">
        <control shapeId="5985" r:id="rId32" name="CommandButton1">
          <controlPr locked="0" defaultSize="0" autoLine="0" r:id="rId33">
            <anchor moveWithCells="1" sizeWithCells="1">
              <from>
                <xdr:col>58</xdr:col>
                <xdr:colOff>114300</xdr:colOff>
                <xdr:row>76</xdr:row>
                <xdr:rowOff>9525</xdr:rowOff>
              </from>
              <to>
                <xdr:col>70</xdr:col>
                <xdr:colOff>104775</xdr:colOff>
                <xdr:row>78</xdr:row>
                <xdr:rowOff>0</xdr:rowOff>
              </to>
            </anchor>
          </controlPr>
        </control>
      </mc:Choice>
      <mc:Fallback>
        <control shapeId="5985" r:id="rId32" name="CommandButton1"/>
      </mc:Fallback>
    </mc:AlternateContent>
    <mc:AlternateContent xmlns:mc="http://schemas.openxmlformats.org/markup-compatibility/2006">
      <mc:Choice Requires="x14">
        <control shapeId="5981" r:id="rId34" name="CheckBox4">
          <controlPr defaultSize="0" autoLine="0" linkedCell="DZ16" r:id="rId35">
            <anchor moveWithCells="1">
              <from>
                <xdr:col>97</xdr:col>
                <xdr:colOff>0</xdr:colOff>
                <xdr:row>15</xdr:row>
                <xdr:rowOff>0</xdr:rowOff>
              </from>
              <to>
                <xdr:col>115</xdr:col>
                <xdr:colOff>0</xdr:colOff>
                <xdr:row>17</xdr:row>
                <xdr:rowOff>0</xdr:rowOff>
              </to>
            </anchor>
          </controlPr>
        </control>
      </mc:Choice>
      <mc:Fallback>
        <control shapeId="5981" r:id="rId34" name="CheckBox4"/>
      </mc:Fallback>
    </mc:AlternateContent>
    <mc:AlternateContent xmlns:mc="http://schemas.openxmlformats.org/markup-compatibility/2006">
      <mc:Choice Requires="x14">
        <control shapeId="5980" r:id="rId36" name="CheckBox3">
          <controlPr defaultSize="0" autoLine="0" linkedCell="DZ14" r:id="rId37">
            <anchor moveWithCells="1">
              <from>
                <xdr:col>97</xdr:col>
                <xdr:colOff>0</xdr:colOff>
                <xdr:row>13</xdr:row>
                <xdr:rowOff>0</xdr:rowOff>
              </from>
              <to>
                <xdr:col>115</xdr:col>
                <xdr:colOff>0</xdr:colOff>
                <xdr:row>15</xdr:row>
                <xdr:rowOff>0</xdr:rowOff>
              </to>
            </anchor>
          </controlPr>
        </control>
      </mc:Choice>
      <mc:Fallback>
        <control shapeId="5980" r:id="rId36" name="CheckBox3"/>
      </mc:Fallback>
    </mc:AlternateContent>
    <mc:AlternateContent xmlns:mc="http://schemas.openxmlformats.org/markup-compatibility/2006">
      <mc:Choice Requires="x14">
        <control shapeId="5979" r:id="rId38" name="CheckBox2">
          <controlPr defaultSize="0" autoLine="0" linkedCell="DZ12" r:id="rId39">
            <anchor moveWithCells="1">
              <from>
                <xdr:col>97</xdr:col>
                <xdr:colOff>0</xdr:colOff>
                <xdr:row>11</xdr:row>
                <xdr:rowOff>0</xdr:rowOff>
              </from>
              <to>
                <xdr:col>115</xdr:col>
                <xdr:colOff>0</xdr:colOff>
                <xdr:row>13</xdr:row>
                <xdr:rowOff>0</xdr:rowOff>
              </to>
            </anchor>
          </controlPr>
        </control>
      </mc:Choice>
      <mc:Fallback>
        <control shapeId="5979" r:id="rId38" name="CheckBox2"/>
      </mc:Fallback>
    </mc:AlternateContent>
    <mc:AlternateContent xmlns:mc="http://schemas.openxmlformats.org/markup-compatibility/2006">
      <mc:Choice Requires="x14">
        <control shapeId="5978" r:id="rId40" name="CheckBox1">
          <controlPr defaultSize="0" autoLine="0" linkedCell="DZ10" r:id="rId41">
            <anchor moveWithCells="1">
              <from>
                <xdr:col>97</xdr:col>
                <xdr:colOff>0</xdr:colOff>
                <xdr:row>9</xdr:row>
                <xdr:rowOff>0</xdr:rowOff>
              </from>
              <to>
                <xdr:col>115</xdr:col>
                <xdr:colOff>0</xdr:colOff>
                <xdr:row>11</xdr:row>
                <xdr:rowOff>0</xdr:rowOff>
              </to>
            </anchor>
          </controlPr>
        </control>
      </mc:Choice>
      <mc:Fallback>
        <control shapeId="5978" r:id="rId40" name="CheckBox1"/>
      </mc:Fallback>
    </mc:AlternateContent>
    <mc:AlternateContent xmlns:mc="http://schemas.openxmlformats.org/markup-compatibility/2006">
      <mc:Choice Requires="x14">
        <control shapeId="5942" r:id="rId42" name="TextBox16">
          <controlPr defaultSize="0" autoLine="0" linkedCell="Prop16Legal" r:id="rId43">
            <anchor moveWithCells="1" sizeWithCells="1">
              <from>
                <xdr:col>9</xdr:col>
                <xdr:colOff>0</xdr:colOff>
                <xdr:row>240</xdr:row>
                <xdr:rowOff>0</xdr:rowOff>
              </from>
              <to>
                <xdr:col>57</xdr:col>
                <xdr:colOff>0</xdr:colOff>
                <xdr:row>243</xdr:row>
                <xdr:rowOff>0</xdr:rowOff>
              </to>
            </anchor>
          </controlPr>
        </control>
      </mc:Choice>
      <mc:Fallback>
        <control shapeId="5942" r:id="rId42" name="TextBox16"/>
      </mc:Fallback>
    </mc:AlternateContent>
    <mc:AlternateContent xmlns:mc="http://schemas.openxmlformats.org/markup-compatibility/2006">
      <mc:Choice Requires="x14">
        <control shapeId="5562" r:id="rId44" name="TextBox17">
          <controlPr defaultSize="0" autoLine="0" linkedCell="Prop17Legal" r:id="rId43">
            <anchor moveWithCells="1" sizeWithCells="1">
              <from>
                <xdr:col>9</xdr:col>
                <xdr:colOff>0</xdr:colOff>
                <xdr:row>250</xdr:row>
                <xdr:rowOff>285750</xdr:rowOff>
              </from>
              <to>
                <xdr:col>57</xdr:col>
                <xdr:colOff>0</xdr:colOff>
                <xdr:row>253</xdr:row>
                <xdr:rowOff>304800</xdr:rowOff>
              </to>
            </anchor>
          </controlPr>
        </control>
      </mc:Choice>
      <mc:Fallback>
        <control shapeId="5562" r:id="rId44" name="TextBox17"/>
      </mc:Fallback>
    </mc:AlternateContent>
    <mc:AlternateContent xmlns:mc="http://schemas.openxmlformats.org/markup-compatibility/2006">
      <mc:Choice Requires="x14">
        <control shapeId="5563" r:id="rId45" name="TextBox18">
          <controlPr defaultSize="0" autoLine="0" linkedCell="Prop18Legal" r:id="rId43">
            <anchor moveWithCells="1" sizeWithCells="1">
              <from>
                <xdr:col>9</xdr:col>
                <xdr:colOff>0</xdr:colOff>
                <xdr:row>262</xdr:row>
                <xdr:rowOff>0</xdr:rowOff>
              </from>
              <to>
                <xdr:col>57</xdr:col>
                <xdr:colOff>0</xdr:colOff>
                <xdr:row>265</xdr:row>
                <xdr:rowOff>0</xdr:rowOff>
              </to>
            </anchor>
          </controlPr>
        </control>
      </mc:Choice>
      <mc:Fallback>
        <control shapeId="5563" r:id="rId45" name="TextBox18"/>
      </mc:Fallback>
    </mc:AlternateContent>
    <mc:AlternateContent xmlns:mc="http://schemas.openxmlformats.org/markup-compatibility/2006">
      <mc:Choice Requires="x14">
        <control shapeId="5564" r:id="rId46" name="TextBox19">
          <controlPr defaultSize="0" autoLine="0" linkedCell="Prop19Legal" r:id="rId47">
            <anchor moveWithCells="1" sizeWithCells="1">
              <from>
                <xdr:col>8</xdr:col>
                <xdr:colOff>123825</xdr:colOff>
                <xdr:row>273</xdr:row>
                <xdr:rowOff>0</xdr:rowOff>
              </from>
              <to>
                <xdr:col>57</xdr:col>
                <xdr:colOff>0</xdr:colOff>
                <xdr:row>276</xdr:row>
                <xdr:rowOff>0</xdr:rowOff>
              </to>
            </anchor>
          </controlPr>
        </control>
      </mc:Choice>
      <mc:Fallback>
        <control shapeId="5564" r:id="rId46" name="TextBox19"/>
      </mc:Fallback>
    </mc:AlternateContent>
    <mc:AlternateContent xmlns:mc="http://schemas.openxmlformats.org/markup-compatibility/2006">
      <mc:Choice Requires="x14">
        <control shapeId="5565" r:id="rId48" name="TextBox20">
          <controlPr defaultSize="0" autoLine="0" linkedCell="Prop20Legal" r:id="rId49">
            <anchor moveWithCells="1" sizeWithCells="1">
              <from>
                <xdr:col>9</xdr:col>
                <xdr:colOff>9525</xdr:colOff>
                <xdr:row>284</xdr:row>
                <xdr:rowOff>0</xdr:rowOff>
              </from>
              <to>
                <xdr:col>57</xdr:col>
                <xdr:colOff>0</xdr:colOff>
                <xdr:row>287</xdr:row>
                <xdr:rowOff>0</xdr:rowOff>
              </to>
            </anchor>
          </controlPr>
        </control>
      </mc:Choice>
      <mc:Fallback>
        <control shapeId="5565" r:id="rId48" name="TextBox20"/>
      </mc:Fallback>
    </mc:AlternateContent>
    <mc:AlternateContent xmlns:mc="http://schemas.openxmlformats.org/markup-compatibility/2006">
      <mc:Choice Requires="x14">
        <control shapeId="5566" r:id="rId50" name="TextBox21">
          <controlPr defaultSize="0" autoLine="0" linkedCell="Prop21Legal" r:id="rId43">
            <anchor moveWithCells="1" sizeWithCells="1">
              <from>
                <xdr:col>9</xdr:col>
                <xdr:colOff>0</xdr:colOff>
                <xdr:row>295</xdr:row>
                <xdr:rowOff>0</xdr:rowOff>
              </from>
              <to>
                <xdr:col>57</xdr:col>
                <xdr:colOff>0</xdr:colOff>
                <xdr:row>298</xdr:row>
                <xdr:rowOff>0</xdr:rowOff>
              </to>
            </anchor>
          </controlPr>
        </control>
      </mc:Choice>
      <mc:Fallback>
        <control shapeId="5566" r:id="rId50" name="TextBox21"/>
      </mc:Fallback>
    </mc:AlternateContent>
    <mc:AlternateContent xmlns:mc="http://schemas.openxmlformats.org/markup-compatibility/2006">
      <mc:Choice Requires="x14">
        <control shapeId="5567" r:id="rId51" name="TextBox22">
          <controlPr defaultSize="0" autoLine="0" linkedCell="Prop22Legal" r:id="rId43">
            <anchor moveWithCells="1" sizeWithCells="1">
              <from>
                <xdr:col>9</xdr:col>
                <xdr:colOff>0</xdr:colOff>
                <xdr:row>306</xdr:row>
                <xdr:rowOff>0</xdr:rowOff>
              </from>
              <to>
                <xdr:col>57</xdr:col>
                <xdr:colOff>0</xdr:colOff>
                <xdr:row>309</xdr:row>
                <xdr:rowOff>0</xdr:rowOff>
              </to>
            </anchor>
          </controlPr>
        </control>
      </mc:Choice>
      <mc:Fallback>
        <control shapeId="5567" r:id="rId51" name="TextBox22"/>
      </mc:Fallback>
    </mc:AlternateContent>
    <mc:AlternateContent xmlns:mc="http://schemas.openxmlformats.org/markup-compatibility/2006">
      <mc:Choice Requires="x14">
        <control shapeId="5568" r:id="rId52" name="TextBox23">
          <controlPr defaultSize="0" autoLine="0" linkedCell="Prop23Legal" r:id="rId49">
            <anchor moveWithCells="1" sizeWithCells="1">
              <from>
                <xdr:col>9</xdr:col>
                <xdr:colOff>9525</xdr:colOff>
                <xdr:row>317</xdr:row>
                <xdr:rowOff>0</xdr:rowOff>
              </from>
              <to>
                <xdr:col>57</xdr:col>
                <xdr:colOff>0</xdr:colOff>
                <xdr:row>320</xdr:row>
                <xdr:rowOff>0</xdr:rowOff>
              </to>
            </anchor>
          </controlPr>
        </control>
      </mc:Choice>
      <mc:Fallback>
        <control shapeId="5568" r:id="rId52" name="TextBox23"/>
      </mc:Fallback>
    </mc:AlternateContent>
    <mc:AlternateContent xmlns:mc="http://schemas.openxmlformats.org/markup-compatibility/2006">
      <mc:Choice Requires="x14">
        <control shapeId="5569" r:id="rId53" name="TextBox24">
          <controlPr defaultSize="0" autoLine="0" linkedCell="Prop24Legal" r:id="rId43">
            <anchor moveWithCells="1" sizeWithCells="1">
              <from>
                <xdr:col>9</xdr:col>
                <xdr:colOff>0</xdr:colOff>
                <xdr:row>328</xdr:row>
                <xdr:rowOff>0</xdr:rowOff>
              </from>
              <to>
                <xdr:col>57</xdr:col>
                <xdr:colOff>0</xdr:colOff>
                <xdr:row>331</xdr:row>
                <xdr:rowOff>0</xdr:rowOff>
              </to>
            </anchor>
          </controlPr>
        </control>
      </mc:Choice>
      <mc:Fallback>
        <control shapeId="5569" r:id="rId53" name="TextBox24"/>
      </mc:Fallback>
    </mc:AlternateContent>
    <mc:AlternateContent xmlns:mc="http://schemas.openxmlformats.org/markup-compatibility/2006">
      <mc:Choice Requires="x14">
        <control shapeId="5570" r:id="rId54" name="TextBox25">
          <controlPr defaultSize="0" autoLine="0" linkedCell="Prop25Legal" r:id="rId43">
            <anchor moveWithCells="1" sizeWithCells="1">
              <from>
                <xdr:col>9</xdr:col>
                <xdr:colOff>0</xdr:colOff>
                <xdr:row>339</xdr:row>
                <xdr:rowOff>0</xdr:rowOff>
              </from>
              <to>
                <xdr:col>57</xdr:col>
                <xdr:colOff>0</xdr:colOff>
                <xdr:row>342</xdr:row>
                <xdr:rowOff>0</xdr:rowOff>
              </to>
            </anchor>
          </controlPr>
        </control>
      </mc:Choice>
      <mc:Fallback>
        <control shapeId="5570" r:id="rId54" name="TextBox25"/>
      </mc:Fallback>
    </mc:AlternateContent>
    <mc:AlternateContent xmlns:mc="http://schemas.openxmlformats.org/markup-compatibility/2006">
      <mc:Choice Requires="x14">
        <control shapeId="5913" r:id="rId55" name="Button 793">
          <controlPr defaultSize="0" print="0" autoFill="0" autoPict="0" macro="[0]!SaveLoan">
            <anchor moveWithCells="1" sizeWithCells="1">
              <from>
                <xdr:col>63</xdr:col>
                <xdr:colOff>9525</xdr:colOff>
                <xdr:row>1</xdr:row>
                <xdr:rowOff>0</xdr:rowOff>
              </from>
              <to>
                <xdr:col>76</xdr:col>
                <xdr:colOff>9525</xdr:colOff>
                <xdr:row>3</xdr:row>
                <xdr:rowOff>0</xdr:rowOff>
              </to>
            </anchor>
          </controlPr>
        </control>
      </mc:Choice>
    </mc:AlternateContent>
    <mc:AlternateContent xmlns:mc="http://schemas.openxmlformats.org/markup-compatibility/2006">
      <mc:Choice Requires="x14">
        <control shapeId="5931" r:id="rId56" name="Button 811">
          <controlPr defaultSize="0" print="0" autoFill="0" autoPict="0" macro="[0]!GenerateForms">
            <anchor moveWithCells="1" sizeWithCells="1">
              <from>
                <xdr:col>97</xdr:col>
                <xdr:colOff>0</xdr:colOff>
                <xdr:row>1</xdr:row>
                <xdr:rowOff>0</xdr:rowOff>
              </from>
              <to>
                <xdr:col>114</xdr:col>
                <xdr:colOff>133350</xdr:colOff>
                <xdr:row>4</xdr:row>
                <xdr:rowOff>0</xdr:rowOff>
              </to>
            </anchor>
          </controlPr>
        </control>
      </mc:Choice>
    </mc:AlternateContent>
    <mc:AlternateContent xmlns:mc="http://schemas.openxmlformats.org/markup-compatibility/2006">
      <mc:Choice Requires="x14">
        <control shapeId="5935" r:id="rId57" name="Button 815">
          <controlPr defaultSize="0" print="0" autoFill="0" autoPict="0" macro="[0]!CopyAddress">
            <anchor moveWithCells="1" sizeWithCells="1">
              <from>
                <xdr:col>59</xdr:col>
                <xdr:colOff>133350</xdr:colOff>
                <xdr:row>20</xdr:row>
                <xdr:rowOff>0</xdr:rowOff>
              </from>
              <to>
                <xdr:col>74</xdr:col>
                <xdr:colOff>133350</xdr:colOff>
                <xdr:row>22</xdr:row>
                <xdr:rowOff>0</xdr:rowOff>
              </to>
            </anchor>
          </controlPr>
        </control>
      </mc:Choice>
    </mc:AlternateContent>
    <mc:AlternateContent xmlns:mc="http://schemas.openxmlformats.org/markup-compatibility/2006">
      <mc:Choice Requires="x14">
        <control shapeId="5936" r:id="rId58" name="Button 816">
          <controlPr defaultSize="0" print="0" autoFill="0" autoPict="0" macro="[0]!ShowLoadLoanUF">
            <anchor>
              <from>
                <xdr:col>63</xdr:col>
                <xdr:colOff>0</xdr:colOff>
                <xdr:row>4</xdr:row>
                <xdr:rowOff>0</xdr:rowOff>
              </from>
              <to>
                <xdr:col>76</xdr:col>
                <xdr:colOff>0</xdr:colOff>
                <xdr:row>6</xdr:row>
                <xdr:rowOff>0</xdr:rowOff>
              </to>
            </anchor>
          </controlPr>
        </control>
      </mc:Choice>
    </mc:AlternateContent>
    <mc:AlternateContent xmlns:mc="http://schemas.openxmlformats.org/markup-compatibility/2006">
      <mc:Choice Requires="x14">
        <control shapeId="5957" r:id="rId59" name="Button 837">
          <controlPr defaultSize="0" print="0" autoFill="0" autoPict="0" macro="[0]!calcProcessingFee">
            <anchor moveWithCells="1" sizeWithCells="1">
              <from>
                <xdr:col>79</xdr:col>
                <xdr:colOff>0</xdr:colOff>
                <xdr:row>42</xdr:row>
                <xdr:rowOff>0</xdr:rowOff>
              </from>
              <to>
                <xdr:col>93</xdr:col>
                <xdr:colOff>0</xdr:colOff>
                <xdr:row>44</xdr:row>
                <xdr:rowOff>0</xdr:rowOff>
              </to>
            </anchor>
          </controlPr>
        </control>
      </mc:Choice>
    </mc:AlternateContent>
    <mc:AlternateContent xmlns:mc="http://schemas.openxmlformats.org/markup-compatibility/2006">
      <mc:Choice Requires="x14">
        <control shapeId="5963" r:id="rId60" name="Button 843">
          <controlPr defaultSize="0" print="0" autoFill="0" autoPict="0" macro="[0]!LoadNewLoan">
            <anchor moveWithCells="1" sizeWithCells="1">
              <from>
                <xdr:col>47</xdr:col>
                <xdr:colOff>0</xdr:colOff>
                <xdr:row>1</xdr:row>
                <xdr:rowOff>0</xdr:rowOff>
              </from>
              <to>
                <xdr:col>60</xdr:col>
                <xdr:colOff>0</xdr:colOff>
                <xdr:row>3</xdr:row>
                <xdr:rowOff>0</xdr:rowOff>
              </to>
            </anchor>
          </controlPr>
        </control>
      </mc:Choice>
    </mc:AlternateContent>
    <mc:AlternateContent xmlns:mc="http://schemas.openxmlformats.org/markup-compatibility/2006">
      <mc:Choice Requires="x14">
        <control shapeId="5964" r:id="rId61" name="Button 844">
          <controlPr defaultSize="0" print="0" autoFill="0" autoPict="0" macro="[0]!GenerateGFE">
            <anchor>
              <from>
                <xdr:col>97</xdr:col>
                <xdr:colOff>0</xdr:colOff>
                <xdr:row>5</xdr:row>
                <xdr:rowOff>0</xdr:rowOff>
              </from>
              <to>
                <xdr:col>115</xdr:col>
                <xdr:colOff>0</xdr:colOff>
                <xdr:row>7</xdr:row>
                <xdr:rowOff>0</xdr:rowOff>
              </to>
            </anchor>
          </controlPr>
        </control>
      </mc:Choice>
    </mc:AlternateContent>
    <mc:AlternateContent xmlns:mc="http://schemas.openxmlformats.org/markup-compatibility/2006">
      <mc:Choice Requires="x14">
        <control shapeId="5966" r:id="rId62" name="Button 846">
          <controlPr defaultSize="0" print="0" autoFill="0" autoPict="0" macro="[0]!CopyB1AddressToProperties">
            <anchor moveWithCells="1" sizeWithCells="1">
              <from>
                <xdr:col>42</xdr:col>
                <xdr:colOff>0</xdr:colOff>
                <xdr:row>67</xdr:row>
                <xdr:rowOff>0</xdr:rowOff>
              </from>
              <to>
                <xdr:col>57</xdr:col>
                <xdr:colOff>0</xdr:colOff>
                <xdr:row>69</xdr:row>
                <xdr:rowOff>0</xdr:rowOff>
              </to>
            </anchor>
          </controlPr>
        </control>
      </mc:Choice>
    </mc:AlternateContent>
    <mc:AlternateContent xmlns:mc="http://schemas.openxmlformats.org/markup-compatibility/2006">
      <mc:Choice Requires="x14">
        <control shapeId="5968" r:id="rId63" name="Button 848">
          <controlPr defaultSize="0" print="0" autoFill="0" autoPict="0" macro="[0]!LogIssue">
            <anchor>
              <from>
                <xdr:col>47</xdr:col>
                <xdr:colOff>0</xdr:colOff>
                <xdr:row>4</xdr:row>
                <xdr:rowOff>0</xdr:rowOff>
              </from>
              <to>
                <xdr:col>60</xdr:col>
                <xdr:colOff>0</xdr:colOff>
                <xdr:row>6</xdr:row>
                <xdr:rowOff>0</xdr:rowOff>
              </to>
            </anchor>
          </controlPr>
        </control>
      </mc:Choice>
    </mc:AlternateContent>
    <mc:AlternateContent xmlns:mc="http://schemas.openxmlformats.org/markup-compatibility/2006">
      <mc:Choice Requires="x14">
        <control shapeId="6001" r:id="rId64" name="Button 881">
          <controlPr defaultSize="0" print="0" autoFill="0" autoPict="0" macro="[0]!ShowInstructionBox">
            <anchor moveWithCells="1" sizeWithCells="1">
              <from>
                <xdr:col>81</xdr:col>
                <xdr:colOff>0</xdr:colOff>
                <xdr:row>1</xdr:row>
                <xdr:rowOff>0</xdr:rowOff>
              </from>
              <to>
                <xdr:col>94</xdr:col>
                <xdr:colOff>0</xdr:colOff>
                <xdr:row>3</xdr:row>
                <xdr:rowOff>0</xdr:rowOff>
              </to>
            </anchor>
          </controlPr>
        </control>
      </mc:Choice>
    </mc:AlternateContent>
    <mc:AlternateContent xmlns:mc="http://schemas.openxmlformats.org/markup-compatibility/2006">
      <mc:Choice Requires="x14">
        <control shapeId="6008" r:id="rId65" name="Button 888">
          <controlPr defaultSize="0" print="0" autoFill="0" autoPict="0" macro="[0]!ShowPayment">
            <anchor moveWithCells="1" sizeWithCells="1">
              <from>
                <xdr:col>60</xdr:col>
                <xdr:colOff>0</xdr:colOff>
                <xdr:row>15</xdr:row>
                <xdr:rowOff>47625</xdr:rowOff>
              </from>
              <to>
                <xdr:col>73</xdr:col>
                <xdr:colOff>0</xdr:colOff>
                <xdr:row>17</xdr:row>
                <xdr:rowOff>0</xdr:rowOff>
              </to>
            </anchor>
          </controlPr>
        </control>
      </mc:Choice>
    </mc:AlternateContent>
    <mc:AlternateContent xmlns:mc="http://schemas.openxmlformats.org/markup-compatibility/2006">
      <mc:Choice Requires="x14">
        <control shapeId="6011" r:id="rId66" name="Button 891">
          <controlPr defaultSize="0" print="0" autoFill="0" autoPict="0" macro="[0]!ChangeUser">
            <anchor moveWithCells="1" sizeWithCells="1">
              <from>
                <xdr:col>81</xdr:col>
                <xdr:colOff>0</xdr:colOff>
                <xdr:row>4</xdr:row>
                <xdr:rowOff>0</xdr:rowOff>
              </from>
              <to>
                <xdr:col>94</xdr:col>
                <xdr:colOff>0</xdr:colOff>
                <xdr:row>6</xdr:row>
                <xdr:rowOff>47625</xdr:rowOff>
              </to>
            </anchor>
          </controlPr>
        </control>
      </mc:Choice>
    </mc:AlternateContent>
    <mc:AlternateContent xmlns:mc="http://schemas.openxmlformats.org/markup-compatibility/2006">
      <mc:Choice Requires="x14">
        <control shapeId="6016" r:id="rId67" name="Button 896">
          <controlPr defaultSize="0" print="0" autoFill="0" autoPict="0" macro="[0]!confirmedImport">
            <anchor>
              <from>
                <xdr:col>47</xdr:col>
                <xdr:colOff>0</xdr:colOff>
                <xdr:row>7</xdr:row>
                <xdr:rowOff>0</xdr:rowOff>
              </from>
              <to>
                <xdr:col>60</xdr:col>
                <xdr:colOff>0</xdr:colOff>
                <xdr:row>8</xdr:row>
                <xdr:rowOff>142875</xdr:rowOff>
              </to>
            </anchor>
          </controlPr>
        </control>
      </mc:Choice>
    </mc:AlternateContent>
    <mc:AlternateContent xmlns:mc="http://schemas.openxmlformats.org/markup-compatibility/2006">
      <mc:Choice Requires="x14">
        <control shapeId="6020" r:id="rId68" name="Button 900">
          <controlPr defaultSize="0" print="0" autoFill="0" autoPict="0" macro="[0]!ExportToApp">
            <anchor>
              <from>
                <xdr:col>63</xdr:col>
                <xdr:colOff>0</xdr:colOff>
                <xdr:row>7</xdr:row>
                <xdr:rowOff>0</xdr:rowOff>
              </from>
              <to>
                <xdr:col>76</xdr:col>
                <xdr:colOff>0</xdr:colOff>
                <xdr:row>8</xdr:row>
                <xdr:rowOff>142875</xdr:rowOff>
              </to>
            </anchor>
          </controlPr>
        </control>
      </mc:Choice>
    </mc:AlternateContent>
  </controls>
  <extLst>
    <ext xmlns:x14="http://schemas.microsoft.com/office/spreadsheetml/2009/9/main" uri="{CCE6A557-97BC-4b89-ADB6-D9C93CAAB3DF}">
      <x14:dataValidations xmlns:xm="http://schemas.microsoft.com/office/excel/2006/main" xWindow="166" yWindow="290" count="9">
        <x14:dataValidation type="list" allowBlank="1" showInputMessage="1" showErrorMessage="1" xr:uid="{561BD433-5162-49B0-A6E8-AD9A005EBEE9}">
          <x14:formula1>
            <xm:f>DropdownInfo!$U$2:$U$3</xm:f>
          </x14:formula1>
          <xm:sqref>N5</xm:sqref>
        </x14:dataValidation>
        <x14:dataValidation type="list" allowBlank="1" showInputMessage="1" showErrorMessage="1" xr:uid="{B7583527-7E43-443E-8179-EF22F18701E3}">
          <x14:formula1>
            <xm:f>DropdownInfo!$Q$2:$Q$4</xm:f>
          </x14:formula1>
          <xm:sqref>N4</xm:sqref>
        </x14:dataValidation>
        <x14:dataValidation type="list" allowBlank="1" showInputMessage="1" showErrorMessage="1" xr:uid="{389CF0FB-B9AF-4353-8136-FFD8305EC7E8}">
          <x14:formula1>
            <xm:f>DropdownInfo!$A$26:$A$28</xm:f>
          </x14:formula1>
          <xm:sqref>AM2:AN2</xm:sqref>
        </x14:dataValidation>
        <x14:dataValidation type="list" allowBlank="1" showInputMessage="1" showErrorMessage="1" xr:uid="{F142B410-E7A2-4118-BEC9-22EADD374960}">
          <x14:formula1>
            <xm:f>DropdownInfo!$Q$22:$Q$29</xm:f>
          </x14:formula1>
          <xm:sqref>Y42:AK42</xm:sqref>
        </x14:dataValidation>
        <x14:dataValidation type="list" allowBlank="1" showInputMessage="1" showErrorMessage="1" xr:uid="{C0D833CE-004F-41CE-A1C9-2760633B5AB5}">
          <x14:formula1>
            <xm:f>DropdownInfo!$B$3:$B$15</xm:f>
          </x14:formula1>
          <xm:sqref>N2:Z2</xm:sqref>
        </x14:dataValidation>
        <x14:dataValidation type="list" allowBlank="1" showInputMessage="1" showErrorMessage="1" xr:uid="{C650824E-E7D1-4AEB-AEDD-F91EF587BF76}">
          <x14:formula1>
            <xm:f>DropdownInfo!$M$2:$M$26</xm:f>
          </x14:formula1>
          <xm:sqref>M69:N69</xm:sqref>
        </x14:dataValidation>
        <x14:dataValidation type="list" allowBlank="1" showInputMessage="1" showErrorMessage="1" xr:uid="{85C03073-BD64-433F-BA9B-9E753210DEE1}">
          <x14:formula1>
            <xm:f>DropdownInfo!$Q$34:$Q$36</xm:f>
          </x14:formula1>
          <xm:sqref>CR59</xm:sqref>
        </x14:dataValidation>
        <x14:dataValidation type="list" allowBlank="1" showInputMessage="1" showErrorMessage="1" xr:uid="{4005D6CE-BFBF-4B06-A202-8BB88B16F7FF}">
          <x14:formula1>
            <xm:f>DropdownInfo!$Q$15:$Q$16</xm:f>
          </x14:formula1>
          <xm:sqref>CR58:CS58 CR52:CS52 CR55:CS55 CR48 CR47:CS47 CR49:CS50 CR46:DD46 CR57:DD57</xm:sqref>
        </x14:dataValidation>
        <x14:dataValidation type="list" allowBlank="1" showInputMessage="1" showErrorMessage="1" xr:uid="{2BB92379-8DE6-4AB4-8E04-96B34538D0AD}">
          <x14:formula1>
            <xm:f>DropdownInfo!$M$2:$M$16</xm:f>
          </x14:formula1>
          <xm:sqref>AM3:AN3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185C1-ECAE-4422-A102-EB36A20A676E}">
  <sheetPr codeName="Sheet8"/>
  <dimension ref="A1:AHB6"/>
  <sheetViews>
    <sheetView workbookViewId="0"/>
  </sheetViews>
  <sheetFormatPr defaultRowHeight="15" outlineLevelCol="1" x14ac:dyDescent="0.25"/>
  <cols>
    <col min="1" max="1" width="5.140625" customWidth="1"/>
    <col min="2" max="2" width="9" customWidth="1"/>
    <col min="3" max="3" width="9.5703125" customWidth="1"/>
    <col min="4" max="4" width="2" style="132" customWidth="1"/>
    <col min="5" max="5" width="17.28515625" style="204" customWidth="1" outlineLevel="1"/>
    <col min="6" max="6" width="7" customWidth="1"/>
    <col min="7" max="7" width="18.7109375" style="135" customWidth="1"/>
    <col min="8" max="8" width="5.42578125" style="132" customWidth="1"/>
    <col min="9" max="9" width="4.140625" customWidth="1" outlineLevel="1"/>
    <col min="10" max="10" width="6.85546875" customWidth="1"/>
    <col min="11" max="11" width="11.140625" style="58" customWidth="1"/>
    <col min="12" max="12" width="9.85546875" style="204" customWidth="1" outlineLevel="1"/>
    <col min="13" max="13" width="13.28515625" bestFit="1" customWidth="1"/>
    <col min="14" max="14" width="14.7109375" style="211" customWidth="1"/>
    <col min="15" max="15" width="14.140625" style="211" customWidth="1"/>
    <col min="16" max="16" width="14.140625" style="206" customWidth="1" outlineLevel="1"/>
    <col min="17" max="17" width="11" style="211" customWidth="1"/>
    <col min="18" max="18" width="13.85546875" style="211" customWidth="1"/>
    <col min="19" max="19" width="13.140625" style="212" customWidth="1" outlineLevel="1"/>
    <col min="20" max="20" width="16.140625" style="206" bestFit="1" customWidth="1"/>
    <col min="21" max="21" width="6.42578125" style="206" customWidth="1"/>
    <col min="22" max="22" width="14.28515625" style="206" customWidth="1" outlineLevel="1"/>
    <col min="23" max="23" width="7.85546875" style="114" customWidth="1"/>
    <col min="24" max="24" width="6.140625" customWidth="1"/>
    <col min="25" max="25" width="3.5703125" customWidth="1"/>
    <col min="26" max="26" width="7.7109375" customWidth="1" outlineLevel="1"/>
    <col min="27" max="28" width="13.28515625" style="58" customWidth="1" outlineLevel="1"/>
    <col min="29" max="29" width="11.7109375" style="204" customWidth="1"/>
    <col min="30" max="30" width="12.7109375" style="204" customWidth="1"/>
    <col min="31" max="32" width="8.85546875" style="208" customWidth="1"/>
    <col min="33" max="33" width="13.85546875" style="214" customWidth="1"/>
    <col min="34" max="34" width="13.85546875" style="214" customWidth="1" outlineLevel="1"/>
    <col min="35" max="35" width="12.42578125" style="214" customWidth="1"/>
    <col min="36" max="36" width="3.7109375" style="214" customWidth="1"/>
    <col min="37" max="42" width="17.28515625" style="204" customWidth="1" outlineLevel="1"/>
    <col min="43" max="43" width="32.85546875" style="135" customWidth="1"/>
    <col min="44" max="44" width="2.85546875" style="209" customWidth="1"/>
    <col min="45" max="45" width="2.85546875" style="210" customWidth="1"/>
    <col min="46" max="48" width="10.42578125" style="204" customWidth="1"/>
    <col min="49" max="49" width="12.7109375" style="204" customWidth="1"/>
    <col min="50" max="55" width="10.42578125" style="204" customWidth="1"/>
    <col min="56" max="58" width="13.5703125" style="204" customWidth="1"/>
    <col min="59" max="69" width="10.42578125" style="204" customWidth="1"/>
    <col min="70" max="70" width="12" style="204" customWidth="1"/>
    <col min="71" max="71" width="8.7109375" style="204" customWidth="1"/>
    <col min="72" max="73" width="18" style="204" customWidth="1"/>
    <col min="74" max="74" width="9.85546875" customWidth="1" outlineLevel="1"/>
    <col min="75" max="75" width="13.28515625" customWidth="1" outlineLevel="1"/>
    <col min="76" max="76" width="9.85546875" customWidth="1" outlineLevel="1" collapsed="1"/>
    <col min="77" max="77" width="18.28515625" style="211" customWidth="1" outlineLevel="1"/>
    <col min="78" max="78" width="14.140625" style="211" customWidth="1" outlineLevel="1"/>
    <col min="79" max="79" width="14.140625" style="212" customWidth="1" outlineLevel="1"/>
    <col min="80" max="80" width="7.140625" style="72" customWidth="1" outlineLevel="1"/>
    <col min="81" max="82" width="6.42578125" customWidth="1" outlineLevel="1"/>
    <col min="83" max="84" width="6.42578125" style="213" customWidth="1" outlineLevel="1"/>
    <col min="85" max="85" width="9.85546875" style="213" customWidth="1" outlineLevel="1"/>
    <col min="86" max="86" width="10.85546875" style="213" customWidth="1" outlineLevel="1"/>
    <col min="87" max="87" width="8.140625" style="213" customWidth="1" outlineLevel="1"/>
    <col min="88" max="88" width="8" style="213" customWidth="1" outlineLevel="1"/>
    <col min="89" max="89" width="8.85546875" style="213" customWidth="1" outlineLevel="1"/>
    <col min="90" max="92" width="11.140625" style="213" customWidth="1" outlineLevel="1"/>
    <col min="93" max="93" width="14.7109375" customWidth="1" outlineLevel="1"/>
    <col min="94" max="94" width="2.85546875" style="209" customWidth="1" outlineLevel="1"/>
    <col min="95" max="95" width="2.85546875" style="210" customWidth="1" outlineLevel="1"/>
    <col min="96" max="96" width="10.42578125" style="58" customWidth="1" outlineLevel="1"/>
    <col min="97" max="97" width="13.28515625" customWidth="1" outlineLevel="1"/>
    <col min="98" max="98" width="9.85546875" customWidth="1" outlineLevel="1" collapsed="1"/>
    <col min="99" max="99" width="11" style="211" customWidth="1" outlineLevel="1"/>
    <col min="100" max="100" width="14.140625" style="211" customWidth="1" outlineLevel="1"/>
    <col min="101" max="101" width="14.140625" style="212" customWidth="1" outlineLevel="1"/>
    <col min="102" max="102" width="7.140625" style="72" customWidth="1" outlineLevel="1"/>
    <col min="103" max="103" width="5.5703125" customWidth="1" outlineLevel="1"/>
    <col min="104" max="104" width="6.42578125" customWidth="1" outlineLevel="1"/>
    <col min="105" max="106" width="6.42578125" style="213" customWidth="1" outlineLevel="1"/>
    <col min="107" max="107" width="9.85546875" style="213" customWidth="1" outlineLevel="1"/>
    <col min="108" max="108" width="10.85546875" style="213" customWidth="1" outlineLevel="1"/>
    <col min="109" max="109" width="8.140625" style="213" customWidth="1" outlineLevel="1"/>
    <col min="110" max="110" width="8" style="213" customWidth="1" outlineLevel="1"/>
    <col min="111" max="111" width="8.85546875" style="213" customWidth="1" outlineLevel="1"/>
    <col min="112" max="114" width="11.140625" style="213" customWidth="1" outlineLevel="1"/>
    <col min="115" max="115" width="14.7109375" customWidth="1" outlineLevel="1"/>
    <col min="116" max="116" width="2.85546875" style="209" customWidth="1" outlineLevel="1"/>
    <col min="117" max="117" width="2.85546875" style="210" customWidth="1" outlineLevel="1"/>
    <col min="118" max="118" width="10.28515625" style="58" customWidth="1" outlineLevel="1"/>
    <col min="119" max="119" width="13.28515625" customWidth="1" outlineLevel="1"/>
    <col min="120" max="120" width="9.85546875" customWidth="1" outlineLevel="1" collapsed="1"/>
    <col min="121" max="121" width="10.5703125" style="211" customWidth="1" outlineLevel="1"/>
    <col min="122" max="122" width="14.140625" style="211" customWidth="1" outlineLevel="1"/>
    <col min="123" max="123" width="14.140625" style="212" customWidth="1" outlineLevel="1"/>
    <col min="124" max="124" width="8.140625" style="72" customWidth="1" outlineLevel="1"/>
    <col min="125" max="125" width="8.140625" customWidth="1" outlineLevel="1"/>
    <col min="126" max="126" width="6.42578125" customWidth="1" outlineLevel="1"/>
    <col min="127" max="128" width="6.42578125" style="213" customWidth="1" outlineLevel="1"/>
    <col min="129" max="129" width="9.85546875" style="213" customWidth="1" outlineLevel="1"/>
    <col min="130" max="130" width="10.85546875" style="213" customWidth="1" outlineLevel="1"/>
    <col min="131" max="131" width="8.140625" style="213" customWidth="1" outlineLevel="1"/>
    <col min="132" max="132" width="8" style="213" customWidth="1" outlineLevel="1"/>
    <col min="133" max="133" width="8.85546875" style="213" customWidth="1" outlineLevel="1"/>
    <col min="134" max="136" width="11.140625" style="213" customWidth="1" outlineLevel="1"/>
    <col min="137" max="137" width="14.7109375" customWidth="1" outlineLevel="1"/>
    <col min="138" max="138" width="2.85546875" style="209" customWidth="1" outlineLevel="1"/>
    <col min="139" max="139" width="2.85546875" style="210" customWidth="1" outlineLevel="1"/>
    <col min="140" max="140" width="11.85546875" style="58" customWidth="1" outlineLevel="1"/>
    <col min="141" max="141" width="13.28515625" customWidth="1" outlineLevel="1"/>
    <col min="142" max="142" width="9.85546875" customWidth="1" outlineLevel="1" collapsed="1"/>
    <col min="143" max="143" width="12.28515625" style="211" customWidth="1" outlineLevel="1"/>
    <col min="144" max="144" width="14.140625" style="211" customWidth="1" outlineLevel="1"/>
    <col min="145" max="145" width="14.140625" style="212" customWidth="1" outlineLevel="1"/>
    <col min="146" max="146" width="8.140625" style="72" customWidth="1" outlineLevel="1"/>
    <col min="147" max="147" width="8.140625" customWidth="1" outlineLevel="1"/>
    <col min="148" max="148" width="6.42578125" customWidth="1" outlineLevel="1"/>
    <col min="149" max="150" width="6.42578125" style="213" customWidth="1" outlineLevel="1"/>
    <col min="151" max="151" width="9.85546875" style="213" customWidth="1" outlineLevel="1"/>
    <col min="152" max="152" width="10.85546875" style="213" customWidth="1" outlineLevel="1"/>
    <col min="153" max="153" width="8.140625" style="213" customWidth="1" outlineLevel="1"/>
    <col min="154" max="154" width="8" style="213" customWidth="1" outlineLevel="1"/>
    <col min="155" max="155" width="8.85546875" style="213" customWidth="1" outlineLevel="1"/>
    <col min="156" max="158" width="11.140625" style="213" customWidth="1" outlineLevel="1"/>
    <col min="159" max="159" width="14.7109375" customWidth="1" outlineLevel="1"/>
    <col min="161" max="161" width="9.140625" collapsed="1"/>
    <col min="162" max="162" width="14.28515625" style="214" customWidth="1"/>
    <col min="163" max="163" width="14.140625" style="214" customWidth="1"/>
    <col min="164" max="176" width="9.140625" style="214"/>
    <col min="177" max="177" width="12.5703125" style="214" customWidth="1"/>
    <col min="178" max="261" width="9.140625" style="214"/>
    <col min="262" max="262" width="12.5703125" style="214" customWidth="1"/>
    <col min="263" max="522" width="9.140625" style="214"/>
    <col min="523" max="523" width="11.85546875" style="214" customWidth="1" collapsed="1"/>
    <col min="524" max="524" width="9.140625" style="214"/>
    <col min="525" max="525" width="15.7109375" style="214" customWidth="1"/>
    <col min="526" max="526" width="12.5703125" style="214" customWidth="1"/>
    <col min="527" max="527" width="13.140625" style="214" customWidth="1"/>
    <col min="528" max="533" width="9.140625" style="214"/>
    <col min="534" max="534" width="12.5703125" style="214" customWidth="1"/>
    <col min="535" max="539" width="9.140625" style="214"/>
    <col min="540" max="540" width="12.5703125" style="214" customWidth="1"/>
    <col min="541" max="563" width="9.140625" style="214"/>
    <col min="564" max="564" width="12" style="214" customWidth="1"/>
    <col min="565" max="624" width="9.140625" style="214"/>
    <col min="625" max="625" width="12.5703125" style="214" customWidth="1"/>
    <col min="626" max="885" width="9.140625" style="214"/>
    <col min="886" max="886" width="9.140625" collapsed="1"/>
  </cols>
  <sheetData>
    <row r="1" spans="1:886" x14ac:dyDescent="0.25">
      <c r="A1" s="115" t="s">
        <v>2979</v>
      </c>
      <c r="B1" s="135" t="s">
        <v>1910</v>
      </c>
      <c r="G1" s="178" t="str">
        <f ca="1">"New Funded: "&amp;COUNTIFS(F$5:F$4902,"&lt;&gt;*refi*",$B$5:$B$4902,"Funded",$T$5:$T$4902,"&gt;0",$C$5:$C$4902,"&lt;="&amp;IF($B$2,EOMONTH($B$2,0),EOMONTH(TODAY(),0)),$C$5:$C$4902,"&gt;="&amp;IF($B$2,EOMONTH($B$2,-1)+1,EOMONTH(TODAY(),-1)+1))</f>
        <v>New Funded: 0</v>
      </c>
      <c r="I1" t="s">
        <v>2980</v>
      </c>
      <c r="J1" s="132" t="s">
        <v>2981</v>
      </c>
      <c r="N1" s="205">
        <f ca="1">SUMIFS(N$5:N$4902,$B$5:$B$4902,"Funded",$C$5:$C$4902,"&lt;="&amp;IF($B$2,EOMONTH($B$2,0),EOMONTH(TODAY(),0)),$C$5:$C$4902,"&gt;="&amp;IF($B$2,EOMONTH($B$2,-1)+1,EOMONTH(TODAY(),-1)+1))</f>
        <v>0</v>
      </c>
      <c r="O1" s="205">
        <f ca="1">SUMIFS(O$5:O$4902,$B$5:$B$4902,"Funded",$C$5:$C$4902,"&lt;="&amp;IF($B$2,EOMONTH($B$2,0),EOMONTH(TODAY(),0)),$C$5:$C$4902,"&gt;="&amp;IF($B$2,EOMONTH($B$2,-1)+1,EOMONTH(TODAY(),-1)+1))</f>
        <v>0</v>
      </c>
      <c r="Q1" s="205">
        <f ca="1">SUMIFS(Q$5:Q$4902,$B$5:$B$4902,"Funded",$C$5:$C$4902,"&lt;="&amp;IF($B$2,EOMONTH($B$2,0),EOMONTH(TODAY(),0)),$C$5:$C$4902,"&gt;="&amp;IF($B$2,EOMONTH($B$2,-1)+1,EOMONTH(TODAY(),-1)+1))</f>
        <v>0</v>
      </c>
      <c r="R1" s="205">
        <f ca="1">SUMIFS(R$5:R$4902,$B$5:$B$4902,"Funded",$C$5:$C$4902,"&lt;="&amp;IF($B$2,EOMONTH($B$2,0),EOMONTH(TODAY(),0)),$C$5:$C$4902,"&gt;="&amp;IF($B$2,EOMONTH($B$2,-1)+1,EOMONTH(TODAY(),-1)+1))</f>
        <v>0</v>
      </c>
      <c r="S1" s="205">
        <f ca="1">SUMIFS(S$5:S$4902,$B$5:$B$4902,"Funded",$C$5:$C$4902,"&lt;="&amp;IF($B$2,EOMONTH($B$2,0),EOMONTH(TODAY(),0)),$C$5:$C$4902,"&gt;="&amp;IF($B$2,EOMONTH($B$2,-1)+1,EOMONTH(TODAY(),-1)+1))</f>
        <v>0</v>
      </c>
      <c r="T1" s="205">
        <f ca="1">SUMIFS(T$5:T$4902,$B$5:$B$4902,"Funded",$C$5:$C$4902,"&lt;="&amp;IF($B$2,EOMONTH($B$2,0),EOMONTH(TODAY(),0)),$C$5:$C$4902,"&gt;="&amp;IF($B$2,EOMONTH($B$2,-1)+1,EOMONTH(TODAY(),-1)+1))</f>
        <v>0</v>
      </c>
      <c r="AC1" s="207" t="s">
        <v>2982</v>
      </c>
      <c r="AG1" s="205">
        <f ca="1">SUMIFS(AG$5:AG$4902,$B$5:$B$4902,"Funded",$C$5:$C$4902,"&lt;="&amp;IF($B$2,EOMONTH($B$2,0),EOMONTH(TODAY(),0)),$C$5:$C$4902,"&gt;="&amp;IF($B$2,EOMONTH($B$2,-1)+1,EOMONTH(TODAY(),-1)+1))</f>
        <v>0</v>
      </c>
      <c r="AH1" s="205"/>
      <c r="AI1" s="205">
        <f ca="1">SUMIFS(AI$5:AI$4902,$B$5:$B$4902,"Funded",$C$5:$C$4902,"&lt;="&amp;IF($B$2,EOMONTH($B$2,0),EOMONTH(TODAY(),0)),$C$5:$C$4902,"&gt;="&amp;IF($B$2,EOMONTH($B$2,-1)+1,EOMONTH(TODAY(),-1)+1))</f>
        <v>0</v>
      </c>
      <c r="AJ1" s="205"/>
    </row>
    <row r="2" spans="1:886" x14ac:dyDescent="0.25">
      <c r="A2" s="115" t="s">
        <v>2086</v>
      </c>
      <c r="B2" s="215">
        <v>43556</v>
      </c>
      <c r="G2" s="178" t="str">
        <f ca="1">"Refi Funded: "&amp;COUNTIFS(F$5:F$4902,"*refi*",$B$5:$B$4902,"Funded",$T$5:$T$4902,"&gt;0",$C$5:$C$4902,"&lt;="&amp;IF($B$2,EOMONTH($B$2,0),EOMONTH(TODAY(),0)),$C$5:$C$4902,"&gt;="&amp;IF($B$2,EOMONTH($B$2,-1)+1,EOMONTH(TODAY(),-1)+1))</f>
        <v>Refi Funded: 0</v>
      </c>
      <c r="I2" s="216">
        <f ca="1">N1+O1+Q1</f>
        <v>0</v>
      </c>
      <c r="J2" s="216">
        <f ca="1">T1</f>
        <v>0</v>
      </c>
      <c r="N2" s="205">
        <f ca="1">N1+SUMIFS(N$5:N$4902,$B$5:$B$4902,"Boarded",$C$5:$C$4902,"&lt;="&amp;IF($B$2,EOMONTH($B$2,0),EOMONTH(TODAY(),0)),$C$5:$C$4902,"&gt;="&amp;IF($B$2,EOMONTH($B$2,-1)+1,EOMONTH(TODAY(),-1)+1))</f>
        <v>0</v>
      </c>
      <c r="O2" s="205">
        <f ca="1">O1+SUMIFS(O$5:O$4902,$B$5:$B$4902,"Boarded",$C$5:$C$4902,"&lt;="&amp;IF($B$2,EOMONTH($B$2,0),EOMONTH(TODAY(),0)),$C$5:$C$4902,"&gt;="&amp;IF($B$2,EOMONTH($B$2,-1)+1,EOMONTH(TODAY(),-1)+1))</f>
        <v>0</v>
      </c>
      <c r="Q2" s="205">
        <f ca="1">Q1+SUMIFS(Q$5:Q$4902,$B$5:$B$4902,"Boarded",$C$5:$C$4902,"&lt;="&amp;IF($B$2,EOMONTH($B$2,0),EOMONTH(TODAY(),0)),$C$5:$C$4902,"&gt;="&amp;IF($B$2,EOMONTH($B$2,-1)+1,EOMONTH(TODAY(),-1)+1))</f>
        <v>0</v>
      </c>
      <c r="R2" s="205">
        <f ca="1">R1+SUMIFS(R$5:R$4902,$B$5:$B$4902,"Boarded",$C$5:$C$4902,"&lt;="&amp;IF($B$2,EOMONTH($B$2,0),EOMONTH(TODAY(),0)),$C$5:$C$4902,"&gt;="&amp;IF($B$2,EOMONTH($B$2,-1)+1,EOMONTH(TODAY(),-1)+1))</f>
        <v>0</v>
      </c>
      <c r="S2" s="205">
        <f ca="1">S1+SUMIFS(S$5:S$4902,$B$5:$B$4902,"Boarded",$C$5:$C$4902,"&lt;="&amp;IF($B$2,EOMONTH($B$2,0),EOMONTH(TODAY(),0)),$C$5:$C$4902,"&gt;="&amp;IF($B$2,EOMONTH($B$2,-1)+1,EOMONTH(TODAY(),-1)+1))</f>
        <v>0</v>
      </c>
      <c r="T2" s="205">
        <f ca="1">T1+SUMIFS(T$5:T$4902,$B$5:$B$4902,"Boarded",$C$5:$C$4902,"&lt;="&amp;IF($B$2,EOMONTH($B$2,0),EOMONTH(TODAY(),0)),$C$5:$C$4902,"&gt;="&amp;IF($B$2,EOMONTH($B$2,-1)+1,EOMONTH(TODAY(),-1)+1))</f>
        <v>0</v>
      </c>
      <c r="AC2" s="217" t="s">
        <v>2983</v>
      </c>
      <c r="AG2" s="205">
        <f ca="1">AG1+SUMIFS(AG$5:AG$4902,$B$5:$B$4902,"Boarded",$C$5:$C$4902,"&lt;="&amp;IF($B$2,EOMONTH($B$2,0),EOMONTH(TODAY(),0)),$C$5:$C$4902,"&gt;="&amp;IF($B$2,EOMONTH($B$2,-1)+1,EOMONTH(TODAY(),-1)+1))</f>
        <v>0</v>
      </c>
      <c r="AH2" s="205"/>
      <c r="AI2" s="205">
        <f ca="1">AI1+SUMIFS(AI$5:AI$4902,$B$5:$B$4902,"Boarded",$C$5:$C$4902,"&lt;="&amp;IF($B$2,EOMONTH($B$2,0),EOMONTH(TODAY(),0)),$C$5:$C$4902,"&gt;="&amp;IF($B$2,EOMONTH($B$2,-1)+1,EOMONTH(TODAY(),-1)+1))</f>
        <v>0</v>
      </c>
      <c r="AJ2" s="205"/>
      <c r="AT2" s="204" t="e">
        <f>MAX(#REF!)</f>
        <v>#REF!</v>
      </c>
      <c r="AU2" s="218" t="e">
        <f>MATCH(AU4,#REF!,0)-1</f>
        <v>#REF!</v>
      </c>
      <c r="AV2" s="218"/>
      <c r="AW2" s="218"/>
      <c r="AX2" s="218" t="e">
        <f>MATCH(AX4,#REF!,0)-1</f>
        <v>#REF!</v>
      </c>
      <c r="AY2" s="218" t="e">
        <f>MATCH(AY4,#REF!,0)-1</f>
        <v>#REF!</v>
      </c>
      <c r="AZ2" s="218" t="e">
        <f>MATCH(AZ4,#REF!,0)-1</f>
        <v>#REF!</v>
      </c>
      <c r="BA2" s="218" t="e">
        <f>MATCH(BA4,#REF!,0)-1</f>
        <v>#REF!</v>
      </c>
      <c r="BB2" s="218" t="e">
        <f>MATCH(BB4,#REF!,0)-1</f>
        <v>#REF!</v>
      </c>
      <c r="BC2" s="218" t="e">
        <f>MATCH(BC4,#REF!,0)-1</f>
        <v>#REF!</v>
      </c>
      <c r="BD2" s="218" t="e">
        <f>MATCH(BD4,#REF!,0)-1</f>
        <v>#REF!</v>
      </c>
      <c r="BE2" s="218"/>
      <c r="BF2" s="218"/>
      <c r="BG2" s="218" t="e">
        <f>MATCH(BG4,#REF!,0)-1</f>
        <v>#REF!</v>
      </c>
      <c r="BH2" s="218" t="e">
        <f>MATCH(BH4,#REF!,0)-1</f>
        <v>#REF!</v>
      </c>
      <c r="BI2" s="218" t="e">
        <f>MATCH(BI4,#REF!,0)-1</f>
        <v>#REF!</v>
      </c>
      <c r="BJ2" s="218"/>
      <c r="BK2" s="218" t="e">
        <f>MATCH(BK4,#REF!,0)-1</f>
        <v>#REF!</v>
      </c>
      <c r="BL2" s="218" t="e">
        <f>MATCH(BL4,#REF!,0)-1</f>
        <v>#REF!</v>
      </c>
      <c r="BM2" s="218" t="e">
        <f>MATCH(BM4,#REF!,0)-1</f>
        <v>#REF!</v>
      </c>
      <c r="BN2" s="218" t="e">
        <f>MATCH(BN4,#REF!,0)-1</f>
        <v>#REF!</v>
      </c>
      <c r="BO2" s="218" t="e">
        <f>MATCH(BO4,#REF!,0)-1</f>
        <v>#REF!</v>
      </c>
      <c r="BP2" s="218" t="e">
        <f>MATCH(BP4,#REF!,0)-1</f>
        <v>#REF!</v>
      </c>
      <c r="BQ2" s="218" t="e">
        <f>MATCH(BQ4,#REF!,0)-1</f>
        <v>#REF!</v>
      </c>
      <c r="BR2" s="218" t="e">
        <f>MATCH(BR4,#REF!,0)-1</f>
        <v>#REF!</v>
      </c>
      <c r="FG2" s="214">
        <v>1</v>
      </c>
      <c r="FH2" s="214">
        <f>FG2+1</f>
        <v>2</v>
      </c>
      <c r="FI2" s="214">
        <f t="shared" ref="FI2:HT2" si="0">FH2+1</f>
        <v>3</v>
      </c>
      <c r="FJ2" s="214">
        <f t="shared" si="0"/>
        <v>4</v>
      </c>
      <c r="FK2" s="214">
        <f t="shared" si="0"/>
        <v>5</v>
      </c>
      <c r="FL2" s="214">
        <f t="shared" si="0"/>
        <v>6</v>
      </c>
      <c r="FM2" s="214">
        <f t="shared" si="0"/>
        <v>7</v>
      </c>
      <c r="FN2" s="214">
        <f t="shared" si="0"/>
        <v>8</v>
      </c>
      <c r="FO2" s="214">
        <f t="shared" si="0"/>
        <v>9</v>
      </c>
      <c r="FP2" s="214">
        <f t="shared" si="0"/>
        <v>10</v>
      </c>
      <c r="FQ2" s="214">
        <f t="shared" si="0"/>
        <v>11</v>
      </c>
      <c r="FR2" s="214">
        <f t="shared" si="0"/>
        <v>12</v>
      </c>
      <c r="FS2" s="214">
        <f t="shared" si="0"/>
        <v>13</v>
      </c>
      <c r="FT2" s="214">
        <f t="shared" si="0"/>
        <v>14</v>
      </c>
      <c r="FU2" s="214">
        <f t="shared" si="0"/>
        <v>15</v>
      </c>
      <c r="FV2" s="214">
        <f t="shared" si="0"/>
        <v>16</v>
      </c>
      <c r="FW2" s="214">
        <f t="shared" si="0"/>
        <v>17</v>
      </c>
      <c r="FX2" s="214">
        <f t="shared" si="0"/>
        <v>18</v>
      </c>
      <c r="FY2" s="214">
        <f t="shared" si="0"/>
        <v>19</v>
      </c>
      <c r="FZ2" s="214">
        <f t="shared" si="0"/>
        <v>20</v>
      </c>
      <c r="GA2" s="214">
        <f t="shared" si="0"/>
        <v>21</v>
      </c>
      <c r="GB2" s="214">
        <f t="shared" si="0"/>
        <v>22</v>
      </c>
      <c r="GC2" s="214">
        <f t="shared" si="0"/>
        <v>23</v>
      </c>
      <c r="GD2" s="214">
        <f t="shared" si="0"/>
        <v>24</v>
      </c>
      <c r="GE2" s="214">
        <f t="shared" si="0"/>
        <v>25</v>
      </c>
      <c r="GF2" s="214">
        <f t="shared" si="0"/>
        <v>26</v>
      </c>
      <c r="GG2" s="214">
        <f t="shared" si="0"/>
        <v>27</v>
      </c>
      <c r="GH2" s="214">
        <f t="shared" si="0"/>
        <v>28</v>
      </c>
      <c r="GI2" s="214">
        <f t="shared" si="0"/>
        <v>29</v>
      </c>
      <c r="GJ2" s="214">
        <f t="shared" si="0"/>
        <v>30</v>
      </c>
      <c r="GK2" s="214">
        <f t="shared" si="0"/>
        <v>31</v>
      </c>
      <c r="GL2" s="214">
        <f t="shared" si="0"/>
        <v>32</v>
      </c>
      <c r="GM2" s="214">
        <f t="shared" si="0"/>
        <v>33</v>
      </c>
      <c r="GN2" s="214">
        <f t="shared" si="0"/>
        <v>34</v>
      </c>
      <c r="GO2" s="214">
        <f t="shared" si="0"/>
        <v>35</v>
      </c>
      <c r="GP2" s="214">
        <f t="shared" si="0"/>
        <v>36</v>
      </c>
      <c r="GQ2" s="214">
        <f t="shared" si="0"/>
        <v>37</v>
      </c>
      <c r="GR2" s="214">
        <f t="shared" si="0"/>
        <v>38</v>
      </c>
      <c r="GS2" s="214">
        <f t="shared" si="0"/>
        <v>39</v>
      </c>
      <c r="GT2" s="214">
        <f t="shared" si="0"/>
        <v>40</v>
      </c>
      <c r="GU2" s="214">
        <f t="shared" si="0"/>
        <v>41</v>
      </c>
      <c r="GV2" s="214">
        <f t="shared" si="0"/>
        <v>42</v>
      </c>
      <c r="GW2" s="214">
        <f t="shared" si="0"/>
        <v>43</v>
      </c>
      <c r="GX2" s="214">
        <f t="shared" si="0"/>
        <v>44</v>
      </c>
      <c r="GY2" s="214">
        <f t="shared" si="0"/>
        <v>45</v>
      </c>
      <c r="GZ2" s="214">
        <f t="shared" si="0"/>
        <v>46</v>
      </c>
      <c r="HA2" s="214">
        <f t="shared" si="0"/>
        <v>47</v>
      </c>
      <c r="HB2" s="214">
        <f t="shared" si="0"/>
        <v>48</v>
      </c>
      <c r="HC2" s="214">
        <f t="shared" si="0"/>
        <v>49</v>
      </c>
      <c r="HD2" s="214">
        <f t="shared" si="0"/>
        <v>50</v>
      </c>
      <c r="HE2" s="214">
        <f t="shared" si="0"/>
        <v>51</v>
      </c>
      <c r="HF2" s="214">
        <f t="shared" si="0"/>
        <v>52</v>
      </c>
      <c r="HG2" s="214">
        <f t="shared" si="0"/>
        <v>53</v>
      </c>
      <c r="HH2" s="214">
        <f t="shared" si="0"/>
        <v>54</v>
      </c>
      <c r="HI2" s="214">
        <f t="shared" si="0"/>
        <v>55</v>
      </c>
      <c r="HJ2" s="214">
        <f t="shared" si="0"/>
        <v>56</v>
      </c>
      <c r="HK2" s="214">
        <f t="shared" si="0"/>
        <v>57</v>
      </c>
      <c r="HL2" s="214">
        <f t="shared" si="0"/>
        <v>58</v>
      </c>
      <c r="HM2" s="214">
        <f t="shared" si="0"/>
        <v>59</v>
      </c>
      <c r="HN2" s="214">
        <f t="shared" si="0"/>
        <v>60</v>
      </c>
      <c r="HO2" s="214">
        <f t="shared" si="0"/>
        <v>61</v>
      </c>
      <c r="HP2" s="214">
        <f t="shared" si="0"/>
        <v>62</v>
      </c>
      <c r="HQ2" s="214">
        <f t="shared" si="0"/>
        <v>63</v>
      </c>
      <c r="HR2" s="214">
        <f t="shared" si="0"/>
        <v>64</v>
      </c>
      <c r="HS2" s="214">
        <f t="shared" si="0"/>
        <v>65</v>
      </c>
      <c r="HT2" s="214">
        <f t="shared" si="0"/>
        <v>66</v>
      </c>
      <c r="HU2" s="214">
        <f t="shared" ref="HU2:KF2" si="1">HT2+1</f>
        <v>67</v>
      </c>
      <c r="HV2" s="214">
        <f t="shared" si="1"/>
        <v>68</v>
      </c>
      <c r="HW2" s="214">
        <f t="shared" si="1"/>
        <v>69</v>
      </c>
      <c r="HX2" s="214">
        <f t="shared" si="1"/>
        <v>70</v>
      </c>
      <c r="HY2" s="214">
        <f t="shared" si="1"/>
        <v>71</v>
      </c>
      <c r="HZ2" s="214">
        <f t="shared" si="1"/>
        <v>72</v>
      </c>
      <c r="IA2" s="214">
        <f t="shared" si="1"/>
        <v>73</v>
      </c>
      <c r="IB2" s="214">
        <f t="shared" si="1"/>
        <v>74</v>
      </c>
      <c r="IC2" s="214">
        <f t="shared" si="1"/>
        <v>75</v>
      </c>
      <c r="ID2" s="214">
        <f t="shared" si="1"/>
        <v>76</v>
      </c>
      <c r="IE2" s="214">
        <f t="shared" si="1"/>
        <v>77</v>
      </c>
      <c r="IF2" s="214">
        <f t="shared" si="1"/>
        <v>78</v>
      </c>
      <c r="IG2" s="214">
        <f t="shared" si="1"/>
        <v>79</v>
      </c>
      <c r="IH2" s="214">
        <f t="shared" si="1"/>
        <v>80</v>
      </c>
      <c r="II2" s="214">
        <f t="shared" si="1"/>
        <v>81</v>
      </c>
      <c r="IJ2" s="214">
        <f t="shared" si="1"/>
        <v>82</v>
      </c>
      <c r="IK2" s="214">
        <f t="shared" si="1"/>
        <v>83</v>
      </c>
      <c r="IL2" s="214">
        <f t="shared" si="1"/>
        <v>84</v>
      </c>
      <c r="IM2" s="214">
        <f t="shared" si="1"/>
        <v>85</v>
      </c>
      <c r="IN2" s="214">
        <f t="shared" si="1"/>
        <v>86</v>
      </c>
      <c r="IO2" s="214">
        <f t="shared" si="1"/>
        <v>87</v>
      </c>
      <c r="IP2" s="214">
        <f t="shared" si="1"/>
        <v>88</v>
      </c>
      <c r="IQ2" s="214">
        <f t="shared" si="1"/>
        <v>89</v>
      </c>
      <c r="IR2" s="214">
        <f t="shared" si="1"/>
        <v>90</v>
      </c>
      <c r="IS2" s="214">
        <f t="shared" si="1"/>
        <v>91</v>
      </c>
      <c r="IT2" s="214">
        <f t="shared" si="1"/>
        <v>92</v>
      </c>
      <c r="IU2" s="214">
        <f t="shared" si="1"/>
        <v>93</v>
      </c>
      <c r="IV2" s="214">
        <f t="shared" si="1"/>
        <v>94</v>
      </c>
      <c r="IW2" s="214">
        <f t="shared" si="1"/>
        <v>95</v>
      </c>
      <c r="IX2" s="214">
        <f t="shared" si="1"/>
        <v>96</v>
      </c>
      <c r="IY2" s="214">
        <f t="shared" si="1"/>
        <v>97</v>
      </c>
      <c r="IZ2" s="214">
        <f t="shared" si="1"/>
        <v>98</v>
      </c>
      <c r="JA2" s="214">
        <f t="shared" si="1"/>
        <v>99</v>
      </c>
      <c r="JB2" s="214">
        <f t="shared" si="1"/>
        <v>100</v>
      </c>
      <c r="JC2" s="214">
        <f t="shared" si="1"/>
        <v>101</v>
      </c>
      <c r="JD2" s="214">
        <f t="shared" si="1"/>
        <v>102</v>
      </c>
      <c r="JE2" s="214">
        <f t="shared" si="1"/>
        <v>103</v>
      </c>
      <c r="JF2" s="214">
        <f t="shared" si="1"/>
        <v>104</v>
      </c>
      <c r="JG2" s="214">
        <f t="shared" si="1"/>
        <v>105</v>
      </c>
      <c r="JH2" s="214">
        <f t="shared" si="1"/>
        <v>106</v>
      </c>
      <c r="JI2" s="214">
        <f t="shared" si="1"/>
        <v>107</v>
      </c>
      <c r="JJ2" s="214">
        <f t="shared" si="1"/>
        <v>108</v>
      </c>
      <c r="JK2" s="214">
        <f t="shared" si="1"/>
        <v>109</v>
      </c>
      <c r="JL2" s="214">
        <f t="shared" si="1"/>
        <v>110</v>
      </c>
      <c r="JM2" s="214">
        <f t="shared" si="1"/>
        <v>111</v>
      </c>
      <c r="JN2" s="214">
        <f t="shared" si="1"/>
        <v>112</v>
      </c>
      <c r="JO2" s="214">
        <f t="shared" si="1"/>
        <v>113</v>
      </c>
      <c r="JP2" s="214">
        <f t="shared" si="1"/>
        <v>114</v>
      </c>
      <c r="JQ2" s="214">
        <f t="shared" si="1"/>
        <v>115</v>
      </c>
      <c r="JR2" s="214">
        <f t="shared" si="1"/>
        <v>116</v>
      </c>
      <c r="JS2" s="214">
        <f t="shared" si="1"/>
        <v>117</v>
      </c>
      <c r="JT2" s="214">
        <f t="shared" si="1"/>
        <v>118</v>
      </c>
      <c r="JU2" s="214">
        <f t="shared" si="1"/>
        <v>119</v>
      </c>
      <c r="JV2" s="214">
        <f t="shared" si="1"/>
        <v>120</v>
      </c>
      <c r="JW2" s="214">
        <f t="shared" si="1"/>
        <v>121</v>
      </c>
      <c r="JX2" s="214">
        <f t="shared" si="1"/>
        <v>122</v>
      </c>
      <c r="JY2" s="214">
        <f t="shared" si="1"/>
        <v>123</v>
      </c>
      <c r="JZ2" s="214">
        <f t="shared" si="1"/>
        <v>124</v>
      </c>
      <c r="KA2" s="214">
        <f t="shared" si="1"/>
        <v>125</v>
      </c>
      <c r="KB2" s="214">
        <f t="shared" si="1"/>
        <v>126</v>
      </c>
      <c r="KC2" s="214">
        <f t="shared" si="1"/>
        <v>127</v>
      </c>
      <c r="KD2" s="214">
        <f t="shared" si="1"/>
        <v>128</v>
      </c>
      <c r="KE2" s="214">
        <f t="shared" si="1"/>
        <v>129</v>
      </c>
      <c r="KF2" s="214">
        <f t="shared" si="1"/>
        <v>130</v>
      </c>
      <c r="KG2" s="214">
        <f t="shared" ref="KG2:MR2" si="2">KF2+1</f>
        <v>131</v>
      </c>
      <c r="KH2" s="214">
        <f t="shared" si="2"/>
        <v>132</v>
      </c>
      <c r="KI2" s="214">
        <f t="shared" si="2"/>
        <v>133</v>
      </c>
      <c r="KJ2" s="214">
        <f t="shared" si="2"/>
        <v>134</v>
      </c>
      <c r="KK2" s="214">
        <f t="shared" si="2"/>
        <v>135</v>
      </c>
      <c r="KL2" s="214">
        <f t="shared" si="2"/>
        <v>136</v>
      </c>
      <c r="KM2" s="214">
        <f t="shared" si="2"/>
        <v>137</v>
      </c>
      <c r="KN2" s="214">
        <f t="shared" si="2"/>
        <v>138</v>
      </c>
      <c r="KO2" s="214">
        <f t="shared" si="2"/>
        <v>139</v>
      </c>
      <c r="KP2" s="214">
        <f t="shared" si="2"/>
        <v>140</v>
      </c>
      <c r="KQ2" s="214">
        <f t="shared" si="2"/>
        <v>141</v>
      </c>
      <c r="KR2" s="214">
        <f t="shared" si="2"/>
        <v>142</v>
      </c>
      <c r="KS2" s="214">
        <f t="shared" si="2"/>
        <v>143</v>
      </c>
      <c r="KT2" s="214">
        <f t="shared" si="2"/>
        <v>144</v>
      </c>
      <c r="KU2" s="214">
        <f t="shared" si="2"/>
        <v>145</v>
      </c>
      <c r="KV2" s="214">
        <f t="shared" si="2"/>
        <v>146</v>
      </c>
      <c r="KW2" s="214">
        <f t="shared" si="2"/>
        <v>147</v>
      </c>
      <c r="KX2" s="214">
        <f t="shared" si="2"/>
        <v>148</v>
      </c>
      <c r="KY2" s="214">
        <f t="shared" si="2"/>
        <v>149</v>
      </c>
      <c r="KZ2" s="214">
        <f t="shared" si="2"/>
        <v>150</v>
      </c>
      <c r="LA2" s="214">
        <f t="shared" si="2"/>
        <v>151</v>
      </c>
      <c r="LB2" s="214">
        <f t="shared" si="2"/>
        <v>152</v>
      </c>
      <c r="LC2" s="214">
        <f t="shared" si="2"/>
        <v>153</v>
      </c>
      <c r="LD2" s="214">
        <f t="shared" si="2"/>
        <v>154</v>
      </c>
      <c r="LE2" s="214">
        <f t="shared" si="2"/>
        <v>155</v>
      </c>
      <c r="LF2" s="214">
        <f t="shared" si="2"/>
        <v>156</v>
      </c>
      <c r="LG2" s="214">
        <f t="shared" si="2"/>
        <v>157</v>
      </c>
      <c r="LH2" s="214">
        <f t="shared" si="2"/>
        <v>158</v>
      </c>
      <c r="LI2" s="214">
        <f t="shared" si="2"/>
        <v>159</v>
      </c>
      <c r="LJ2" s="214">
        <f t="shared" si="2"/>
        <v>160</v>
      </c>
      <c r="LK2" s="214">
        <f t="shared" si="2"/>
        <v>161</v>
      </c>
      <c r="LL2" s="214">
        <f t="shared" si="2"/>
        <v>162</v>
      </c>
      <c r="LM2" s="214">
        <f t="shared" si="2"/>
        <v>163</v>
      </c>
      <c r="LN2" s="214">
        <f t="shared" si="2"/>
        <v>164</v>
      </c>
      <c r="LO2" s="214">
        <f t="shared" si="2"/>
        <v>165</v>
      </c>
      <c r="LP2" s="214">
        <f t="shared" si="2"/>
        <v>166</v>
      </c>
      <c r="LQ2" s="214">
        <f t="shared" si="2"/>
        <v>167</v>
      </c>
      <c r="LR2" s="214">
        <f t="shared" si="2"/>
        <v>168</v>
      </c>
      <c r="LS2" s="214">
        <f t="shared" si="2"/>
        <v>169</v>
      </c>
      <c r="LT2" s="214">
        <f t="shared" si="2"/>
        <v>170</v>
      </c>
      <c r="LU2" s="214">
        <f t="shared" si="2"/>
        <v>171</v>
      </c>
      <c r="LV2" s="214">
        <f t="shared" si="2"/>
        <v>172</v>
      </c>
      <c r="LW2" s="214">
        <f t="shared" si="2"/>
        <v>173</v>
      </c>
      <c r="LX2" s="214">
        <f t="shared" si="2"/>
        <v>174</v>
      </c>
      <c r="LY2" s="214">
        <f t="shared" si="2"/>
        <v>175</v>
      </c>
      <c r="LZ2" s="214">
        <f t="shared" si="2"/>
        <v>176</v>
      </c>
      <c r="MA2" s="214">
        <f t="shared" si="2"/>
        <v>177</v>
      </c>
      <c r="MB2" s="214">
        <f t="shared" si="2"/>
        <v>178</v>
      </c>
      <c r="MC2" s="214">
        <f t="shared" si="2"/>
        <v>179</v>
      </c>
      <c r="MD2" s="214">
        <f t="shared" si="2"/>
        <v>180</v>
      </c>
      <c r="ME2" s="214">
        <f t="shared" si="2"/>
        <v>181</v>
      </c>
      <c r="MF2" s="214">
        <f t="shared" si="2"/>
        <v>182</v>
      </c>
      <c r="MG2" s="214">
        <f t="shared" si="2"/>
        <v>183</v>
      </c>
      <c r="MH2" s="214">
        <f t="shared" si="2"/>
        <v>184</v>
      </c>
      <c r="MI2" s="214">
        <f t="shared" si="2"/>
        <v>185</v>
      </c>
      <c r="MJ2" s="214">
        <f t="shared" si="2"/>
        <v>186</v>
      </c>
      <c r="MK2" s="214">
        <f t="shared" si="2"/>
        <v>187</v>
      </c>
      <c r="ML2" s="214">
        <f t="shared" si="2"/>
        <v>188</v>
      </c>
      <c r="MM2" s="214">
        <f t="shared" si="2"/>
        <v>189</v>
      </c>
      <c r="MN2" s="214">
        <f t="shared" si="2"/>
        <v>190</v>
      </c>
      <c r="MO2" s="214">
        <f t="shared" si="2"/>
        <v>191</v>
      </c>
      <c r="MP2" s="214">
        <f t="shared" si="2"/>
        <v>192</v>
      </c>
      <c r="MQ2" s="214">
        <f t="shared" si="2"/>
        <v>193</v>
      </c>
      <c r="MR2" s="214">
        <f t="shared" si="2"/>
        <v>194</v>
      </c>
      <c r="MS2" s="214">
        <f t="shared" ref="MS2:PD2" si="3">MR2+1</f>
        <v>195</v>
      </c>
      <c r="MT2" s="214">
        <f t="shared" si="3"/>
        <v>196</v>
      </c>
      <c r="MU2" s="214">
        <f t="shared" si="3"/>
        <v>197</v>
      </c>
      <c r="MV2" s="214">
        <f t="shared" si="3"/>
        <v>198</v>
      </c>
      <c r="MW2" s="214">
        <f t="shared" si="3"/>
        <v>199</v>
      </c>
      <c r="MX2" s="214">
        <f t="shared" si="3"/>
        <v>200</v>
      </c>
      <c r="MY2" s="214">
        <f t="shared" si="3"/>
        <v>201</v>
      </c>
      <c r="MZ2" s="214">
        <f t="shared" si="3"/>
        <v>202</v>
      </c>
      <c r="NA2" s="214">
        <f t="shared" si="3"/>
        <v>203</v>
      </c>
      <c r="NB2" s="214">
        <f t="shared" si="3"/>
        <v>204</v>
      </c>
      <c r="NC2" s="214">
        <f t="shared" si="3"/>
        <v>205</v>
      </c>
      <c r="ND2" s="214">
        <f t="shared" si="3"/>
        <v>206</v>
      </c>
      <c r="NE2" s="214">
        <f t="shared" si="3"/>
        <v>207</v>
      </c>
      <c r="NF2" s="214">
        <f t="shared" si="3"/>
        <v>208</v>
      </c>
      <c r="NG2" s="214">
        <f t="shared" si="3"/>
        <v>209</v>
      </c>
      <c r="NH2" s="214">
        <f t="shared" si="3"/>
        <v>210</v>
      </c>
      <c r="NI2" s="214">
        <f t="shared" si="3"/>
        <v>211</v>
      </c>
      <c r="NJ2" s="214">
        <f t="shared" si="3"/>
        <v>212</v>
      </c>
      <c r="NK2" s="214">
        <f t="shared" si="3"/>
        <v>213</v>
      </c>
      <c r="NL2" s="214">
        <f t="shared" si="3"/>
        <v>214</v>
      </c>
      <c r="NM2" s="214">
        <f t="shared" si="3"/>
        <v>215</v>
      </c>
      <c r="NN2" s="214">
        <f t="shared" si="3"/>
        <v>216</v>
      </c>
      <c r="NO2" s="214">
        <f t="shared" si="3"/>
        <v>217</v>
      </c>
      <c r="NP2" s="214">
        <f t="shared" si="3"/>
        <v>218</v>
      </c>
      <c r="NQ2" s="214">
        <f t="shared" si="3"/>
        <v>219</v>
      </c>
      <c r="NR2" s="214">
        <f t="shared" si="3"/>
        <v>220</v>
      </c>
      <c r="NS2" s="214">
        <f t="shared" si="3"/>
        <v>221</v>
      </c>
      <c r="NT2" s="214">
        <f t="shared" si="3"/>
        <v>222</v>
      </c>
      <c r="NU2" s="214">
        <f t="shared" si="3"/>
        <v>223</v>
      </c>
      <c r="NV2" s="214">
        <f t="shared" si="3"/>
        <v>224</v>
      </c>
      <c r="NW2" s="214">
        <f t="shared" si="3"/>
        <v>225</v>
      </c>
      <c r="NX2" s="214">
        <f t="shared" si="3"/>
        <v>226</v>
      </c>
      <c r="NY2" s="214">
        <f t="shared" si="3"/>
        <v>227</v>
      </c>
      <c r="NZ2" s="214">
        <f t="shared" si="3"/>
        <v>228</v>
      </c>
      <c r="OA2" s="214">
        <f t="shared" si="3"/>
        <v>229</v>
      </c>
      <c r="OB2" s="214">
        <f t="shared" si="3"/>
        <v>230</v>
      </c>
      <c r="OC2" s="214">
        <f t="shared" si="3"/>
        <v>231</v>
      </c>
      <c r="OD2" s="214">
        <f t="shared" si="3"/>
        <v>232</v>
      </c>
      <c r="OE2" s="214">
        <f t="shared" si="3"/>
        <v>233</v>
      </c>
      <c r="OF2" s="214">
        <f t="shared" si="3"/>
        <v>234</v>
      </c>
      <c r="OG2" s="214">
        <f t="shared" si="3"/>
        <v>235</v>
      </c>
      <c r="OH2" s="214">
        <f t="shared" si="3"/>
        <v>236</v>
      </c>
      <c r="OI2" s="214">
        <f t="shared" si="3"/>
        <v>237</v>
      </c>
      <c r="OJ2" s="214">
        <f t="shared" si="3"/>
        <v>238</v>
      </c>
      <c r="OK2" s="214">
        <f t="shared" si="3"/>
        <v>239</v>
      </c>
      <c r="OL2" s="214">
        <f t="shared" si="3"/>
        <v>240</v>
      </c>
      <c r="OM2" s="214">
        <f t="shared" si="3"/>
        <v>241</v>
      </c>
      <c r="ON2" s="214">
        <f t="shared" si="3"/>
        <v>242</v>
      </c>
      <c r="OO2" s="214">
        <f t="shared" si="3"/>
        <v>243</v>
      </c>
      <c r="OP2" s="214">
        <f t="shared" si="3"/>
        <v>244</v>
      </c>
      <c r="OQ2" s="214">
        <f t="shared" si="3"/>
        <v>245</v>
      </c>
      <c r="OR2" s="214">
        <f t="shared" si="3"/>
        <v>246</v>
      </c>
      <c r="OS2" s="214">
        <f t="shared" si="3"/>
        <v>247</v>
      </c>
      <c r="OT2" s="214">
        <f t="shared" si="3"/>
        <v>248</v>
      </c>
      <c r="OU2" s="214">
        <f t="shared" si="3"/>
        <v>249</v>
      </c>
      <c r="OV2" s="214">
        <f t="shared" si="3"/>
        <v>250</v>
      </c>
      <c r="OW2" s="214">
        <f t="shared" si="3"/>
        <v>251</v>
      </c>
      <c r="OX2" s="214">
        <f t="shared" si="3"/>
        <v>252</v>
      </c>
      <c r="OY2" s="214">
        <f t="shared" si="3"/>
        <v>253</v>
      </c>
      <c r="OZ2" s="214">
        <f t="shared" si="3"/>
        <v>254</v>
      </c>
      <c r="PA2" s="214">
        <f t="shared" si="3"/>
        <v>255</v>
      </c>
      <c r="PB2" s="214">
        <f t="shared" si="3"/>
        <v>256</v>
      </c>
      <c r="PC2" s="214">
        <f t="shared" si="3"/>
        <v>257</v>
      </c>
      <c r="PD2" s="214">
        <f t="shared" si="3"/>
        <v>258</v>
      </c>
      <c r="PE2" s="214">
        <f t="shared" ref="PE2:RP2" si="4">PD2+1</f>
        <v>259</v>
      </c>
      <c r="PF2" s="214">
        <f t="shared" si="4"/>
        <v>260</v>
      </c>
      <c r="PG2" s="214">
        <f t="shared" si="4"/>
        <v>261</v>
      </c>
      <c r="PH2" s="214">
        <f t="shared" si="4"/>
        <v>262</v>
      </c>
      <c r="PI2" s="214">
        <f t="shared" si="4"/>
        <v>263</v>
      </c>
      <c r="PJ2" s="214">
        <f t="shared" si="4"/>
        <v>264</v>
      </c>
      <c r="PK2" s="214">
        <f t="shared" si="4"/>
        <v>265</v>
      </c>
      <c r="PL2" s="214">
        <f t="shared" si="4"/>
        <v>266</v>
      </c>
      <c r="PM2" s="214">
        <f t="shared" si="4"/>
        <v>267</v>
      </c>
      <c r="PN2" s="214">
        <f t="shared" si="4"/>
        <v>268</v>
      </c>
      <c r="PO2" s="214">
        <f t="shared" si="4"/>
        <v>269</v>
      </c>
      <c r="PP2" s="214">
        <f t="shared" si="4"/>
        <v>270</v>
      </c>
      <c r="PQ2" s="214">
        <f t="shared" si="4"/>
        <v>271</v>
      </c>
      <c r="PR2" s="214">
        <f t="shared" si="4"/>
        <v>272</v>
      </c>
      <c r="PS2" s="214">
        <f t="shared" si="4"/>
        <v>273</v>
      </c>
      <c r="PT2" s="214">
        <f t="shared" si="4"/>
        <v>274</v>
      </c>
      <c r="PU2" s="214">
        <f t="shared" si="4"/>
        <v>275</v>
      </c>
      <c r="PV2" s="214">
        <f t="shared" si="4"/>
        <v>276</v>
      </c>
      <c r="PW2" s="214">
        <f t="shared" si="4"/>
        <v>277</v>
      </c>
      <c r="PX2" s="214">
        <f t="shared" si="4"/>
        <v>278</v>
      </c>
      <c r="PY2" s="214">
        <f t="shared" si="4"/>
        <v>279</v>
      </c>
      <c r="PZ2" s="214">
        <f t="shared" si="4"/>
        <v>280</v>
      </c>
      <c r="QA2" s="214">
        <f t="shared" si="4"/>
        <v>281</v>
      </c>
      <c r="QB2" s="214">
        <f t="shared" si="4"/>
        <v>282</v>
      </c>
      <c r="QC2" s="214">
        <f t="shared" si="4"/>
        <v>283</v>
      </c>
      <c r="QD2" s="214">
        <f t="shared" si="4"/>
        <v>284</v>
      </c>
      <c r="QE2" s="214">
        <f t="shared" si="4"/>
        <v>285</v>
      </c>
      <c r="QF2" s="214">
        <f t="shared" si="4"/>
        <v>286</v>
      </c>
      <c r="QG2" s="214">
        <f t="shared" si="4"/>
        <v>287</v>
      </c>
      <c r="QH2" s="214">
        <f t="shared" si="4"/>
        <v>288</v>
      </c>
      <c r="QI2" s="214">
        <f t="shared" si="4"/>
        <v>289</v>
      </c>
      <c r="QJ2" s="214">
        <f t="shared" si="4"/>
        <v>290</v>
      </c>
      <c r="QK2" s="214">
        <f t="shared" si="4"/>
        <v>291</v>
      </c>
      <c r="QL2" s="214">
        <f t="shared" si="4"/>
        <v>292</v>
      </c>
      <c r="QM2" s="214">
        <f t="shared" si="4"/>
        <v>293</v>
      </c>
      <c r="QN2" s="214">
        <f t="shared" si="4"/>
        <v>294</v>
      </c>
      <c r="QO2" s="214">
        <f t="shared" si="4"/>
        <v>295</v>
      </c>
      <c r="QP2" s="214">
        <f t="shared" si="4"/>
        <v>296</v>
      </c>
      <c r="QQ2" s="214">
        <f t="shared" si="4"/>
        <v>297</v>
      </c>
      <c r="QR2" s="214">
        <f t="shared" si="4"/>
        <v>298</v>
      </c>
      <c r="QS2" s="214">
        <f t="shared" si="4"/>
        <v>299</v>
      </c>
      <c r="QT2" s="214">
        <f t="shared" si="4"/>
        <v>300</v>
      </c>
      <c r="QU2" s="214">
        <f t="shared" si="4"/>
        <v>301</v>
      </c>
      <c r="QV2" s="214">
        <f t="shared" si="4"/>
        <v>302</v>
      </c>
      <c r="QW2" s="214">
        <f t="shared" si="4"/>
        <v>303</v>
      </c>
      <c r="QX2" s="214">
        <f t="shared" si="4"/>
        <v>304</v>
      </c>
      <c r="QY2" s="214">
        <f t="shared" si="4"/>
        <v>305</v>
      </c>
      <c r="QZ2" s="214">
        <f t="shared" si="4"/>
        <v>306</v>
      </c>
      <c r="RA2" s="214">
        <f t="shared" si="4"/>
        <v>307</v>
      </c>
      <c r="RB2" s="214">
        <f t="shared" si="4"/>
        <v>308</v>
      </c>
      <c r="RC2" s="214">
        <f t="shared" si="4"/>
        <v>309</v>
      </c>
      <c r="RD2" s="214">
        <f t="shared" si="4"/>
        <v>310</v>
      </c>
      <c r="RE2" s="214">
        <f t="shared" si="4"/>
        <v>311</v>
      </c>
      <c r="RF2" s="214">
        <f t="shared" si="4"/>
        <v>312</v>
      </c>
      <c r="RG2" s="214">
        <f t="shared" si="4"/>
        <v>313</v>
      </c>
      <c r="RH2" s="214">
        <f t="shared" si="4"/>
        <v>314</v>
      </c>
      <c r="RI2" s="214">
        <f t="shared" si="4"/>
        <v>315</v>
      </c>
      <c r="RJ2" s="214">
        <f t="shared" si="4"/>
        <v>316</v>
      </c>
      <c r="RK2" s="214">
        <f t="shared" si="4"/>
        <v>317</v>
      </c>
      <c r="RL2" s="214">
        <f t="shared" si="4"/>
        <v>318</v>
      </c>
      <c r="RM2" s="214">
        <f t="shared" si="4"/>
        <v>319</v>
      </c>
      <c r="RN2" s="214">
        <f t="shared" si="4"/>
        <v>320</v>
      </c>
      <c r="RO2" s="214">
        <f t="shared" si="4"/>
        <v>321</v>
      </c>
      <c r="RP2" s="214">
        <f t="shared" si="4"/>
        <v>322</v>
      </c>
      <c r="RQ2" s="214">
        <f t="shared" ref="RQ2:TB2" si="5">RP2+1</f>
        <v>323</v>
      </c>
      <c r="RR2" s="214">
        <f t="shared" si="5"/>
        <v>324</v>
      </c>
      <c r="RS2" s="214">
        <f t="shared" si="5"/>
        <v>325</v>
      </c>
      <c r="RT2" s="214">
        <f t="shared" si="5"/>
        <v>326</v>
      </c>
      <c r="RU2" s="214">
        <f t="shared" si="5"/>
        <v>327</v>
      </c>
      <c r="RV2" s="214">
        <f t="shared" si="5"/>
        <v>328</v>
      </c>
      <c r="RW2" s="214">
        <f t="shared" si="5"/>
        <v>329</v>
      </c>
      <c r="RX2" s="214">
        <f t="shared" si="5"/>
        <v>330</v>
      </c>
      <c r="RY2" s="214">
        <f t="shared" si="5"/>
        <v>331</v>
      </c>
      <c r="RZ2" s="214">
        <f t="shared" si="5"/>
        <v>332</v>
      </c>
      <c r="SA2" s="214">
        <f t="shared" si="5"/>
        <v>333</v>
      </c>
      <c r="SB2" s="214">
        <f t="shared" si="5"/>
        <v>334</v>
      </c>
      <c r="SC2" s="214">
        <f t="shared" si="5"/>
        <v>335</v>
      </c>
      <c r="SD2" s="214">
        <f t="shared" si="5"/>
        <v>336</v>
      </c>
      <c r="SE2" s="214">
        <f t="shared" si="5"/>
        <v>337</v>
      </c>
      <c r="SF2" s="214">
        <f t="shared" si="5"/>
        <v>338</v>
      </c>
      <c r="SG2" s="214">
        <f t="shared" si="5"/>
        <v>339</v>
      </c>
      <c r="SH2" s="214">
        <f t="shared" si="5"/>
        <v>340</v>
      </c>
      <c r="SI2" s="214">
        <f t="shared" si="5"/>
        <v>341</v>
      </c>
      <c r="SJ2" s="214">
        <f t="shared" si="5"/>
        <v>342</v>
      </c>
      <c r="SK2" s="214">
        <f t="shared" si="5"/>
        <v>343</v>
      </c>
      <c r="SL2" s="214">
        <f t="shared" si="5"/>
        <v>344</v>
      </c>
      <c r="SM2" s="214">
        <f t="shared" si="5"/>
        <v>345</v>
      </c>
      <c r="SN2" s="214">
        <f t="shared" si="5"/>
        <v>346</v>
      </c>
      <c r="SO2" s="214">
        <f t="shared" si="5"/>
        <v>347</v>
      </c>
      <c r="SP2" s="214">
        <f t="shared" si="5"/>
        <v>348</v>
      </c>
      <c r="SQ2" s="214">
        <f t="shared" si="5"/>
        <v>349</v>
      </c>
      <c r="SR2" s="214">
        <f t="shared" si="5"/>
        <v>350</v>
      </c>
      <c r="SS2" s="214">
        <f t="shared" si="5"/>
        <v>351</v>
      </c>
      <c r="ST2" s="214">
        <f t="shared" si="5"/>
        <v>352</v>
      </c>
      <c r="SU2" s="214">
        <f t="shared" si="5"/>
        <v>353</v>
      </c>
      <c r="SV2" s="214">
        <f t="shared" si="5"/>
        <v>354</v>
      </c>
      <c r="SW2" s="214">
        <f t="shared" si="5"/>
        <v>355</v>
      </c>
      <c r="SX2" s="214">
        <f t="shared" si="5"/>
        <v>356</v>
      </c>
      <c r="SY2" s="214">
        <f t="shared" si="5"/>
        <v>357</v>
      </c>
      <c r="SZ2" s="214">
        <f t="shared" si="5"/>
        <v>358</v>
      </c>
      <c r="TA2" s="214">
        <f t="shared" si="5"/>
        <v>359</v>
      </c>
      <c r="TB2" s="214">
        <f t="shared" si="5"/>
        <v>360</v>
      </c>
      <c r="TE2" s="214">
        <v>0</v>
      </c>
      <c r="TF2" s="214">
        <v>1</v>
      </c>
      <c r="TG2" s="214">
        <f>TF2+1</f>
        <v>2</v>
      </c>
      <c r="TH2" s="214">
        <f t="shared" ref="TH2:VS2" si="6">TG2+1</f>
        <v>3</v>
      </c>
      <c r="TI2" s="214">
        <f t="shared" si="6"/>
        <v>4</v>
      </c>
      <c r="TJ2" s="214">
        <f t="shared" si="6"/>
        <v>5</v>
      </c>
      <c r="TK2" s="214">
        <f t="shared" si="6"/>
        <v>6</v>
      </c>
      <c r="TL2" s="214">
        <f t="shared" si="6"/>
        <v>7</v>
      </c>
      <c r="TM2" s="214">
        <f t="shared" si="6"/>
        <v>8</v>
      </c>
      <c r="TN2" s="214">
        <f t="shared" si="6"/>
        <v>9</v>
      </c>
      <c r="TO2" s="214">
        <f t="shared" si="6"/>
        <v>10</v>
      </c>
      <c r="TP2" s="214">
        <f t="shared" si="6"/>
        <v>11</v>
      </c>
      <c r="TQ2" s="214">
        <f t="shared" si="6"/>
        <v>12</v>
      </c>
      <c r="TR2" s="214">
        <f t="shared" si="6"/>
        <v>13</v>
      </c>
      <c r="TS2" s="214">
        <f t="shared" si="6"/>
        <v>14</v>
      </c>
      <c r="TT2" s="214">
        <f t="shared" si="6"/>
        <v>15</v>
      </c>
      <c r="TU2" s="214">
        <f t="shared" si="6"/>
        <v>16</v>
      </c>
      <c r="TV2" s="214">
        <f t="shared" si="6"/>
        <v>17</v>
      </c>
      <c r="TW2" s="214">
        <f t="shared" si="6"/>
        <v>18</v>
      </c>
      <c r="TX2" s="214">
        <f t="shared" si="6"/>
        <v>19</v>
      </c>
      <c r="TY2" s="214">
        <f t="shared" si="6"/>
        <v>20</v>
      </c>
      <c r="TZ2" s="214">
        <f t="shared" si="6"/>
        <v>21</v>
      </c>
      <c r="UA2" s="214">
        <f t="shared" si="6"/>
        <v>22</v>
      </c>
      <c r="UB2" s="214">
        <f t="shared" si="6"/>
        <v>23</v>
      </c>
      <c r="UC2" s="214">
        <f t="shared" si="6"/>
        <v>24</v>
      </c>
      <c r="UD2" s="214">
        <f t="shared" si="6"/>
        <v>25</v>
      </c>
      <c r="UE2" s="214">
        <f t="shared" si="6"/>
        <v>26</v>
      </c>
      <c r="UF2" s="214">
        <f t="shared" si="6"/>
        <v>27</v>
      </c>
      <c r="UG2" s="214">
        <f t="shared" si="6"/>
        <v>28</v>
      </c>
      <c r="UH2" s="214">
        <f t="shared" si="6"/>
        <v>29</v>
      </c>
      <c r="UI2" s="214">
        <f t="shared" si="6"/>
        <v>30</v>
      </c>
      <c r="UJ2" s="214">
        <f t="shared" si="6"/>
        <v>31</v>
      </c>
      <c r="UK2" s="214">
        <f t="shared" si="6"/>
        <v>32</v>
      </c>
      <c r="UL2" s="214">
        <f t="shared" si="6"/>
        <v>33</v>
      </c>
      <c r="UM2" s="214">
        <f t="shared" si="6"/>
        <v>34</v>
      </c>
      <c r="UN2" s="214">
        <f t="shared" si="6"/>
        <v>35</v>
      </c>
      <c r="UO2" s="214">
        <f t="shared" si="6"/>
        <v>36</v>
      </c>
      <c r="UP2" s="214">
        <f t="shared" si="6"/>
        <v>37</v>
      </c>
      <c r="UQ2" s="214">
        <f t="shared" si="6"/>
        <v>38</v>
      </c>
      <c r="UR2" s="214">
        <f t="shared" si="6"/>
        <v>39</v>
      </c>
      <c r="US2" s="214">
        <f t="shared" si="6"/>
        <v>40</v>
      </c>
      <c r="UT2" s="214">
        <f t="shared" si="6"/>
        <v>41</v>
      </c>
      <c r="UU2" s="214">
        <f t="shared" si="6"/>
        <v>42</v>
      </c>
      <c r="UV2" s="214">
        <f t="shared" si="6"/>
        <v>43</v>
      </c>
      <c r="UW2" s="214">
        <f t="shared" si="6"/>
        <v>44</v>
      </c>
      <c r="UX2" s="214">
        <f t="shared" si="6"/>
        <v>45</v>
      </c>
      <c r="UY2" s="214">
        <f t="shared" si="6"/>
        <v>46</v>
      </c>
      <c r="UZ2" s="214">
        <f t="shared" si="6"/>
        <v>47</v>
      </c>
      <c r="VA2" s="214">
        <f t="shared" si="6"/>
        <v>48</v>
      </c>
      <c r="VB2" s="214">
        <f t="shared" si="6"/>
        <v>49</v>
      </c>
      <c r="VC2" s="214">
        <f t="shared" si="6"/>
        <v>50</v>
      </c>
      <c r="VD2" s="214">
        <f t="shared" si="6"/>
        <v>51</v>
      </c>
      <c r="VE2" s="214">
        <f t="shared" si="6"/>
        <v>52</v>
      </c>
      <c r="VF2" s="214">
        <f t="shared" si="6"/>
        <v>53</v>
      </c>
      <c r="VG2" s="214">
        <f t="shared" si="6"/>
        <v>54</v>
      </c>
      <c r="VH2" s="214">
        <f t="shared" si="6"/>
        <v>55</v>
      </c>
      <c r="VI2" s="214">
        <f t="shared" si="6"/>
        <v>56</v>
      </c>
      <c r="VJ2" s="214">
        <f t="shared" si="6"/>
        <v>57</v>
      </c>
      <c r="VK2" s="214">
        <f t="shared" si="6"/>
        <v>58</v>
      </c>
      <c r="VL2" s="214">
        <f t="shared" si="6"/>
        <v>59</v>
      </c>
      <c r="VM2" s="214">
        <f t="shared" si="6"/>
        <v>60</v>
      </c>
      <c r="VN2" s="214">
        <f t="shared" si="6"/>
        <v>61</v>
      </c>
      <c r="VO2" s="214">
        <f t="shared" si="6"/>
        <v>62</v>
      </c>
      <c r="VP2" s="214">
        <f t="shared" si="6"/>
        <v>63</v>
      </c>
      <c r="VQ2" s="214">
        <f t="shared" si="6"/>
        <v>64</v>
      </c>
      <c r="VR2" s="214">
        <f t="shared" si="6"/>
        <v>65</v>
      </c>
      <c r="VS2" s="214">
        <f t="shared" si="6"/>
        <v>66</v>
      </c>
      <c r="VT2" s="214">
        <f t="shared" ref="VT2:YE2" si="7">VS2+1</f>
        <v>67</v>
      </c>
      <c r="VU2" s="214">
        <f t="shared" si="7"/>
        <v>68</v>
      </c>
      <c r="VV2" s="214">
        <f t="shared" si="7"/>
        <v>69</v>
      </c>
      <c r="VW2" s="214">
        <f t="shared" si="7"/>
        <v>70</v>
      </c>
      <c r="VX2" s="214">
        <f t="shared" si="7"/>
        <v>71</v>
      </c>
      <c r="VY2" s="214">
        <f t="shared" si="7"/>
        <v>72</v>
      </c>
      <c r="VZ2" s="214">
        <f t="shared" si="7"/>
        <v>73</v>
      </c>
      <c r="WA2" s="214">
        <f t="shared" si="7"/>
        <v>74</v>
      </c>
      <c r="WB2" s="214">
        <f t="shared" si="7"/>
        <v>75</v>
      </c>
      <c r="WC2" s="214">
        <f t="shared" si="7"/>
        <v>76</v>
      </c>
      <c r="WD2" s="214">
        <f t="shared" si="7"/>
        <v>77</v>
      </c>
      <c r="WE2" s="214">
        <f t="shared" si="7"/>
        <v>78</v>
      </c>
      <c r="WF2" s="214">
        <f t="shared" si="7"/>
        <v>79</v>
      </c>
      <c r="WG2" s="214">
        <f t="shared" si="7"/>
        <v>80</v>
      </c>
      <c r="WH2" s="214">
        <f t="shared" si="7"/>
        <v>81</v>
      </c>
      <c r="WI2" s="214">
        <f t="shared" si="7"/>
        <v>82</v>
      </c>
      <c r="WJ2" s="214">
        <f t="shared" si="7"/>
        <v>83</v>
      </c>
      <c r="WK2" s="214">
        <f t="shared" si="7"/>
        <v>84</v>
      </c>
      <c r="WL2" s="214">
        <f t="shared" si="7"/>
        <v>85</v>
      </c>
      <c r="WM2" s="214">
        <f t="shared" si="7"/>
        <v>86</v>
      </c>
      <c r="WN2" s="214">
        <f t="shared" si="7"/>
        <v>87</v>
      </c>
      <c r="WO2" s="214">
        <f t="shared" si="7"/>
        <v>88</v>
      </c>
      <c r="WP2" s="214">
        <f t="shared" si="7"/>
        <v>89</v>
      </c>
      <c r="WQ2" s="214">
        <f t="shared" si="7"/>
        <v>90</v>
      </c>
      <c r="WR2" s="214">
        <f t="shared" si="7"/>
        <v>91</v>
      </c>
      <c r="WS2" s="214">
        <f t="shared" si="7"/>
        <v>92</v>
      </c>
      <c r="WT2" s="214">
        <f t="shared" si="7"/>
        <v>93</v>
      </c>
      <c r="WU2" s="214">
        <f t="shared" si="7"/>
        <v>94</v>
      </c>
      <c r="WV2" s="214">
        <f t="shared" si="7"/>
        <v>95</v>
      </c>
      <c r="WW2" s="214">
        <f t="shared" si="7"/>
        <v>96</v>
      </c>
      <c r="WX2" s="214">
        <f t="shared" si="7"/>
        <v>97</v>
      </c>
      <c r="WY2" s="214">
        <f t="shared" si="7"/>
        <v>98</v>
      </c>
      <c r="WZ2" s="214">
        <f t="shared" si="7"/>
        <v>99</v>
      </c>
      <c r="XA2" s="214">
        <f t="shared" si="7"/>
        <v>100</v>
      </c>
      <c r="XB2" s="214">
        <f t="shared" si="7"/>
        <v>101</v>
      </c>
      <c r="XC2" s="214">
        <f t="shared" si="7"/>
        <v>102</v>
      </c>
      <c r="XD2" s="214">
        <f t="shared" si="7"/>
        <v>103</v>
      </c>
      <c r="XE2" s="214">
        <f t="shared" si="7"/>
        <v>104</v>
      </c>
      <c r="XF2" s="214">
        <f t="shared" si="7"/>
        <v>105</v>
      </c>
      <c r="XG2" s="214">
        <f t="shared" si="7"/>
        <v>106</v>
      </c>
      <c r="XH2" s="214">
        <f t="shared" si="7"/>
        <v>107</v>
      </c>
      <c r="XI2" s="214">
        <f t="shared" si="7"/>
        <v>108</v>
      </c>
      <c r="XJ2" s="214">
        <f t="shared" si="7"/>
        <v>109</v>
      </c>
      <c r="XK2" s="214">
        <f t="shared" si="7"/>
        <v>110</v>
      </c>
      <c r="XL2" s="214">
        <f t="shared" si="7"/>
        <v>111</v>
      </c>
      <c r="XM2" s="214">
        <f t="shared" si="7"/>
        <v>112</v>
      </c>
      <c r="XN2" s="214">
        <f t="shared" si="7"/>
        <v>113</v>
      </c>
      <c r="XO2" s="214">
        <f t="shared" si="7"/>
        <v>114</v>
      </c>
      <c r="XP2" s="214">
        <f t="shared" si="7"/>
        <v>115</v>
      </c>
      <c r="XQ2" s="214">
        <f t="shared" si="7"/>
        <v>116</v>
      </c>
      <c r="XR2" s="214">
        <f t="shared" si="7"/>
        <v>117</v>
      </c>
      <c r="XS2" s="214">
        <f t="shared" si="7"/>
        <v>118</v>
      </c>
      <c r="XT2" s="214">
        <f t="shared" si="7"/>
        <v>119</v>
      </c>
      <c r="XU2" s="214">
        <f t="shared" si="7"/>
        <v>120</v>
      </c>
      <c r="XV2" s="214">
        <f t="shared" si="7"/>
        <v>121</v>
      </c>
      <c r="XW2" s="214">
        <f t="shared" si="7"/>
        <v>122</v>
      </c>
      <c r="XX2" s="214">
        <f t="shared" si="7"/>
        <v>123</v>
      </c>
      <c r="XY2" s="214">
        <f t="shared" si="7"/>
        <v>124</v>
      </c>
      <c r="XZ2" s="214">
        <f t="shared" si="7"/>
        <v>125</v>
      </c>
      <c r="YA2" s="214">
        <f t="shared" si="7"/>
        <v>126</v>
      </c>
      <c r="YB2" s="214">
        <f t="shared" si="7"/>
        <v>127</v>
      </c>
      <c r="YC2" s="214">
        <f t="shared" si="7"/>
        <v>128</v>
      </c>
      <c r="YD2" s="214">
        <f t="shared" si="7"/>
        <v>129</v>
      </c>
      <c r="YE2" s="214">
        <f t="shared" si="7"/>
        <v>130</v>
      </c>
      <c r="YF2" s="214">
        <f t="shared" ref="YF2:AAQ2" si="8">YE2+1</f>
        <v>131</v>
      </c>
      <c r="YG2" s="214">
        <f t="shared" si="8"/>
        <v>132</v>
      </c>
      <c r="YH2" s="214">
        <f t="shared" si="8"/>
        <v>133</v>
      </c>
      <c r="YI2" s="214">
        <f t="shared" si="8"/>
        <v>134</v>
      </c>
      <c r="YJ2" s="214">
        <f t="shared" si="8"/>
        <v>135</v>
      </c>
      <c r="YK2" s="214">
        <f t="shared" si="8"/>
        <v>136</v>
      </c>
      <c r="YL2" s="214">
        <f t="shared" si="8"/>
        <v>137</v>
      </c>
      <c r="YM2" s="214">
        <f t="shared" si="8"/>
        <v>138</v>
      </c>
      <c r="YN2" s="214">
        <f t="shared" si="8"/>
        <v>139</v>
      </c>
      <c r="YO2" s="214">
        <f t="shared" si="8"/>
        <v>140</v>
      </c>
      <c r="YP2" s="214">
        <f t="shared" si="8"/>
        <v>141</v>
      </c>
      <c r="YQ2" s="214">
        <f t="shared" si="8"/>
        <v>142</v>
      </c>
      <c r="YR2" s="214">
        <f t="shared" si="8"/>
        <v>143</v>
      </c>
      <c r="YS2" s="214">
        <f t="shared" si="8"/>
        <v>144</v>
      </c>
      <c r="YT2" s="214">
        <f t="shared" si="8"/>
        <v>145</v>
      </c>
      <c r="YU2" s="214">
        <f t="shared" si="8"/>
        <v>146</v>
      </c>
      <c r="YV2" s="214">
        <f t="shared" si="8"/>
        <v>147</v>
      </c>
      <c r="YW2" s="214">
        <f t="shared" si="8"/>
        <v>148</v>
      </c>
      <c r="YX2" s="214">
        <f t="shared" si="8"/>
        <v>149</v>
      </c>
      <c r="YY2" s="214">
        <f t="shared" si="8"/>
        <v>150</v>
      </c>
      <c r="YZ2" s="214">
        <f t="shared" si="8"/>
        <v>151</v>
      </c>
      <c r="ZA2" s="214">
        <f t="shared" si="8"/>
        <v>152</v>
      </c>
      <c r="ZB2" s="214">
        <f t="shared" si="8"/>
        <v>153</v>
      </c>
      <c r="ZC2" s="214">
        <f t="shared" si="8"/>
        <v>154</v>
      </c>
      <c r="ZD2" s="214">
        <f t="shared" si="8"/>
        <v>155</v>
      </c>
      <c r="ZE2" s="214">
        <f t="shared" si="8"/>
        <v>156</v>
      </c>
      <c r="ZF2" s="214">
        <f t="shared" si="8"/>
        <v>157</v>
      </c>
      <c r="ZG2" s="214">
        <f t="shared" si="8"/>
        <v>158</v>
      </c>
      <c r="ZH2" s="214">
        <f t="shared" si="8"/>
        <v>159</v>
      </c>
      <c r="ZI2" s="214">
        <f t="shared" si="8"/>
        <v>160</v>
      </c>
      <c r="ZJ2" s="214">
        <f t="shared" si="8"/>
        <v>161</v>
      </c>
      <c r="ZK2" s="214">
        <f t="shared" si="8"/>
        <v>162</v>
      </c>
      <c r="ZL2" s="214">
        <f t="shared" si="8"/>
        <v>163</v>
      </c>
      <c r="ZM2" s="214">
        <f t="shared" si="8"/>
        <v>164</v>
      </c>
      <c r="ZN2" s="214">
        <f t="shared" si="8"/>
        <v>165</v>
      </c>
      <c r="ZO2" s="214">
        <f t="shared" si="8"/>
        <v>166</v>
      </c>
      <c r="ZP2" s="214">
        <f t="shared" si="8"/>
        <v>167</v>
      </c>
      <c r="ZQ2" s="214">
        <f t="shared" si="8"/>
        <v>168</v>
      </c>
      <c r="ZR2" s="214">
        <f t="shared" si="8"/>
        <v>169</v>
      </c>
      <c r="ZS2" s="214">
        <f t="shared" si="8"/>
        <v>170</v>
      </c>
      <c r="ZT2" s="214">
        <f t="shared" si="8"/>
        <v>171</v>
      </c>
      <c r="ZU2" s="214">
        <f t="shared" si="8"/>
        <v>172</v>
      </c>
      <c r="ZV2" s="214">
        <f t="shared" si="8"/>
        <v>173</v>
      </c>
      <c r="ZW2" s="214">
        <f t="shared" si="8"/>
        <v>174</v>
      </c>
      <c r="ZX2" s="214">
        <f t="shared" si="8"/>
        <v>175</v>
      </c>
      <c r="ZY2" s="214">
        <f t="shared" si="8"/>
        <v>176</v>
      </c>
      <c r="ZZ2" s="214">
        <f t="shared" si="8"/>
        <v>177</v>
      </c>
      <c r="AAA2" s="214">
        <f t="shared" si="8"/>
        <v>178</v>
      </c>
      <c r="AAB2" s="214">
        <f t="shared" si="8"/>
        <v>179</v>
      </c>
      <c r="AAC2" s="214">
        <f t="shared" si="8"/>
        <v>180</v>
      </c>
      <c r="AAD2" s="214">
        <f t="shared" si="8"/>
        <v>181</v>
      </c>
      <c r="AAE2" s="214">
        <f t="shared" si="8"/>
        <v>182</v>
      </c>
      <c r="AAF2" s="214">
        <f t="shared" si="8"/>
        <v>183</v>
      </c>
      <c r="AAG2" s="214">
        <f t="shared" si="8"/>
        <v>184</v>
      </c>
      <c r="AAH2" s="214">
        <f t="shared" si="8"/>
        <v>185</v>
      </c>
      <c r="AAI2" s="214">
        <f t="shared" si="8"/>
        <v>186</v>
      </c>
      <c r="AAJ2" s="214">
        <f t="shared" si="8"/>
        <v>187</v>
      </c>
      <c r="AAK2" s="214">
        <f t="shared" si="8"/>
        <v>188</v>
      </c>
      <c r="AAL2" s="214">
        <f t="shared" si="8"/>
        <v>189</v>
      </c>
      <c r="AAM2" s="214">
        <f t="shared" si="8"/>
        <v>190</v>
      </c>
      <c r="AAN2" s="214">
        <f t="shared" si="8"/>
        <v>191</v>
      </c>
      <c r="AAO2" s="214">
        <f t="shared" si="8"/>
        <v>192</v>
      </c>
      <c r="AAP2" s="214">
        <f t="shared" si="8"/>
        <v>193</v>
      </c>
      <c r="AAQ2" s="214">
        <f t="shared" si="8"/>
        <v>194</v>
      </c>
      <c r="AAR2" s="214">
        <f t="shared" ref="AAR2:ADC2" si="9">AAQ2+1</f>
        <v>195</v>
      </c>
      <c r="AAS2" s="214">
        <f t="shared" si="9"/>
        <v>196</v>
      </c>
      <c r="AAT2" s="214">
        <f t="shared" si="9"/>
        <v>197</v>
      </c>
      <c r="AAU2" s="214">
        <f t="shared" si="9"/>
        <v>198</v>
      </c>
      <c r="AAV2" s="214">
        <f t="shared" si="9"/>
        <v>199</v>
      </c>
      <c r="AAW2" s="214">
        <f t="shared" si="9"/>
        <v>200</v>
      </c>
      <c r="AAX2" s="214">
        <f t="shared" si="9"/>
        <v>201</v>
      </c>
      <c r="AAY2" s="214">
        <f t="shared" si="9"/>
        <v>202</v>
      </c>
      <c r="AAZ2" s="214">
        <f t="shared" si="9"/>
        <v>203</v>
      </c>
      <c r="ABA2" s="214">
        <f t="shared" si="9"/>
        <v>204</v>
      </c>
      <c r="ABB2" s="214">
        <f t="shared" si="9"/>
        <v>205</v>
      </c>
      <c r="ABC2" s="214">
        <f t="shared" si="9"/>
        <v>206</v>
      </c>
      <c r="ABD2" s="214">
        <f t="shared" si="9"/>
        <v>207</v>
      </c>
      <c r="ABE2" s="214">
        <f t="shared" si="9"/>
        <v>208</v>
      </c>
      <c r="ABF2" s="214">
        <f t="shared" si="9"/>
        <v>209</v>
      </c>
      <c r="ABG2" s="214">
        <f t="shared" si="9"/>
        <v>210</v>
      </c>
      <c r="ABH2" s="214">
        <f t="shared" si="9"/>
        <v>211</v>
      </c>
      <c r="ABI2" s="214">
        <f t="shared" si="9"/>
        <v>212</v>
      </c>
      <c r="ABJ2" s="214">
        <f t="shared" si="9"/>
        <v>213</v>
      </c>
      <c r="ABK2" s="214">
        <f t="shared" si="9"/>
        <v>214</v>
      </c>
      <c r="ABL2" s="214">
        <f t="shared" si="9"/>
        <v>215</v>
      </c>
      <c r="ABM2" s="214">
        <f t="shared" si="9"/>
        <v>216</v>
      </c>
      <c r="ABN2" s="214">
        <f t="shared" si="9"/>
        <v>217</v>
      </c>
      <c r="ABO2" s="214">
        <f t="shared" si="9"/>
        <v>218</v>
      </c>
      <c r="ABP2" s="214">
        <f t="shared" si="9"/>
        <v>219</v>
      </c>
      <c r="ABQ2" s="214">
        <f t="shared" si="9"/>
        <v>220</v>
      </c>
      <c r="ABR2" s="214">
        <f t="shared" si="9"/>
        <v>221</v>
      </c>
      <c r="ABS2" s="214">
        <f t="shared" si="9"/>
        <v>222</v>
      </c>
      <c r="ABT2" s="214">
        <f t="shared" si="9"/>
        <v>223</v>
      </c>
      <c r="ABU2" s="214">
        <f t="shared" si="9"/>
        <v>224</v>
      </c>
      <c r="ABV2" s="214">
        <f t="shared" si="9"/>
        <v>225</v>
      </c>
      <c r="ABW2" s="214">
        <f t="shared" si="9"/>
        <v>226</v>
      </c>
      <c r="ABX2" s="214">
        <f t="shared" si="9"/>
        <v>227</v>
      </c>
      <c r="ABY2" s="214">
        <f t="shared" si="9"/>
        <v>228</v>
      </c>
      <c r="ABZ2" s="214">
        <f t="shared" si="9"/>
        <v>229</v>
      </c>
      <c r="ACA2" s="214">
        <f t="shared" si="9"/>
        <v>230</v>
      </c>
      <c r="ACB2" s="214">
        <f t="shared" si="9"/>
        <v>231</v>
      </c>
      <c r="ACC2" s="214">
        <f t="shared" si="9"/>
        <v>232</v>
      </c>
      <c r="ACD2" s="214">
        <f t="shared" si="9"/>
        <v>233</v>
      </c>
      <c r="ACE2" s="214">
        <f t="shared" si="9"/>
        <v>234</v>
      </c>
      <c r="ACF2" s="214">
        <f t="shared" si="9"/>
        <v>235</v>
      </c>
      <c r="ACG2" s="214">
        <f t="shared" si="9"/>
        <v>236</v>
      </c>
      <c r="ACH2" s="214">
        <f t="shared" si="9"/>
        <v>237</v>
      </c>
      <c r="ACI2" s="214">
        <f t="shared" si="9"/>
        <v>238</v>
      </c>
      <c r="ACJ2" s="214">
        <f t="shared" si="9"/>
        <v>239</v>
      </c>
      <c r="ACK2" s="214">
        <f t="shared" si="9"/>
        <v>240</v>
      </c>
      <c r="ACL2" s="214">
        <f t="shared" si="9"/>
        <v>241</v>
      </c>
      <c r="ACM2" s="214">
        <f t="shared" si="9"/>
        <v>242</v>
      </c>
      <c r="ACN2" s="214">
        <f t="shared" si="9"/>
        <v>243</v>
      </c>
      <c r="ACO2" s="214">
        <f t="shared" si="9"/>
        <v>244</v>
      </c>
      <c r="ACP2" s="214">
        <f t="shared" si="9"/>
        <v>245</v>
      </c>
      <c r="ACQ2" s="214">
        <f t="shared" si="9"/>
        <v>246</v>
      </c>
      <c r="ACR2" s="214">
        <f t="shared" si="9"/>
        <v>247</v>
      </c>
      <c r="ACS2" s="214">
        <f t="shared" si="9"/>
        <v>248</v>
      </c>
      <c r="ACT2" s="214">
        <f t="shared" si="9"/>
        <v>249</v>
      </c>
      <c r="ACU2" s="214">
        <f t="shared" si="9"/>
        <v>250</v>
      </c>
      <c r="ACV2" s="214">
        <f t="shared" si="9"/>
        <v>251</v>
      </c>
      <c r="ACW2" s="214">
        <f t="shared" si="9"/>
        <v>252</v>
      </c>
      <c r="ACX2" s="214">
        <f t="shared" si="9"/>
        <v>253</v>
      </c>
      <c r="ACY2" s="214">
        <f t="shared" si="9"/>
        <v>254</v>
      </c>
      <c r="ACZ2" s="214">
        <f t="shared" si="9"/>
        <v>255</v>
      </c>
      <c r="ADA2" s="214">
        <f t="shared" si="9"/>
        <v>256</v>
      </c>
      <c r="ADB2" s="214">
        <f t="shared" si="9"/>
        <v>257</v>
      </c>
      <c r="ADC2" s="214">
        <f t="shared" si="9"/>
        <v>258</v>
      </c>
      <c r="ADD2" s="214">
        <f t="shared" ref="ADD2:AFO2" si="10">ADC2+1</f>
        <v>259</v>
      </c>
      <c r="ADE2" s="214">
        <f t="shared" si="10"/>
        <v>260</v>
      </c>
      <c r="ADF2" s="214">
        <f t="shared" si="10"/>
        <v>261</v>
      </c>
      <c r="ADG2" s="214">
        <f t="shared" si="10"/>
        <v>262</v>
      </c>
      <c r="ADH2" s="214">
        <f t="shared" si="10"/>
        <v>263</v>
      </c>
      <c r="ADI2" s="214">
        <f t="shared" si="10"/>
        <v>264</v>
      </c>
      <c r="ADJ2" s="214">
        <f t="shared" si="10"/>
        <v>265</v>
      </c>
      <c r="ADK2" s="214">
        <f t="shared" si="10"/>
        <v>266</v>
      </c>
      <c r="ADL2" s="214">
        <f t="shared" si="10"/>
        <v>267</v>
      </c>
      <c r="ADM2" s="214">
        <f t="shared" si="10"/>
        <v>268</v>
      </c>
      <c r="ADN2" s="214">
        <f t="shared" si="10"/>
        <v>269</v>
      </c>
      <c r="ADO2" s="214">
        <f t="shared" si="10"/>
        <v>270</v>
      </c>
      <c r="ADP2" s="214">
        <f t="shared" si="10"/>
        <v>271</v>
      </c>
      <c r="ADQ2" s="214">
        <f t="shared" si="10"/>
        <v>272</v>
      </c>
      <c r="ADR2" s="214">
        <f t="shared" si="10"/>
        <v>273</v>
      </c>
      <c r="ADS2" s="214">
        <f t="shared" si="10"/>
        <v>274</v>
      </c>
      <c r="ADT2" s="214">
        <f t="shared" si="10"/>
        <v>275</v>
      </c>
      <c r="ADU2" s="214">
        <f t="shared" si="10"/>
        <v>276</v>
      </c>
      <c r="ADV2" s="214">
        <f t="shared" si="10"/>
        <v>277</v>
      </c>
      <c r="ADW2" s="214">
        <f t="shared" si="10"/>
        <v>278</v>
      </c>
      <c r="ADX2" s="214">
        <f t="shared" si="10"/>
        <v>279</v>
      </c>
      <c r="ADY2" s="214">
        <f t="shared" si="10"/>
        <v>280</v>
      </c>
      <c r="ADZ2" s="214">
        <f t="shared" si="10"/>
        <v>281</v>
      </c>
      <c r="AEA2" s="214">
        <f t="shared" si="10"/>
        <v>282</v>
      </c>
      <c r="AEB2" s="214">
        <f t="shared" si="10"/>
        <v>283</v>
      </c>
      <c r="AEC2" s="214">
        <f t="shared" si="10"/>
        <v>284</v>
      </c>
      <c r="AED2" s="214">
        <f t="shared" si="10"/>
        <v>285</v>
      </c>
      <c r="AEE2" s="214">
        <f t="shared" si="10"/>
        <v>286</v>
      </c>
      <c r="AEF2" s="214">
        <f t="shared" si="10"/>
        <v>287</v>
      </c>
      <c r="AEG2" s="214">
        <f t="shared" si="10"/>
        <v>288</v>
      </c>
      <c r="AEH2" s="214">
        <f t="shared" si="10"/>
        <v>289</v>
      </c>
      <c r="AEI2" s="214">
        <f t="shared" si="10"/>
        <v>290</v>
      </c>
      <c r="AEJ2" s="214">
        <f t="shared" si="10"/>
        <v>291</v>
      </c>
      <c r="AEK2" s="214">
        <f t="shared" si="10"/>
        <v>292</v>
      </c>
      <c r="AEL2" s="214">
        <f t="shared" si="10"/>
        <v>293</v>
      </c>
      <c r="AEM2" s="214">
        <f t="shared" si="10"/>
        <v>294</v>
      </c>
      <c r="AEN2" s="214">
        <f t="shared" si="10"/>
        <v>295</v>
      </c>
      <c r="AEO2" s="214">
        <f t="shared" si="10"/>
        <v>296</v>
      </c>
      <c r="AEP2" s="214">
        <f t="shared" si="10"/>
        <v>297</v>
      </c>
      <c r="AEQ2" s="214">
        <f t="shared" si="10"/>
        <v>298</v>
      </c>
      <c r="AER2" s="214">
        <f t="shared" si="10"/>
        <v>299</v>
      </c>
      <c r="AES2" s="214">
        <f t="shared" si="10"/>
        <v>300</v>
      </c>
      <c r="AET2" s="214">
        <f t="shared" si="10"/>
        <v>301</v>
      </c>
      <c r="AEU2" s="214">
        <f t="shared" si="10"/>
        <v>302</v>
      </c>
      <c r="AEV2" s="214">
        <f t="shared" si="10"/>
        <v>303</v>
      </c>
      <c r="AEW2" s="214">
        <f t="shared" si="10"/>
        <v>304</v>
      </c>
      <c r="AEX2" s="214">
        <f t="shared" si="10"/>
        <v>305</v>
      </c>
      <c r="AEY2" s="214">
        <f t="shared" si="10"/>
        <v>306</v>
      </c>
      <c r="AEZ2" s="214">
        <f t="shared" si="10"/>
        <v>307</v>
      </c>
      <c r="AFA2" s="214">
        <f t="shared" si="10"/>
        <v>308</v>
      </c>
      <c r="AFB2" s="214">
        <f t="shared" si="10"/>
        <v>309</v>
      </c>
      <c r="AFC2" s="214">
        <f t="shared" si="10"/>
        <v>310</v>
      </c>
      <c r="AFD2" s="214">
        <f t="shared" si="10"/>
        <v>311</v>
      </c>
      <c r="AFE2" s="214">
        <f t="shared" si="10"/>
        <v>312</v>
      </c>
      <c r="AFF2" s="214">
        <f t="shared" si="10"/>
        <v>313</v>
      </c>
      <c r="AFG2" s="214">
        <f t="shared" si="10"/>
        <v>314</v>
      </c>
      <c r="AFH2" s="214">
        <f t="shared" si="10"/>
        <v>315</v>
      </c>
      <c r="AFI2" s="214">
        <f t="shared" si="10"/>
        <v>316</v>
      </c>
      <c r="AFJ2" s="214">
        <f t="shared" si="10"/>
        <v>317</v>
      </c>
      <c r="AFK2" s="214">
        <f t="shared" si="10"/>
        <v>318</v>
      </c>
      <c r="AFL2" s="214">
        <f t="shared" si="10"/>
        <v>319</v>
      </c>
      <c r="AFM2" s="214">
        <f t="shared" si="10"/>
        <v>320</v>
      </c>
      <c r="AFN2" s="214">
        <f t="shared" si="10"/>
        <v>321</v>
      </c>
      <c r="AFO2" s="214">
        <f t="shared" si="10"/>
        <v>322</v>
      </c>
      <c r="AFP2" s="214">
        <f t="shared" ref="AFP2:AHA2" si="11">AFO2+1</f>
        <v>323</v>
      </c>
      <c r="AFQ2" s="214">
        <f t="shared" si="11"/>
        <v>324</v>
      </c>
      <c r="AFR2" s="214">
        <f t="shared" si="11"/>
        <v>325</v>
      </c>
      <c r="AFS2" s="214">
        <f t="shared" si="11"/>
        <v>326</v>
      </c>
      <c r="AFT2" s="214">
        <f t="shared" si="11"/>
        <v>327</v>
      </c>
      <c r="AFU2" s="214">
        <f t="shared" si="11"/>
        <v>328</v>
      </c>
      <c r="AFV2" s="214">
        <f t="shared" si="11"/>
        <v>329</v>
      </c>
      <c r="AFW2" s="214">
        <f t="shared" si="11"/>
        <v>330</v>
      </c>
      <c r="AFX2" s="214">
        <f t="shared" si="11"/>
        <v>331</v>
      </c>
      <c r="AFY2" s="214">
        <f t="shared" si="11"/>
        <v>332</v>
      </c>
      <c r="AFZ2" s="214">
        <f t="shared" si="11"/>
        <v>333</v>
      </c>
      <c r="AGA2" s="214">
        <f t="shared" si="11"/>
        <v>334</v>
      </c>
      <c r="AGB2" s="214">
        <f t="shared" si="11"/>
        <v>335</v>
      </c>
      <c r="AGC2" s="214">
        <f t="shared" si="11"/>
        <v>336</v>
      </c>
      <c r="AGD2" s="214">
        <f t="shared" si="11"/>
        <v>337</v>
      </c>
      <c r="AGE2" s="214">
        <f t="shared" si="11"/>
        <v>338</v>
      </c>
      <c r="AGF2" s="214">
        <f t="shared" si="11"/>
        <v>339</v>
      </c>
      <c r="AGG2" s="214">
        <f t="shared" si="11"/>
        <v>340</v>
      </c>
      <c r="AGH2" s="214">
        <f t="shared" si="11"/>
        <v>341</v>
      </c>
      <c r="AGI2" s="214">
        <f t="shared" si="11"/>
        <v>342</v>
      </c>
      <c r="AGJ2" s="214">
        <f t="shared" si="11"/>
        <v>343</v>
      </c>
      <c r="AGK2" s="214">
        <f t="shared" si="11"/>
        <v>344</v>
      </c>
      <c r="AGL2" s="214">
        <f t="shared" si="11"/>
        <v>345</v>
      </c>
      <c r="AGM2" s="214">
        <f t="shared" si="11"/>
        <v>346</v>
      </c>
      <c r="AGN2" s="214">
        <f t="shared" si="11"/>
        <v>347</v>
      </c>
      <c r="AGO2" s="214">
        <f t="shared" si="11"/>
        <v>348</v>
      </c>
      <c r="AGP2" s="214">
        <f t="shared" si="11"/>
        <v>349</v>
      </c>
      <c r="AGQ2" s="214">
        <f t="shared" si="11"/>
        <v>350</v>
      </c>
      <c r="AGR2" s="214">
        <f t="shared" si="11"/>
        <v>351</v>
      </c>
      <c r="AGS2" s="214">
        <f t="shared" si="11"/>
        <v>352</v>
      </c>
      <c r="AGT2" s="214">
        <f t="shared" si="11"/>
        <v>353</v>
      </c>
      <c r="AGU2" s="214">
        <f t="shared" si="11"/>
        <v>354</v>
      </c>
      <c r="AGV2" s="214">
        <f t="shared" si="11"/>
        <v>355</v>
      </c>
      <c r="AGW2" s="214">
        <f t="shared" si="11"/>
        <v>356</v>
      </c>
      <c r="AGX2" s="214">
        <f t="shared" si="11"/>
        <v>357</v>
      </c>
      <c r="AGY2" s="214">
        <f t="shared" si="11"/>
        <v>358</v>
      </c>
      <c r="AGZ2" s="214">
        <f t="shared" si="11"/>
        <v>359</v>
      </c>
      <c r="AHA2" s="214">
        <f t="shared" si="11"/>
        <v>360</v>
      </c>
    </row>
    <row r="3" spans="1:886" ht="15.75" thickBot="1" x14ac:dyDescent="0.3">
      <c r="G3" s="178"/>
      <c r="AR3" s="219"/>
      <c r="AS3" s="220"/>
      <c r="BV3" s="621" t="s">
        <v>2984</v>
      </c>
      <c r="BW3" s="621"/>
      <c r="BX3" s="621"/>
      <c r="BY3" s="621"/>
      <c r="BZ3" s="621"/>
      <c r="CA3" s="621"/>
      <c r="CB3" s="621"/>
      <c r="CC3" s="621"/>
      <c r="CD3" s="621"/>
      <c r="CE3" s="621"/>
      <c r="CF3" s="621"/>
      <c r="CG3" s="621"/>
      <c r="CH3" s="621"/>
      <c r="CI3" s="621"/>
      <c r="CJ3" s="621"/>
      <c r="CK3" s="621"/>
      <c r="CL3" s="621"/>
      <c r="CM3" s="621"/>
      <c r="CN3" s="621"/>
      <c r="CO3" s="621"/>
      <c r="CP3" s="219"/>
      <c r="CQ3" s="220"/>
      <c r="CR3" s="622" t="s">
        <v>2985</v>
      </c>
      <c r="CS3" s="622"/>
      <c r="CT3" s="622"/>
      <c r="CU3" s="622"/>
      <c r="CV3" s="622"/>
      <c r="CW3" s="622"/>
      <c r="CX3" s="622"/>
      <c r="CY3" s="622"/>
      <c r="CZ3" s="622"/>
      <c r="DA3" s="622"/>
      <c r="DB3" s="622"/>
      <c r="DC3" s="622"/>
      <c r="DD3" s="622"/>
      <c r="DE3" s="622"/>
      <c r="DF3" s="622"/>
      <c r="DG3" s="622"/>
      <c r="DH3" s="622"/>
      <c r="DI3" s="622"/>
      <c r="DJ3" s="622"/>
      <c r="DK3" s="622"/>
      <c r="DL3" s="219"/>
      <c r="DM3" s="220"/>
      <c r="DN3" s="623" t="s">
        <v>2986</v>
      </c>
      <c r="DO3" s="623"/>
      <c r="DP3" s="623"/>
      <c r="DQ3" s="623"/>
      <c r="DR3" s="623"/>
      <c r="DS3" s="623"/>
      <c r="DT3" s="623"/>
      <c r="DU3" s="623"/>
      <c r="DV3" s="623"/>
      <c r="DW3" s="623"/>
      <c r="DX3" s="623"/>
      <c r="DY3" s="623"/>
      <c r="DZ3" s="623"/>
      <c r="EA3" s="623"/>
      <c r="EB3" s="623"/>
      <c r="EC3" s="623"/>
      <c r="ED3" s="623"/>
      <c r="EE3" s="623"/>
      <c r="EF3" s="623"/>
      <c r="EG3" s="623"/>
      <c r="EH3" s="219"/>
      <c r="EI3" s="220"/>
      <c r="EJ3" s="624" t="s">
        <v>2987</v>
      </c>
      <c r="EK3" s="624"/>
      <c r="EL3" s="624"/>
      <c r="EM3" s="624"/>
      <c r="EN3" s="624"/>
      <c r="EO3" s="624"/>
      <c r="EP3" s="624"/>
      <c r="EQ3" s="624"/>
      <c r="ER3" s="624"/>
      <c r="ES3" s="624"/>
      <c r="ET3" s="624"/>
      <c r="EU3" s="624"/>
      <c r="EV3" s="624"/>
      <c r="EW3" s="624"/>
      <c r="EX3" s="624"/>
      <c r="EY3" s="624"/>
      <c r="EZ3" s="624"/>
      <c r="FA3" s="624"/>
      <c r="FB3" s="624"/>
      <c r="FC3" s="624"/>
    </row>
    <row r="4" spans="1:886" s="221" customFormat="1" ht="105.75" thickBot="1" x14ac:dyDescent="0.3">
      <c r="A4" s="221" t="s">
        <v>2988</v>
      </c>
      <c r="B4" s="221" t="s">
        <v>2989</v>
      </c>
      <c r="C4" s="221" t="s">
        <v>372</v>
      </c>
      <c r="D4" s="222" t="s">
        <v>2531</v>
      </c>
      <c r="E4" s="223" t="s">
        <v>2990</v>
      </c>
      <c r="F4" s="221" t="s">
        <v>314</v>
      </c>
      <c r="G4" s="224" t="s">
        <v>2991</v>
      </c>
      <c r="H4" s="222" t="s">
        <v>2992</v>
      </c>
      <c r="I4" s="221" t="s">
        <v>2993</v>
      </c>
      <c r="J4" s="221" t="s">
        <v>2994</v>
      </c>
      <c r="K4" s="225" t="s">
        <v>2995</v>
      </c>
      <c r="L4" s="223" t="s">
        <v>2996</v>
      </c>
      <c r="M4" s="221" t="s">
        <v>2997</v>
      </c>
      <c r="N4" s="221" t="s">
        <v>2998</v>
      </c>
      <c r="O4" s="221" t="s">
        <v>2999</v>
      </c>
      <c r="P4" s="223" t="s">
        <v>3000</v>
      </c>
      <c r="Q4" s="221" t="s">
        <v>3001</v>
      </c>
      <c r="R4" s="221" t="s">
        <v>3002</v>
      </c>
      <c r="S4" s="221" t="s">
        <v>3003</v>
      </c>
      <c r="T4" s="226" t="s">
        <v>3004</v>
      </c>
      <c r="U4" s="226" t="s">
        <v>3005</v>
      </c>
      <c r="V4" s="227" t="s">
        <v>3006</v>
      </c>
      <c r="W4" s="228" t="s">
        <v>3007</v>
      </c>
      <c r="X4" s="221" t="s">
        <v>3008</v>
      </c>
      <c r="Y4" s="221" t="s">
        <v>3009</v>
      </c>
      <c r="Z4" s="221" t="s">
        <v>3010</v>
      </c>
      <c r="AA4" s="225" t="s">
        <v>3011</v>
      </c>
      <c r="AB4" s="225" t="s">
        <v>3012</v>
      </c>
      <c r="AC4" s="223" t="s">
        <v>1925</v>
      </c>
      <c r="AD4" s="223" t="s">
        <v>3013</v>
      </c>
      <c r="AE4" s="229" t="s">
        <v>3014</v>
      </c>
      <c r="AF4" s="229" t="s">
        <v>3015</v>
      </c>
      <c r="AG4" s="226" t="s">
        <v>3016</v>
      </c>
      <c r="AH4" s="226" t="s">
        <v>3017</v>
      </c>
      <c r="AI4" s="226" t="s">
        <v>3018</v>
      </c>
      <c r="AJ4" s="226" t="s">
        <v>3019</v>
      </c>
      <c r="AK4" s="223" t="s">
        <v>3020</v>
      </c>
      <c r="AL4" s="223" t="s">
        <v>3021</v>
      </c>
      <c r="AM4" s="223" t="s">
        <v>3022</v>
      </c>
      <c r="AN4" s="223" t="s">
        <v>3023</v>
      </c>
      <c r="AO4" s="223" t="s">
        <v>3024</v>
      </c>
      <c r="AP4" s="223" t="s">
        <v>3025</v>
      </c>
      <c r="AQ4" s="230" t="s">
        <v>3026</v>
      </c>
      <c r="AR4" s="231"/>
      <c r="AS4" s="232"/>
      <c r="AT4" s="223" t="s">
        <v>3027</v>
      </c>
      <c r="AU4" s="233" t="s">
        <v>3028</v>
      </c>
      <c r="AV4" s="233" t="s">
        <v>3029</v>
      </c>
      <c r="AW4" s="233" t="s">
        <v>3030</v>
      </c>
      <c r="AX4" s="233" t="s">
        <v>3031</v>
      </c>
      <c r="AY4" s="233" t="s">
        <v>3032</v>
      </c>
      <c r="AZ4" s="233" t="s">
        <v>3033</v>
      </c>
      <c r="BA4" s="233" t="s">
        <v>3034</v>
      </c>
      <c r="BB4" s="233" t="s">
        <v>3035</v>
      </c>
      <c r="BC4" s="233" t="s">
        <v>3036</v>
      </c>
      <c r="BD4" s="233" t="s">
        <v>3037</v>
      </c>
      <c r="BE4" s="233" t="s">
        <v>3038</v>
      </c>
      <c r="BF4" s="233" t="s">
        <v>3039</v>
      </c>
      <c r="BG4" s="223" t="s">
        <v>3040</v>
      </c>
      <c r="BH4" s="223" t="s">
        <v>3041</v>
      </c>
      <c r="BI4" s="223" t="s">
        <v>3042</v>
      </c>
      <c r="BJ4" s="223" t="s">
        <v>3043</v>
      </c>
      <c r="BK4" s="223" t="s">
        <v>3044</v>
      </c>
      <c r="BL4" s="223" t="s">
        <v>3045</v>
      </c>
      <c r="BM4" s="223" t="s">
        <v>3046</v>
      </c>
      <c r="BN4" s="223" t="s">
        <v>3047</v>
      </c>
      <c r="BO4" s="223" t="s">
        <v>3048</v>
      </c>
      <c r="BP4" s="234" t="s">
        <v>3049</v>
      </c>
      <c r="BQ4" s="235" t="s">
        <v>3050</v>
      </c>
      <c r="BR4" s="223" t="s">
        <v>3051</v>
      </c>
      <c r="BS4" s="223" t="s">
        <v>382</v>
      </c>
      <c r="BT4" s="223" t="s">
        <v>3052</v>
      </c>
      <c r="BU4" s="223" t="s">
        <v>3053</v>
      </c>
      <c r="BV4" s="221" t="s">
        <v>372</v>
      </c>
      <c r="BW4" s="221" t="s">
        <v>3011</v>
      </c>
      <c r="BX4" s="221" t="s">
        <v>314</v>
      </c>
      <c r="BY4" s="236" t="s">
        <v>3054</v>
      </c>
      <c r="BZ4" s="236" t="s">
        <v>2999</v>
      </c>
      <c r="CA4" s="237" t="s">
        <v>3055</v>
      </c>
      <c r="CB4" s="238" t="s">
        <v>3007</v>
      </c>
      <c r="CC4" s="221" t="s">
        <v>3056</v>
      </c>
      <c r="CD4" s="221" t="s">
        <v>3009</v>
      </c>
      <c r="CE4" s="239" t="s">
        <v>3027</v>
      </c>
      <c r="CF4" s="240" t="s">
        <v>3028</v>
      </c>
      <c r="CG4" s="239" t="s">
        <v>3040</v>
      </c>
      <c r="CH4" s="239" t="s">
        <v>3044</v>
      </c>
      <c r="CI4" s="239" t="s">
        <v>3046</v>
      </c>
      <c r="CJ4" s="239" t="s">
        <v>3047</v>
      </c>
      <c r="CK4" s="239" t="s">
        <v>3057</v>
      </c>
      <c r="CL4" s="239" t="s">
        <v>3051</v>
      </c>
      <c r="CM4" s="239" t="s">
        <v>3058</v>
      </c>
      <c r="CN4" s="239" t="s">
        <v>3052</v>
      </c>
      <c r="CO4" s="221" t="s">
        <v>3059</v>
      </c>
      <c r="CP4" s="231"/>
      <c r="CQ4" s="232"/>
      <c r="CR4" s="225" t="s">
        <v>372</v>
      </c>
      <c r="CS4" s="221" t="s">
        <v>3011</v>
      </c>
      <c r="CT4" s="221" t="s">
        <v>314</v>
      </c>
      <c r="CU4" s="236" t="s">
        <v>3054</v>
      </c>
      <c r="CV4" s="236" t="s">
        <v>2999</v>
      </c>
      <c r="CW4" s="237" t="s">
        <v>3055</v>
      </c>
      <c r="CX4" s="238" t="s">
        <v>3007</v>
      </c>
      <c r="CY4" s="221" t="s">
        <v>3056</v>
      </c>
      <c r="CZ4" s="221" t="s">
        <v>3009</v>
      </c>
      <c r="DA4" s="239" t="s">
        <v>3027</v>
      </c>
      <c r="DB4" s="240" t="s">
        <v>3028</v>
      </c>
      <c r="DC4" s="239" t="s">
        <v>3040</v>
      </c>
      <c r="DD4" s="239" t="s">
        <v>3044</v>
      </c>
      <c r="DE4" s="239" t="s">
        <v>3046</v>
      </c>
      <c r="DF4" s="239" t="s">
        <v>3047</v>
      </c>
      <c r="DG4" s="239" t="s">
        <v>3057</v>
      </c>
      <c r="DH4" s="239" t="s">
        <v>3051</v>
      </c>
      <c r="DI4" s="239" t="s">
        <v>3058</v>
      </c>
      <c r="DJ4" s="239" t="s">
        <v>3052</v>
      </c>
      <c r="DK4" s="221" t="s">
        <v>3059</v>
      </c>
      <c r="DL4" s="231"/>
      <c r="DM4" s="232"/>
      <c r="DN4" s="225" t="s">
        <v>372</v>
      </c>
      <c r="DO4" s="221" t="s">
        <v>3011</v>
      </c>
      <c r="DP4" s="221" t="s">
        <v>314</v>
      </c>
      <c r="DQ4" s="236" t="s">
        <v>3054</v>
      </c>
      <c r="DR4" s="236" t="s">
        <v>2999</v>
      </c>
      <c r="DS4" s="237" t="s">
        <v>3055</v>
      </c>
      <c r="DT4" s="238" t="s">
        <v>3007</v>
      </c>
      <c r="DU4" s="221" t="s">
        <v>3056</v>
      </c>
      <c r="DV4" s="221" t="s">
        <v>3009</v>
      </c>
      <c r="DW4" s="239" t="s">
        <v>3027</v>
      </c>
      <c r="DX4" s="240" t="s">
        <v>3028</v>
      </c>
      <c r="DY4" s="239" t="s">
        <v>3040</v>
      </c>
      <c r="DZ4" s="239" t="s">
        <v>3044</v>
      </c>
      <c r="EA4" s="239" t="s">
        <v>3046</v>
      </c>
      <c r="EB4" s="239" t="s">
        <v>3047</v>
      </c>
      <c r="EC4" s="239" t="s">
        <v>3057</v>
      </c>
      <c r="ED4" s="239" t="s">
        <v>3051</v>
      </c>
      <c r="EE4" s="239" t="s">
        <v>3058</v>
      </c>
      <c r="EF4" s="239" t="s">
        <v>3052</v>
      </c>
      <c r="EG4" s="221" t="s">
        <v>3059</v>
      </c>
      <c r="EH4" s="231"/>
      <c r="EI4" s="232"/>
      <c r="EJ4" s="225" t="s">
        <v>372</v>
      </c>
      <c r="EK4" s="221" t="s">
        <v>3011</v>
      </c>
      <c r="EL4" s="221" t="s">
        <v>314</v>
      </c>
      <c r="EM4" s="236" t="s">
        <v>3054</v>
      </c>
      <c r="EN4" s="236" t="s">
        <v>2999</v>
      </c>
      <c r="EO4" s="237" t="s">
        <v>3055</v>
      </c>
      <c r="EP4" s="238" t="s">
        <v>3007</v>
      </c>
      <c r="EQ4" s="221" t="s">
        <v>3056</v>
      </c>
      <c r="ER4" s="221" t="s">
        <v>3009</v>
      </c>
      <c r="ES4" s="239" t="s">
        <v>3027</v>
      </c>
      <c r="ET4" s="240" t="s">
        <v>3028</v>
      </c>
      <c r="EU4" s="239" t="s">
        <v>3040</v>
      </c>
      <c r="EV4" s="239" t="s">
        <v>3044</v>
      </c>
      <c r="EW4" s="239" t="s">
        <v>3046</v>
      </c>
      <c r="EX4" s="239" t="s">
        <v>3047</v>
      </c>
      <c r="EY4" s="239" t="s">
        <v>3057</v>
      </c>
      <c r="EZ4" s="239" t="s">
        <v>3051</v>
      </c>
      <c r="FA4" s="239" t="s">
        <v>3058</v>
      </c>
      <c r="FB4" s="239" t="s">
        <v>3052</v>
      </c>
      <c r="FC4" s="221" t="s">
        <v>3059</v>
      </c>
      <c r="FF4" s="241" t="s">
        <v>3060</v>
      </c>
      <c r="FG4" s="241" t="str">
        <f>"Prin "&amp;FG2</f>
        <v>Prin 1</v>
      </c>
      <c r="FH4" s="241" t="str">
        <f t="shared" ref="FH4:HS4" si="12">"Prin "&amp;FH2</f>
        <v>Prin 2</v>
      </c>
      <c r="FI4" s="241" t="str">
        <f t="shared" si="12"/>
        <v>Prin 3</v>
      </c>
      <c r="FJ4" s="241" t="str">
        <f t="shared" si="12"/>
        <v>Prin 4</v>
      </c>
      <c r="FK4" s="241" t="str">
        <f t="shared" si="12"/>
        <v>Prin 5</v>
      </c>
      <c r="FL4" s="241" t="str">
        <f t="shared" si="12"/>
        <v>Prin 6</v>
      </c>
      <c r="FM4" s="241" t="str">
        <f t="shared" si="12"/>
        <v>Prin 7</v>
      </c>
      <c r="FN4" s="241" t="str">
        <f t="shared" si="12"/>
        <v>Prin 8</v>
      </c>
      <c r="FO4" s="241" t="str">
        <f t="shared" si="12"/>
        <v>Prin 9</v>
      </c>
      <c r="FP4" s="241" t="str">
        <f t="shared" si="12"/>
        <v>Prin 10</v>
      </c>
      <c r="FQ4" s="241" t="str">
        <f t="shared" si="12"/>
        <v>Prin 11</v>
      </c>
      <c r="FR4" s="241" t="str">
        <f t="shared" si="12"/>
        <v>Prin 12</v>
      </c>
      <c r="FS4" s="241" t="str">
        <f t="shared" si="12"/>
        <v>Prin 13</v>
      </c>
      <c r="FT4" s="241" t="str">
        <f t="shared" si="12"/>
        <v>Prin 14</v>
      </c>
      <c r="FU4" s="241" t="str">
        <f t="shared" si="12"/>
        <v>Prin 15</v>
      </c>
      <c r="FV4" s="241" t="str">
        <f t="shared" si="12"/>
        <v>Prin 16</v>
      </c>
      <c r="FW4" s="241" t="str">
        <f t="shared" si="12"/>
        <v>Prin 17</v>
      </c>
      <c r="FX4" s="241" t="str">
        <f t="shared" si="12"/>
        <v>Prin 18</v>
      </c>
      <c r="FY4" s="241" t="str">
        <f t="shared" si="12"/>
        <v>Prin 19</v>
      </c>
      <c r="FZ4" s="241" t="str">
        <f t="shared" si="12"/>
        <v>Prin 20</v>
      </c>
      <c r="GA4" s="241" t="str">
        <f t="shared" si="12"/>
        <v>Prin 21</v>
      </c>
      <c r="GB4" s="241" t="str">
        <f t="shared" si="12"/>
        <v>Prin 22</v>
      </c>
      <c r="GC4" s="241" t="str">
        <f t="shared" si="12"/>
        <v>Prin 23</v>
      </c>
      <c r="GD4" s="241" t="str">
        <f t="shared" si="12"/>
        <v>Prin 24</v>
      </c>
      <c r="GE4" s="241" t="str">
        <f t="shared" si="12"/>
        <v>Prin 25</v>
      </c>
      <c r="GF4" s="241" t="str">
        <f t="shared" si="12"/>
        <v>Prin 26</v>
      </c>
      <c r="GG4" s="241" t="str">
        <f t="shared" si="12"/>
        <v>Prin 27</v>
      </c>
      <c r="GH4" s="241" t="str">
        <f t="shared" si="12"/>
        <v>Prin 28</v>
      </c>
      <c r="GI4" s="241" t="str">
        <f t="shared" si="12"/>
        <v>Prin 29</v>
      </c>
      <c r="GJ4" s="241" t="str">
        <f t="shared" si="12"/>
        <v>Prin 30</v>
      </c>
      <c r="GK4" s="241" t="str">
        <f t="shared" si="12"/>
        <v>Prin 31</v>
      </c>
      <c r="GL4" s="241" t="str">
        <f t="shared" si="12"/>
        <v>Prin 32</v>
      </c>
      <c r="GM4" s="241" t="str">
        <f t="shared" si="12"/>
        <v>Prin 33</v>
      </c>
      <c r="GN4" s="241" t="str">
        <f t="shared" si="12"/>
        <v>Prin 34</v>
      </c>
      <c r="GO4" s="241" t="str">
        <f t="shared" si="12"/>
        <v>Prin 35</v>
      </c>
      <c r="GP4" s="241" t="str">
        <f t="shared" si="12"/>
        <v>Prin 36</v>
      </c>
      <c r="GQ4" s="241" t="str">
        <f t="shared" si="12"/>
        <v>Prin 37</v>
      </c>
      <c r="GR4" s="241" t="str">
        <f t="shared" si="12"/>
        <v>Prin 38</v>
      </c>
      <c r="GS4" s="241" t="str">
        <f t="shared" si="12"/>
        <v>Prin 39</v>
      </c>
      <c r="GT4" s="241" t="str">
        <f t="shared" si="12"/>
        <v>Prin 40</v>
      </c>
      <c r="GU4" s="241" t="str">
        <f t="shared" si="12"/>
        <v>Prin 41</v>
      </c>
      <c r="GV4" s="241" t="str">
        <f t="shared" si="12"/>
        <v>Prin 42</v>
      </c>
      <c r="GW4" s="241" t="str">
        <f t="shared" si="12"/>
        <v>Prin 43</v>
      </c>
      <c r="GX4" s="241" t="str">
        <f t="shared" si="12"/>
        <v>Prin 44</v>
      </c>
      <c r="GY4" s="241" t="str">
        <f t="shared" si="12"/>
        <v>Prin 45</v>
      </c>
      <c r="GZ4" s="241" t="str">
        <f t="shared" si="12"/>
        <v>Prin 46</v>
      </c>
      <c r="HA4" s="241" t="str">
        <f t="shared" si="12"/>
        <v>Prin 47</v>
      </c>
      <c r="HB4" s="241" t="str">
        <f t="shared" si="12"/>
        <v>Prin 48</v>
      </c>
      <c r="HC4" s="241" t="str">
        <f t="shared" si="12"/>
        <v>Prin 49</v>
      </c>
      <c r="HD4" s="241" t="str">
        <f t="shared" si="12"/>
        <v>Prin 50</v>
      </c>
      <c r="HE4" s="241" t="str">
        <f t="shared" si="12"/>
        <v>Prin 51</v>
      </c>
      <c r="HF4" s="241" t="str">
        <f t="shared" si="12"/>
        <v>Prin 52</v>
      </c>
      <c r="HG4" s="241" t="str">
        <f t="shared" si="12"/>
        <v>Prin 53</v>
      </c>
      <c r="HH4" s="241" t="str">
        <f t="shared" si="12"/>
        <v>Prin 54</v>
      </c>
      <c r="HI4" s="241" t="str">
        <f t="shared" si="12"/>
        <v>Prin 55</v>
      </c>
      <c r="HJ4" s="241" t="str">
        <f t="shared" si="12"/>
        <v>Prin 56</v>
      </c>
      <c r="HK4" s="241" t="str">
        <f t="shared" si="12"/>
        <v>Prin 57</v>
      </c>
      <c r="HL4" s="241" t="str">
        <f t="shared" si="12"/>
        <v>Prin 58</v>
      </c>
      <c r="HM4" s="241" t="str">
        <f t="shared" si="12"/>
        <v>Prin 59</v>
      </c>
      <c r="HN4" s="241" t="str">
        <f t="shared" si="12"/>
        <v>Prin 60</v>
      </c>
      <c r="HO4" s="241" t="str">
        <f t="shared" si="12"/>
        <v>Prin 61</v>
      </c>
      <c r="HP4" s="241" t="str">
        <f t="shared" si="12"/>
        <v>Prin 62</v>
      </c>
      <c r="HQ4" s="241" t="str">
        <f t="shared" si="12"/>
        <v>Prin 63</v>
      </c>
      <c r="HR4" s="241" t="str">
        <f t="shared" si="12"/>
        <v>Prin 64</v>
      </c>
      <c r="HS4" s="241" t="str">
        <f t="shared" si="12"/>
        <v>Prin 65</v>
      </c>
      <c r="HT4" s="241" t="str">
        <f t="shared" ref="HT4:KE4" si="13">"Prin "&amp;HT2</f>
        <v>Prin 66</v>
      </c>
      <c r="HU4" s="241" t="str">
        <f t="shared" si="13"/>
        <v>Prin 67</v>
      </c>
      <c r="HV4" s="241" t="str">
        <f t="shared" si="13"/>
        <v>Prin 68</v>
      </c>
      <c r="HW4" s="241" t="str">
        <f t="shared" si="13"/>
        <v>Prin 69</v>
      </c>
      <c r="HX4" s="241" t="str">
        <f t="shared" si="13"/>
        <v>Prin 70</v>
      </c>
      <c r="HY4" s="241" t="str">
        <f t="shared" si="13"/>
        <v>Prin 71</v>
      </c>
      <c r="HZ4" s="241" t="str">
        <f t="shared" si="13"/>
        <v>Prin 72</v>
      </c>
      <c r="IA4" s="241" t="str">
        <f t="shared" si="13"/>
        <v>Prin 73</v>
      </c>
      <c r="IB4" s="241" t="str">
        <f t="shared" si="13"/>
        <v>Prin 74</v>
      </c>
      <c r="IC4" s="241" t="str">
        <f t="shared" si="13"/>
        <v>Prin 75</v>
      </c>
      <c r="ID4" s="241" t="str">
        <f t="shared" si="13"/>
        <v>Prin 76</v>
      </c>
      <c r="IE4" s="241" t="str">
        <f t="shared" si="13"/>
        <v>Prin 77</v>
      </c>
      <c r="IF4" s="241" t="str">
        <f t="shared" si="13"/>
        <v>Prin 78</v>
      </c>
      <c r="IG4" s="241" t="str">
        <f t="shared" si="13"/>
        <v>Prin 79</v>
      </c>
      <c r="IH4" s="241" t="str">
        <f t="shared" si="13"/>
        <v>Prin 80</v>
      </c>
      <c r="II4" s="241" t="str">
        <f t="shared" si="13"/>
        <v>Prin 81</v>
      </c>
      <c r="IJ4" s="241" t="str">
        <f t="shared" si="13"/>
        <v>Prin 82</v>
      </c>
      <c r="IK4" s="241" t="str">
        <f t="shared" si="13"/>
        <v>Prin 83</v>
      </c>
      <c r="IL4" s="241" t="str">
        <f t="shared" si="13"/>
        <v>Prin 84</v>
      </c>
      <c r="IM4" s="241" t="str">
        <f t="shared" si="13"/>
        <v>Prin 85</v>
      </c>
      <c r="IN4" s="241" t="str">
        <f t="shared" si="13"/>
        <v>Prin 86</v>
      </c>
      <c r="IO4" s="241" t="str">
        <f t="shared" si="13"/>
        <v>Prin 87</v>
      </c>
      <c r="IP4" s="241" t="str">
        <f t="shared" si="13"/>
        <v>Prin 88</v>
      </c>
      <c r="IQ4" s="241" t="str">
        <f t="shared" si="13"/>
        <v>Prin 89</v>
      </c>
      <c r="IR4" s="241" t="str">
        <f t="shared" si="13"/>
        <v>Prin 90</v>
      </c>
      <c r="IS4" s="241" t="str">
        <f t="shared" si="13"/>
        <v>Prin 91</v>
      </c>
      <c r="IT4" s="241" t="str">
        <f t="shared" si="13"/>
        <v>Prin 92</v>
      </c>
      <c r="IU4" s="241" t="str">
        <f t="shared" si="13"/>
        <v>Prin 93</v>
      </c>
      <c r="IV4" s="241" t="str">
        <f t="shared" si="13"/>
        <v>Prin 94</v>
      </c>
      <c r="IW4" s="241" t="str">
        <f t="shared" si="13"/>
        <v>Prin 95</v>
      </c>
      <c r="IX4" s="241" t="str">
        <f t="shared" si="13"/>
        <v>Prin 96</v>
      </c>
      <c r="IY4" s="241" t="str">
        <f t="shared" si="13"/>
        <v>Prin 97</v>
      </c>
      <c r="IZ4" s="241" t="str">
        <f t="shared" si="13"/>
        <v>Prin 98</v>
      </c>
      <c r="JA4" s="241" t="str">
        <f t="shared" si="13"/>
        <v>Prin 99</v>
      </c>
      <c r="JB4" s="241" t="str">
        <f t="shared" si="13"/>
        <v>Prin 100</v>
      </c>
      <c r="JC4" s="241" t="str">
        <f t="shared" si="13"/>
        <v>Prin 101</v>
      </c>
      <c r="JD4" s="241" t="str">
        <f t="shared" si="13"/>
        <v>Prin 102</v>
      </c>
      <c r="JE4" s="241" t="str">
        <f t="shared" si="13"/>
        <v>Prin 103</v>
      </c>
      <c r="JF4" s="241" t="str">
        <f t="shared" si="13"/>
        <v>Prin 104</v>
      </c>
      <c r="JG4" s="241" t="str">
        <f t="shared" si="13"/>
        <v>Prin 105</v>
      </c>
      <c r="JH4" s="241" t="str">
        <f t="shared" si="13"/>
        <v>Prin 106</v>
      </c>
      <c r="JI4" s="241" t="str">
        <f t="shared" si="13"/>
        <v>Prin 107</v>
      </c>
      <c r="JJ4" s="241" t="str">
        <f t="shared" si="13"/>
        <v>Prin 108</v>
      </c>
      <c r="JK4" s="241" t="str">
        <f t="shared" si="13"/>
        <v>Prin 109</v>
      </c>
      <c r="JL4" s="241" t="str">
        <f t="shared" si="13"/>
        <v>Prin 110</v>
      </c>
      <c r="JM4" s="241" t="str">
        <f t="shared" si="13"/>
        <v>Prin 111</v>
      </c>
      <c r="JN4" s="241" t="str">
        <f t="shared" si="13"/>
        <v>Prin 112</v>
      </c>
      <c r="JO4" s="241" t="str">
        <f t="shared" si="13"/>
        <v>Prin 113</v>
      </c>
      <c r="JP4" s="241" t="str">
        <f t="shared" si="13"/>
        <v>Prin 114</v>
      </c>
      <c r="JQ4" s="241" t="str">
        <f t="shared" si="13"/>
        <v>Prin 115</v>
      </c>
      <c r="JR4" s="241" t="str">
        <f t="shared" si="13"/>
        <v>Prin 116</v>
      </c>
      <c r="JS4" s="241" t="str">
        <f t="shared" si="13"/>
        <v>Prin 117</v>
      </c>
      <c r="JT4" s="241" t="str">
        <f t="shared" si="13"/>
        <v>Prin 118</v>
      </c>
      <c r="JU4" s="241" t="str">
        <f t="shared" si="13"/>
        <v>Prin 119</v>
      </c>
      <c r="JV4" s="241" t="str">
        <f t="shared" si="13"/>
        <v>Prin 120</v>
      </c>
      <c r="JW4" s="241" t="str">
        <f t="shared" si="13"/>
        <v>Prin 121</v>
      </c>
      <c r="JX4" s="241" t="str">
        <f t="shared" si="13"/>
        <v>Prin 122</v>
      </c>
      <c r="JY4" s="241" t="str">
        <f t="shared" si="13"/>
        <v>Prin 123</v>
      </c>
      <c r="JZ4" s="241" t="str">
        <f t="shared" si="13"/>
        <v>Prin 124</v>
      </c>
      <c r="KA4" s="241" t="str">
        <f t="shared" si="13"/>
        <v>Prin 125</v>
      </c>
      <c r="KB4" s="241" t="str">
        <f t="shared" si="13"/>
        <v>Prin 126</v>
      </c>
      <c r="KC4" s="241" t="str">
        <f t="shared" si="13"/>
        <v>Prin 127</v>
      </c>
      <c r="KD4" s="241" t="str">
        <f t="shared" si="13"/>
        <v>Prin 128</v>
      </c>
      <c r="KE4" s="241" t="str">
        <f t="shared" si="13"/>
        <v>Prin 129</v>
      </c>
      <c r="KF4" s="241" t="str">
        <f t="shared" ref="KF4:MQ4" si="14">"Prin "&amp;KF2</f>
        <v>Prin 130</v>
      </c>
      <c r="KG4" s="241" t="str">
        <f t="shared" si="14"/>
        <v>Prin 131</v>
      </c>
      <c r="KH4" s="241" t="str">
        <f t="shared" si="14"/>
        <v>Prin 132</v>
      </c>
      <c r="KI4" s="241" t="str">
        <f t="shared" si="14"/>
        <v>Prin 133</v>
      </c>
      <c r="KJ4" s="241" t="str">
        <f t="shared" si="14"/>
        <v>Prin 134</v>
      </c>
      <c r="KK4" s="241" t="str">
        <f t="shared" si="14"/>
        <v>Prin 135</v>
      </c>
      <c r="KL4" s="241" t="str">
        <f t="shared" si="14"/>
        <v>Prin 136</v>
      </c>
      <c r="KM4" s="241" t="str">
        <f t="shared" si="14"/>
        <v>Prin 137</v>
      </c>
      <c r="KN4" s="241" t="str">
        <f t="shared" si="14"/>
        <v>Prin 138</v>
      </c>
      <c r="KO4" s="241" t="str">
        <f t="shared" si="14"/>
        <v>Prin 139</v>
      </c>
      <c r="KP4" s="241" t="str">
        <f t="shared" si="14"/>
        <v>Prin 140</v>
      </c>
      <c r="KQ4" s="241" t="str">
        <f t="shared" si="14"/>
        <v>Prin 141</v>
      </c>
      <c r="KR4" s="241" t="str">
        <f t="shared" si="14"/>
        <v>Prin 142</v>
      </c>
      <c r="KS4" s="241" t="str">
        <f t="shared" si="14"/>
        <v>Prin 143</v>
      </c>
      <c r="KT4" s="241" t="str">
        <f t="shared" si="14"/>
        <v>Prin 144</v>
      </c>
      <c r="KU4" s="241" t="str">
        <f t="shared" si="14"/>
        <v>Prin 145</v>
      </c>
      <c r="KV4" s="241" t="str">
        <f t="shared" si="14"/>
        <v>Prin 146</v>
      </c>
      <c r="KW4" s="241" t="str">
        <f t="shared" si="14"/>
        <v>Prin 147</v>
      </c>
      <c r="KX4" s="241" t="str">
        <f t="shared" si="14"/>
        <v>Prin 148</v>
      </c>
      <c r="KY4" s="241" t="str">
        <f t="shared" si="14"/>
        <v>Prin 149</v>
      </c>
      <c r="KZ4" s="241" t="str">
        <f t="shared" si="14"/>
        <v>Prin 150</v>
      </c>
      <c r="LA4" s="241" t="str">
        <f t="shared" si="14"/>
        <v>Prin 151</v>
      </c>
      <c r="LB4" s="241" t="str">
        <f t="shared" si="14"/>
        <v>Prin 152</v>
      </c>
      <c r="LC4" s="241" t="str">
        <f t="shared" si="14"/>
        <v>Prin 153</v>
      </c>
      <c r="LD4" s="241" t="str">
        <f t="shared" si="14"/>
        <v>Prin 154</v>
      </c>
      <c r="LE4" s="241" t="str">
        <f t="shared" si="14"/>
        <v>Prin 155</v>
      </c>
      <c r="LF4" s="241" t="str">
        <f t="shared" si="14"/>
        <v>Prin 156</v>
      </c>
      <c r="LG4" s="241" t="str">
        <f t="shared" si="14"/>
        <v>Prin 157</v>
      </c>
      <c r="LH4" s="241" t="str">
        <f t="shared" si="14"/>
        <v>Prin 158</v>
      </c>
      <c r="LI4" s="241" t="str">
        <f t="shared" si="14"/>
        <v>Prin 159</v>
      </c>
      <c r="LJ4" s="241" t="str">
        <f t="shared" si="14"/>
        <v>Prin 160</v>
      </c>
      <c r="LK4" s="241" t="str">
        <f t="shared" si="14"/>
        <v>Prin 161</v>
      </c>
      <c r="LL4" s="241" t="str">
        <f t="shared" si="14"/>
        <v>Prin 162</v>
      </c>
      <c r="LM4" s="241" t="str">
        <f t="shared" si="14"/>
        <v>Prin 163</v>
      </c>
      <c r="LN4" s="241" t="str">
        <f t="shared" si="14"/>
        <v>Prin 164</v>
      </c>
      <c r="LO4" s="241" t="str">
        <f t="shared" si="14"/>
        <v>Prin 165</v>
      </c>
      <c r="LP4" s="241" t="str">
        <f t="shared" si="14"/>
        <v>Prin 166</v>
      </c>
      <c r="LQ4" s="241" t="str">
        <f t="shared" si="14"/>
        <v>Prin 167</v>
      </c>
      <c r="LR4" s="241" t="str">
        <f t="shared" si="14"/>
        <v>Prin 168</v>
      </c>
      <c r="LS4" s="241" t="str">
        <f t="shared" si="14"/>
        <v>Prin 169</v>
      </c>
      <c r="LT4" s="241" t="str">
        <f t="shared" si="14"/>
        <v>Prin 170</v>
      </c>
      <c r="LU4" s="241" t="str">
        <f t="shared" si="14"/>
        <v>Prin 171</v>
      </c>
      <c r="LV4" s="241" t="str">
        <f t="shared" si="14"/>
        <v>Prin 172</v>
      </c>
      <c r="LW4" s="241" t="str">
        <f t="shared" si="14"/>
        <v>Prin 173</v>
      </c>
      <c r="LX4" s="241" t="str">
        <f t="shared" si="14"/>
        <v>Prin 174</v>
      </c>
      <c r="LY4" s="241" t="str">
        <f t="shared" si="14"/>
        <v>Prin 175</v>
      </c>
      <c r="LZ4" s="241" t="str">
        <f t="shared" si="14"/>
        <v>Prin 176</v>
      </c>
      <c r="MA4" s="241" t="str">
        <f t="shared" si="14"/>
        <v>Prin 177</v>
      </c>
      <c r="MB4" s="241" t="str">
        <f t="shared" si="14"/>
        <v>Prin 178</v>
      </c>
      <c r="MC4" s="241" t="str">
        <f t="shared" si="14"/>
        <v>Prin 179</v>
      </c>
      <c r="MD4" s="241" t="str">
        <f t="shared" si="14"/>
        <v>Prin 180</v>
      </c>
      <c r="ME4" s="241" t="str">
        <f t="shared" si="14"/>
        <v>Prin 181</v>
      </c>
      <c r="MF4" s="241" t="str">
        <f t="shared" si="14"/>
        <v>Prin 182</v>
      </c>
      <c r="MG4" s="241" t="str">
        <f t="shared" si="14"/>
        <v>Prin 183</v>
      </c>
      <c r="MH4" s="241" t="str">
        <f t="shared" si="14"/>
        <v>Prin 184</v>
      </c>
      <c r="MI4" s="241" t="str">
        <f t="shared" si="14"/>
        <v>Prin 185</v>
      </c>
      <c r="MJ4" s="241" t="str">
        <f t="shared" si="14"/>
        <v>Prin 186</v>
      </c>
      <c r="MK4" s="241" t="str">
        <f t="shared" si="14"/>
        <v>Prin 187</v>
      </c>
      <c r="ML4" s="241" t="str">
        <f t="shared" si="14"/>
        <v>Prin 188</v>
      </c>
      <c r="MM4" s="241" t="str">
        <f t="shared" si="14"/>
        <v>Prin 189</v>
      </c>
      <c r="MN4" s="241" t="str">
        <f t="shared" si="14"/>
        <v>Prin 190</v>
      </c>
      <c r="MO4" s="241" t="str">
        <f t="shared" si="14"/>
        <v>Prin 191</v>
      </c>
      <c r="MP4" s="241" t="str">
        <f t="shared" si="14"/>
        <v>Prin 192</v>
      </c>
      <c r="MQ4" s="241" t="str">
        <f t="shared" si="14"/>
        <v>Prin 193</v>
      </c>
      <c r="MR4" s="241" t="str">
        <f t="shared" ref="MR4:PC4" si="15">"Prin "&amp;MR2</f>
        <v>Prin 194</v>
      </c>
      <c r="MS4" s="241" t="str">
        <f t="shared" si="15"/>
        <v>Prin 195</v>
      </c>
      <c r="MT4" s="241" t="str">
        <f t="shared" si="15"/>
        <v>Prin 196</v>
      </c>
      <c r="MU4" s="241" t="str">
        <f t="shared" si="15"/>
        <v>Prin 197</v>
      </c>
      <c r="MV4" s="241" t="str">
        <f t="shared" si="15"/>
        <v>Prin 198</v>
      </c>
      <c r="MW4" s="241" t="str">
        <f t="shared" si="15"/>
        <v>Prin 199</v>
      </c>
      <c r="MX4" s="241" t="str">
        <f t="shared" si="15"/>
        <v>Prin 200</v>
      </c>
      <c r="MY4" s="241" t="str">
        <f t="shared" si="15"/>
        <v>Prin 201</v>
      </c>
      <c r="MZ4" s="241" t="str">
        <f t="shared" si="15"/>
        <v>Prin 202</v>
      </c>
      <c r="NA4" s="241" t="str">
        <f t="shared" si="15"/>
        <v>Prin 203</v>
      </c>
      <c r="NB4" s="241" t="str">
        <f t="shared" si="15"/>
        <v>Prin 204</v>
      </c>
      <c r="NC4" s="241" t="str">
        <f t="shared" si="15"/>
        <v>Prin 205</v>
      </c>
      <c r="ND4" s="241" t="str">
        <f t="shared" si="15"/>
        <v>Prin 206</v>
      </c>
      <c r="NE4" s="241" t="str">
        <f t="shared" si="15"/>
        <v>Prin 207</v>
      </c>
      <c r="NF4" s="241" t="str">
        <f t="shared" si="15"/>
        <v>Prin 208</v>
      </c>
      <c r="NG4" s="241" t="str">
        <f t="shared" si="15"/>
        <v>Prin 209</v>
      </c>
      <c r="NH4" s="241" t="str">
        <f t="shared" si="15"/>
        <v>Prin 210</v>
      </c>
      <c r="NI4" s="241" t="str">
        <f t="shared" si="15"/>
        <v>Prin 211</v>
      </c>
      <c r="NJ4" s="241" t="str">
        <f t="shared" si="15"/>
        <v>Prin 212</v>
      </c>
      <c r="NK4" s="241" t="str">
        <f t="shared" si="15"/>
        <v>Prin 213</v>
      </c>
      <c r="NL4" s="241" t="str">
        <f t="shared" si="15"/>
        <v>Prin 214</v>
      </c>
      <c r="NM4" s="241" t="str">
        <f t="shared" si="15"/>
        <v>Prin 215</v>
      </c>
      <c r="NN4" s="241" t="str">
        <f t="shared" si="15"/>
        <v>Prin 216</v>
      </c>
      <c r="NO4" s="241" t="str">
        <f t="shared" si="15"/>
        <v>Prin 217</v>
      </c>
      <c r="NP4" s="241" t="str">
        <f t="shared" si="15"/>
        <v>Prin 218</v>
      </c>
      <c r="NQ4" s="241" t="str">
        <f t="shared" si="15"/>
        <v>Prin 219</v>
      </c>
      <c r="NR4" s="241" t="str">
        <f t="shared" si="15"/>
        <v>Prin 220</v>
      </c>
      <c r="NS4" s="241" t="str">
        <f t="shared" si="15"/>
        <v>Prin 221</v>
      </c>
      <c r="NT4" s="241" t="str">
        <f t="shared" si="15"/>
        <v>Prin 222</v>
      </c>
      <c r="NU4" s="241" t="str">
        <f t="shared" si="15"/>
        <v>Prin 223</v>
      </c>
      <c r="NV4" s="241" t="str">
        <f t="shared" si="15"/>
        <v>Prin 224</v>
      </c>
      <c r="NW4" s="241" t="str">
        <f t="shared" si="15"/>
        <v>Prin 225</v>
      </c>
      <c r="NX4" s="241" t="str">
        <f t="shared" si="15"/>
        <v>Prin 226</v>
      </c>
      <c r="NY4" s="241" t="str">
        <f t="shared" si="15"/>
        <v>Prin 227</v>
      </c>
      <c r="NZ4" s="241" t="str">
        <f t="shared" si="15"/>
        <v>Prin 228</v>
      </c>
      <c r="OA4" s="241" t="str">
        <f t="shared" si="15"/>
        <v>Prin 229</v>
      </c>
      <c r="OB4" s="241" t="str">
        <f t="shared" si="15"/>
        <v>Prin 230</v>
      </c>
      <c r="OC4" s="241" t="str">
        <f t="shared" si="15"/>
        <v>Prin 231</v>
      </c>
      <c r="OD4" s="241" t="str">
        <f t="shared" si="15"/>
        <v>Prin 232</v>
      </c>
      <c r="OE4" s="241" t="str">
        <f t="shared" si="15"/>
        <v>Prin 233</v>
      </c>
      <c r="OF4" s="241" t="str">
        <f t="shared" si="15"/>
        <v>Prin 234</v>
      </c>
      <c r="OG4" s="241" t="str">
        <f t="shared" si="15"/>
        <v>Prin 235</v>
      </c>
      <c r="OH4" s="241" t="str">
        <f t="shared" si="15"/>
        <v>Prin 236</v>
      </c>
      <c r="OI4" s="241" t="str">
        <f t="shared" si="15"/>
        <v>Prin 237</v>
      </c>
      <c r="OJ4" s="241" t="str">
        <f t="shared" si="15"/>
        <v>Prin 238</v>
      </c>
      <c r="OK4" s="241" t="str">
        <f t="shared" si="15"/>
        <v>Prin 239</v>
      </c>
      <c r="OL4" s="241" t="str">
        <f t="shared" si="15"/>
        <v>Prin 240</v>
      </c>
      <c r="OM4" s="241" t="str">
        <f t="shared" si="15"/>
        <v>Prin 241</v>
      </c>
      <c r="ON4" s="241" t="str">
        <f t="shared" si="15"/>
        <v>Prin 242</v>
      </c>
      <c r="OO4" s="241" t="str">
        <f t="shared" si="15"/>
        <v>Prin 243</v>
      </c>
      <c r="OP4" s="241" t="str">
        <f t="shared" si="15"/>
        <v>Prin 244</v>
      </c>
      <c r="OQ4" s="241" t="str">
        <f t="shared" si="15"/>
        <v>Prin 245</v>
      </c>
      <c r="OR4" s="241" t="str">
        <f t="shared" si="15"/>
        <v>Prin 246</v>
      </c>
      <c r="OS4" s="241" t="str">
        <f t="shared" si="15"/>
        <v>Prin 247</v>
      </c>
      <c r="OT4" s="241" t="str">
        <f t="shared" si="15"/>
        <v>Prin 248</v>
      </c>
      <c r="OU4" s="241" t="str">
        <f t="shared" si="15"/>
        <v>Prin 249</v>
      </c>
      <c r="OV4" s="241" t="str">
        <f t="shared" si="15"/>
        <v>Prin 250</v>
      </c>
      <c r="OW4" s="241" t="str">
        <f t="shared" si="15"/>
        <v>Prin 251</v>
      </c>
      <c r="OX4" s="241" t="str">
        <f t="shared" si="15"/>
        <v>Prin 252</v>
      </c>
      <c r="OY4" s="241" t="str">
        <f t="shared" si="15"/>
        <v>Prin 253</v>
      </c>
      <c r="OZ4" s="241" t="str">
        <f t="shared" si="15"/>
        <v>Prin 254</v>
      </c>
      <c r="PA4" s="241" t="str">
        <f t="shared" si="15"/>
        <v>Prin 255</v>
      </c>
      <c r="PB4" s="241" t="str">
        <f t="shared" si="15"/>
        <v>Prin 256</v>
      </c>
      <c r="PC4" s="241" t="str">
        <f t="shared" si="15"/>
        <v>Prin 257</v>
      </c>
      <c r="PD4" s="241" t="str">
        <f t="shared" ref="PD4:RO4" si="16">"Prin "&amp;PD2</f>
        <v>Prin 258</v>
      </c>
      <c r="PE4" s="241" t="str">
        <f t="shared" si="16"/>
        <v>Prin 259</v>
      </c>
      <c r="PF4" s="241" t="str">
        <f t="shared" si="16"/>
        <v>Prin 260</v>
      </c>
      <c r="PG4" s="241" t="str">
        <f t="shared" si="16"/>
        <v>Prin 261</v>
      </c>
      <c r="PH4" s="241" t="str">
        <f t="shared" si="16"/>
        <v>Prin 262</v>
      </c>
      <c r="PI4" s="241" t="str">
        <f t="shared" si="16"/>
        <v>Prin 263</v>
      </c>
      <c r="PJ4" s="241" t="str">
        <f t="shared" si="16"/>
        <v>Prin 264</v>
      </c>
      <c r="PK4" s="241" t="str">
        <f t="shared" si="16"/>
        <v>Prin 265</v>
      </c>
      <c r="PL4" s="241" t="str">
        <f t="shared" si="16"/>
        <v>Prin 266</v>
      </c>
      <c r="PM4" s="241" t="str">
        <f t="shared" si="16"/>
        <v>Prin 267</v>
      </c>
      <c r="PN4" s="241" t="str">
        <f t="shared" si="16"/>
        <v>Prin 268</v>
      </c>
      <c r="PO4" s="241" t="str">
        <f t="shared" si="16"/>
        <v>Prin 269</v>
      </c>
      <c r="PP4" s="241" t="str">
        <f t="shared" si="16"/>
        <v>Prin 270</v>
      </c>
      <c r="PQ4" s="241" t="str">
        <f t="shared" si="16"/>
        <v>Prin 271</v>
      </c>
      <c r="PR4" s="241" t="str">
        <f t="shared" si="16"/>
        <v>Prin 272</v>
      </c>
      <c r="PS4" s="241" t="str">
        <f t="shared" si="16"/>
        <v>Prin 273</v>
      </c>
      <c r="PT4" s="241" t="str">
        <f t="shared" si="16"/>
        <v>Prin 274</v>
      </c>
      <c r="PU4" s="241" t="str">
        <f t="shared" si="16"/>
        <v>Prin 275</v>
      </c>
      <c r="PV4" s="241" t="str">
        <f t="shared" si="16"/>
        <v>Prin 276</v>
      </c>
      <c r="PW4" s="241" t="str">
        <f t="shared" si="16"/>
        <v>Prin 277</v>
      </c>
      <c r="PX4" s="241" t="str">
        <f t="shared" si="16"/>
        <v>Prin 278</v>
      </c>
      <c r="PY4" s="241" t="str">
        <f t="shared" si="16"/>
        <v>Prin 279</v>
      </c>
      <c r="PZ4" s="241" t="str">
        <f t="shared" si="16"/>
        <v>Prin 280</v>
      </c>
      <c r="QA4" s="241" t="str">
        <f t="shared" si="16"/>
        <v>Prin 281</v>
      </c>
      <c r="QB4" s="241" t="str">
        <f t="shared" si="16"/>
        <v>Prin 282</v>
      </c>
      <c r="QC4" s="241" t="str">
        <f t="shared" si="16"/>
        <v>Prin 283</v>
      </c>
      <c r="QD4" s="241" t="str">
        <f t="shared" si="16"/>
        <v>Prin 284</v>
      </c>
      <c r="QE4" s="241" t="str">
        <f t="shared" si="16"/>
        <v>Prin 285</v>
      </c>
      <c r="QF4" s="241" t="str">
        <f t="shared" si="16"/>
        <v>Prin 286</v>
      </c>
      <c r="QG4" s="241" t="str">
        <f t="shared" si="16"/>
        <v>Prin 287</v>
      </c>
      <c r="QH4" s="241" t="str">
        <f t="shared" si="16"/>
        <v>Prin 288</v>
      </c>
      <c r="QI4" s="241" t="str">
        <f t="shared" si="16"/>
        <v>Prin 289</v>
      </c>
      <c r="QJ4" s="241" t="str">
        <f t="shared" si="16"/>
        <v>Prin 290</v>
      </c>
      <c r="QK4" s="241" t="str">
        <f t="shared" si="16"/>
        <v>Prin 291</v>
      </c>
      <c r="QL4" s="241" t="str">
        <f t="shared" si="16"/>
        <v>Prin 292</v>
      </c>
      <c r="QM4" s="241" t="str">
        <f t="shared" si="16"/>
        <v>Prin 293</v>
      </c>
      <c r="QN4" s="241" t="str">
        <f t="shared" si="16"/>
        <v>Prin 294</v>
      </c>
      <c r="QO4" s="241" t="str">
        <f t="shared" si="16"/>
        <v>Prin 295</v>
      </c>
      <c r="QP4" s="241" t="str">
        <f t="shared" si="16"/>
        <v>Prin 296</v>
      </c>
      <c r="QQ4" s="241" t="str">
        <f t="shared" si="16"/>
        <v>Prin 297</v>
      </c>
      <c r="QR4" s="241" t="str">
        <f t="shared" si="16"/>
        <v>Prin 298</v>
      </c>
      <c r="QS4" s="241" t="str">
        <f t="shared" si="16"/>
        <v>Prin 299</v>
      </c>
      <c r="QT4" s="241" t="str">
        <f t="shared" si="16"/>
        <v>Prin 300</v>
      </c>
      <c r="QU4" s="241" t="str">
        <f t="shared" si="16"/>
        <v>Prin 301</v>
      </c>
      <c r="QV4" s="241" t="str">
        <f t="shared" si="16"/>
        <v>Prin 302</v>
      </c>
      <c r="QW4" s="241" t="str">
        <f t="shared" si="16"/>
        <v>Prin 303</v>
      </c>
      <c r="QX4" s="241" t="str">
        <f t="shared" si="16"/>
        <v>Prin 304</v>
      </c>
      <c r="QY4" s="241" t="str">
        <f t="shared" si="16"/>
        <v>Prin 305</v>
      </c>
      <c r="QZ4" s="241" t="str">
        <f t="shared" si="16"/>
        <v>Prin 306</v>
      </c>
      <c r="RA4" s="241" t="str">
        <f t="shared" si="16"/>
        <v>Prin 307</v>
      </c>
      <c r="RB4" s="241" t="str">
        <f t="shared" si="16"/>
        <v>Prin 308</v>
      </c>
      <c r="RC4" s="241" t="str">
        <f t="shared" si="16"/>
        <v>Prin 309</v>
      </c>
      <c r="RD4" s="241" t="str">
        <f t="shared" si="16"/>
        <v>Prin 310</v>
      </c>
      <c r="RE4" s="241" t="str">
        <f t="shared" si="16"/>
        <v>Prin 311</v>
      </c>
      <c r="RF4" s="241" t="str">
        <f t="shared" si="16"/>
        <v>Prin 312</v>
      </c>
      <c r="RG4" s="241" t="str">
        <f t="shared" si="16"/>
        <v>Prin 313</v>
      </c>
      <c r="RH4" s="241" t="str">
        <f t="shared" si="16"/>
        <v>Prin 314</v>
      </c>
      <c r="RI4" s="241" t="str">
        <f t="shared" si="16"/>
        <v>Prin 315</v>
      </c>
      <c r="RJ4" s="241" t="str">
        <f t="shared" si="16"/>
        <v>Prin 316</v>
      </c>
      <c r="RK4" s="241" t="str">
        <f t="shared" si="16"/>
        <v>Prin 317</v>
      </c>
      <c r="RL4" s="241" t="str">
        <f t="shared" si="16"/>
        <v>Prin 318</v>
      </c>
      <c r="RM4" s="241" t="str">
        <f t="shared" si="16"/>
        <v>Prin 319</v>
      </c>
      <c r="RN4" s="241" t="str">
        <f t="shared" si="16"/>
        <v>Prin 320</v>
      </c>
      <c r="RO4" s="241" t="str">
        <f t="shared" si="16"/>
        <v>Prin 321</v>
      </c>
      <c r="RP4" s="241" t="str">
        <f t="shared" ref="RP4:TB4" si="17">"Prin "&amp;RP2</f>
        <v>Prin 322</v>
      </c>
      <c r="RQ4" s="241" t="str">
        <f t="shared" si="17"/>
        <v>Prin 323</v>
      </c>
      <c r="RR4" s="241" t="str">
        <f t="shared" si="17"/>
        <v>Prin 324</v>
      </c>
      <c r="RS4" s="241" t="str">
        <f t="shared" si="17"/>
        <v>Prin 325</v>
      </c>
      <c r="RT4" s="241" t="str">
        <f t="shared" si="17"/>
        <v>Prin 326</v>
      </c>
      <c r="RU4" s="241" t="str">
        <f t="shared" si="17"/>
        <v>Prin 327</v>
      </c>
      <c r="RV4" s="241" t="str">
        <f t="shared" si="17"/>
        <v>Prin 328</v>
      </c>
      <c r="RW4" s="241" t="str">
        <f t="shared" si="17"/>
        <v>Prin 329</v>
      </c>
      <c r="RX4" s="241" t="str">
        <f t="shared" si="17"/>
        <v>Prin 330</v>
      </c>
      <c r="RY4" s="241" t="str">
        <f t="shared" si="17"/>
        <v>Prin 331</v>
      </c>
      <c r="RZ4" s="241" t="str">
        <f t="shared" si="17"/>
        <v>Prin 332</v>
      </c>
      <c r="SA4" s="241" t="str">
        <f t="shared" si="17"/>
        <v>Prin 333</v>
      </c>
      <c r="SB4" s="241" t="str">
        <f t="shared" si="17"/>
        <v>Prin 334</v>
      </c>
      <c r="SC4" s="241" t="str">
        <f t="shared" si="17"/>
        <v>Prin 335</v>
      </c>
      <c r="SD4" s="241" t="str">
        <f t="shared" si="17"/>
        <v>Prin 336</v>
      </c>
      <c r="SE4" s="241" t="str">
        <f t="shared" si="17"/>
        <v>Prin 337</v>
      </c>
      <c r="SF4" s="241" t="str">
        <f t="shared" si="17"/>
        <v>Prin 338</v>
      </c>
      <c r="SG4" s="241" t="str">
        <f t="shared" si="17"/>
        <v>Prin 339</v>
      </c>
      <c r="SH4" s="241" t="str">
        <f t="shared" si="17"/>
        <v>Prin 340</v>
      </c>
      <c r="SI4" s="241" t="str">
        <f t="shared" si="17"/>
        <v>Prin 341</v>
      </c>
      <c r="SJ4" s="241" t="str">
        <f t="shared" si="17"/>
        <v>Prin 342</v>
      </c>
      <c r="SK4" s="241" t="str">
        <f t="shared" si="17"/>
        <v>Prin 343</v>
      </c>
      <c r="SL4" s="241" t="str">
        <f t="shared" si="17"/>
        <v>Prin 344</v>
      </c>
      <c r="SM4" s="241" t="str">
        <f t="shared" si="17"/>
        <v>Prin 345</v>
      </c>
      <c r="SN4" s="241" t="str">
        <f t="shared" si="17"/>
        <v>Prin 346</v>
      </c>
      <c r="SO4" s="241" t="str">
        <f t="shared" si="17"/>
        <v>Prin 347</v>
      </c>
      <c r="SP4" s="241" t="str">
        <f t="shared" si="17"/>
        <v>Prin 348</v>
      </c>
      <c r="SQ4" s="241" t="str">
        <f t="shared" si="17"/>
        <v>Prin 349</v>
      </c>
      <c r="SR4" s="241" t="str">
        <f t="shared" si="17"/>
        <v>Prin 350</v>
      </c>
      <c r="SS4" s="241" t="str">
        <f t="shared" si="17"/>
        <v>Prin 351</v>
      </c>
      <c r="ST4" s="241" t="str">
        <f t="shared" si="17"/>
        <v>Prin 352</v>
      </c>
      <c r="SU4" s="241" t="str">
        <f t="shared" si="17"/>
        <v>Prin 353</v>
      </c>
      <c r="SV4" s="241" t="str">
        <f t="shared" si="17"/>
        <v>Prin 354</v>
      </c>
      <c r="SW4" s="241" t="str">
        <f t="shared" si="17"/>
        <v>Prin 355</v>
      </c>
      <c r="SX4" s="241" t="str">
        <f t="shared" si="17"/>
        <v>Prin 356</v>
      </c>
      <c r="SY4" s="241" t="str">
        <f t="shared" si="17"/>
        <v>Prin 357</v>
      </c>
      <c r="SZ4" s="241" t="str">
        <f t="shared" si="17"/>
        <v>Prin 358</v>
      </c>
      <c r="TA4" s="241" t="str">
        <f t="shared" si="17"/>
        <v>Prin 359</v>
      </c>
      <c r="TB4" s="241" t="str">
        <f t="shared" si="17"/>
        <v>Prin 360</v>
      </c>
      <c r="TC4" s="226" t="s">
        <v>3061</v>
      </c>
      <c r="TD4" s="241" t="s">
        <v>3062</v>
      </c>
      <c r="TE4" s="241" t="s">
        <v>3063</v>
      </c>
      <c r="TF4" s="241" t="str">
        <f>"CF "&amp;TF2</f>
        <v>CF 1</v>
      </c>
      <c r="TG4" s="241" t="str">
        <f t="shared" ref="TG4:VR4" si="18">"CF "&amp;TG2</f>
        <v>CF 2</v>
      </c>
      <c r="TH4" s="241" t="str">
        <f t="shared" si="18"/>
        <v>CF 3</v>
      </c>
      <c r="TI4" s="241" t="str">
        <f t="shared" si="18"/>
        <v>CF 4</v>
      </c>
      <c r="TJ4" s="241" t="str">
        <f t="shared" si="18"/>
        <v>CF 5</v>
      </c>
      <c r="TK4" s="241" t="str">
        <f t="shared" si="18"/>
        <v>CF 6</v>
      </c>
      <c r="TL4" s="241" t="str">
        <f t="shared" si="18"/>
        <v>CF 7</v>
      </c>
      <c r="TM4" s="241" t="str">
        <f t="shared" si="18"/>
        <v>CF 8</v>
      </c>
      <c r="TN4" s="241" t="str">
        <f t="shared" si="18"/>
        <v>CF 9</v>
      </c>
      <c r="TO4" s="241" t="str">
        <f t="shared" si="18"/>
        <v>CF 10</v>
      </c>
      <c r="TP4" s="241" t="str">
        <f t="shared" si="18"/>
        <v>CF 11</v>
      </c>
      <c r="TQ4" s="241" t="str">
        <f t="shared" si="18"/>
        <v>CF 12</v>
      </c>
      <c r="TR4" s="241" t="str">
        <f t="shared" si="18"/>
        <v>CF 13</v>
      </c>
      <c r="TS4" s="241" t="str">
        <f t="shared" si="18"/>
        <v>CF 14</v>
      </c>
      <c r="TT4" s="241" t="str">
        <f t="shared" si="18"/>
        <v>CF 15</v>
      </c>
      <c r="TU4" s="241" t="str">
        <f t="shared" si="18"/>
        <v>CF 16</v>
      </c>
      <c r="TV4" s="241" t="str">
        <f t="shared" si="18"/>
        <v>CF 17</v>
      </c>
      <c r="TW4" s="241" t="str">
        <f t="shared" si="18"/>
        <v>CF 18</v>
      </c>
      <c r="TX4" s="241" t="str">
        <f t="shared" si="18"/>
        <v>CF 19</v>
      </c>
      <c r="TY4" s="241" t="str">
        <f t="shared" si="18"/>
        <v>CF 20</v>
      </c>
      <c r="TZ4" s="241" t="str">
        <f t="shared" si="18"/>
        <v>CF 21</v>
      </c>
      <c r="UA4" s="241" t="str">
        <f t="shared" si="18"/>
        <v>CF 22</v>
      </c>
      <c r="UB4" s="241" t="str">
        <f t="shared" si="18"/>
        <v>CF 23</v>
      </c>
      <c r="UC4" s="241" t="str">
        <f t="shared" si="18"/>
        <v>CF 24</v>
      </c>
      <c r="UD4" s="241" t="str">
        <f t="shared" si="18"/>
        <v>CF 25</v>
      </c>
      <c r="UE4" s="241" t="str">
        <f t="shared" si="18"/>
        <v>CF 26</v>
      </c>
      <c r="UF4" s="241" t="str">
        <f t="shared" si="18"/>
        <v>CF 27</v>
      </c>
      <c r="UG4" s="241" t="str">
        <f t="shared" si="18"/>
        <v>CF 28</v>
      </c>
      <c r="UH4" s="241" t="str">
        <f t="shared" si="18"/>
        <v>CF 29</v>
      </c>
      <c r="UI4" s="241" t="str">
        <f t="shared" si="18"/>
        <v>CF 30</v>
      </c>
      <c r="UJ4" s="241" t="str">
        <f t="shared" si="18"/>
        <v>CF 31</v>
      </c>
      <c r="UK4" s="241" t="str">
        <f t="shared" si="18"/>
        <v>CF 32</v>
      </c>
      <c r="UL4" s="241" t="str">
        <f t="shared" si="18"/>
        <v>CF 33</v>
      </c>
      <c r="UM4" s="241" t="str">
        <f t="shared" si="18"/>
        <v>CF 34</v>
      </c>
      <c r="UN4" s="241" t="str">
        <f t="shared" si="18"/>
        <v>CF 35</v>
      </c>
      <c r="UO4" s="241" t="str">
        <f t="shared" si="18"/>
        <v>CF 36</v>
      </c>
      <c r="UP4" s="241" t="str">
        <f t="shared" si="18"/>
        <v>CF 37</v>
      </c>
      <c r="UQ4" s="241" t="str">
        <f t="shared" si="18"/>
        <v>CF 38</v>
      </c>
      <c r="UR4" s="241" t="str">
        <f t="shared" si="18"/>
        <v>CF 39</v>
      </c>
      <c r="US4" s="241" t="str">
        <f t="shared" si="18"/>
        <v>CF 40</v>
      </c>
      <c r="UT4" s="241" t="str">
        <f t="shared" si="18"/>
        <v>CF 41</v>
      </c>
      <c r="UU4" s="241" t="str">
        <f t="shared" si="18"/>
        <v>CF 42</v>
      </c>
      <c r="UV4" s="241" t="str">
        <f t="shared" si="18"/>
        <v>CF 43</v>
      </c>
      <c r="UW4" s="241" t="str">
        <f t="shared" si="18"/>
        <v>CF 44</v>
      </c>
      <c r="UX4" s="241" t="str">
        <f t="shared" si="18"/>
        <v>CF 45</v>
      </c>
      <c r="UY4" s="241" t="str">
        <f t="shared" si="18"/>
        <v>CF 46</v>
      </c>
      <c r="UZ4" s="241" t="str">
        <f t="shared" si="18"/>
        <v>CF 47</v>
      </c>
      <c r="VA4" s="241" t="str">
        <f t="shared" si="18"/>
        <v>CF 48</v>
      </c>
      <c r="VB4" s="241" t="str">
        <f t="shared" si="18"/>
        <v>CF 49</v>
      </c>
      <c r="VC4" s="241" t="str">
        <f t="shared" si="18"/>
        <v>CF 50</v>
      </c>
      <c r="VD4" s="241" t="str">
        <f t="shared" si="18"/>
        <v>CF 51</v>
      </c>
      <c r="VE4" s="241" t="str">
        <f t="shared" si="18"/>
        <v>CF 52</v>
      </c>
      <c r="VF4" s="241" t="str">
        <f t="shared" si="18"/>
        <v>CF 53</v>
      </c>
      <c r="VG4" s="241" t="str">
        <f t="shared" si="18"/>
        <v>CF 54</v>
      </c>
      <c r="VH4" s="241" t="str">
        <f t="shared" si="18"/>
        <v>CF 55</v>
      </c>
      <c r="VI4" s="241" t="str">
        <f t="shared" si="18"/>
        <v>CF 56</v>
      </c>
      <c r="VJ4" s="241" t="str">
        <f t="shared" si="18"/>
        <v>CF 57</v>
      </c>
      <c r="VK4" s="241" t="str">
        <f t="shared" si="18"/>
        <v>CF 58</v>
      </c>
      <c r="VL4" s="241" t="str">
        <f t="shared" si="18"/>
        <v>CF 59</v>
      </c>
      <c r="VM4" s="241" t="str">
        <f t="shared" si="18"/>
        <v>CF 60</v>
      </c>
      <c r="VN4" s="241" t="str">
        <f t="shared" si="18"/>
        <v>CF 61</v>
      </c>
      <c r="VO4" s="241" t="str">
        <f t="shared" si="18"/>
        <v>CF 62</v>
      </c>
      <c r="VP4" s="241" t="str">
        <f t="shared" si="18"/>
        <v>CF 63</v>
      </c>
      <c r="VQ4" s="241" t="str">
        <f t="shared" si="18"/>
        <v>CF 64</v>
      </c>
      <c r="VR4" s="241" t="str">
        <f t="shared" si="18"/>
        <v>CF 65</v>
      </c>
      <c r="VS4" s="241" t="str">
        <f t="shared" ref="VS4:YD4" si="19">"CF "&amp;VS2</f>
        <v>CF 66</v>
      </c>
      <c r="VT4" s="241" t="str">
        <f t="shared" si="19"/>
        <v>CF 67</v>
      </c>
      <c r="VU4" s="241" t="str">
        <f t="shared" si="19"/>
        <v>CF 68</v>
      </c>
      <c r="VV4" s="241" t="str">
        <f t="shared" si="19"/>
        <v>CF 69</v>
      </c>
      <c r="VW4" s="241" t="str">
        <f t="shared" si="19"/>
        <v>CF 70</v>
      </c>
      <c r="VX4" s="241" t="str">
        <f t="shared" si="19"/>
        <v>CF 71</v>
      </c>
      <c r="VY4" s="241" t="str">
        <f t="shared" si="19"/>
        <v>CF 72</v>
      </c>
      <c r="VZ4" s="241" t="str">
        <f t="shared" si="19"/>
        <v>CF 73</v>
      </c>
      <c r="WA4" s="241" t="str">
        <f t="shared" si="19"/>
        <v>CF 74</v>
      </c>
      <c r="WB4" s="241" t="str">
        <f t="shared" si="19"/>
        <v>CF 75</v>
      </c>
      <c r="WC4" s="241" t="str">
        <f t="shared" si="19"/>
        <v>CF 76</v>
      </c>
      <c r="WD4" s="241" t="str">
        <f t="shared" si="19"/>
        <v>CF 77</v>
      </c>
      <c r="WE4" s="241" t="str">
        <f t="shared" si="19"/>
        <v>CF 78</v>
      </c>
      <c r="WF4" s="241" t="str">
        <f t="shared" si="19"/>
        <v>CF 79</v>
      </c>
      <c r="WG4" s="241" t="str">
        <f t="shared" si="19"/>
        <v>CF 80</v>
      </c>
      <c r="WH4" s="241" t="str">
        <f t="shared" si="19"/>
        <v>CF 81</v>
      </c>
      <c r="WI4" s="241" t="str">
        <f t="shared" si="19"/>
        <v>CF 82</v>
      </c>
      <c r="WJ4" s="241" t="str">
        <f t="shared" si="19"/>
        <v>CF 83</v>
      </c>
      <c r="WK4" s="241" t="str">
        <f t="shared" si="19"/>
        <v>CF 84</v>
      </c>
      <c r="WL4" s="241" t="str">
        <f t="shared" si="19"/>
        <v>CF 85</v>
      </c>
      <c r="WM4" s="241" t="str">
        <f t="shared" si="19"/>
        <v>CF 86</v>
      </c>
      <c r="WN4" s="241" t="str">
        <f t="shared" si="19"/>
        <v>CF 87</v>
      </c>
      <c r="WO4" s="241" t="str">
        <f t="shared" si="19"/>
        <v>CF 88</v>
      </c>
      <c r="WP4" s="241" t="str">
        <f t="shared" si="19"/>
        <v>CF 89</v>
      </c>
      <c r="WQ4" s="241" t="str">
        <f t="shared" si="19"/>
        <v>CF 90</v>
      </c>
      <c r="WR4" s="241" t="str">
        <f t="shared" si="19"/>
        <v>CF 91</v>
      </c>
      <c r="WS4" s="241" t="str">
        <f t="shared" si="19"/>
        <v>CF 92</v>
      </c>
      <c r="WT4" s="241" t="str">
        <f t="shared" si="19"/>
        <v>CF 93</v>
      </c>
      <c r="WU4" s="241" t="str">
        <f t="shared" si="19"/>
        <v>CF 94</v>
      </c>
      <c r="WV4" s="241" t="str">
        <f t="shared" si="19"/>
        <v>CF 95</v>
      </c>
      <c r="WW4" s="241" t="str">
        <f t="shared" si="19"/>
        <v>CF 96</v>
      </c>
      <c r="WX4" s="241" t="str">
        <f t="shared" si="19"/>
        <v>CF 97</v>
      </c>
      <c r="WY4" s="241" t="str">
        <f t="shared" si="19"/>
        <v>CF 98</v>
      </c>
      <c r="WZ4" s="241" t="str">
        <f t="shared" si="19"/>
        <v>CF 99</v>
      </c>
      <c r="XA4" s="241" t="str">
        <f t="shared" si="19"/>
        <v>CF 100</v>
      </c>
      <c r="XB4" s="241" t="str">
        <f t="shared" si="19"/>
        <v>CF 101</v>
      </c>
      <c r="XC4" s="241" t="str">
        <f t="shared" si="19"/>
        <v>CF 102</v>
      </c>
      <c r="XD4" s="241" t="str">
        <f t="shared" si="19"/>
        <v>CF 103</v>
      </c>
      <c r="XE4" s="241" t="str">
        <f t="shared" si="19"/>
        <v>CF 104</v>
      </c>
      <c r="XF4" s="241" t="str">
        <f t="shared" si="19"/>
        <v>CF 105</v>
      </c>
      <c r="XG4" s="241" t="str">
        <f t="shared" si="19"/>
        <v>CF 106</v>
      </c>
      <c r="XH4" s="241" t="str">
        <f t="shared" si="19"/>
        <v>CF 107</v>
      </c>
      <c r="XI4" s="241" t="str">
        <f t="shared" si="19"/>
        <v>CF 108</v>
      </c>
      <c r="XJ4" s="241" t="str">
        <f t="shared" si="19"/>
        <v>CF 109</v>
      </c>
      <c r="XK4" s="241" t="str">
        <f t="shared" si="19"/>
        <v>CF 110</v>
      </c>
      <c r="XL4" s="241" t="str">
        <f t="shared" si="19"/>
        <v>CF 111</v>
      </c>
      <c r="XM4" s="241" t="str">
        <f t="shared" si="19"/>
        <v>CF 112</v>
      </c>
      <c r="XN4" s="241" t="str">
        <f t="shared" si="19"/>
        <v>CF 113</v>
      </c>
      <c r="XO4" s="241" t="str">
        <f t="shared" si="19"/>
        <v>CF 114</v>
      </c>
      <c r="XP4" s="241" t="str">
        <f t="shared" si="19"/>
        <v>CF 115</v>
      </c>
      <c r="XQ4" s="241" t="str">
        <f t="shared" si="19"/>
        <v>CF 116</v>
      </c>
      <c r="XR4" s="241" t="str">
        <f t="shared" si="19"/>
        <v>CF 117</v>
      </c>
      <c r="XS4" s="241" t="str">
        <f t="shared" si="19"/>
        <v>CF 118</v>
      </c>
      <c r="XT4" s="241" t="str">
        <f t="shared" si="19"/>
        <v>CF 119</v>
      </c>
      <c r="XU4" s="241" t="str">
        <f t="shared" si="19"/>
        <v>CF 120</v>
      </c>
      <c r="XV4" s="241" t="str">
        <f t="shared" si="19"/>
        <v>CF 121</v>
      </c>
      <c r="XW4" s="241" t="str">
        <f t="shared" si="19"/>
        <v>CF 122</v>
      </c>
      <c r="XX4" s="241" t="str">
        <f t="shared" si="19"/>
        <v>CF 123</v>
      </c>
      <c r="XY4" s="241" t="str">
        <f t="shared" si="19"/>
        <v>CF 124</v>
      </c>
      <c r="XZ4" s="241" t="str">
        <f t="shared" si="19"/>
        <v>CF 125</v>
      </c>
      <c r="YA4" s="241" t="str">
        <f t="shared" si="19"/>
        <v>CF 126</v>
      </c>
      <c r="YB4" s="241" t="str">
        <f t="shared" si="19"/>
        <v>CF 127</v>
      </c>
      <c r="YC4" s="241" t="str">
        <f t="shared" si="19"/>
        <v>CF 128</v>
      </c>
      <c r="YD4" s="241" t="str">
        <f t="shared" si="19"/>
        <v>CF 129</v>
      </c>
      <c r="YE4" s="241" t="str">
        <f t="shared" ref="YE4:AAP4" si="20">"CF "&amp;YE2</f>
        <v>CF 130</v>
      </c>
      <c r="YF4" s="241" t="str">
        <f t="shared" si="20"/>
        <v>CF 131</v>
      </c>
      <c r="YG4" s="241" t="str">
        <f t="shared" si="20"/>
        <v>CF 132</v>
      </c>
      <c r="YH4" s="241" t="str">
        <f t="shared" si="20"/>
        <v>CF 133</v>
      </c>
      <c r="YI4" s="241" t="str">
        <f t="shared" si="20"/>
        <v>CF 134</v>
      </c>
      <c r="YJ4" s="241" t="str">
        <f t="shared" si="20"/>
        <v>CF 135</v>
      </c>
      <c r="YK4" s="241" t="str">
        <f t="shared" si="20"/>
        <v>CF 136</v>
      </c>
      <c r="YL4" s="241" t="str">
        <f t="shared" si="20"/>
        <v>CF 137</v>
      </c>
      <c r="YM4" s="241" t="str">
        <f t="shared" si="20"/>
        <v>CF 138</v>
      </c>
      <c r="YN4" s="241" t="str">
        <f t="shared" si="20"/>
        <v>CF 139</v>
      </c>
      <c r="YO4" s="241" t="str">
        <f t="shared" si="20"/>
        <v>CF 140</v>
      </c>
      <c r="YP4" s="241" t="str">
        <f t="shared" si="20"/>
        <v>CF 141</v>
      </c>
      <c r="YQ4" s="241" t="str">
        <f t="shared" si="20"/>
        <v>CF 142</v>
      </c>
      <c r="YR4" s="241" t="str">
        <f t="shared" si="20"/>
        <v>CF 143</v>
      </c>
      <c r="YS4" s="241" t="str">
        <f t="shared" si="20"/>
        <v>CF 144</v>
      </c>
      <c r="YT4" s="241" t="str">
        <f t="shared" si="20"/>
        <v>CF 145</v>
      </c>
      <c r="YU4" s="241" t="str">
        <f t="shared" si="20"/>
        <v>CF 146</v>
      </c>
      <c r="YV4" s="241" t="str">
        <f t="shared" si="20"/>
        <v>CF 147</v>
      </c>
      <c r="YW4" s="241" t="str">
        <f t="shared" si="20"/>
        <v>CF 148</v>
      </c>
      <c r="YX4" s="241" t="str">
        <f t="shared" si="20"/>
        <v>CF 149</v>
      </c>
      <c r="YY4" s="241" t="str">
        <f t="shared" si="20"/>
        <v>CF 150</v>
      </c>
      <c r="YZ4" s="241" t="str">
        <f t="shared" si="20"/>
        <v>CF 151</v>
      </c>
      <c r="ZA4" s="241" t="str">
        <f t="shared" si="20"/>
        <v>CF 152</v>
      </c>
      <c r="ZB4" s="241" t="str">
        <f t="shared" si="20"/>
        <v>CF 153</v>
      </c>
      <c r="ZC4" s="241" t="str">
        <f t="shared" si="20"/>
        <v>CF 154</v>
      </c>
      <c r="ZD4" s="241" t="str">
        <f t="shared" si="20"/>
        <v>CF 155</v>
      </c>
      <c r="ZE4" s="241" t="str">
        <f t="shared" si="20"/>
        <v>CF 156</v>
      </c>
      <c r="ZF4" s="241" t="str">
        <f t="shared" si="20"/>
        <v>CF 157</v>
      </c>
      <c r="ZG4" s="241" t="str">
        <f t="shared" si="20"/>
        <v>CF 158</v>
      </c>
      <c r="ZH4" s="241" t="str">
        <f t="shared" si="20"/>
        <v>CF 159</v>
      </c>
      <c r="ZI4" s="241" t="str">
        <f t="shared" si="20"/>
        <v>CF 160</v>
      </c>
      <c r="ZJ4" s="241" t="str">
        <f t="shared" si="20"/>
        <v>CF 161</v>
      </c>
      <c r="ZK4" s="241" t="str">
        <f t="shared" si="20"/>
        <v>CF 162</v>
      </c>
      <c r="ZL4" s="241" t="str">
        <f t="shared" si="20"/>
        <v>CF 163</v>
      </c>
      <c r="ZM4" s="241" t="str">
        <f t="shared" si="20"/>
        <v>CF 164</v>
      </c>
      <c r="ZN4" s="241" t="str">
        <f t="shared" si="20"/>
        <v>CF 165</v>
      </c>
      <c r="ZO4" s="241" t="str">
        <f t="shared" si="20"/>
        <v>CF 166</v>
      </c>
      <c r="ZP4" s="241" t="str">
        <f t="shared" si="20"/>
        <v>CF 167</v>
      </c>
      <c r="ZQ4" s="241" t="str">
        <f t="shared" si="20"/>
        <v>CF 168</v>
      </c>
      <c r="ZR4" s="241" t="str">
        <f t="shared" si="20"/>
        <v>CF 169</v>
      </c>
      <c r="ZS4" s="241" t="str">
        <f t="shared" si="20"/>
        <v>CF 170</v>
      </c>
      <c r="ZT4" s="241" t="str">
        <f t="shared" si="20"/>
        <v>CF 171</v>
      </c>
      <c r="ZU4" s="241" t="str">
        <f t="shared" si="20"/>
        <v>CF 172</v>
      </c>
      <c r="ZV4" s="241" t="str">
        <f t="shared" si="20"/>
        <v>CF 173</v>
      </c>
      <c r="ZW4" s="241" t="str">
        <f t="shared" si="20"/>
        <v>CF 174</v>
      </c>
      <c r="ZX4" s="241" t="str">
        <f t="shared" si="20"/>
        <v>CF 175</v>
      </c>
      <c r="ZY4" s="241" t="str">
        <f t="shared" si="20"/>
        <v>CF 176</v>
      </c>
      <c r="ZZ4" s="241" t="str">
        <f t="shared" si="20"/>
        <v>CF 177</v>
      </c>
      <c r="AAA4" s="241" t="str">
        <f t="shared" si="20"/>
        <v>CF 178</v>
      </c>
      <c r="AAB4" s="241" t="str">
        <f t="shared" si="20"/>
        <v>CF 179</v>
      </c>
      <c r="AAC4" s="241" t="str">
        <f t="shared" si="20"/>
        <v>CF 180</v>
      </c>
      <c r="AAD4" s="241" t="str">
        <f t="shared" si="20"/>
        <v>CF 181</v>
      </c>
      <c r="AAE4" s="241" t="str">
        <f t="shared" si="20"/>
        <v>CF 182</v>
      </c>
      <c r="AAF4" s="241" t="str">
        <f t="shared" si="20"/>
        <v>CF 183</v>
      </c>
      <c r="AAG4" s="241" t="str">
        <f t="shared" si="20"/>
        <v>CF 184</v>
      </c>
      <c r="AAH4" s="241" t="str">
        <f t="shared" si="20"/>
        <v>CF 185</v>
      </c>
      <c r="AAI4" s="241" t="str">
        <f t="shared" si="20"/>
        <v>CF 186</v>
      </c>
      <c r="AAJ4" s="241" t="str">
        <f t="shared" si="20"/>
        <v>CF 187</v>
      </c>
      <c r="AAK4" s="241" t="str">
        <f t="shared" si="20"/>
        <v>CF 188</v>
      </c>
      <c r="AAL4" s="241" t="str">
        <f t="shared" si="20"/>
        <v>CF 189</v>
      </c>
      <c r="AAM4" s="241" t="str">
        <f t="shared" si="20"/>
        <v>CF 190</v>
      </c>
      <c r="AAN4" s="241" t="str">
        <f t="shared" si="20"/>
        <v>CF 191</v>
      </c>
      <c r="AAO4" s="241" t="str">
        <f t="shared" si="20"/>
        <v>CF 192</v>
      </c>
      <c r="AAP4" s="241" t="str">
        <f t="shared" si="20"/>
        <v>CF 193</v>
      </c>
      <c r="AAQ4" s="241" t="str">
        <f t="shared" ref="AAQ4:ADB4" si="21">"CF "&amp;AAQ2</f>
        <v>CF 194</v>
      </c>
      <c r="AAR4" s="241" t="str">
        <f t="shared" si="21"/>
        <v>CF 195</v>
      </c>
      <c r="AAS4" s="241" t="str">
        <f t="shared" si="21"/>
        <v>CF 196</v>
      </c>
      <c r="AAT4" s="241" t="str">
        <f t="shared" si="21"/>
        <v>CF 197</v>
      </c>
      <c r="AAU4" s="241" t="str">
        <f t="shared" si="21"/>
        <v>CF 198</v>
      </c>
      <c r="AAV4" s="241" t="str">
        <f t="shared" si="21"/>
        <v>CF 199</v>
      </c>
      <c r="AAW4" s="241" t="str">
        <f t="shared" si="21"/>
        <v>CF 200</v>
      </c>
      <c r="AAX4" s="241" t="str">
        <f t="shared" si="21"/>
        <v>CF 201</v>
      </c>
      <c r="AAY4" s="241" t="str">
        <f t="shared" si="21"/>
        <v>CF 202</v>
      </c>
      <c r="AAZ4" s="241" t="str">
        <f t="shared" si="21"/>
        <v>CF 203</v>
      </c>
      <c r="ABA4" s="241" t="str">
        <f t="shared" si="21"/>
        <v>CF 204</v>
      </c>
      <c r="ABB4" s="241" t="str">
        <f t="shared" si="21"/>
        <v>CF 205</v>
      </c>
      <c r="ABC4" s="241" t="str">
        <f t="shared" si="21"/>
        <v>CF 206</v>
      </c>
      <c r="ABD4" s="241" t="str">
        <f t="shared" si="21"/>
        <v>CF 207</v>
      </c>
      <c r="ABE4" s="241" t="str">
        <f t="shared" si="21"/>
        <v>CF 208</v>
      </c>
      <c r="ABF4" s="241" t="str">
        <f t="shared" si="21"/>
        <v>CF 209</v>
      </c>
      <c r="ABG4" s="241" t="str">
        <f t="shared" si="21"/>
        <v>CF 210</v>
      </c>
      <c r="ABH4" s="241" t="str">
        <f t="shared" si="21"/>
        <v>CF 211</v>
      </c>
      <c r="ABI4" s="241" t="str">
        <f t="shared" si="21"/>
        <v>CF 212</v>
      </c>
      <c r="ABJ4" s="241" t="str">
        <f t="shared" si="21"/>
        <v>CF 213</v>
      </c>
      <c r="ABK4" s="241" t="str">
        <f t="shared" si="21"/>
        <v>CF 214</v>
      </c>
      <c r="ABL4" s="241" t="str">
        <f t="shared" si="21"/>
        <v>CF 215</v>
      </c>
      <c r="ABM4" s="241" t="str">
        <f t="shared" si="21"/>
        <v>CF 216</v>
      </c>
      <c r="ABN4" s="241" t="str">
        <f t="shared" si="21"/>
        <v>CF 217</v>
      </c>
      <c r="ABO4" s="241" t="str">
        <f t="shared" si="21"/>
        <v>CF 218</v>
      </c>
      <c r="ABP4" s="241" t="str">
        <f t="shared" si="21"/>
        <v>CF 219</v>
      </c>
      <c r="ABQ4" s="241" t="str">
        <f t="shared" si="21"/>
        <v>CF 220</v>
      </c>
      <c r="ABR4" s="241" t="str">
        <f t="shared" si="21"/>
        <v>CF 221</v>
      </c>
      <c r="ABS4" s="241" t="str">
        <f t="shared" si="21"/>
        <v>CF 222</v>
      </c>
      <c r="ABT4" s="241" t="str">
        <f t="shared" si="21"/>
        <v>CF 223</v>
      </c>
      <c r="ABU4" s="241" t="str">
        <f t="shared" si="21"/>
        <v>CF 224</v>
      </c>
      <c r="ABV4" s="241" t="str">
        <f t="shared" si="21"/>
        <v>CF 225</v>
      </c>
      <c r="ABW4" s="241" t="str">
        <f t="shared" si="21"/>
        <v>CF 226</v>
      </c>
      <c r="ABX4" s="241" t="str">
        <f t="shared" si="21"/>
        <v>CF 227</v>
      </c>
      <c r="ABY4" s="241" t="str">
        <f t="shared" si="21"/>
        <v>CF 228</v>
      </c>
      <c r="ABZ4" s="241" t="str">
        <f t="shared" si="21"/>
        <v>CF 229</v>
      </c>
      <c r="ACA4" s="241" t="str">
        <f t="shared" si="21"/>
        <v>CF 230</v>
      </c>
      <c r="ACB4" s="241" t="str">
        <f t="shared" si="21"/>
        <v>CF 231</v>
      </c>
      <c r="ACC4" s="241" t="str">
        <f t="shared" si="21"/>
        <v>CF 232</v>
      </c>
      <c r="ACD4" s="241" t="str">
        <f t="shared" si="21"/>
        <v>CF 233</v>
      </c>
      <c r="ACE4" s="241" t="str">
        <f t="shared" si="21"/>
        <v>CF 234</v>
      </c>
      <c r="ACF4" s="241" t="str">
        <f t="shared" si="21"/>
        <v>CF 235</v>
      </c>
      <c r="ACG4" s="241" t="str">
        <f t="shared" si="21"/>
        <v>CF 236</v>
      </c>
      <c r="ACH4" s="241" t="str">
        <f t="shared" si="21"/>
        <v>CF 237</v>
      </c>
      <c r="ACI4" s="241" t="str">
        <f t="shared" si="21"/>
        <v>CF 238</v>
      </c>
      <c r="ACJ4" s="241" t="str">
        <f t="shared" si="21"/>
        <v>CF 239</v>
      </c>
      <c r="ACK4" s="241" t="str">
        <f t="shared" si="21"/>
        <v>CF 240</v>
      </c>
      <c r="ACL4" s="241" t="str">
        <f t="shared" si="21"/>
        <v>CF 241</v>
      </c>
      <c r="ACM4" s="241" t="str">
        <f t="shared" si="21"/>
        <v>CF 242</v>
      </c>
      <c r="ACN4" s="241" t="str">
        <f t="shared" si="21"/>
        <v>CF 243</v>
      </c>
      <c r="ACO4" s="241" t="str">
        <f t="shared" si="21"/>
        <v>CF 244</v>
      </c>
      <c r="ACP4" s="241" t="str">
        <f t="shared" si="21"/>
        <v>CF 245</v>
      </c>
      <c r="ACQ4" s="241" t="str">
        <f t="shared" si="21"/>
        <v>CF 246</v>
      </c>
      <c r="ACR4" s="241" t="str">
        <f t="shared" si="21"/>
        <v>CF 247</v>
      </c>
      <c r="ACS4" s="241" t="str">
        <f t="shared" si="21"/>
        <v>CF 248</v>
      </c>
      <c r="ACT4" s="241" t="str">
        <f t="shared" si="21"/>
        <v>CF 249</v>
      </c>
      <c r="ACU4" s="241" t="str">
        <f t="shared" si="21"/>
        <v>CF 250</v>
      </c>
      <c r="ACV4" s="241" t="str">
        <f t="shared" si="21"/>
        <v>CF 251</v>
      </c>
      <c r="ACW4" s="241" t="str">
        <f t="shared" si="21"/>
        <v>CF 252</v>
      </c>
      <c r="ACX4" s="241" t="str">
        <f t="shared" si="21"/>
        <v>CF 253</v>
      </c>
      <c r="ACY4" s="241" t="str">
        <f t="shared" si="21"/>
        <v>CF 254</v>
      </c>
      <c r="ACZ4" s="241" t="str">
        <f t="shared" si="21"/>
        <v>CF 255</v>
      </c>
      <c r="ADA4" s="241" t="str">
        <f t="shared" si="21"/>
        <v>CF 256</v>
      </c>
      <c r="ADB4" s="241" t="str">
        <f t="shared" si="21"/>
        <v>CF 257</v>
      </c>
      <c r="ADC4" s="241" t="str">
        <f t="shared" ref="ADC4:AFN4" si="22">"CF "&amp;ADC2</f>
        <v>CF 258</v>
      </c>
      <c r="ADD4" s="241" t="str">
        <f t="shared" si="22"/>
        <v>CF 259</v>
      </c>
      <c r="ADE4" s="241" t="str">
        <f t="shared" si="22"/>
        <v>CF 260</v>
      </c>
      <c r="ADF4" s="241" t="str">
        <f t="shared" si="22"/>
        <v>CF 261</v>
      </c>
      <c r="ADG4" s="241" t="str">
        <f t="shared" si="22"/>
        <v>CF 262</v>
      </c>
      <c r="ADH4" s="241" t="str">
        <f t="shared" si="22"/>
        <v>CF 263</v>
      </c>
      <c r="ADI4" s="241" t="str">
        <f t="shared" si="22"/>
        <v>CF 264</v>
      </c>
      <c r="ADJ4" s="241" t="str">
        <f t="shared" si="22"/>
        <v>CF 265</v>
      </c>
      <c r="ADK4" s="241" t="str">
        <f t="shared" si="22"/>
        <v>CF 266</v>
      </c>
      <c r="ADL4" s="241" t="str">
        <f t="shared" si="22"/>
        <v>CF 267</v>
      </c>
      <c r="ADM4" s="241" t="str">
        <f t="shared" si="22"/>
        <v>CF 268</v>
      </c>
      <c r="ADN4" s="241" t="str">
        <f t="shared" si="22"/>
        <v>CF 269</v>
      </c>
      <c r="ADO4" s="241" t="str">
        <f t="shared" si="22"/>
        <v>CF 270</v>
      </c>
      <c r="ADP4" s="241" t="str">
        <f t="shared" si="22"/>
        <v>CF 271</v>
      </c>
      <c r="ADQ4" s="241" t="str">
        <f t="shared" si="22"/>
        <v>CF 272</v>
      </c>
      <c r="ADR4" s="241" t="str">
        <f t="shared" si="22"/>
        <v>CF 273</v>
      </c>
      <c r="ADS4" s="241" t="str">
        <f t="shared" si="22"/>
        <v>CF 274</v>
      </c>
      <c r="ADT4" s="241" t="str">
        <f t="shared" si="22"/>
        <v>CF 275</v>
      </c>
      <c r="ADU4" s="241" t="str">
        <f t="shared" si="22"/>
        <v>CF 276</v>
      </c>
      <c r="ADV4" s="241" t="str">
        <f t="shared" si="22"/>
        <v>CF 277</v>
      </c>
      <c r="ADW4" s="241" t="str">
        <f t="shared" si="22"/>
        <v>CF 278</v>
      </c>
      <c r="ADX4" s="241" t="str">
        <f t="shared" si="22"/>
        <v>CF 279</v>
      </c>
      <c r="ADY4" s="241" t="str">
        <f t="shared" si="22"/>
        <v>CF 280</v>
      </c>
      <c r="ADZ4" s="241" t="str">
        <f t="shared" si="22"/>
        <v>CF 281</v>
      </c>
      <c r="AEA4" s="241" t="str">
        <f t="shared" si="22"/>
        <v>CF 282</v>
      </c>
      <c r="AEB4" s="241" t="str">
        <f t="shared" si="22"/>
        <v>CF 283</v>
      </c>
      <c r="AEC4" s="241" t="str">
        <f t="shared" si="22"/>
        <v>CF 284</v>
      </c>
      <c r="AED4" s="241" t="str">
        <f t="shared" si="22"/>
        <v>CF 285</v>
      </c>
      <c r="AEE4" s="241" t="str">
        <f t="shared" si="22"/>
        <v>CF 286</v>
      </c>
      <c r="AEF4" s="241" t="str">
        <f t="shared" si="22"/>
        <v>CF 287</v>
      </c>
      <c r="AEG4" s="241" t="str">
        <f t="shared" si="22"/>
        <v>CF 288</v>
      </c>
      <c r="AEH4" s="241" t="str">
        <f t="shared" si="22"/>
        <v>CF 289</v>
      </c>
      <c r="AEI4" s="241" t="str">
        <f t="shared" si="22"/>
        <v>CF 290</v>
      </c>
      <c r="AEJ4" s="241" t="str">
        <f t="shared" si="22"/>
        <v>CF 291</v>
      </c>
      <c r="AEK4" s="241" t="str">
        <f t="shared" si="22"/>
        <v>CF 292</v>
      </c>
      <c r="AEL4" s="241" t="str">
        <f t="shared" si="22"/>
        <v>CF 293</v>
      </c>
      <c r="AEM4" s="241" t="str">
        <f t="shared" si="22"/>
        <v>CF 294</v>
      </c>
      <c r="AEN4" s="241" t="str">
        <f t="shared" si="22"/>
        <v>CF 295</v>
      </c>
      <c r="AEO4" s="241" t="str">
        <f t="shared" si="22"/>
        <v>CF 296</v>
      </c>
      <c r="AEP4" s="241" t="str">
        <f t="shared" si="22"/>
        <v>CF 297</v>
      </c>
      <c r="AEQ4" s="241" t="str">
        <f t="shared" si="22"/>
        <v>CF 298</v>
      </c>
      <c r="AER4" s="241" t="str">
        <f t="shared" si="22"/>
        <v>CF 299</v>
      </c>
      <c r="AES4" s="241" t="str">
        <f t="shared" si="22"/>
        <v>CF 300</v>
      </c>
      <c r="AET4" s="241" t="str">
        <f t="shared" si="22"/>
        <v>CF 301</v>
      </c>
      <c r="AEU4" s="241" t="str">
        <f t="shared" si="22"/>
        <v>CF 302</v>
      </c>
      <c r="AEV4" s="241" t="str">
        <f t="shared" si="22"/>
        <v>CF 303</v>
      </c>
      <c r="AEW4" s="241" t="str">
        <f t="shared" si="22"/>
        <v>CF 304</v>
      </c>
      <c r="AEX4" s="241" t="str">
        <f t="shared" si="22"/>
        <v>CF 305</v>
      </c>
      <c r="AEY4" s="241" t="str">
        <f t="shared" si="22"/>
        <v>CF 306</v>
      </c>
      <c r="AEZ4" s="241" t="str">
        <f t="shared" si="22"/>
        <v>CF 307</v>
      </c>
      <c r="AFA4" s="241" t="str">
        <f t="shared" si="22"/>
        <v>CF 308</v>
      </c>
      <c r="AFB4" s="241" t="str">
        <f t="shared" si="22"/>
        <v>CF 309</v>
      </c>
      <c r="AFC4" s="241" t="str">
        <f t="shared" si="22"/>
        <v>CF 310</v>
      </c>
      <c r="AFD4" s="241" t="str">
        <f t="shared" si="22"/>
        <v>CF 311</v>
      </c>
      <c r="AFE4" s="241" t="str">
        <f t="shared" si="22"/>
        <v>CF 312</v>
      </c>
      <c r="AFF4" s="241" t="str">
        <f t="shared" si="22"/>
        <v>CF 313</v>
      </c>
      <c r="AFG4" s="241" t="str">
        <f t="shared" si="22"/>
        <v>CF 314</v>
      </c>
      <c r="AFH4" s="241" t="str">
        <f t="shared" si="22"/>
        <v>CF 315</v>
      </c>
      <c r="AFI4" s="241" t="str">
        <f t="shared" si="22"/>
        <v>CF 316</v>
      </c>
      <c r="AFJ4" s="241" t="str">
        <f t="shared" si="22"/>
        <v>CF 317</v>
      </c>
      <c r="AFK4" s="241" t="str">
        <f t="shared" si="22"/>
        <v>CF 318</v>
      </c>
      <c r="AFL4" s="241" t="str">
        <f t="shared" si="22"/>
        <v>CF 319</v>
      </c>
      <c r="AFM4" s="241" t="str">
        <f t="shared" si="22"/>
        <v>CF 320</v>
      </c>
      <c r="AFN4" s="241" t="str">
        <f t="shared" si="22"/>
        <v>CF 321</v>
      </c>
      <c r="AFO4" s="241" t="str">
        <f t="shared" ref="AFO4:AHA4" si="23">"CF "&amp;AFO2</f>
        <v>CF 322</v>
      </c>
      <c r="AFP4" s="241" t="str">
        <f t="shared" si="23"/>
        <v>CF 323</v>
      </c>
      <c r="AFQ4" s="241" t="str">
        <f t="shared" si="23"/>
        <v>CF 324</v>
      </c>
      <c r="AFR4" s="241" t="str">
        <f t="shared" si="23"/>
        <v>CF 325</v>
      </c>
      <c r="AFS4" s="241" t="str">
        <f t="shared" si="23"/>
        <v>CF 326</v>
      </c>
      <c r="AFT4" s="241" t="str">
        <f t="shared" si="23"/>
        <v>CF 327</v>
      </c>
      <c r="AFU4" s="241" t="str">
        <f t="shared" si="23"/>
        <v>CF 328</v>
      </c>
      <c r="AFV4" s="241" t="str">
        <f t="shared" si="23"/>
        <v>CF 329</v>
      </c>
      <c r="AFW4" s="241" t="str">
        <f t="shared" si="23"/>
        <v>CF 330</v>
      </c>
      <c r="AFX4" s="241" t="str">
        <f t="shared" si="23"/>
        <v>CF 331</v>
      </c>
      <c r="AFY4" s="241" t="str">
        <f t="shared" si="23"/>
        <v>CF 332</v>
      </c>
      <c r="AFZ4" s="241" t="str">
        <f t="shared" si="23"/>
        <v>CF 333</v>
      </c>
      <c r="AGA4" s="241" t="str">
        <f t="shared" si="23"/>
        <v>CF 334</v>
      </c>
      <c r="AGB4" s="241" t="str">
        <f t="shared" si="23"/>
        <v>CF 335</v>
      </c>
      <c r="AGC4" s="241" t="str">
        <f t="shared" si="23"/>
        <v>CF 336</v>
      </c>
      <c r="AGD4" s="241" t="str">
        <f t="shared" si="23"/>
        <v>CF 337</v>
      </c>
      <c r="AGE4" s="241" t="str">
        <f t="shared" si="23"/>
        <v>CF 338</v>
      </c>
      <c r="AGF4" s="241" t="str">
        <f t="shared" si="23"/>
        <v>CF 339</v>
      </c>
      <c r="AGG4" s="241" t="str">
        <f t="shared" si="23"/>
        <v>CF 340</v>
      </c>
      <c r="AGH4" s="241" t="str">
        <f t="shared" si="23"/>
        <v>CF 341</v>
      </c>
      <c r="AGI4" s="241" t="str">
        <f t="shared" si="23"/>
        <v>CF 342</v>
      </c>
      <c r="AGJ4" s="241" t="str">
        <f t="shared" si="23"/>
        <v>CF 343</v>
      </c>
      <c r="AGK4" s="241" t="str">
        <f t="shared" si="23"/>
        <v>CF 344</v>
      </c>
      <c r="AGL4" s="241" t="str">
        <f t="shared" si="23"/>
        <v>CF 345</v>
      </c>
      <c r="AGM4" s="241" t="str">
        <f t="shared" si="23"/>
        <v>CF 346</v>
      </c>
      <c r="AGN4" s="241" t="str">
        <f t="shared" si="23"/>
        <v>CF 347</v>
      </c>
      <c r="AGO4" s="241" t="str">
        <f t="shared" si="23"/>
        <v>CF 348</v>
      </c>
      <c r="AGP4" s="241" t="str">
        <f t="shared" si="23"/>
        <v>CF 349</v>
      </c>
      <c r="AGQ4" s="241" t="str">
        <f t="shared" si="23"/>
        <v>CF 350</v>
      </c>
      <c r="AGR4" s="241" t="str">
        <f t="shared" si="23"/>
        <v>CF 351</v>
      </c>
      <c r="AGS4" s="241" t="str">
        <f t="shared" si="23"/>
        <v>CF 352</v>
      </c>
      <c r="AGT4" s="241" t="str">
        <f t="shared" si="23"/>
        <v>CF 353</v>
      </c>
      <c r="AGU4" s="241" t="str">
        <f t="shared" si="23"/>
        <v>CF 354</v>
      </c>
      <c r="AGV4" s="241" t="str">
        <f t="shared" si="23"/>
        <v>CF 355</v>
      </c>
      <c r="AGW4" s="241" t="str">
        <f t="shared" si="23"/>
        <v>CF 356</v>
      </c>
      <c r="AGX4" s="241" t="str">
        <f t="shared" si="23"/>
        <v>CF 357</v>
      </c>
      <c r="AGY4" s="241" t="str">
        <f t="shared" si="23"/>
        <v>CF 358</v>
      </c>
      <c r="AGZ4" s="241" t="str">
        <f t="shared" si="23"/>
        <v>CF 359</v>
      </c>
      <c r="AHA4" s="241" t="str">
        <f t="shared" si="23"/>
        <v>CF 360</v>
      </c>
      <c r="AHB4" s="242"/>
    </row>
    <row r="5" spans="1:886" s="299" customFormat="1" x14ac:dyDescent="0.25">
      <c r="A5" s="243">
        <f>IFERROR(#REF!+1,1)</f>
        <v>1</v>
      </c>
      <c r="B5" s="244"/>
      <c r="C5" s="215"/>
      <c r="D5" s="245"/>
      <c r="E5" s="246">
        <f>IF(AA5&gt;0,EDATE(AA5,BS5-1),EDATE(C5,BS5))</f>
        <v>0</v>
      </c>
      <c r="F5" s="244"/>
      <c r="G5" s="247">
        <f>Borrower1Name</f>
        <v>0</v>
      </c>
      <c r="H5" s="248"/>
      <c r="I5" s="244"/>
      <c r="J5" s="244"/>
      <c r="K5" s="249"/>
      <c r="L5" s="250">
        <f>IF(AND(NOT(ISBLANK(K5)),J5="Homestead"),IF(C5&gt;DATEVALUE("12/31/"&amp;(YEAR(K5)+64)),0,ROUNDDOWN(YEARFRAC(C5,DATEVALUE("12/30/"&amp;(YEAR(K5)+64)))*12,0)),9999)</f>
        <v>9999</v>
      </c>
      <c r="M5" s="251">
        <f>Prop1CADLandValue</f>
        <v>0</v>
      </c>
      <c r="N5" s="252">
        <f>AmountToTaxCollector</f>
        <v>0</v>
      </c>
      <c r="O5" s="252">
        <f>ClosingCosts</f>
        <v>900</v>
      </c>
      <c r="P5" s="253" t="e">
        <f>IF($BU5="CREL",0,(IF(IFERROR(SEARCH("refi",F5),0),2,1)+MAX(1,H5))*VLOOKUP(IF(ISBLANK(D5),"Generic",D5),#REF!,5,FALSE)+(IF(IFERROR(SEARCH("refi",F5),0),4,2)+MAX(1,H5))*4)</f>
        <v>#REF!</v>
      </c>
      <c r="Q5" s="252">
        <f>RecordingFee</f>
        <v>0</v>
      </c>
      <c r="R5" s="254"/>
      <c r="S5" s="255">
        <f>SUM(N5:O5,Q5)</f>
        <v>900</v>
      </c>
      <c r="T5" s="253">
        <f>SUM(R5:S5)</f>
        <v>900</v>
      </c>
      <c r="U5" s="256">
        <f>IFERROR((R5+S5)/M5,9.99)</f>
        <v>9.99</v>
      </c>
      <c r="V5" s="253">
        <f>S5-O5+R5</f>
        <v>0</v>
      </c>
      <c r="W5" s="257">
        <f>InterestRate</f>
        <v>0</v>
      </c>
      <c r="X5" s="258">
        <f>Term</f>
        <v>0</v>
      </c>
      <c r="Y5" s="258"/>
      <c r="Z5" s="258"/>
      <c r="AA5" s="259"/>
      <c r="AB5" s="260">
        <f>IF($X5&gt;$Y5,INDEX($FG5:$TB5,$Y5),0)</f>
        <v>0</v>
      </c>
      <c r="AC5" s="260" t="e">
        <f ca="1">IF(L5&lt;IF(Y5,Y5,X5),"Max: "&amp;L5&amp;" mo.",IF($X5="IO",T5*AF5/12+BT5/BS5,-PMT($AF5/12,$BS5,$T5)+$BT5/BS5))</f>
        <v>#NUM!</v>
      </c>
      <c r="AD5" s="261" t="e">
        <f ca="1">IF(OR(X5="IO",AA5),"Not regular",RATE(X5,AC5,-V5)*12)</f>
        <v>#NUM!</v>
      </c>
      <c r="AE5" s="262">
        <f ca="1">IFERROR(MID($W5,1,SEARCH("+",$W5)-1)+$AV5,$W5)</f>
        <v>0</v>
      </c>
      <c r="AF5" s="262">
        <f ca="1">IFERROR(MID($W5,1,SEARCH("+",$W5)-1)+OFFSET(#REF!,MATCH($C5,#REF!,1)-1,0,1),$W5)</f>
        <v>0</v>
      </c>
      <c r="AG5" s="263" t="e">
        <f ca="1">IF(U5&gt;IF(BC5=0,1000,BC5),"LTV Too high",IF(OR($U5&gt;IF($BC5=0,1000,$BC5),AND($J5="Homestead",OR($X5&gt;$L5,$BU5="CREL"))),IF(IFERROR(SEARCH("CREL",$F5),0),"No CREL on HS","Max: "&amp;$L5&amp;" mo."),ROUND(IF(OR($AT5="2017a",$AT5&lt;2017),IFERROR((IF($BM5&gt;$BS5,$BM5/12*$AE5*$S5,IF($X5="IO",($AE5-$BE5)/12*$S5*BM5,-CUMIPMT($AE5/12,$BS5,$S5+$BT5,1,MIN($BM5,$BS5),0)*($AE5-$BE5)/$AE5))+$O5)-$BR5+IFERROR(IF(SEARCH("Refi",$F5),IF(BK5&gt;1,-SUM(MAX(0,$CO5),MAX(0,$DK5),MAX(0,$EG5),MAX(0,$FC5))+$BP5,$BR5),0),0),0),IF(IFERROR(SEARCH("Broker",F5),0),O5-$BK5,$TC5)-(ABS(IF(IFERROR(SEARCH("Broker",F5),0),O5,$TC5))*($BL5-IF(IFERROR(SEARCH("Refi",$F5),0),$BQ5)))),2))-AH5)</f>
        <v>#REF!</v>
      </c>
      <c r="AH5" s="263">
        <f>IF(IFERROR(SEARCH("Purchase",$F5),0),IF(IFERROR(SEARCH("CREL",$F5),0),INDEX(#REF!,MATCH($W5,#REF!,1),MATCH($U5,#REF!,1)),INDEX(#REF!,MATCH($W5,#REF!,1),MATCH($U5,#REF!,1)))*$X5/MAX($X5,48)*($N5+O5+Q5)+O5,0)</f>
        <v>0</v>
      </c>
      <c r="AI5" s="264" t="e">
        <f ca="1">ROUND(MAX(IFERROR(MIN(MAX(AG5,0)*IFERROR(MID(BD5,SEARCH("else",BD5)+5,LEN(BD5)-SEARCH("else",BD5)-5),1),MID(BD5,1,SEARCH("(",BD5)-1)),BD5),($BN5+IF(Z5="Y",BO5))*$AG5),2)</f>
        <v>#REF!</v>
      </c>
      <c r="AJ5" s="265" t="e">
        <f ca="1">AI5/T5</f>
        <v>#REF!</v>
      </c>
      <c r="AK5" s="260">
        <f ca="1">-PMT($W5/12,12,$T5+$BT5)</f>
        <v>75</v>
      </c>
      <c r="AL5" s="260">
        <f ca="1">-PMT($W5/12,36,$T5+$BT5)</f>
        <v>25</v>
      </c>
      <c r="AM5" s="260">
        <f ca="1">-PMT($W5/12,60,$T5+$BT5)</f>
        <v>15</v>
      </c>
      <c r="AN5" s="260">
        <f ca="1">-PMT($W5/12,84,$T5+$BT5)</f>
        <v>10.714285714285714</v>
      </c>
      <c r="AO5" s="260">
        <f ca="1">-PMT($W5/12,120,$T5+$BT5)</f>
        <v>7.5</v>
      </c>
      <c r="AP5" s="260" t="e">
        <f ca="1">T5*W5/12+BT5/BS5</f>
        <v>#DIV/0!</v>
      </c>
      <c r="AQ5" s="266"/>
      <c r="AR5" s="267"/>
      <c r="AS5" s="268"/>
      <c r="AT5" s="269" t="e">
        <f ca="1">MIN($AT$2,IF(AND(YEAR(C5)=2017,MONTH(C5)&lt;4),"2017a",IF(C5,YEAR(C5),YEAR(TODAY()))))</f>
        <v>#REF!</v>
      </c>
      <c r="AU5" s="270" t="e">
        <f ca="1">INDEX(OFFSET(#REF!,0,INDEX(#REF!,MATCH($F5,#REF!,0))+AU$2),MATCH($AT5,#REF!,0))</f>
        <v>#REF!</v>
      </c>
      <c r="AV5" s="261" t="b">
        <f ca="1">IF(IFERROR(SEARCH("+L",$AU5),0),AVERAGE(OFFSET(#REF!,MATCH(IF(ISBLANK($C5),TODAY(),$C5),#REF!,1)-1,0,$BM5-1)))</f>
        <v>0</v>
      </c>
      <c r="AW5" s="261" t="e">
        <f ca="1">IFERROR(MID(AU5,1,SEARCH("+LIBOR",AU5)-1),AU5)+0</f>
        <v>#REF!</v>
      </c>
      <c r="AX5" s="271" t="e">
        <f ca="1">INDEX(OFFSET(#REF!,0,INDEX(#REF!,MATCH($F5,#REF!,0))+AX$2),MATCH($AT5,#REF!,0))</f>
        <v>#REF!</v>
      </c>
      <c r="AY5" s="271" t="e">
        <f ca="1">INDEX(OFFSET(#REF!,0,INDEX(#REF!,MATCH($F5,#REF!,0))+AY$2),MATCH($AT5,#REF!,0))</f>
        <v>#REF!</v>
      </c>
      <c r="AZ5" s="271" t="e">
        <f ca="1">INDEX(OFFSET(#REF!,0,INDEX(#REF!,MATCH($F5,#REF!,0))+AZ$2),MATCH($AT5,#REF!,0))</f>
        <v>#REF!</v>
      </c>
      <c r="BA5" s="271" t="e">
        <f ca="1">INDEX(OFFSET(#REF!,0,INDEX(#REF!,MATCH($F5,#REF!,0))+BA$2),MATCH($AT5,#REF!,0))</f>
        <v>#REF!</v>
      </c>
      <c r="BB5" s="271" t="e">
        <f ca="1">INDEX(OFFSET(#REF!,0,INDEX(#REF!,MATCH($F5,#REF!,0))+BB$2),MATCH($AT5,#REF!,0))</f>
        <v>#REF!</v>
      </c>
      <c r="BC5" s="272" t="e">
        <f ca="1">INDEX(OFFSET(#REF!,0,INDEX(#REF!,MATCH($F5,#REF!,0))+BC$2),MATCH($AT5,#REF!,0))</f>
        <v>#REF!</v>
      </c>
      <c r="BD5" s="253" t="e">
        <f ca="1">INDEX(OFFSET(#REF!,0,INDEX(#REF!,MATCH($F5,#REF!,0))+BD$2),MATCH($AT5,#REF!,0))</f>
        <v>#REF!</v>
      </c>
      <c r="BE5" s="261" t="e">
        <f ca="1">(MAX(0,MIN(AY5,U5))*((AW5+AV5)*AZ5+(1-AZ5)*AX5)+IF(U5&gt;AY5,MAX(0,MIN(U5-AY5,BA5-AY5))*((AW5+AV5)*BB5+(1-BB5)*AX5)+IF(U5&gt;BA5,(U5-MAX(AY5,BA5))*AX5,0),0))/U5</f>
        <v>#REF!</v>
      </c>
      <c r="BF5" s="261" t="e">
        <f ca="1">IF(U5&gt;BC5,0,(MAX(0,MIN(AY5,U5))*AZ5+IF(U5&gt;AY5,MAX(0,MIN(U5-AY5,BA5-AY5))*BB5))/U5)</f>
        <v>#REF!</v>
      </c>
      <c r="BG5" s="253" t="e">
        <f ca="1">INDEX(OFFSET(#REF!,0,INDEX(#REF!,MATCH($F5,#REF!,0))+BG$2),MATCH($AT5,#REF!,0))</f>
        <v>#REF!</v>
      </c>
      <c r="BH5" s="261" t="e">
        <f ca="1">INDEX(OFFSET(#REF!,0,INDEX(#REF!,MATCH($F5,#REF!,0))+BH$2),MATCH($AT5,#REF!,0))</f>
        <v>#REF!</v>
      </c>
      <c r="BI5" s="272" t="e">
        <f ca="1">INDEX(OFFSET(#REF!,0,INDEX(#REF!,MATCH($F5,#REF!,0))+BI$2),MATCH($AT5,#REF!,0))</f>
        <v>#REF!</v>
      </c>
      <c r="BJ5" s="253" t="e">
        <f ca="1">IF(BG5="Variable",INDEX(OFFSET(#REF!,0,INDEX(#REF!,MATCH($F5,#REF!,0))+$BG$2+IFERROR(MATCH(U5,#REF!,-1),1)),MATCH($AT5,#REF!,0)),BG5)*(1-IF(IFERROR(SEARCH("Refi",$F5),0),BI5,0))</f>
        <v>#REF!</v>
      </c>
      <c r="BK5" s="253" t="e">
        <f ca="1">INDEX(OFFSET(#REF!,0,INDEX(#REF!,MATCH($F5,#REF!,0))+BK$2),MATCH($AT5,#REF!,0))</f>
        <v>#REF!</v>
      </c>
      <c r="BL5" s="272" t="e">
        <f ca="1">INDEX(OFFSET(#REF!,0,INDEX(#REF!,MATCH($F5,#REF!,0))+BL$2),MATCH($AT5,#REF!,0))</f>
        <v>#REF!</v>
      </c>
      <c r="BM5" s="273" t="e">
        <f ca="1">IF(INDEX(OFFSET(#REF!,0,INDEX(#REF!,MATCH($F5,#REF!,0))+BM$2),MATCH($AT5,#REF!,0)),MIN(IF(Y5,Y5,X5),INDEX(OFFSET(#REF!,0,INDEX(#REF!,MATCH($F5,#REF!,0))+BM$2),MATCH($AT5,#REF!,0))),ROUND(INDEX(OFFSET(#REF!,0,INDEX(#REF!,MATCH($F5,#REF!,0))+$BH$2+IFERROR(MATCH(IF(Y5,Y5,X5),#REF!,-1),1)),MATCH($AT5,#REF!,0))*IF(Y5,Y5,X5),0))</f>
        <v>#REF!</v>
      </c>
      <c r="BN5" s="261" t="e">
        <f ca="1">INDEX(OFFSET(#REF!,0,INDEX(#REF!,MATCH($F5,#REF!,0))+BN$2),MATCH($AT5,#REF!,0))</f>
        <v>#REF!</v>
      </c>
      <c r="BO5" s="261" t="e">
        <f ca="1">INDEX(OFFSET(#REF!,0,INDEX(#REF!,MATCH($F5,#REF!,0))+BO$2),MATCH($AT5,#REF!,0))</f>
        <v>#REF!</v>
      </c>
      <c r="BP5" s="253" t="e">
        <f ca="1">INDEX(OFFSET(#REF!,0,INDEX(#REF!,MATCH($F5,#REF!,0))+BP$2),MATCH($AT5,#REF!,0))</f>
        <v>#REF!</v>
      </c>
      <c r="BQ5" s="272" t="e">
        <f ca="1">INDEX(OFFSET(#REF!,0,INDEX(#REF!,MATCH($F5,#REF!,0))+BQ$2),MATCH($AT5,#REF!,0))</f>
        <v>#REF!</v>
      </c>
      <c r="BR5" s="253" t="e">
        <f ca="1">IF(BK5&lt;1,0,BK5)+BM5/12*BJ5</f>
        <v>#REF!</v>
      </c>
      <c r="BS5" s="269">
        <f>IF(AA5&gt;0,MIN(X5,ROUND(YEARFRAC($AA5,EDATE(C5,X5))*12,0)+1),IF(X5="IO",IF(Y5,Y5,120),X5))</f>
        <v>0</v>
      </c>
      <c r="BT5" s="274">
        <f ca="1">IF(AA5&gt;0,YEARFRAC(C5,AA5)*12-1)*AF5/12*S5</f>
        <v>0</v>
      </c>
      <c r="BU5" s="274" t="b">
        <f>IF(IFERROR(SEARCH("CREL",F5),0),"CREL",FALSE)</f>
        <v>0</v>
      </c>
      <c r="BV5" s="275"/>
      <c r="BW5" s="275"/>
      <c r="BX5" s="276"/>
      <c r="BY5" s="277"/>
      <c r="BZ5" s="277"/>
      <c r="CA5" s="255">
        <f>SUM(BY5:BZ5)</f>
        <v>0</v>
      </c>
      <c r="CB5" s="278"/>
      <c r="CC5" s="275"/>
      <c r="CD5" s="275"/>
      <c r="CE5" s="279">
        <f ca="1">IF(AND(YEAR(BV5)=2017,MONTH(BV5)&lt;4),"2017a",IF(BV5,YEAR(BV5),YEAR(TODAY())))</f>
        <v>2019</v>
      </c>
      <c r="CF5" s="261" t="e">
        <f ca="1">INDEX(OFFSET(#REF!,0,INDEX(Previous_Loan_Offsets,MATCH(BX5,Previous_Loan_Types,0))+$AW$2),MATCH(CE5,#REF!,0))</f>
        <v>#REF!</v>
      </c>
      <c r="CG5" s="253" t="e">
        <f ca="1">INDEX(OFFSET(#REF!,0,INDEX(Previous_Loan_Offsets,MATCH(BX5,Previous_Loan_Types,0))+$BJ$2),MATCH(CE5,#REF!,0))</f>
        <v>#REF!</v>
      </c>
      <c r="CH5" s="253" t="e">
        <f ca="1">INDEX(OFFSET(#REF!,0,INDEX(Previous_Loan_Offsets,MATCH(BX5,Previous_Loan_Types,0))+$BK$2),MATCH(CE5,#REF!,0))</f>
        <v>#REF!</v>
      </c>
      <c r="CI5" s="250" t="e">
        <f ca="1">ROUND(INDEX(OFFSET(#REF!,0,INDEX(Previous_Loan_Offsets,MATCH(BX5,Previous_Loan_Types,0))+$BH$2+IFERROR(MATCH(IF(CD5,CD5,CC5),#REF!,-1),1)),MATCH(CE5,#REF!,0))*CC5,0)</f>
        <v>#REF!</v>
      </c>
      <c r="CJ5" s="261" t="e">
        <f ca="1">INDEX(OFFSET(#REF!,0,INDEX(Previous_Loan_Offsets,MATCH(BX5,Previous_Loan_Types,0))+$BN$2),MATCH(CE5,#REF!,0))</f>
        <v>#REF!</v>
      </c>
      <c r="CK5" s="253" t="e">
        <f ca="1">INDEX(OFFSET(#REF!,0,INDEX(Previous_Loan_Offsets,MATCH(BX5,Previous_Loan_Types,0))+$BP$2),MATCH(CE5,#REF!,0))</f>
        <v>#REF!</v>
      </c>
      <c r="CL5" s="253" t="e">
        <f ca="1">CH5+CI5/12*CG5</f>
        <v>#REF!</v>
      </c>
      <c r="CM5" s="280">
        <f>IF(BW5&gt;0,MIN(CC5,ROUND(YEARFRAC(BW5,EDATE(BV5,CC5))*12,0)+1),CC5)</f>
        <v>0</v>
      </c>
      <c r="CN5" s="253">
        <f>IF(BW5&gt;0,YEARFRAC(BV5,BW5)*12-1)*CB5/12*CA5</f>
        <v>0</v>
      </c>
      <c r="CO5" s="263">
        <f ca="1">MAX(0,IFERROR(IF(CI5&gt;CM5,CI5/12*CB5*CA5,IF(CC5="IO",CB5/12*CI5+CN5,-CUMIPMT(CB5/12,CM5,CA5+CN5,1,MIN(CI5,CM5),0)))*(CB5-CF5)/CB5-CL5+BZ5+IFERROR(IF(SEARCH("Refi",BX5),CK5),0),0))</f>
        <v>0</v>
      </c>
      <c r="CP5" s="267"/>
      <c r="CQ5" s="268"/>
      <c r="CR5" s="281"/>
      <c r="CS5" s="282"/>
      <c r="CT5" s="283"/>
      <c r="CU5" s="284"/>
      <c r="CV5" s="284"/>
      <c r="CW5" s="255">
        <f>SUM(CU5:CV5)</f>
        <v>0</v>
      </c>
      <c r="CX5" s="285"/>
      <c r="CY5" s="286"/>
      <c r="CZ5" s="286"/>
      <c r="DA5" s="279">
        <f ca="1">IF(AND(YEAR(CR5)=2017,MONTH(CR5)&lt;4),"2017a",IF(CR5,YEAR(CR5),YEAR(TODAY())))</f>
        <v>2019</v>
      </c>
      <c r="DB5" s="261" t="e">
        <f ca="1">INDEX(OFFSET(#REF!,0,INDEX(Previous_Loan_Offsets,MATCH(CT5,Previous_Loan_Types,0))+$AW$2),MATCH(DA5,#REF!,0))</f>
        <v>#REF!</v>
      </c>
      <c r="DC5" s="253" t="e">
        <f ca="1">INDEX(OFFSET(#REF!,0,INDEX(Previous_Loan_Offsets,MATCH(CT5,Previous_Loan_Types,0))+$BJ$2),MATCH(DA5,#REF!,0))</f>
        <v>#REF!</v>
      </c>
      <c r="DD5" s="253" t="e">
        <f ca="1">INDEX(OFFSET(#REF!,0,INDEX(Previous_Loan_Offsets,MATCH(CT5,Previous_Loan_Types,0))+$BK$2),MATCH(DA5,#REF!,0))</f>
        <v>#REF!</v>
      </c>
      <c r="DE5" s="250" t="e">
        <f ca="1">ROUND(INDEX(OFFSET(#REF!,0,INDEX(Previous_Loan_Offsets,MATCH(CT5,Previous_Loan_Types,0))+$BH$2+IFERROR(MATCH(IF(CZ5,CZ5,CY5),#REF!,-1),1)),MATCH(DA5,#REF!,0))*CY5,0)</f>
        <v>#REF!</v>
      </c>
      <c r="DF5" s="261" t="e">
        <f ca="1">INDEX(OFFSET(#REF!,0,INDEX(Previous_Loan_Offsets,MATCH(CT5,Previous_Loan_Types,0))+$BN$2),MATCH(DA5,#REF!,0))</f>
        <v>#REF!</v>
      </c>
      <c r="DG5" s="253" t="e">
        <f ca="1">INDEX(OFFSET(#REF!,0,INDEX(Previous_Loan_Offsets,MATCH(CT5,Previous_Loan_Types,0))+$BP$2),MATCH(DA5,#REF!,0))</f>
        <v>#REF!</v>
      </c>
      <c r="DH5" s="253" t="e">
        <f ca="1">DD5+DE5/12*DC5</f>
        <v>#REF!</v>
      </c>
      <c r="DI5" s="280">
        <f>IF(CS5&gt;0,MIN(CY5,ROUND(YEARFRAC(CS5,EDATE(CR5,CY5))*12,0)+1),CY5)</f>
        <v>0</v>
      </c>
      <c r="DJ5" s="253">
        <f>IF(CS5&gt;0,YEARFRAC(CR5,CS5)*12-1)*CX5/12*CW5</f>
        <v>0</v>
      </c>
      <c r="DK5" s="263">
        <f ca="1">MAX(0,IFERROR(IF(DE5&gt;DI5,DE5/12*CX5*CW5,IF(CY5="IO",CX5/12*DE5+DJ5,-CUMIPMT(CX5/12,DI5,CW5+DJ5,1,MIN(DE5,DI5),0)))*(CX5-DB5)/CX5-DH5+CV5+IFERROR(IF(SEARCH("Refi",CT5),DG5),0),0))</f>
        <v>0</v>
      </c>
      <c r="DL5" s="267"/>
      <c r="DM5" s="268"/>
      <c r="DN5" s="287"/>
      <c r="DO5" s="288"/>
      <c r="DP5" s="289"/>
      <c r="DQ5" s="290"/>
      <c r="DR5" s="290"/>
      <c r="DS5" s="255">
        <f>SUM(DQ5:DR5)</f>
        <v>0</v>
      </c>
      <c r="DT5" s="291"/>
      <c r="DU5" s="292"/>
      <c r="DV5" s="292"/>
      <c r="DW5" s="279">
        <f ca="1">IF(AND(YEAR(DN5)=2017,MONTH(DN5)&lt;4),"2017a",IF(DN5,YEAR(DN5),YEAR(TODAY())))</f>
        <v>2019</v>
      </c>
      <c r="DX5" s="261" t="e">
        <f ca="1">INDEX(OFFSET(#REF!,0,INDEX(Previous_Loan_Offsets,MATCH(DP5,Previous_Loan_Types,0))+$AW$2),MATCH(DW5,#REF!,0))</f>
        <v>#REF!</v>
      </c>
      <c r="DY5" s="253" t="e">
        <f ca="1">INDEX(OFFSET(#REF!,0,INDEX(Previous_Loan_Offsets,MATCH(DP5,Previous_Loan_Types,0))+$BJ$2),MATCH(DW5,#REF!,0))</f>
        <v>#REF!</v>
      </c>
      <c r="DZ5" s="253" t="e">
        <f ca="1">INDEX(OFFSET(#REF!,0,INDEX(Previous_Loan_Offsets,MATCH(DP5,Previous_Loan_Types,0))+$BK$2),MATCH(DW5,#REF!,0))</f>
        <v>#REF!</v>
      </c>
      <c r="EA5" s="250" t="e">
        <f ca="1">ROUND(INDEX(OFFSET(#REF!,0,INDEX(Previous_Loan_Offsets,MATCH(DP5,Previous_Loan_Types,0))+$BH$2+IFERROR(MATCH(IF(DV5,DV5,DU5),#REF!,-1),1)),MATCH(DW5,#REF!,0))*DU5,0)</f>
        <v>#REF!</v>
      </c>
      <c r="EB5" s="261" t="e">
        <f ca="1">INDEX(OFFSET(#REF!,0,INDEX(Previous_Loan_Offsets,MATCH(DP5,Previous_Loan_Types,0))+$BN$2),MATCH(DW5,#REF!,0))</f>
        <v>#REF!</v>
      </c>
      <c r="EC5" s="253" t="e">
        <f ca="1">INDEX(OFFSET(#REF!,0,INDEX(Previous_Loan_Offsets,MATCH(DP5,Previous_Loan_Types,0))+$BP$2),MATCH(DW5,#REF!,0))</f>
        <v>#REF!</v>
      </c>
      <c r="ED5" s="253" t="e">
        <f ca="1">DZ5+EA5/12*DY5</f>
        <v>#REF!</v>
      </c>
      <c r="EE5" s="280">
        <f>IF(DO5&gt;0,MIN(DU5,ROUND(YEARFRAC(DO5,EDATE(DN5,DU5))*12,0)+1),DU5)</f>
        <v>0</v>
      </c>
      <c r="EF5" s="253">
        <f>IF(DO5&gt;0,YEARFRAC(DN5,DO5)*12-1)*DT5/12*DS5</f>
        <v>0</v>
      </c>
      <c r="EG5" s="263">
        <f ca="1">MAX(0,IFERROR(IF(EA5&gt;EE5,EA5/12*DT5*DS5,IF(DU5="IO",DT5/12*EA5+EF5,-CUMIPMT(DT5/12,EE5,DS5+EF5,1,MIN(EA5,EE5),0)))*(DT5-DX5)/DT5-ED5+DR5+IFERROR(IF(SEARCH("Refi",DP5),EC5),0),0))</f>
        <v>0</v>
      </c>
      <c r="EH5" s="267"/>
      <c r="EI5" s="268"/>
      <c r="EJ5" s="293"/>
      <c r="EK5" s="294"/>
      <c r="EL5" s="295"/>
      <c r="EM5" s="296"/>
      <c r="EN5" s="296"/>
      <c r="EO5" s="255">
        <f>SUM(EM5:EN5)</f>
        <v>0</v>
      </c>
      <c r="EP5" s="297"/>
      <c r="EQ5" s="298"/>
      <c r="ER5" s="298"/>
      <c r="ES5" s="279">
        <f ca="1">IF(AND(YEAR(EJ5)=2017,MONTH(EJ5)&lt;4),"2017a",IF(EJ5,YEAR(EJ5),YEAR(TODAY())))</f>
        <v>2019</v>
      </c>
      <c r="ET5" s="261" t="e">
        <f ca="1">INDEX(OFFSET(#REF!,0,INDEX(Previous_Loan_Offsets,MATCH(EL5,Previous_Loan_Types,0))+$AW$2),MATCH(ES5,#REF!,0))</f>
        <v>#REF!</v>
      </c>
      <c r="EU5" s="253" t="e">
        <f ca="1">INDEX(OFFSET(#REF!,0,INDEX(Previous_Loan_Offsets,MATCH(EL5,Previous_Loan_Types,0))+$BJ$2),MATCH(ES5,#REF!,0))</f>
        <v>#REF!</v>
      </c>
      <c r="EV5" s="253" t="e">
        <f ca="1">INDEX(OFFSET(#REF!,0,INDEX(Previous_Loan_Offsets,MATCH(EL5,Previous_Loan_Types,0))+$BK$2),MATCH(ES5,#REF!,0))</f>
        <v>#REF!</v>
      </c>
      <c r="EW5" s="250" t="e">
        <f ca="1">ROUND(INDEX(OFFSET(#REF!,0,INDEX(Previous_Loan_Offsets,MATCH(EL5,Previous_Loan_Types,0))+$BH$2+IFERROR(MATCH(IF(ER5,ER5,EQ5),#REF!,-1),1)),MATCH(ES5,#REF!,0))*EQ5,0)</f>
        <v>#REF!</v>
      </c>
      <c r="EX5" s="261" t="e">
        <f ca="1">INDEX(OFFSET(#REF!,0,INDEX(Previous_Loan_Offsets,MATCH(EL5,Previous_Loan_Types,0))+$BN$2),MATCH(ES5,#REF!,0))</f>
        <v>#REF!</v>
      </c>
      <c r="EY5" s="253" t="e">
        <f ca="1">INDEX(OFFSET(#REF!,0,INDEX(Previous_Loan_Offsets,MATCH(EL5,Previous_Loan_Types,0))+$BP$2),MATCH(ES5,#REF!,0))</f>
        <v>#REF!</v>
      </c>
      <c r="EZ5" s="253" t="e">
        <f ca="1">EV5+EW5/12*EU5</f>
        <v>#REF!</v>
      </c>
      <c r="FA5" s="280">
        <f>IF(EK5&gt;0,MIN(EQ5,ROUND(YEARFRAC(EK5,EDATE(EJ5,EQ5))*12,0)+1),EQ5)</f>
        <v>0</v>
      </c>
      <c r="FB5" s="253">
        <f>IF(EK5&gt;0,YEARFRAC(EJ5,EK5)*12-1)*EP5/12*EO5</f>
        <v>0</v>
      </c>
      <c r="FC5" s="263">
        <f ca="1">MAX(0,IFERROR(IF(EW5&gt;FA5,EW5/12*EP5*EO5,IF(EQ5="IO",EP5/12*EW5+FB5,-CUMIPMT(EP5/12,FA5,EO5+FB5,1,MIN(EW5,FA5),0)))*(EP5-ET5)/EP5-EZ5+EN5+IFERROR(IF(SEARCH("Refi",EL5),EY5),0),0))</f>
        <v>0</v>
      </c>
      <c r="FF5" s="214">
        <f ca="1">S5+BT5</f>
        <v>900</v>
      </c>
      <c r="FG5" s="214">
        <f t="shared" ref="FG5:FV6" ca="1" si="24">IFERROR(FF5+IF($X5="IO",0,PPMT($W5/12,FG$2,$X5,$S5)-$BT5/$BS5),0)</f>
        <v>0</v>
      </c>
      <c r="FH5" s="214">
        <f t="shared" ca="1" si="24"/>
        <v>0</v>
      </c>
      <c r="FI5" s="214">
        <f t="shared" ca="1" si="24"/>
        <v>0</v>
      </c>
      <c r="FJ5" s="214">
        <f t="shared" ca="1" si="24"/>
        <v>0</v>
      </c>
      <c r="FK5" s="214">
        <f t="shared" ca="1" si="24"/>
        <v>0</v>
      </c>
      <c r="FL5" s="214">
        <f t="shared" ca="1" si="24"/>
        <v>0</v>
      </c>
      <c r="FM5" s="214">
        <f t="shared" ca="1" si="24"/>
        <v>0</v>
      </c>
      <c r="FN5" s="214">
        <f t="shared" ca="1" si="24"/>
        <v>0</v>
      </c>
      <c r="FO5" s="214">
        <f t="shared" ca="1" si="24"/>
        <v>0</v>
      </c>
      <c r="FP5" s="214">
        <f t="shared" ca="1" si="24"/>
        <v>0</v>
      </c>
      <c r="FQ5" s="214">
        <f t="shared" ca="1" si="24"/>
        <v>0</v>
      </c>
      <c r="FR5" s="214">
        <f t="shared" ca="1" si="24"/>
        <v>0</v>
      </c>
      <c r="FS5" s="214">
        <f t="shared" ca="1" si="24"/>
        <v>0</v>
      </c>
      <c r="FT5" s="214">
        <f t="shared" ca="1" si="24"/>
        <v>0</v>
      </c>
      <c r="FU5" s="214">
        <f t="shared" ca="1" si="24"/>
        <v>0</v>
      </c>
      <c r="FV5" s="214">
        <f t="shared" ca="1" si="24"/>
        <v>0</v>
      </c>
      <c r="FW5" s="214">
        <f t="shared" ref="FW5:GL6" ca="1" si="25">IFERROR(FV5+IF($X5="IO",0,PPMT($W5/12,FW$2,$X5,$S5)-$BT5/$BS5),0)</f>
        <v>0</v>
      </c>
      <c r="FX5" s="214">
        <f t="shared" ca="1" si="25"/>
        <v>0</v>
      </c>
      <c r="FY5" s="214">
        <f t="shared" ca="1" si="25"/>
        <v>0</v>
      </c>
      <c r="FZ5" s="214">
        <f t="shared" ca="1" si="25"/>
        <v>0</v>
      </c>
      <c r="GA5" s="214">
        <f t="shared" ca="1" si="25"/>
        <v>0</v>
      </c>
      <c r="GB5" s="214">
        <f t="shared" ca="1" si="25"/>
        <v>0</v>
      </c>
      <c r="GC5" s="214">
        <f t="shared" ca="1" si="25"/>
        <v>0</v>
      </c>
      <c r="GD5" s="214">
        <f t="shared" ca="1" si="25"/>
        <v>0</v>
      </c>
      <c r="GE5" s="214">
        <f t="shared" ca="1" si="25"/>
        <v>0</v>
      </c>
      <c r="GF5" s="214">
        <f t="shared" ca="1" si="25"/>
        <v>0</v>
      </c>
      <c r="GG5" s="214">
        <f t="shared" ca="1" si="25"/>
        <v>0</v>
      </c>
      <c r="GH5" s="214">
        <f t="shared" ca="1" si="25"/>
        <v>0</v>
      </c>
      <c r="GI5" s="214">
        <f t="shared" ca="1" si="25"/>
        <v>0</v>
      </c>
      <c r="GJ5" s="214">
        <f t="shared" ca="1" si="25"/>
        <v>0</v>
      </c>
      <c r="GK5" s="214">
        <f t="shared" ca="1" si="25"/>
        <v>0</v>
      </c>
      <c r="GL5" s="214">
        <f t="shared" ca="1" si="25"/>
        <v>0</v>
      </c>
      <c r="GM5" s="214">
        <f t="shared" ref="GM5:HB6" ca="1" si="26">IFERROR(GL5+IF($X5="IO",0,PPMT($W5/12,GM$2,$X5,$S5)-$BT5/$BS5),0)</f>
        <v>0</v>
      </c>
      <c r="GN5" s="214">
        <f t="shared" ca="1" si="26"/>
        <v>0</v>
      </c>
      <c r="GO5" s="214">
        <f t="shared" ca="1" si="26"/>
        <v>0</v>
      </c>
      <c r="GP5" s="214">
        <f t="shared" ca="1" si="26"/>
        <v>0</v>
      </c>
      <c r="GQ5" s="214">
        <f t="shared" ca="1" si="26"/>
        <v>0</v>
      </c>
      <c r="GR5" s="214">
        <f t="shared" ca="1" si="26"/>
        <v>0</v>
      </c>
      <c r="GS5" s="214">
        <f t="shared" ca="1" si="26"/>
        <v>0</v>
      </c>
      <c r="GT5" s="214">
        <f t="shared" ca="1" si="26"/>
        <v>0</v>
      </c>
      <c r="GU5" s="214">
        <f t="shared" ca="1" si="26"/>
        <v>0</v>
      </c>
      <c r="GV5" s="214">
        <f t="shared" ca="1" si="26"/>
        <v>0</v>
      </c>
      <c r="GW5" s="214">
        <f t="shared" ca="1" si="26"/>
        <v>0</v>
      </c>
      <c r="GX5" s="214">
        <f t="shared" ca="1" si="26"/>
        <v>0</v>
      </c>
      <c r="GY5" s="214">
        <f t="shared" ca="1" si="26"/>
        <v>0</v>
      </c>
      <c r="GZ5" s="214">
        <f t="shared" ca="1" si="26"/>
        <v>0</v>
      </c>
      <c r="HA5" s="214">
        <f t="shared" ca="1" si="26"/>
        <v>0</v>
      </c>
      <c r="HB5" s="214">
        <f t="shared" ca="1" si="26"/>
        <v>0</v>
      </c>
      <c r="HC5" s="214">
        <f t="shared" ref="HC5:HR6" ca="1" si="27">IFERROR(HB5+IF($X5="IO",0,PPMT($W5/12,HC$2,$X5,$S5)-$BT5/$BS5),0)</f>
        <v>0</v>
      </c>
      <c r="HD5" s="214">
        <f t="shared" ca="1" si="27"/>
        <v>0</v>
      </c>
      <c r="HE5" s="214">
        <f t="shared" ca="1" si="27"/>
        <v>0</v>
      </c>
      <c r="HF5" s="214">
        <f t="shared" ca="1" si="27"/>
        <v>0</v>
      </c>
      <c r="HG5" s="214">
        <f t="shared" ca="1" si="27"/>
        <v>0</v>
      </c>
      <c r="HH5" s="214">
        <f t="shared" ca="1" si="27"/>
        <v>0</v>
      </c>
      <c r="HI5" s="214">
        <f t="shared" ca="1" si="27"/>
        <v>0</v>
      </c>
      <c r="HJ5" s="214">
        <f t="shared" ca="1" si="27"/>
        <v>0</v>
      </c>
      <c r="HK5" s="214">
        <f t="shared" ca="1" si="27"/>
        <v>0</v>
      </c>
      <c r="HL5" s="214">
        <f t="shared" ca="1" si="27"/>
        <v>0</v>
      </c>
      <c r="HM5" s="214">
        <f t="shared" ca="1" si="27"/>
        <v>0</v>
      </c>
      <c r="HN5" s="214">
        <f t="shared" ca="1" si="27"/>
        <v>0</v>
      </c>
      <c r="HO5" s="214">
        <f t="shared" ca="1" si="27"/>
        <v>0</v>
      </c>
      <c r="HP5" s="214">
        <f t="shared" ca="1" si="27"/>
        <v>0</v>
      </c>
      <c r="HQ5" s="214">
        <f t="shared" ca="1" si="27"/>
        <v>0</v>
      </c>
      <c r="HR5" s="214">
        <f t="shared" ca="1" si="27"/>
        <v>0</v>
      </c>
      <c r="HS5" s="214">
        <f t="shared" ref="HS5:IH6" ca="1" si="28">IFERROR(HR5+IF($X5="IO",0,PPMT($W5/12,HS$2,$X5,$S5)-$BT5/$BS5),0)</f>
        <v>0</v>
      </c>
      <c r="HT5" s="214">
        <f t="shared" ca="1" si="28"/>
        <v>0</v>
      </c>
      <c r="HU5" s="214">
        <f t="shared" ca="1" si="28"/>
        <v>0</v>
      </c>
      <c r="HV5" s="214">
        <f t="shared" ca="1" si="28"/>
        <v>0</v>
      </c>
      <c r="HW5" s="214">
        <f t="shared" ca="1" si="28"/>
        <v>0</v>
      </c>
      <c r="HX5" s="214">
        <f t="shared" ca="1" si="28"/>
        <v>0</v>
      </c>
      <c r="HY5" s="214">
        <f t="shared" ca="1" si="28"/>
        <v>0</v>
      </c>
      <c r="HZ5" s="214">
        <f t="shared" ca="1" si="28"/>
        <v>0</v>
      </c>
      <c r="IA5" s="214">
        <f t="shared" ca="1" si="28"/>
        <v>0</v>
      </c>
      <c r="IB5" s="214">
        <f t="shared" ca="1" si="28"/>
        <v>0</v>
      </c>
      <c r="IC5" s="214">
        <f t="shared" ca="1" si="28"/>
        <v>0</v>
      </c>
      <c r="ID5" s="214">
        <f t="shared" ca="1" si="28"/>
        <v>0</v>
      </c>
      <c r="IE5" s="214">
        <f t="shared" ca="1" si="28"/>
        <v>0</v>
      </c>
      <c r="IF5" s="214">
        <f t="shared" ca="1" si="28"/>
        <v>0</v>
      </c>
      <c r="IG5" s="214">
        <f t="shared" ca="1" si="28"/>
        <v>0</v>
      </c>
      <c r="IH5" s="214">
        <f t="shared" ca="1" si="28"/>
        <v>0</v>
      </c>
      <c r="II5" s="214">
        <f t="shared" ref="II5:IX6" ca="1" si="29">IFERROR(IH5+IF($X5="IO",0,PPMT($W5/12,II$2,$X5,$S5)-$BT5/$BS5),0)</f>
        <v>0</v>
      </c>
      <c r="IJ5" s="214">
        <f t="shared" ca="1" si="29"/>
        <v>0</v>
      </c>
      <c r="IK5" s="214">
        <f t="shared" ca="1" si="29"/>
        <v>0</v>
      </c>
      <c r="IL5" s="214">
        <f t="shared" ca="1" si="29"/>
        <v>0</v>
      </c>
      <c r="IM5" s="214">
        <f t="shared" ca="1" si="29"/>
        <v>0</v>
      </c>
      <c r="IN5" s="214">
        <f t="shared" ca="1" si="29"/>
        <v>0</v>
      </c>
      <c r="IO5" s="214">
        <f t="shared" ca="1" si="29"/>
        <v>0</v>
      </c>
      <c r="IP5" s="214">
        <f t="shared" ca="1" si="29"/>
        <v>0</v>
      </c>
      <c r="IQ5" s="214">
        <f t="shared" ca="1" si="29"/>
        <v>0</v>
      </c>
      <c r="IR5" s="214">
        <f t="shared" ca="1" si="29"/>
        <v>0</v>
      </c>
      <c r="IS5" s="214">
        <f t="shared" ca="1" si="29"/>
        <v>0</v>
      </c>
      <c r="IT5" s="214">
        <f t="shared" ca="1" si="29"/>
        <v>0</v>
      </c>
      <c r="IU5" s="214">
        <f t="shared" ca="1" si="29"/>
        <v>0</v>
      </c>
      <c r="IV5" s="214">
        <f t="shared" ca="1" si="29"/>
        <v>0</v>
      </c>
      <c r="IW5" s="214">
        <f t="shared" ca="1" si="29"/>
        <v>0</v>
      </c>
      <c r="IX5" s="214">
        <f t="shared" ca="1" si="29"/>
        <v>0</v>
      </c>
      <c r="IY5" s="214">
        <f t="shared" ref="IY5:JN6" ca="1" si="30">IFERROR(IX5+IF($X5="IO",0,PPMT($W5/12,IY$2,$X5,$S5)-$BT5/$BS5),0)</f>
        <v>0</v>
      </c>
      <c r="IZ5" s="214">
        <f t="shared" ca="1" si="30"/>
        <v>0</v>
      </c>
      <c r="JA5" s="214">
        <f t="shared" ca="1" si="30"/>
        <v>0</v>
      </c>
      <c r="JB5" s="214">
        <f t="shared" ca="1" si="30"/>
        <v>0</v>
      </c>
      <c r="JC5" s="214">
        <f t="shared" ca="1" si="30"/>
        <v>0</v>
      </c>
      <c r="JD5" s="214">
        <f t="shared" ca="1" si="30"/>
        <v>0</v>
      </c>
      <c r="JE5" s="214">
        <f t="shared" ca="1" si="30"/>
        <v>0</v>
      </c>
      <c r="JF5" s="214">
        <f t="shared" ca="1" si="30"/>
        <v>0</v>
      </c>
      <c r="JG5" s="214">
        <f t="shared" ca="1" si="30"/>
        <v>0</v>
      </c>
      <c r="JH5" s="214">
        <f t="shared" ca="1" si="30"/>
        <v>0</v>
      </c>
      <c r="JI5" s="214">
        <f t="shared" ca="1" si="30"/>
        <v>0</v>
      </c>
      <c r="JJ5" s="214">
        <f t="shared" ca="1" si="30"/>
        <v>0</v>
      </c>
      <c r="JK5" s="214">
        <f t="shared" ca="1" si="30"/>
        <v>0</v>
      </c>
      <c r="JL5" s="214">
        <f t="shared" ca="1" si="30"/>
        <v>0</v>
      </c>
      <c r="JM5" s="214">
        <f t="shared" ca="1" si="30"/>
        <v>0</v>
      </c>
      <c r="JN5" s="214">
        <f t="shared" ca="1" si="30"/>
        <v>0</v>
      </c>
      <c r="JO5" s="214">
        <f t="shared" ref="JO5:KD6" ca="1" si="31">IFERROR(JN5+IF($X5="IO",0,PPMT($W5/12,JO$2,$X5,$S5)-$BT5/$BS5),0)</f>
        <v>0</v>
      </c>
      <c r="JP5" s="214">
        <f t="shared" ca="1" si="31"/>
        <v>0</v>
      </c>
      <c r="JQ5" s="214">
        <f t="shared" ca="1" si="31"/>
        <v>0</v>
      </c>
      <c r="JR5" s="214">
        <f t="shared" ca="1" si="31"/>
        <v>0</v>
      </c>
      <c r="JS5" s="214">
        <f t="shared" ca="1" si="31"/>
        <v>0</v>
      </c>
      <c r="JT5" s="214">
        <f t="shared" ca="1" si="31"/>
        <v>0</v>
      </c>
      <c r="JU5" s="214">
        <f t="shared" ca="1" si="31"/>
        <v>0</v>
      </c>
      <c r="JV5" s="214">
        <f t="shared" ca="1" si="31"/>
        <v>0</v>
      </c>
      <c r="JW5" s="214">
        <f t="shared" ca="1" si="31"/>
        <v>0</v>
      </c>
      <c r="JX5" s="214">
        <f t="shared" ca="1" si="31"/>
        <v>0</v>
      </c>
      <c r="JY5" s="214">
        <f t="shared" ca="1" si="31"/>
        <v>0</v>
      </c>
      <c r="JZ5" s="214">
        <f t="shared" ca="1" si="31"/>
        <v>0</v>
      </c>
      <c r="KA5" s="214">
        <f t="shared" ca="1" si="31"/>
        <v>0</v>
      </c>
      <c r="KB5" s="214">
        <f t="shared" ca="1" si="31"/>
        <v>0</v>
      </c>
      <c r="KC5" s="214">
        <f t="shared" ca="1" si="31"/>
        <v>0</v>
      </c>
      <c r="KD5" s="214">
        <f t="shared" ca="1" si="31"/>
        <v>0</v>
      </c>
      <c r="KE5" s="214">
        <f t="shared" ref="KE5:KT6" ca="1" si="32">IFERROR(KD5+IF($X5="IO",0,PPMT($W5/12,KE$2,$X5,$S5)-$BT5/$BS5),0)</f>
        <v>0</v>
      </c>
      <c r="KF5" s="214">
        <f t="shared" ca="1" si="32"/>
        <v>0</v>
      </c>
      <c r="KG5" s="214">
        <f t="shared" ca="1" si="32"/>
        <v>0</v>
      </c>
      <c r="KH5" s="214">
        <f t="shared" ca="1" si="32"/>
        <v>0</v>
      </c>
      <c r="KI5" s="214">
        <f t="shared" ca="1" si="32"/>
        <v>0</v>
      </c>
      <c r="KJ5" s="214">
        <f t="shared" ca="1" si="32"/>
        <v>0</v>
      </c>
      <c r="KK5" s="214">
        <f t="shared" ca="1" si="32"/>
        <v>0</v>
      </c>
      <c r="KL5" s="214">
        <f t="shared" ca="1" si="32"/>
        <v>0</v>
      </c>
      <c r="KM5" s="214">
        <f t="shared" ca="1" si="32"/>
        <v>0</v>
      </c>
      <c r="KN5" s="214">
        <f t="shared" ca="1" si="32"/>
        <v>0</v>
      </c>
      <c r="KO5" s="214">
        <f t="shared" ca="1" si="32"/>
        <v>0</v>
      </c>
      <c r="KP5" s="214">
        <f t="shared" ca="1" si="32"/>
        <v>0</v>
      </c>
      <c r="KQ5" s="214">
        <f t="shared" ca="1" si="32"/>
        <v>0</v>
      </c>
      <c r="KR5" s="214">
        <f t="shared" ca="1" si="32"/>
        <v>0</v>
      </c>
      <c r="KS5" s="214">
        <f t="shared" ca="1" si="32"/>
        <v>0</v>
      </c>
      <c r="KT5" s="214">
        <f t="shared" ca="1" si="32"/>
        <v>0</v>
      </c>
      <c r="KU5" s="214">
        <f t="shared" ref="KU5:LJ6" ca="1" si="33">IFERROR(KT5+IF($X5="IO",0,PPMT($W5/12,KU$2,$X5,$S5)-$BT5/$BS5),0)</f>
        <v>0</v>
      </c>
      <c r="KV5" s="214">
        <f t="shared" ca="1" si="33"/>
        <v>0</v>
      </c>
      <c r="KW5" s="214">
        <f t="shared" ca="1" si="33"/>
        <v>0</v>
      </c>
      <c r="KX5" s="214">
        <f t="shared" ca="1" si="33"/>
        <v>0</v>
      </c>
      <c r="KY5" s="214">
        <f t="shared" ca="1" si="33"/>
        <v>0</v>
      </c>
      <c r="KZ5" s="214">
        <f t="shared" ca="1" si="33"/>
        <v>0</v>
      </c>
      <c r="LA5" s="214">
        <f t="shared" ca="1" si="33"/>
        <v>0</v>
      </c>
      <c r="LB5" s="214">
        <f t="shared" ca="1" si="33"/>
        <v>0</v>
      </c>
      <c r="LC5" s="214">
        <f t="shared" ca="1" si="33"/>
        <v>0</v>
      </c>
      <c r="LD5" s="214">
        <f t="shared" ca="1" si="33"/>
        <v>0</v>
      </c>
      <c r="LE5" s="214">
        <f t="shared" ca="1" si="33"/>
        <v>0</v>
      </c>
      <c r="LF5" s="214">
        <f t="shared" ca="1" si="33"/>
        <v>0</v>
      </c>
      <c r="LG5" s="214">
        <f t="shared" ca="1" si="33"/>
        <v>0</v>
      </c>
      <c r="LH5" s="214">
        <f t="shared" ca="1" si="33"/>
        <v>0</v>
      </c>
      <c r="LI5" s="214">
        <f t="shared" ca="1" si="33"/>
        <v>0</v>
      </c>
      <c r="LJ5" s="214">
        <f t="shared" ca="1" si="33"/>
        <v>0</v>
      </c>
      <c r="LK5" s="214">
        <f t="shared" ref="LK5:LZ6" ca="1" si="34">IFERROR(LJ5+IF($X5="IO",0,PPMT($W5/12,LK$2,$X5,$S5)-$BT5/$BS5),0)</f>
        <v>0</v>
      </c>
      <c r="LL5" s="214">
        <f t="shared" ca="1" si="34"/>
        <v>0</v>
      </c>
      <c r="LM5" s="214">
        <f t="shared" ca="1" si="34"/>
        <v>0</v>
      </c>
      <c r="LN5" s="214">
        <f t="shared" ca="1" si="34"/>
        <v>0</v>
      </c>
      <c r="LO5" s="214">
        <f t="shared" ca="1" si="34"/>
        <v>0</v>
      </c>
      <c r="LP5" s="214">
        <f t="shared" ca="1" si="34"/>
        <v>0</v>
      </c>
      <c r="LQ5" s="214">
        <f t="shared" ca="1" si="34"/>
        <v>0</v>
      </c>
      <c r="LR5" s="214">
        <f t="shared" ca="1" si="34"/>
        <v>0</v>
      </c>
      <c r="LS5" s="214">
        <f t="shared" ca="1" si="34"/>
        <v>0</v>
      </c>
      <c r="LT5" s="214">
        <f t="shared" ca="1" si="34"/>
        <v>0</v>
      </c>
      <c r="LU5" s="214">
        <f t="shared" ca="1" si="34"/>
        <v>0</v>
      </c>
      <c r="LV5" s="214">
        <f t="shared" ca="1" si="34"/>
        <v>0</v>
      </c>
      <c r="LW5" s="214">
        <f t="shared" ca="1" si="34"/>
        <v>0</v>
      </c>
      <c r="LX5" s="214">
        <f t="shared" ca="1" si="34"/>
        <v>0</v>
      </c>
      <c r="LY5" s="214">
        <f t="shared" ca="1" si="34"/>
        <v>0</v>
      </c>
      <c r="LZ5" s="214">
        <f t="shared" ca="1" si="34"/>
        <v>0</v>
      </c>
      <c r="MA5" s="214">
        <f t="shared" ref="MA5:MP6" ca="1" si="35">IFERROR(LZ5+IF($X5="IO",0,PPMT($W5/12,MA$2,$X5,$S5)-$BT5/$BS5),0)</f>
        <v>0</v>
      </c>
      <c r="MB5" s="214">
        <f t="shared" ca="1" si="35"/>
        <v>0</v>
      </c>
      <c r="MC5" s="214">
        <f t="shared" ca="1" si="35"/>
        <v>0</v>
      </c>
      <c r="MD5" s="214">
        <f t="shared" ca="1" si="35"/>
        <v>0</v>
      </c>
      <c r="ME5" s="214">
        <f t="shared" ca="1" si="35"/>
        <v>0</v>
      </c>
      <c r="MF5" s="214">
        <f t="shared" ca="1" si="35"/>
        <v>0</v>
      </c>
      <c r="MG5" s="214">
        <f t="shared" ca="1" si="35"/>
        <v>0</v>
      </c>
      <c r="MH5" s="214">
        <f t="shared" ca="1" si="35"/>
        <v>0</v>
      </c>
      <c r="MI5" s="214">
        <f t="shared" ca="1" si="35"/>
        <v>0</v>
      </c>
      <c r="MJ5" s="214">
        <f t="shared" ca="1" si="35"/>
        <v>0</v>
      </c>
      <c r="MK5" s="214">
        <f t="shared" ca="1" si="35"/>
        <v>0</v>
      </c>
      <c r="ML5" s="214">
        <f t="shared" ca="1" si="35"/>
        <v>0</v>
      </c>
      <c r="MM5" s="214">
        <f t="shared" ca="1" si="35"/>
        <v>0</v>
      </c>
      <c r="MN5" s="214">
        <f t="shared" ca="1" si="35"/>
        <v>0</v>
      </c>
      <c r="MO5" s="214">
        <f t="shared" ca="1" si="35"/>
        <v>0</v>
      </c>
      <c r="MP5" s="214">
        <f t="shared" ca="1" si="35"/>
        <v>0</v>
      </c>
      <c r="MQ5" s="214">
        <f t="shared" ref="MQ5:NF6" ca="1" si="36">IFERROR(MP5+IF($X5="IO",0,PPMT($W5/12,MQ$2,$X5,$S5)-$BT5/$BS5),0)</f>
        <v>0</v>
      </c>
      <c r="MR5" s="214">
        <f t="shared" ca="1" si="36"/>
        <v>0</v>
      </c>
      <c r="MS5" s="214">
        <f t="shared" ca="1" si="36"/>
        <v>0</v>
      </c>
      <c r="MT5" s="214">
        <f t="shared" ca="1" si="36"/>
        <v>0</v>
      </c>
      <c r="MU5" s="214">
        <f t="shared" ca="1" si="36"/>
        <v>0</v>
      </c>
      <c r="MV5" s="214">
        <f t="shared" ca="1" si="36"/>
        <v>0</v>
      </c>
      <c r="MW5" s="214">
        <f t="shared" ca="1" si="36"/>
        <v>0</v>
      </c>
      <c r="MX5" s="214">
        <f t="shared" ca="1" si="36"/>
        <v>0</v>
      </c>
      <c r="MY5" s="214">
        <f t="shared" ca="1" si="36"/>
        <v>0</v>
      </c>
      <c r="MZ5" s="214">
        <f t="shared" ca="1" si="36"/>
        <v>0</v>
      </c>
      <c r="NA5" s="214">
        <f t="shared" ca="1" si="36"/>
        <v>0</v>
      </c>
      <c r="NB5" s="214">
        <f t="shared" ca="1" si="36"/>
        <v>0</v>
      </c>
      <c r="NC5" s="214">
        <f t="shared" ca="1" si="36"/>
        <v>0</v>
      </c>
      <c r="ND5" s="214">
        <f t="shared" ca="1" si="36"/>
        <v>0</v>
      </c>
      <c r="NE5" s="214">
        <f t="shared" ca="1" si="36"/>
        <v>0</v>
      </c>
      <c r="NF5" s="214">
        <f t="shared" ca="1" si="36"/>
        <v>0</v>
      </c>
      <c r="NG5" s="214">
        <f t="shared" ref="NG5:NV6" ca="1" si="37">IFERROR(NF5+IF($X5="IO",0,PPMT($W5/12,NG$2,$X5,$S5)-$BT5/$BS5),0)</f>
        <v>0</v>
      </c>
      <c r="NH5" s="214">
        <f t="shared" ca="1" si="37"/>
        <v>0</v>
      </c>
      <c r="NI5" s="214">
        <f t="shared" ca="1" si="37"/>
        <v>0</v>
      </c>
      <c r="NJ5" s="214">
        <f t="shared" ca="1" si="37"/>
        <v>0</v>
      </c>
      <c r="NK5" s="214">
        <f t="shared" ca="1" si="37"/>
        <v>0</v>
      </c>
      <c r="NL5" s="214">
        <f t="shared" ca="1" si="37"/>
        <v>0</v>
      </c>
      <c r="NM5" s="214">
        <f t="shared" ca="1" si="37"/>
        <v>0</v>
      </c>
      <c r="NN5" s="214">
        <f t="shared" ca="1" si="37"/>
        <v>0</v>
      </c>
      <c r="NO5" s="214">
        <f t="shared" ca="1" si="37"/>
        <v>0</v>
      </c>
      <c r="NP5" s="214">
        <f t="shared" ca="1" si="37"/>
        <v>0</v>
      </c>
      <c r="NQ5" s="214">
        <f t="shared" ca="1" si="37"/>
        <v>0</v>
      </c>
      <c r="NR5" s="214">
        <f t="shared" ca="1" si="37"/>
        <v>0</v>
      </c>
      <c r="NS5" s="214">
        <f t="shared" ca="1" si="37"/>
        <v>0</v>
      </c>
      <c r="NT5" s="214">
        <f t="shared" ca="1" si="37"/>
        <v>0</v>
      </c>
      <c r="NU5" s="214">
        <f t="shared" ca="1" si="37"/>
        <v>0</v>
      </c>
      <c r="NV5" s="214">
        <f t="shared" ca="1" si="37"/>
        <v>0</v>
      </c>
      <c r="NW5" s="214">
        <f t="shared" ref="NW5:OL6" ca="1" si="38">IFERROR(NV5+IF($X5="IO",0,PPMT($W5/12,NW$2,$X5,$S5)-$BT5/$BS5),0)</f>
        <v>0</v>
      </c>
      <c r="NX5" s="214">
        <f t="shared" ca="1" si="38"/>
        <v>0</v>
      </c>
      <c r="NY5" s="214">
        <f t="shared" ca="1" si="38"/>
        <v>0</v>
      </c>
      <c r="NZ5" s="214">
        <f t="shared" ca="1" si="38"/>
        <v>0</v>
      </c>
      <c r="OA5" s="214">
        <f t="shared" ca="1" si="38"/>
        <v>0</v>
      </c>
      <c r="OB5" s="214">
        <f t="shared" ca="1" si="38"/>
        <v>0</v>
      </c>
      <c r="OC5" s="214">
        <f t="shared" ca="1" si="38"/>
        <v>0</v>
      </c>
      <c r="OD5" s="214">
        <f t="shared" ca="1" si="38"/>
        <v>0</v>
      </c>
      <c r="OE5" s="214">
        <f t="shared" ca="1" si="38"/>
        <v>0</v>
      </c>
      <c r="OF5" s="214">
        <f t="shared" ca="1" si="38"/>
        <v>0</v>
      </c>
      <c r="OG5" s="214">
        <f t="shared" ca="1" si="38"/>
        <v>0</v>
      </c>
      <c r="OH5" s="214">
        <f t="shared" ca="1" si="38"/>
        <v>0</v>
      </c>
      <c r="OI5" s="214">
        <f t="shared" ca="1" si="38"/>
        <v>0</v>
      </c>
      <c r="OJ5" s="214">
        <f t="shared" ca="1" si="38"/>
        <v>0</v>
      </c>
      <c r="OK5" s="214">
        <f t="shared" ca="1" si="38"/>
        <v>0</v>
      </c>
      <c r="OL5" s="214">
        <f t="shared" ca="1" si="38"/>
        <v>0</v>
      </c>
      <c r="OM5" s="214">
        <f t="shared" ref="OM5:PB6" ca="1" si="39">IFERROR(OL5+IF($X5="IO",0,PPMT($W5/12,OM$2,$X5,$S5)-$BT5/$BS5),0)</f>
        <v>0</v>
      </c>
      <c r="ON5" s="214">
        <f t="shared" ca="1" si="39"/>
        <v>0</v>
      </c>
      <c r="OO5" s="214">
        <f t="shared" ca="1" si="39"/>
        <v>0</v>
      </c>
      <c r="OP5" s="214">
        <f t="shared" ca="1" si="39"/>
        <v>0</v>
      </c>
      <c r="OQ5" s="214">
        <f t="shared" ca="1" si="39"/>
        <v>0</v>
      </c>
      <c r="OR5" s="214">
        <f t="shared" ca="1" si="39"/>
        <v>0</v>
      </c>
      <c r="OS5" s="214">
        <f t="shared" ca="1" si="39"/>
        <v>0</v>
      </c>
      <c r="OT5" s="214">
        <f t="shared" ca="1" si="39"/>
        <v>0</v>
      </c>
      <c r="OU5" s="214">
        <f t="shared" ca="1" si="39"/>
        <v>0</v>
      </c>
      <c r="OV5" s="214">
        <f t="shared" ca="1" si="39"/>
        <v>0</v>
      </c>
      <c r="OW5" s="214">
        <f t="shared" ca="1" si="39"/>
        <v>0</v>
      </c>
      <c r="OX5" s="214">
        <f t="shared" ca="1" si="39"/>
        <v>0</v>
      </c>
      <c r="OY5" s="214">
        <f t="shared" ca="1" si="39"/>
        <v>0</v>
      </c>
      <c r="OZ5" s="214">
        <f t="shared" ca="1" si="39"/>
        <v>0</v>
      </c>
      <c r="PA5" s="214">
        <f t="shared" ca="1" si="39"/>
        <v>0</v>
      </c>
      <c r="PB5" s="214">
        <f t="shared" ca="1" si="39"/>
        <v>0</v>
      </c>
      <c r="PC5" s="214">
        <f t="shared" ref="PC5:PR6" ca="1" si="40">IFERROR(PB5+IF($X5="IO",0,PPMT($W5/12,PC$2,$X5,$S5)-$BT5/$BS5),0)</f>
        <v>0</v>
      </c>
      <c r="PD5" s="214">
        <f t="shared" ca="1" si="40"/>
        <v>0</v>
      </c>
      <c r="PE5" s="214">
        <f t="shared" ca="1" si="40"/>
        <v>0</v>
      </c>
      <c r="PF5" s="214">
        <f t="shared" ca="1" si="40"/>
        <v>0</v>
      </c>
      <c r="PG5" s="214">
        <f t="shared" ca="1" si="40"/>
        <v>0</v>
      </c>
      <c r="PH5" s="214">
        <f t="shared" ca="1" si="40"/>
        <v>0</v>
      </c>
      <c r="PI5" s="214">
        <f t="shared" ca="1" si="40"/>
        <v>0</v>
      </c>
      <c r="PJ5" s="214">
        <f t="shared" ca="1" si="40"/>
        <v>0</v>
      </c>
      <c r="PK5" s="214">
        <f t="shared" ca="1" si="40"/>
        <v>0</v>
      </c>
      <c r="PL5" s="214">
        <f t="shared" ca="1" si="40"/>
        <v>0</v>
      </c>
      <c r="PM5" s="214">
        <f t="shared" ca="1" si="40"/>
        <v>0</v>
      </c>
      <c r="PN5" s="214">
        <f t="shared" ca="1" si="40"/>
        <v>0</v>
      </c>
      <c r="PO5" s="214">
        <f t="shared" ca="1" si="40"/>
        <v>0</v>
      </c>
      <c r="PP5" s="214">
        <f t="shared" ca="1" si="40"/>
        <v>0</v>
      </c>
      <c r="PQ5" s="214">
        <f t="shared" ca="1" si="40"/>
        <v>0</v>
      </c>
      <c r="PR5" s="214">
        <f t="shared" ca="1" si="40"/>
        <v>0</v>
      </c>
      <c r="PS5" s="214">
        <f t="shared" ref="PS5:QH6" ca="1" si="41">IFERROR(PR5+IF($X5="IO",0,PPMT($W5/12,PS$2,$X5,$S5)-$BT5/$BS5),0)</f>
        <v>0</v>
      </c>
      <c r="PT5" s="214">
        <f t="shared" ca="1" si="41"/>
        <v>0</v>
      </c>
      <c r="PU5" s="214">
        <f t="shared" ca="1" si="41"/>
        <v>0</v>
      </c>
      <c r="PV5" s="214">
        <f t="shared" ca="1" si="41"/>
        <v>0</v>
      </c>
      <c r="PW5" s="214">
        <f t="shared" ca="1" si="41"/>
        <v>0</v>
      </c>
      <c r="PX5" s="214">
        <f t="shared" ca="1" si="41"/>
        <v>0</v>
      </c>
      <c r="PY5" s="214">
        <f t="shared" ca="1" si="41"/>
        <v>0</v>
      </c>
      <c r="PZ5" s="214">
        <f t="shared" ca="1" si="41"/>
        <v>0</v>
      </c>
      <c r="QA5" s="214">
        <f t="shared" ca="1" si="41"/>
        <v>0</v>
      </c>
      <c r="QB5" s="214">
        <f t="shared" ca="1" si="41"/>
        <v>0</v>
      </c>
      <c r="QC5" s="214">
        <f t="shared" ca="1" si="41"/>
        <v>0</v>
      </c>
      <c r="QD5" s="214">
        <f t="shared" ca="1" si="41"/>
        <v>0</v>
      </c>
      <c r="QE5" s="214">
        <f t="shared" ca="1" si="41"/>
        <v>0</v>
      </c>
      <c r="QF5" s="214">
        <f t="shared" ca="1" si="41"/>
        <v>0</v>
      </c>
      <c r="QG5" s="214">
        <f t="shared" ca="1" si="41"/>
        <v>0</v>
      </c>
      <c r="QH5" s="214">
        <f t="shared" ca="1" si="41"/>
        <v>0</v>
      </c>
      <c r="QI5" s="214">
        <f t="shared" ref="QI5:QX6" ca="1" si="42">IFERROR(QH5+IF($X5="IO",0,PPMT($W5/12,QI$2,$X5,$S5)-$BT5/$BS5),0)</f>
        <v>0</v>
      </c>
      <c r="QJ5" s="214">
        <f t="shared" ca="1" si="42"/>
        <v>0</v>
      </c>
      <c r="QK5" s="214">
        <f t="shared" ca="1" si="42"/>
        <v>0</v>
      </c>
      <c r="QL5" s="214">
        <f t="shared" ca="1" si="42"/>
        <v>0</v>
      </c>
      <c r="QM5" s="214">
        <f t="shared" ca="1" si="42"/>
        <v>0</v>
      </c>
      <c r="QN5" s="214">
        <f t="shared" ca="1" si="42"/>
        <v>0</v>
      </c>
      <c r="QO5" s="214">
        <f t="shared" ca="1" si="42"/>
        <v>0</v>
      </c>
      <c r="QP5" s="214">
        <f t="shared" ca="1" si="42"/>
        <v>0</v>
      </c>
      <c r="QQ5" s="214">
        <f t="shared" ca="1" si="42"/>
        <v>0</v>
      </c>
      <c r="QR5" s="214">
        <f t="shared" ca="1" si="42"/>
        <v>0</v>
      </c>
      <c r="QS5" s="214">
        <f t="shared" ca="1" si="42"/>
        <v>0</v>
      </c>
      <c r="QT5" s="214">
        <f t="shared" ca="1" si="42"/>
        <v>0</v>
      </c>
      <c r="QU5" s="214">
        <f t="shared" ca="1" si="42"/>
        <v>0</v>
      </c>
      <c r="QV5" s="214">
        <f t="shared" ca="1" si="42"/>
        <v>0</v>
      </c>
      <c r="QW5" s="214">
        <f t="shared" ca="1" si="42"/>
        <v>0</v>
      </c>
      <c r="QX5" s="214">
        <f t="shared" ca="1" si="42"/>
        <v>0</v>
      </c>
      <c r="QY5" s="214">
        <f t="shared" ref="QY5:RN6" ca="1" si="43">IFERROR(QX5+IF($X5="IO",0,PPMT($W5/12,QY$2,$X5,$S5)-$BT5/$BS5),0)</f>
        <v>0</v>
      </c>
      <c r="QZ5" s="214">
        <f t="shared" ca="1" si="43"/>
        <v>0</v>
      </c>
      <c r="RA5" s="214">
        <f t="shared" ca="1" si="43"/>
        <v>0</v>
      </c>
      <c r="RB5" s="214">
        <f t="shared" ca="1" si="43"/>
        <v>0</v>
      </c>
      <c r="RC5" s="214">
        <f t="shared" ca="1" si="43"/>
        <v>0</v>
      </c>
      <c r="RD5" s="214">
        <f t="shared" ca="1" si="43"/>
        <v>0</v>
      </c>
      <c r="RE5" s="214">
        <f t="shared" ca="1" si="43"/>
        <v>0</v>
      </c>
      <c r="RF5" s="214">
        <f t="shared" ca="1" si="43"/>
        <v>0</v>
      </c>
      <c r="RG5" s="214">
        <f t="shared" ca="1" si="43"/>
        <v>0</v>
      </c>
      <c r="RH5" s="214">
        <f t="shared" ca="1" si="43"/>
        <v>0</v>
      </c>
      <c r="RI5" s="214">
        <f t="shared" ca="1" si="43"/>
        <v>0</v>
      </c>
      <c r="RJ5" s="214">
        <f t="shared" ca="1" si="43"/>
        <v>0</v>
      </c>
      <c r="RK5" s="214">
        <f t="shared" ca="1" si="43"/>
        <v>0</v>
      </c>
      <c r="RL5" s="214">
        <f t="shared" ca="1" si="43"/>
        <v>0</v>
      </c>
      <c r="RM5" s="214">
        <f t="shared" ca="1" si="43"/>
        <v>0</v>
      </c>
      <c r="RN5" s="214">
        <f t="shared" ca="1" si="43"/>
        <v>0</v>
      </c>
      <c r="RO5" s="214">
        <f t="shared" ref="RO5:SD6" ca="1" si="44">IFERROR(RN5+IF($X5="IO",0,PPMT($W5/12,RO$2,$X5,$S5)-$BT5/$BS5),0)</f>
        <v>0</v>
      </c>
      <c r="RP5" s="214">
        <f t="shared" ca="1" si="44"/>
        <v>0</v>
      </c>
      <c r="RQ5" s="214">
        <f t="shared" ca="1" si="44"/>
        <v>0</v>
      </c>
      <c r="RR5" s="214">
        <f t="shared" ca="1" si="44"/>
        <v>0</v>
      </c>
      <c r="RS5" s="214">
        <f t="shared" ca="1" si="44"/>
        <v>0</v>
      </c>
      <c r="RT5" s="214">
        <f t="shared" ca="1" si="44"/>
        <v>0</v>
      </c>
      <c r="RU5" s="214">
        <f t="shared" ca="1" si="44"/>
        <v>0</v>
      </c>
      <c r="RV5" s="214">
        <f t="shared" ca="1" si="44"/>
        <v>0</v>
      </c>
      <c r="RW5" s="214">
        <f t="shared" ca="1" si="44"/>
        <v>0</v>
      </c>
      <c r="RX5" s="214">
        <f t="shared" ca="1" si="44"/>
        <v>0</v>
      </c>
      <c r="RY5" s="214">
        <f t="shared" ca="1" si="44"/>
        <v>0</v>
      </c>
      <c r="RZ5" s="214">
        <f t="shared" ca="1" si="44"/>
        <v>0</v>
      </c>
      <c r="SA5" s="214">
        <f t="shared" ca="1" si="44"/>
        <v>0</v>
      </c>
      <c r="SB5" s="214">
        <f t="shared" ca="1" si="44"/>
        <v>0</v>
      </c>
      <c r="SC5" s="214">
        <f t="shared" ca="1" si="44"/>
        <v>0</v>
      </c>
      <c r="SD5" s="214">
        <f t="shared" ca="1" si="44"/>
        <v>0</v>
      </c>
      <c r="SE5" s="214">
        <f t="shared" ref="SE5:ST6" ca="1" si="45">IFERROR(SD5+IF($X5="IO",0,PPMT($W5/12,SE$2,$X5,$S5)-$BT5/$BS5),0)</f>
        <v>0</v>
      </c>
      <c r="SF5" s="214">
        <f t="shared" ca="1" si="45"/>
        <v>0</v>
      </c>
      <c r="SG5" s="214">
        <f t="shared" ca="1" si="45"/>
        <v>0</v>
      </c>
      <c r="SH5" s="214">
        <f t="shared" ca="1" si="45"/>
        <v>0</v>
      </c>
      <c r="SI5" s="214">
        <f t="shared" ca="1" si="45"/>
        <v>0</v>
      </c>
      <c r="SJ5" s="214">
        <f t="shared" ca="1" si="45"/>
        <v>0</v>
      </c>
      <c r="SK5" s="214">
        <f t="shared" ca="1" si="45"/>
        <v>0</v>
      </c>
      <c r="SL5" s="214">
        <f t="shared" ca="1" si="45"/>
        <v>0</v>
      </c>
      <c r="SM5" s="214">
        <f t="shared" ca="1" si="45"/>
        <v>0</v>
      </c>
      <c r="SN5" s="214">
        <f t="shared" ca="1" si="45"/>
        <v>0</v>
      </c>
      <c r="SO5" s="214">
        <f t="shared" ca="1" si="45"/>
        <v>0</v>
      </c>
      <c r="SP5" s="214">
        <f t="shared" ca="1" si="45"/>
        <v>0</v>
      </c>
      <c r="SQ5" s="214">
        <f t="shared" ca="1" si="45"/>
        <v>0</v>
      </c>
      <c r="SR5" s="214">
        <f t="shared" ca="1" si="45"/>
        <v>0</v>
      </c>
      <c r="SS5" s="214">
        <f t="shared" ca="1" si="45"/>
        <v>0</v>
      </c>
      <c r="ST5" s="214">
        <f t="shared" ca="1" si="45"/>
        <v>0</v>
      </c>
      <c r="SU5" s="214">
        <f t="shared" ref="SU5:TB6" ca="1" si="46">IFERROR(ST5+IF($X5="IO",0,PPMT($W5/12,SU$2,$X5,$S5)-$BT5/$BS5),0)</f>
        <v>0</v>
      </c>
      <c r="SV5" s="214">
        <f t="shared" ca="1" si="46"/>
        <v>0</v>
      </c>
      <c r="SW5" s="214">
        <f t="shared" ca="1" si="46"/>
        <v>0</v>
      </c>
      <c r="SX5" s="214">
        <f t="shared" ca="1" si="46"/>
        <v>0</v>
      </c>
      <c r="SY5" s="214">
        <f t="shared" ca="1" si="46"/>
        <v>0</v>
      </c>
      <c r="SZ5" s="214">
        <f t="shared" ca="1" si="46"/>
        <v>0</v>
      </c>
      <c r="TA5" s="214">
        <f t="shared" ca="1" si="46"/>
        <v>0</v>
      </c>
      <c r="TB5" s="214">
        <f t="shared" ca="1" si="46"/>
        <v>0</v>
      </c>
      <c r="TC5" s="300" t="e">
        <f ca="1">NPV($AX5/12,TF5:AHA5)+IF($BM5,0,$TE5)</f>
        <v>#REF!</v>
      </c>
      <c r="TD5" s="214">
        <f ca="1">IF(IFERROR(SEARCH("L",AU5),0),MATCH(IF(ISBLANK($C5),TODAY(),$C5),#REF!,1),0)</f>
        <v>0</v>
      </c>
      <c r="TE5" s="214" t="e">
        <f ca="1">(-$N5-$BK5-$Q5)+IF(IFERROR(SEARCH("refi",F5),0),BP5,0)+IF($BM5,0,FF5*(1+$BH5))</f>
        <v>#REF!</v>
      </c>
      <c r="TF5" s="214" t="e">
        <f ca="1">IF(TF$2&lt;=$BM5,IF($X5="IO",$W5/12*FF5,-IPMT($W5/12,TF$2,$X5,$S5)+$BT5/$BS5)+IFERROR((FF5-FG5+PPMT($W5/12,TF$2,$X5,-$TE5)),0)-((IF($TD5&gt;0,N(OFFSET(#REF!,$TD5+TF$2-2,0))/12,0)+$AW5/12)*$BF5+$AX5/12*(1-$BF5))*FF5-$BJ5/12,0)+IF(TF$2=$BM5,FG5*$BH5+IF($X5="IO",$S5+$TE5,-CUMPRINC($W5/12,$X5,$S5,$BM5,$X5,0)+CUMPRINC($W5/12,$X5,-$TE5,$BM5,$X5,0)))</f>
        <v>#REF!</v>
      </c>
      <c r="TG5" s="214" t="e">
        <f ca="1">IF(TG$2&lt;=$BM5,IF($X5="IO",$W5/12*FG5,-IPMT($W5/12,TG$2,$X5,$S5)+$BT5/$BS5)+IFERROR((FG5-FH5+PPMT($W5/12,TG$2,$X5,-$TE5)),0)-((IF($TD5&gt;0,N(OFFSET(#REF!,$TD5+TG$2-2,0))/12,0)+$AW5/12)*$BF5+$AX5/12*(1-$BF5))*FG5-$BJ5/12,0)+IF(TG$2=$BM5,FH5*$BH5+IF($X5="IO",$S5+$TE5,-CUMPRINC($W5/12,$X5,$S5,$BM5,$X5,0)+CUMPRINC($W5/12,$X5,-$TE5,$BM5,$X5,0)))</f>
        <v>#REF!</v>
      </c>
      <c r="TH5" s="214" t="e">
        <f ca="1">IF(TH$2&lt;=$BM5,IF($X5="IO",$W5/12*FH5,-IPMT($W5/12,TH$2,$X5,$S5)+$BT5/$BS5)+IFERROR((FH5-FI5+PPMT($W5/12,TH$2,$X5,-$TE5)),0)-((IF($TD5&gt;0,N(OFFSET(#REF!,$TD5+TH$2-2,0))/12,0)+$AW5/12)*$BF5+$AX5/12*(1-$BF5))*FH5-$BJ5/12,0)+IF(TH$2=$BM5,FI5*$BH5+IF($X5="IO",$S5+$TE5,-CUMPRINC($W5/12,$X5,$S5,$BM5,$X5,0)+CUMPRINC($W5/12,$X5,-$TE5,$BM5,$X5,0)))</f>
        <v>#REF!</v>
      </c>
      <c r="TI5" s="214" t="e">
        <f ca="1">IF(TI$2&lt;=$BM5,IF($X5="IO",$W5/12*FI5,-IPMT($W5/12,TI$2,$X5,$S5)+$BT5/$BS5)+IFERROR((FI5-FJ5+PPMT($W5/12,TI$2,$X5,-$TE5)),0)-((IF($TD5&gt;0,N(OFFSET(#REF!,$TD5+TI$2-2,0))/12,0)+$AW5/12)*$BF5+$AX5/12*(1-$BF5))*FI5-$BJ5/12,0)+IF(TI$2=$BM5,FJ5*$BH5+IF($X5="IO",$S5+$TE5,-CUMPRINC($W5/12,$X5,$S5,$BM5,$X5,0)+CUMPRINC($W5/12,$X5,-$TE5,$BM5,$X5,0)))</f>
        <v>#REF!</v>
      </c>
      <c r="TJ5" s="214" t="e">
        <f ca="1">IF(TJ$2&lt;=$BM5,IF($X5="IO",$W5/12*FJ5,-IPMT($W5/12,TJ$2,$X5,$S5)+$BT5/$BS5)+IFERROR((FJ5-FK5+PPMT($W5/12,TJ$2,$X5,-$TE5)),0)-((IF($TD5&gt;0,N(OFFSET(#REF!,$TD5+TJ$2-2,0))/12,0)+$AW5/12)*$BF5+$AX5/12*(1-$BF5))*FJ5-$BJ5/12,0)+IF(TJ$2=$BM5,FK5*$BH5+IF($X5="IO",$S5+$TE5,-CUMPRINC($W5/12,$X5,$S5,$BM5,$X5,0)+CUMPRINC($W5/12,$X5,-$TE5,$BM5,$X5,0)))</f>
        <v>#REF!</v>
      </c>
      <c r="TK5" s="214" t="e">
        <f ca="1">IF(TK$2&lt;=$BM5,IF($X5="IO",$W5/12*FK5,-IPMT($W5/12,TK$2,$X5,$S5)+$BT5/$BS5)+IFERROR((FK5-FL5+PPMT($W5/12,TK$2,$X5,-$TE5)),0)-((IF($TD5&gt;0,N(OFFSET(#REF!,$TD5+TK$2-2,0))/12,0)+$AW5/12)*$BF5+$AX5/12*(1-$BF5))*FK5-$BJ5/12,0)+IF(TK$2=$BM5,FL5*$BH5+IF($X5="IO",$S5+$TE5,-CUMPRINC($W5/12,$X5,$S5,$BM5,$X5,0)+CUMPRINC($W5/12,$X5,-$TE5,$BM5,$X5,0)))</f>
        <v>#REF!</v>
      </c>
      <c r="TL5" s="214" t="e">
        <f ca="1">IF(TL$2&lt;=$BM5,IF($X5="IO",$W5/12*FL5,-IPMT($W5/12,TL$2,$X5,$S5)+$BT5/$BS5)+IFERROR((FL5-FM5+PPMT($W5/12,TL$2,$X5,-$TE5)),0)-((IF($TD5&gt;0,N(OFFSET(#REF!,$TD5+TL$2-2,0))/12,0)+$AW5/12)*$BF5+$AX5/12*(1-$BF5))*FL5-$BJ5/12,0)+IF(TL$2=$BM5,FM5*$BH5+IF($X5="IO",$S5+$TE5,-CUMPRINC($W5/12,$X5,$S5,$BM5,$X5,0)+CUMPRINC($W5/12,$X5,-$TE5,$BM5,$X5,0)))</f>
        <v>#REF!</v>
      </c>
      <c r="TM5" s="214" t="e">
        <f ca="1">IF(TM$2&lt;=$BM5,IF($X5="IO",$W5/12*FM5,-IPMT($W5/12,TM$2,$X5,$S5)+$BT5/$BS5)+IFERROR((FM5-FN5+PPMT($W5/12,TM$2,$X5,-$TE5)),0)-((IF($TD5&gt;0,N(OFFSET(#REF!,$TD5+TM$2-2,0))/12,0)+$AW5/12)*$BF5+$AX5/12*(1-$BF5))*FM5-$BJ5/12,0)+IF(TM$2=$BM5,FN5*$BH5+IF($X5="IO",$S5+$TE5,-CUMPRINC($W5/12,$X5,$S5,$BM5,$X5,0)+CUMPRINC($W5/12,$X5,-$TE5,$BM5,$X5,0)))</f>
        <v>#REF!</v>
      </c>
      <c r="TN5" s="214" t="e">
        <f ca="1">IF(TN$2&lt;=$BM5,IF($X5="IO",$W5/12*FN5,-IPMT($W5/12,TN$2,$X5,$S5)+$BT5/$BS5)+IFERROR((FN5-FO5+PPMT($W5/12,TN$2,$X5,-$TE5)),0)-((IF($TD5&gt;0,N(OFFSET(#REF!,$TD5+TN$2-2,0))/12,0)+$AW5/12)*$BF5+$AX5/12*(1-$BF5))*FN5-$BJ5/12,0)+IF(TN$2=$BM5,FO5*$BH5+IF($X5="IO",$S5+$TE5,-CUMPRINC($W5/12,$X5,$S5,$BM5,$X5,0)+CUMPRINC($W5/12,$X5,-$TE5,$BM5,$X5,0)))</f>
        <v>#REF!</v>
      </c>
      <c r="TO5" s="214" t="e">
        <f ca="1">IF(TO$2&lt;=$BM5,IF($X5="IO",$W5/12*FO5,-IPMT($W5/12,TO$2,$X5,$S5)+$BT5/$BS5)+IFERROR((FO5-FP5+PPMT($W5/12,TO$2,$X5,-$TE5)),0)-((IF($TD5&gt;0,N(OFFSET(#REF!,$TD5+TO$2-2,0))/12,0)+$AW5/12)*$BF5+$AX5/12*(1-$BF5))*FO5-$BJ5/12,0)+IF(TO$2=$BM5,FP5*$BH5+IF($X5="IO",$S5+$TE5,-CUMPRINC($W5/12,$X5,$S5,$BM5,$X5,0)+CUMPRINC($W5/12,$X5,-$TE5,$BM5,$X5,0)))</f>
        <v>#REF!</v>
      </c>
      <c r="TP5" s="214" t="e">
        <f ca="1">IF(TP$2&lt;=$BM5,IF($X5="IO",$W5/12*FP5,-IPMT($W5/12,TP$2,$X5,$S5)+$BT5/$BS5)+IFERROR((FP5-FQ5+PPMT($W5/12,TP$2,$X5,-$TE5)),0)-((IF($TD5&gt;0,N(OFFSET(#REF!,$TD5+TP$2-2,0))/12,0)+$AW5/12)*$BF5+$AX5/12*(1-$BF5))*FP5-$BJ5/12,0)+IF(TP$2=$BM5,FQ5*$BH5+IF($X5="IO",$S5+$TE5,-CUMPRINC($W5/12,$X5,$S5,$BM5,$X5,0)+CUMPRINC($W5/12,$X5,-$TE5,$BM5,$X5,0)))</f>
        <v>#REF!</v>
      </c>
      <c r="TQ5" s="214" t="e">
        <f ca="1">IF(TQ$2&lt;=$BM5,IF($X5="IO",$W5/12*FQ5,-IPMT($W5/12,TQ$2,$X5,$S5)+$BT5/$BS5)+IFERROR((FQ5-FR5+PPMT($W5/12,TQ$2,$X5,-$TE5)),0)-((IF($TD5&gt;0,N(OFFSET(#REF!,$TD5+TQ$2-2,0))/12,0)+$AW5/12)*$BF5+$AX5/12*(1-$BF5))*FQ5-$BJ5/12,0)+IF(TQ$2=$BM5,FR5*$BH5+IF($X5="IO",$S5+$TE5,-CUMPRINC($W5/12,$X5,$S5,$BM5,$X5,0)+CUMPRINC($W5/12,$X5,-$TE5,$BM5,$X5,0)))</f>
        <v>#REF!</v>
      </c>
      <c r="TR5" s="214" t="e">
        <f ca="1">IF(TR$2&lt;=$BM5,IF($X5="IO",$W5/12*FR5,-IPMT($W5/12,TR$2,$X5,$S5)+$BT5/$BS5)+IFERROR((FR5-FS5+PPMT($W5/12,TR$2,$X5,-$TE5)),0)-((IF($TD5&gt;0,N(OFFSET(#REF!,$TD5+TR$2-2,0))/12,0)+$AW5/12)*$BF5+$AX5/12*(1-$BF5))*FR5-$BJ5/12,0)+IF(TR$2=$BM5,FS5*$BH5+IF($X5="IO",$S5+$TE5,-CUMPRINC($W5/12,$X5,$S5,$BM5,$X5,0)+CUMPRINC($W5/12,$X5,-$TE5,$BM5,$X5,0)))</f>
        <v>#REF!</v>
      </c>
      <c r="TS5" s="214" t="e">
        <f ca="1">IF(TS$2&lt;=$BM5,IF($X5="IO",$W5/12*FS5,-IPMT($W5/12,TS$2,$X5,$S5)+$BT5/$BS5)+IFERROR((FS5-FT5+PPMT($W5/12,TS$2,$X5,-$TE5)),0)-((IF($TD5&gt;0,N(OFFSET(#REF!,$TD5+TS$2-2,0))/12,0)+$AW5/12)*$BF5+$AX5/12*(1-$BF5))*FS5-$BJ5/12,0)+IF(TS$2=$BM5,FT5*$BH5+IF($X5="IO",$S5+$TE5,-CUMPRINC($W5/12,$X5,$S5,$BM5,$X5,0)+CUMPRINC($W5/12,$X5,-$TE5,$BM5,$X5,0)))</f>
        <v>#REF!</v>
      </c>
      <c r="TT5" s="214" t="e">
        <f ca="1">IF(TT$2&lt;=$BM5,IF($X5="IO",$W5/12*FT5,-IPMT($W5/12,TT$2,$X5,$S5)+$BT5/$BS5)+IFERROR((FT5-FU5+PPMT($W5/12,TT$2,$X5,-$TE5)),0)-((IF($TD5&gt;0,N(OFFSET(#REF!,$TD5+TT$2-2,0))/12,0)+$AW5/12)*$BF5+$AX5/12*(1-$BF5))*FT5-$BJ5/12,0)+IF(TT$2=$BM5,FU5*$BH5+IF($X5="IO",$S5+$TE5,-CUMPRINC($W5/12,$X5,$S5,$BM5,$X5,0)+CUMPRINC($W5/12,$X5,-$TE5,$BM5,$X5,0)))</f>
        <v>#REF!</v>
      </c>
      <c r="TU5" s="214" t="e">
        <f ca="1">IF(TU$2&lt;=$BM5,IF($X5="IO",$W5/12*FU5,-IPMT($W5/12,TU$2,$X5,$S5)+$BT5/$BS5)+IFERROR((FU5-FV5+PPMT($W5/12,TU$2,$X5,-$TE5)),0)-((IF($TD5&gt;0,N(OFFSET(#REF!,$TD5+TU$2-2,0))/12,0)+$AW5/12)*$BF5+$AX5/12*(1-$BF5))*FU5-$BJ5/12,0)+IF(TU$2=$BM5,FV5*$BH5+IF($X5="IO",$S5+$TE5,-CUMPRINC($W5/12,$X5,$S5,$BM5,$X5,0)+CUMPRINC($W5/12,$X5,-$TE5,$BM5,$X5,0)))</f>
        <v>#REF!</v>
      </c>
      <c r="TV5" s="214" t="e">
        <f ca="1">IF(TV$2&lt;=$BM5,IF($X5="IO",$W5/12*FV5,-IPMT($W5/12,TV$2,$X5,$S5)+$BT5/$BS5)+IFERROR((FV5-FW5+PPMT($W5/12,TV$2,$X5,-$TE5)),0)-((IF($TD5&gt;0,N(OFFSET(#REF!,$TD5+TV$2-2,0))/12,0)+$AW5/12)*$BF5+$AX5/12*(1-$BF5))*FV5-$BJ5/12,0)+IF(TV$2=$BM5,FW5*$BH5+IF($X5="IO",$S5+$TE5,-CUMPRINC($W5/12,$X5,$S5,$BM5,$X5,0)+CUMPRINC($W5/12,$X5,-$TE5,$BM5,$X5,0)))</f>
        <v>#REF!</v>
      </c>
      <c r="TW5" s="214" t="e">
        <f ca="1">IF(TW$2&lt;=$BM5,IF($X5="IO",$W5/12*FW5,-IPMT($W5/12,TW$2,$X5,$S5)+$BT5/$BS5)+IFERROR((FW5-FX5+PPMT($W5/12,TW$2,$X5,-$TE5)),0)-((IF($TD5&gt;0,N(OFFSET(#REF!,$TD5+TW$2-2,0))/12,0)+$AW5/12)*$BF5+$AX5/12*(1-$BF5))*FW5-$BJ5/12,0)+IF(TW$2=$BM5,FX5*$BH5+IF($X5="IO",$S5+$TE5,-CUMPRINC($W5/12,$X5,$S5,$BM5,$X5,0)+CUMPRINC($W5/12,$X5,-$TE5,$BM5,$X5,0)))</f>
        <v>#REF!</v>
      </c>
      <c r="TX5" s="214" t="e">
        <f ca="1">IF(TX$2&lt;=$BM5,IF($X5="IO",$W5/12*FX5,-IPMT($W5/12,TX$2,$X5,$S5)+$BT5/$BS5)+IFERROR((FX5-FY5+PPMT($W5/12,TX$2,$X5,-$TE5)),0)-((IF($TD5&gt;0,N(OFFSET(#REF!,$TD5+TX$2-2,0))/12,0)+$AW5/12)*$BF5+$AX5/12*(1-$BF5))*FX5-$BJ5/12,0)+IF(TX$2=$BM5,FY5*$BH5+IF($X5="IO",$S5+$TE5,-CUMPRINC($W5/12,$X5,$S5,$BM5,$X5,0)+CUMPRINC($W5/12,$X5,-$TE5,$BM5,$X5,0)))</f>
        <v>#REF!</v>
      </c>
      <c r="TY5" s="214" t="e">
        <f ca="1">IF(TY$2&lt;=$BM5,IF($X5="IO",$W5/12*FY5,-IPMT($W5/12,TY$2,$X5,$S5)+$BT5/$BS5)+IFERROR((FY5-FZ5+PPMT($W5/12,TY$2,$X5,-$TE5)),0)-((IF($TD5&gt;0,N(OFFSET(#REF!,$TD5+TY$2-2,0))/12,0)+$AW5/12)*$BF5+$AX5/12*(1-$BF5))*FY5-$BJ5/12,0)+IF(TY$2=$BM5,FZ5*$BH5+IF($X5="IO",$S5+$TE5,-CUMPRINC($W5/12,$X5,$S5,$BM5,$X5,0)+CUMPRINC($W5/12,$X5,-$TE5,$BM5,$X5,0)))</f>
        <v>#REF!</v>
      </c>
      <c r="TZ5" s="214" t="e">
        <f ca="1">IF(TZ$2&lt;=$BM5,IF($X5="IO",$W5/12*FZ5,-IPMT($W5/12,TZ$2,$X5,$S5)+$BT5/$BS5)+IFERROR((FZ5-GA5+PPMT($W5/12,TZ$2,$X5,-$TE5)),0)-((IF($TD5&gt;0,N(OFFSET(#REF!,$TD5+TZ$2-2,0))/12,0)+$AW5/12)*$BF5+$AX5/12*(1-$BF5))*FZ5-$BJ5/12,0)+IF(TZ$2=$BM5,GA5*$BH5+IF($X5="IO",$S5+$TE5,-CUMPRINC($W5/12,$X5,$S5,$BM5,$X5,0)+CUMPRINC($W5/12,$X5,-$TE5,$BM5,$X5,0)))</f>
        <v>#REF!</v>
      </c>
      <c r="UA5" s="214" t="e">
        <f ca="1">IF(UA$2&lt;=$BM5,IF($X5="IO",$W5/12*GA5,-IPMT($W5/12,UA$2,$X5,$S5)+$BT5/$BS5)+IFERROR((GA5-GB5+PPMT($W5/12,UA$2,$X5,-$TE5)),0)-((IF($TD5&gt;0,N(OFFSET(#REF!,$TD5+UA$2-2,0))/12,0)+$AW5/12)*$BF5+$AX5/12*(1-$BF5))*GA5-$BJ5/12,0)+IF(UA$2=$BM5,GB5*$BH5+IF($X5="IO",$S5+$TE5,-CUMPRINC($W5/12,$X5,$S5,$BM5,$X5,0)+CUMPRINC($W5/12,$X5,-$TE5,$BM5,$X5,0)))</f>
        <v>#REF!</v>
      </c>
      <c r="UB5" s="214" t="e">
        <f ca="1">IF(UB$2&lt;=$BM5,IF($X5="IO",$W5/12*GB5,-IPMT($W5/12,UB$2,$X5,$S5)+$BT5/$BS5)+IFERROR((GB5-GC5+PPMT($W5/12,UB$2,$X5,-$TE5)),0)-((IF($TD5&gt;0,N(OFFSET(#REF!,$TD5+UB$2-2,0))/12,0)+$AW5/12)*$BF5+$AX5/12*(1-$BF5))*GB5-$BJ5/12,0)+IF(UB$2=$BM5,GC5*$BH5+IF($X5="IO",$S5+$TE5,-CUMPRINC($W5/12,$X5,$S5,$BM5,$X5,0)+CUMPRINC($W5/12,$X5,-$TE5,$BM5,$X5,0)))</f>
        <v>#REF!</v>
      </c>
      <c r="UC5" s="214" t="e">
        <f ca="1">IF(UC$2&lt;=$BM5,IF($X5="IO",$W5/12*GC5,-IPMT($W5/12,UC$2,$X5,$S5)+$BT5/$BS5)+IFERROR((GC5-GD5+PPMT($W5/12,UC$2,$X5,-$TE5)),0)-((IF($TD5&gt;0,N(OFFSET(#REF!,$TD5+UC$2-2,0))/12,0)+$AW5/12)*$BF5+$AX5/12*(1-$BF5))*GC5-$BJ5/12,0)+IF(UC$2=$BM5,GD5*$BH5+IF($X5="IO",$S5+$TE5,-CUMPRINC($W5/12,$X5,$S5,$BM5,$X5,0)+CUMPRINC($W5/12,$X5,-$TE5,$BM5,$X5,0)))</f>
        <v>#REF!</v>
      </c>
      <c r="UD5" s="214" t="e">
        <f ca="1">IF(UD$2&lt;=$BM5,IF($X5="IO",$W5/12*GD5,-IPMT($W5/12,UD$2,$X5,$S5)+$BT5/$BS5)+IFERROR((GD5-GE5+PPMT($W5/12,UD$2,$X5,-$TE5)),0)-((IF($TD5&gt;0,N(OFFSET(#REF!,$TD5+UD$2-2,0))/12,0)+$AW5/12)*$BF5+$AX5/12*(1-$BF5))*GD5-$BJ5/12,0)+IF(UD$2=$BM5,GE5*$BH5+IF($X5="IO",$S5+$TE5,-CUMPRINC($W5/12,$X5,$S5,$BM5,$X5,0)+CUMPRINC($W5/12,$X5,-$TE5,$BM5,$X5,0)))</f>
        <v>#REF!</v>
      </c>
      <c r="UE5" s="214" t="e">
        <f ca="1">IF(UE$2&lt;=$BM5,IF($X5="IO",$W5/12*GE5,-IPMT($W5/12,UE$2,$X5,$S5)+$BT5/$BS5)+IFERROR((GE5-GF5+PPMT($W5/12,UE$2,$X5,-$TE5)),0)-((IF($TD5&gt;0,N(OFFSET(#REF!,$TD5+UE$2-2,0))/12,0)+$AW5/12)*$BF5+$AX5/12*(1-$BF5))*GE5-$BJ5/12,0)+IF(UE$2=$BM5,GF5*$BH5+IF($X5="IO",$S5+$TE5,-CUMPRINC($W5/12,$X5,$S5,$BM5,$X5,0)+CUMPRINC($W5/12,$X5,-$TE5,$BM5,$X5,0)))</f>
        <v>#REF!</v>
      </c>
      <c r="UF5" s="214" t="e">
        <f ca="1">IF(UF$2&lt;=$BM5,IF($X5="IO",$W5/12*GF5,-IPMT($W5/12,UF$2,$X5,$S5)+$BT5/$BS5)+IFERROR((GF5-GG5+PPMT($W5/12,UF$2,$X5,-$TE5)),0)-((IF($TD5&gt;0,N(OFFSET(#REF!,$TD5+UF$2-2,0))/12,0)+$AW5/12)*$BF5+$AX5/12*(1-$BF5))*GF5-$BJ5/12,0)+IF(UF$2=$BM5,GG5*$BH5+IF($X5="IO",$S5+$TE5,-CUMPRINC($W5/12,$X5,$S5,$BM5,$X5,0)+CUMPRINC($W5/12,$X5,-$TE5,$BM5,$X5,0)))</f>
        <v>#REF!</v>
      </c>
      <c r="UG5" s="214" t="e">
        <f ca="1">IF(UG$2&lt;=$BM5,IF($X5="IO",$W5/12*GG5,-IPMT($W5/12,UG$2,$X5,$S5)+$BT5/$BS5)+IFERROR((GG5-GH5+PPMT($W5/12,UG$2,$X5,-$TE5)),0)-((IF($TD5&gt;0,N(OFFSET(#REF!,$TD5+UG$2-2,0))/12,0)+$AW5/12)*$BF5+$AX5/12*(1-$BF5))*GG5-$BJ5/12,0)+IF(UG$2=$BM5,GH5*$BH5+IF($X5="IO",$S5+$TE5,-CUMPRINC($W5/12,$X5,$S5,$BM5,$X5,0)+CUMPRINC($W5/12,$X5,-$TE5,$BM5,$X5,0)))</f>
        <v>#REF!</v>
      </c>
      <c r="UH5" s="214" t="e">
        <f ca="1">IF(UH$2&lt;=$BM5,IF($X5="IO",$W5/12*GH5,-IPMT($W5/12,UH$2,$X5,$S5)+$BT5/$BS5)+IFERROR((GH5-GI5+PPMT($W5/12,UH$2,$X5,-$TE5)),0)-((IF($TD5&gt;0,N(OFFSET(#REF!,$TD5+UH$2-2,0))/12,0)+$AW5/12)*$BF5+$AX5/12*(1-$BF5))*GH5-$BJ5/12,0)+IF(UH$2=$BM5,GI5*$BH5+IF($X5="IO",$S5+$TE5,-CUMPRINC($W5/12,$X5,$S5,$BM5,$X5,0)+CUMPRINC($W5/12,$X5,-$TE5,$BM5,$X5,0)))</f>
        <v>#REF!</v>
      </c>
      <c r="UI5" s="214" t="e">
        <f ca="1">IF(UI$2&lt;=$BM5,IF($X5="IO",$W5/12*GI5,-IPMT($W5/12,UI$2,$X5,$S5)+$BT5/$BS5)+IFERROR((GI5-GJ5+PPMT($W5/12,UI$2,$X5,-$TE5)),0)-((IF($TD5&gt;0,N(OFFSET(#REF!,$TD5+UI$2-2,0))/12,0)+$AW5/12)*$BF5+$AX5/12*(1-$BF5))*GI5-$BJ5/12,0)+IF(UI$2=$BM5,GJ5*$BH5+IF($X5="IO",$S5+$TE5,-CUMPRINC($W5/12,$X5,$S5,$BM5,$X5,0)+CUMPRINC($W5/12,$X5,-$TE5,$BM5,$X5,0)))</f>
        <v>#REF!</v>
      </c>
      <c r="UJ5" s="214" t="e">
        <f ca="1">IF(UJ$2&lt;=$BM5,IF($X5="IO",$W5/12*GJ5,-IPMT($W5/12,UJ$2,$X5,$S5)+$BT5/$BS5)+IFERROR((GJ5-GK5+PPMT($W5/12,UJ$2,$X5,-$TE5)),0)-((IF($TD5&gt;0,N(OFFSET(#REF!,$TD5+UJ$2-2,0))/12,0)+$AW5/12)*$BF5+$AX5/12*(1-$BF5))*GJ5-$BJ5/12,0)+IF(UJ$2=$BM5,GK5*$BH5+IF($X5="IO",$S5+$TE5,-CUMPRINC($W5/12,$X5,$S5,$BM5,$X5,0)+CUMPRINC($W5/12,$X5,-$TE5,$BM5,$X5,0)))</f>
        <v>#REF!</v>
      </c>
      <c r="UK5" s="214" t="e">
        <f ca="1">IF(UK$2&lt;=$BM5,IF($X5="IO",$W5/12*GK5,-IPMT($W5/12,UK$2,$X5,$S5)+$BT5/$BS5)+IFERROR((GK5-GL5+PPMT($W5/12,UK$2,$X5,-$TE5)),0)-((IF($TD5&gt;0,N(OFFSET(#REF!,$TD5+UK$2-2,0))/12,0)+$AW5/12)*$BF5+$AX5/12*(1-$BF5))*GK5-$BJ5/12,0)+IF(UK$2=$BM5,GL5*$BH5+IF($X5="IO",$S5+$TE5,-CUMPRINC($W5/12,$X5,$S5,$BM5,$X5,0)+CUMPRINC($W5/12,$X5,-$TE5,$BM5,$X5,0)))</f>
        <v>#REF!</v>
      </c>
      <c r="UL5" s="214" t="e">
        <f ca="1">IF(UL$2&lt;=$BM5,IF($X5="IO",$W5/12*GL5,-IPMT($W5/12,UL$2,$X5,$S5)+$BT5/$BS5)+IFERROR((GL5-GM5+PPMT($W5/12,UL$2,$X5,-$TE5)),0)-((IF($TD5&gt;0,N(OFFSET(#REF!,$TD5+UL$2-2,0))/12,0)+$AW5/12)*$BF5+$AX5/12*(1-$BF5))*GL5-$BJ5/12,0)+IF(UL$2=$BM5,GM5*$BH5+IF($X5="IO",$S5+$TE5,-CUMPRINC($W5/12,$X5,$S5,$BM5,$X5,0)+CUMPRINC($W5/12,$X5,-$TE5,$BM5,$X5,0)))</f>
        <v>#REF!</v>
      </c>
      <c r="UM5" s="214" t="e">
        <f ca="1">IF(UM$2&lt;=$BM5,IF($X5="IO",$W5/12*GM5,-IPMT($W5/12,UM$2,$X5,$S5)+$BT5/$BS5)+IFERROR((GM5-GN5+PPMT($W5/12,UM$2,$X5,-$TE5)),0)-((IF($TD5&gt;0,N(OFFSET(#REF!,$TD5+UM$2-2,0))/12,0)+$AW5/12)*$BF5+$AX5/12*(1-$BF5))*GM5-$BJ5/12,0)+IF(UM$2=$BM5,GN5*$BH5+IF($X5="IO",$S5+$TE5,-CUMPRINC($W5/12,$X5,$S5,$BM5,$X5,0)+CUMPRINC($W5/12,$X5,-$TE5,$BM5,$X5,0)))</f>
        <v>#REF!</v>
      </c>
      <c r="UN5" s="214" t="e">
        <f ca="1">IF(UN$2&lt;=$BM5,IF($X5="IO",$W5/12*GN5,-IPMT($W5/12,UN$2,$X5,$S5)+$BT5/$BS5)+IFERROR((GN5-GO5+PPMT($W5/12,UN$2,$X5,-$TE5)),0)-((IF($TD5&gt;0,N(OFFSET(#REF!,$TD5+UN$2-2,0))/12,0)+$AW5/12)*$BF5+$AX5/12*(1-$BF5))*GN5-$BJ5/12,0)+IF(UN$2=$BM5,GO5*$BH5+IF($X5="IO",$S5+$TE5,-CUMPRINC($W5/12,$X5,$S5,$BM5,$X5,0)+CUMPRINC($W5/12,$X5,-$TE5,$BM5,$X5,0)))</f>
        <v>#REF!</v>
      </c>
      <c r="UO5" s="214" t="e">
        <f ca="1">IF(UO$2&lt;=$BM5,IF($X5="IO",$W5/12*GO5,-IPMT($W5/12,UO$2,$X5,$S5)+$BT5/$BS5)+IFERROR((GO5-GP5+PPMT($W5/12,UO$2,$X5,-$TE5)),0)-((IF($TD5&gt;0,N(OFFSET(#REF!,$TD5+UO$2-2,0))/12,0)+$AW5/12)*$BF5+$AX5/12*(1-$BF5))*GO5-$BJ5/12,0)+IF(UO$2=$BM5,GP5*$BH5+IF($X5="IO",$S5+$TE5,-CUMPRINC($W5/12,$X5,$S5,$BM5,$X5,0)+CUMPRINC($W5/12,$X5,-$TE5,$BM5,$X5,0)))</f>
        <v>#REF!</v>
      </c>
      <c r="UP5" s="214" t="e">
        <f ca="1">IF(UP$2&lt;=$BM5,IF($X5="IO",$W5/12*GP5,-IPMT($W5/12,UP$2,$X5,$S5)+$BT5/$BS5)+IFERROR((GP5-GQ5+PPMT($W5/12,UP$2,$X5,-$TE5)),0)-((IF($TD5&gt;0,N(OFFSET(#REF!,$TD5+UP$2-2,0))/12,0)+$AW5/12)*$BF5+$AX5/12*(1-$BF5))*GP5-$BJ5/12,0)+IF(UP$2=$BM5,GQ5*$BH5+IF($X5="IO",$S5+$TE5,-CUMPRINC($W5/12,$X5,$S5,$BM5,$X5,0)+CUMPRINC($W5/12,$X5,-$TE5,$BM5,$X5,0)))</f>
        <v>#REF!</v>
      </c>
      <c r="UQ5" s="214" t="e">
        <f ca="1">IF(UQ$2&lt;=$BM5,IF($X5="IO",$W5/12*GQ5,-IPMT($W5/12,UQ$2,$X5,$S5)+$BT5/$BS5)+IFERROR((GQ5-GR5+PPMT($W5/12,UQ$2,$X5,-$TE5)),0)-((IF($TD5&gt;0,N(OFFSET(#REF!,$TD5+UQ$2-2,0))/12,0)+$AW5/12)*$BF5+$AX5/12*(1-$BF5))*GQ5-$BJ5/12,0)+IF(UQ$2=$BM5,GR5*$BH5+IF($X5="IO",$S5+$TE5,-CUMPRINC($W5/12,$X5,$S5,$BM5,$X5,0)+CUMPRINC($W5/12,$X5,-$TE5,$BM5,$X5,0)))</f>
        <v>#REF!</v>
      </c>
      <c r="UR5" s="214" t="e">
        <f ca="1">IF(UR$2&lt;=$BM5,IF($X5="IO",$W5/12*GR5,-IPMT($W5/12,UR$2,$X5,$S5)+$BT5/$BS5)+IFERROR((GR5-GS5+PPMT($W5/12,UR$2,$X5,-$TE5)),0)-((IF($TD5&gt;0,N(OFFSET(#REF!,$TD5+UR$2-2,0))/12,0)+$AW5/12)*$BF5+$AX5/12*(1-$BF5))*GR5-$BJ5/12,0)+IF(UR$2=$BM5,GS5*$BH5+IF($X5="IO",$S5+$TE5,-CUMPRINC($W5/12,$X5,$S5,$BM5,$X5,0)+CUMPRINC($W5/12,$X5,-$TE5,$BM5,$X5,0)))</f>
        <v>#REF!</v>
      </c>
      <c r="US5" s="214" t="e">
        <f ca="1">IF(US$2&lt;=$BM5,IF($X5="IO",$W5/12*GS5,-IPMT($W5/12,US$2,$X5,$S5)+$BT5/$BS5)+IFERROR((GS5-GT5+PPMT($W5/12,US$2,$X5,-$TE5)),0)-((IF($TD5&gt;0,N(OFFSET(#REF!,$TD5+US$2-2,0))/12,0)+$AW5/12)*$BF5+$AX5/12*(1-$BF5))*GS5-$BJ5/12,0)+IF(US$2=$BM5,GT5*$BH5+IF($X5="IO",$S5+$TE5,-CUMPRINC($W5/12,$X5,$S5,$BM5,$X5,0)+CUMPRINC($W5/12,$X5,-$TE5,$BM5,$X5,0)))</f>
        <v>#REF!</v>
      </c>
      <c r="UT5" s="214" t="e">
        <f ca="1">IF(UT$2&lt;=$BM5,IF($X5="IO",$W5/12*GT5,-IPMT($W5/12,UT$2,$X5,$S5)+$BT5/$BS5)+IFERROR((GT5-GU5+PPMT($W5/12,UT$2,$X5,-$TE5)),0)-((IF($TD5&gt;0,N(OFFSET(#REF!,$TD5+UT$2-2,0))/12,0)+$AW5/12)*$BF5+$AX5/12*(1-$BF5))*GT5-$BJ5/12,0)+IF(UT$2=$BM5,GU5*$BH5+IF($X5="IO",$S5+$TE5,-CUMPRINC($W5/12,$X5,$S5,$BM5,$X5,0)+CUMPRINC($W5/12,$X5,-$TE5,$BM5,$X5,0)))</f>
        <v>#REF!</v>
      </c>
      <c r="UU5" s="214" t="e">
        <f ca="1">IF(UU$2&lt;=$BM5,IF($X5="IO",$W5/12*GU5,-IPMT($W5/12,UU$2,$X5,$S5)+$BT5/$BS5)+IFERROR((GU5-GV5+PPMT($W5/12,UU$2,$X5,-$TE5)),0)-((IF($TD5&gt;0,N(OFFSET(#REF!,$TD5+UU$2-2,0))/12,0)+$AW5/12)*$BF5+$AX5/12*(1-$BF5))*GU5-$BJ5/12,0)+IF(UU$2=$BM5,GV5*$BH5+IF($X5="IO",$S5+$TE5,-CUMPRINC($W5/12,$X5,$S5,$BM5,$X5,0)+CUMPRINC($W5/12,$X5,-$TE5,$BM5,$X5,0)))</f>
        <v>#REF!</v>
      </c>
      <c r="UV5" s="214" t="e">
        <f ca="1">IF(UV$2&lt;=$BM5,IF($X5="IO",$W5/12*GV5,-IPMT($W5/12,UV$2,$X5,$S5)+$BT5/$BS5)+IFERROR((GV5-GW5+PPMT($W5/12,UV$2,$X5,-$TE5)),0)-((IF($TD5&gt;0,N(OFFSET(#REF!,$TD5+UV$2-2,0))/12,0)+$AW5/12)*$BF5+$AX5/12*(1-$BF5))*GV5-$BJ5/12,0)+IF(UV$2=$BM5,GW5*$BH5+IF($X5="IO",$S5+$TE5,-CUMPRINC($W5/12,$X5,$S5,$BM5,$X5,0)+CUMPRINC($W5/12,$X5,-$TE5,$BM5,$X5,0)))</f>
        <v>#REF!</v>
      </c>
      <c r="UW5" s="214" t="e">
        <f ca="1">IF(UW$2&lt;=$BM5,IF($X5="IO",$W5/12*GW5,-IPMT($W5/12,UW$2,$X5,$S5)+$BT5/$BS5)+IFERROR((GW5-GX5+PPMT($W5/12,UW$2,$X5,-$TE5)),0)-((IF($TD5&gt;0,N(OFFSET(#REF!,$TD5+UW$2-2,0))/12,0)+$AW5/12)*$BF5+$AX5/12*(1-$BF5))*GW5-$BJ5/12,0)+IF(UW$2=$BM5,GX5*$BH5+IF($X5="IO",$S5+$TE5,-CUMPRINC($W5/12,$X5,$S5,$BM5,$X5,0)+CUMPRINC($W5/12,$X5,-$TE5,$BM5,$X5,0)))</f>
        <v>#REF!</v>
      </c>
      <c r="UX5" s="214" t="e">
        <f ca="1">IF(UX$2&lt;=$BM5,IF($X5="IO",$W5/12*GX5,-IPMT($W5/12,UX$2,$X5,$S5)+$BT5/$BS5)+IFERROR((GX5-GY5+PPMT($W5/12,UX$2,$X5,-$TE5)),0)-((IF($TD5&gt;0,N(OFFSET(#REF!,$TD5+UX$2-2,0))/12,0)+$AW5/12)*$BF5+$AX5/12*(1-$BF5))*GX5-$BJ5/12,0)+IF(UX$2=$BM5,GY5*$BH5+IF($X5="IO",$S5+$TE5,-CUMPRINC($W5/12,$X5,$S5,$BM5,$X5,0)+CUMPRINC($W5/12,$X5,-$TE5,$BM5,$X5,0)))</f>
        <v>#REF!</v>
      </c>
      <c r="UY5" s="214" t="e">
        <f ca="1">IF(UY$2&lt;=$BM5,IF($X5="IO",$W5/12*GY5,-IPMT($W5/12,UY$2,$X5,$S5)+$BT5/$BS5)+IFERROR((GY5-GZ5+PPMT($W5/12,UY$2,$X5,-$TE5)),0)-((IF($TD5&gt;0,N(OFFSET(#REF!,$TD5+UY$2-2,0))/12,0)+$AW5/12)*$BF5+$AX5/12*(1-$BF5))*GY5-$BJ5/12,0)+IF(UY$2=$BM5,GZ5*$BH5+IF($X5="IO",$S5+$TE5,-CUMPRINC($W5/12,$X5,$S5,$BM5,$X5,0)+CUMPRINC($W5/12,$X5,-$TE5,$BM5,$X5,0)))</f>
        <v>#REF!</v>
      </c>
      <c r="UZ5" s="214" t="e">
        <f ca="1">IF(UZ$2&lt;=$BM5,IF($X5="IO",$W5/12*GZ5,-IPMT($W5/12,UZ$2,$X5,$S5)+$BT5/$BS5)+IFERROR((GZ5-HA5+PPMT($W5/12,UZ$2,$X5,-$TE5)),0)-((IF($TD5&gt;0,N(OFFSET(#REF!,$TD5+UZ$2-2,0))/12,0)+$AW5/12)*$BF5+$AX5/12*(1-$BF5))*GZ5-$BJ5/12,0)+IF(UZ$2=$BM5,HA5*$BH5+IF($X5="IO",$S5+$TE5,-CUMPRINC($W5/12,$X5,$S5,$BM5,$X5,0)+CUMPRINC($W5/12,$X5,-$TE5,$BM5,$X5,0)))</f>
        <v>#REF!</v>
      </c>
      <c r="VA5" s="214" t="e">
        <f ca="1">IF(VA$2&lt;=$BM5,IF($X5="IO",$W5/12*HA5,-IPMT($W5/12,VA$2,$X5,$S5)+$BT5/$BS5)+IFERROR((HA5-HB5+PPMT($W5/12,VA$2,$X5,-$TE5)),0)-((IF($TD5&gt;0,N(OFFSET(#REF!,$TD5+VA$2-2,0))/12,0)+$AW5/12)*$BF5+$AX5/12*(1-$BF5))*HA5-$BJ5/12,0)+IF(VA$2=$BM5,HB5*$BH5+IF($X5="IO",$S5+$TE5,-CUMPRINC($W5/12,$X5,$S5,$BM5,$X5,0)+CUMPRINC($W5/12,$X5,-$TE5,$BM5,$X5,0)))</f>
        <v>#REF!</v>
      </c>
      <c r="VB5" s="214" t="e">
        <f ca="1">IF(VB$2&lt;=$BM5,IF($X5="IO",$W5/12*HB5,-IPMT($W5/12,VB$2,$X5,$S5)+$BT5/$BS5)+IFERROR((HB5-HC5+PPMT($W5/12,VB$2,$X5,-$TE5)),0)-((IF($TD5&gt;0,N(OFFSET(#REF!,$TD5+VB$2-2,0))/12,0)+$AW5/12)*$BF5+$AX5/12*(1-$BF5))*HB5-$BJ5/12,0)+IF(VB$2=$BM5,HC5*$BH5+IF($X5="IO",$S5+$TE5,-CUMPRINC($W5/12,$X5,$S5,$BM5,$X5,0)+CUMPRINC($W5/12,$X5,-$TE5,$BM5,$X5,0)))</f>
        <v>#REF!</v>
      </c>
      <c r="VC5" s="214" t="e">
        <f ca="1">IF(VC$2&lt;=$BM5,IF($X5="IO",$W5/12*HC5,-IPMT($W5/12,VC$2,$X5,$S5)+$BT5/$BS5)+IFERROR((HC5-HD5+PPMT($W5/12,VC$2,$X5,-$TE5)),0)-((IF($TD5&gt;0,N(OFFSET(#REF!,$TD5+VC$2-2,0))/12,0)+$AW5/12)*$BF5+$AX5/12*(1-$BF5))*HC5-$BJ5/12,0)+IF(VC$2=$BM5,HD5*$BH5+IF($X5="IO",$S5+$TE5,-CUMPRINC($W5/12,$X5,$S5,$BM5,$X5,0)+CUMPRINC($W5/12,$X5,-$TE5,$BM5,$X5,0)))</f>
        <v>#REF!</v>
      </c>
      <c r="VD5" s="214" t="e">
        <f ca="1">IF(VD$2&lt;=$BM5,IF($X5="IO",$W5/12*HD5,-IPMT($W5/12,VD$2,$X5,$S5)+$BT5/$BS5)+IFERROR((HD5-HE5+PPMT($W5/12,VD$2,$X5,-$TE5)),0)-((IF($TD5&gt;0,N(OFFSET(#REF!,$TD5+VD$2-2,0))/12,0)+$AW5/12)*$BF5+$AX5/12*(1-$BF5))*HD5-$BJ5/12,0)+IF(VD$2=$BM5,HE5*$BH5+IF($X5="IO",$S5+$TE5,-CUMPRINC($W5/12,$X5,$S5,$BM5,$X5,0)+CUMPRINC($W5/12,$X5,-$TE5,$BM5,$X5,0)))</f>
        <v>#REF!</v>
      </c>
      <c r="VE5" s="214" t="e">
        <f ca="1">IF(VE$2&lt;=$BM5,IF($X5="IO",$W5/12*HE5,-IPMT($W5/12,VE$2,$X5,$S5)+$BT5/$BS5)+IFERROR((HE5-HF5+PPMT($W5/12,VE$2,$X5,-$TE5)),0)-((IF($TD5&gt;0,N(OFFSET(#REF!,$TD5+VE$2-2,0))/12,0)+$AW5/12)*$BF5+$AX5/12*(1-$BF5))*HE5-$BJ5/12,0)+IF(VE$2=$BM5,HF5*$BH5+IF($X5="IO",$S5+$TE5,-CUMPRINC($W5/12,$X5,$S5,$BM5,$X5,0)+CUMPRINC($W5/12,$X5,-$TE5,$BM5,$X5,0)))</f>
        <v>#REF!</v>
      </c>
      <c r="VF5" s="214" t="e">
        <f ca="1">IF(VF$2&lt;=$BM5,IF($X5="IO",$W5/12*HF5,-IPMT($W5/12,VF$2,$X5,$S5)+$BT5/$BS5)+IFERROR((HF5-HG5+PPMT($W5/12,VF$2,$X5,-$TE5)),0)-((IF($TD5&gt;0,N(OFFSET(#REF!,$TD5+VF$2-2,0))/12,0)+$AW5/12)*$BF5+$AX5/12*(1-$BF5))*HF5-$BJ5/12,0)+IF(VF$2=$BM5,HG5*$BH5+IF($X5="IO",$S5+$TE5,-CUMPRINC($W5/12,$X5,$S5,$BM5,$X5,0)+CUMPRINC($W5/12,$X5,-$TE5,$BM5,$X5,0)))</f>
        <v>#REF!</v>
      </c>
      <c r="VG5" s="214" t="e">
        <f ca="1">IF(VG$2&lt;=$BM5,IF($X5="IO",$W5/12*HG5,-IPMT($W5/12,VG$2,$X5,$S5)+$BT5/$BS5)+IFERROR((HG5-HH5+PPMT($W5/12,VG$2,$X5,-$TE5)),0)-((IF($TD5&gt;0,N(OFFSET(#REF!,$TD5+VG$2-2,0))/12,0)+$AW5/12)*$BF5+$AX5/12*(1-$BF5))*HG5-$BJ5/12,0)+IF(VG$2=$BM5,HH5*$BH5+IF($X5="IO",$S5+$TE5,-CUMPRINC($W5/12,$X5,$S5,$BM5,$X5,0)+CUMPRINC($W5/12,$X5,-$TE5,$BM5,$X5,0)))</f>
        <v>#REF!</v>
      </c>
      <c r="VH5" s="214" t="e">
        <f ca="1">IF(VH$2&lt;=$BM5,IF($X5="IO",$W5/12*HH5,-IPMT($W5/12,VH$2,$X5,$S5)+$BT5/$BS5)+IFERROR((HH5-HI5+PPMT($W5/12,VH$2,$X5,-$TE5)),0)-((IF($TD5&gt;0,N(OFFSET(#REF!,$TD5+VH$2-2,0))/12,0)+$AW5/12)*$BF5+$AX5/12*(1-$BF5))*HH5-$BJ5/12,0)+IF(VH$2=$BM5,HI5*$BH5+IF($X5="IO",$S5+$TE5,-CUMPRINC($W5/12,$X5,$S5,$BM5,$X5,0)+CUMPRINC($W5/12,$X5,-$TE5,$BM5,$X5,0)))</f>
        <v>#REF!</v>
      </c>
      <c r="VI5" s="214" t="e">
        <f ca="1">IF(VI$2&lt;=$BM5,IF($X5="IO",$W5/12*HI5,-IPMT($W5/12,VI$2,$X5,$S5)+$BT5/$BS5)+IFERROR((HI5-HJ5+PPMT($W5/12,VI$2,$X5,-$TE5)),0)-((IF($TD5&gt;0,N(OFFSET(#REF!,$TD5+VI$2-2,0))/12,0)+$AW5/12)*$BF5+$AX5/12*(1-$BF5))*HI5-$BJ5/12,0)+IF(VI$2=$BM5,HJ5*$BH5+IF($X5="IO",$S5+$TE5,-CUMPRINC($W5/12,$X5,$S5,$BM5,$X5,0)+CUMPRINC($W5/12,$X5,-$TE5,$BM5,$X5,0)))</f>
        <v>#REF!</v>
      </c>
      <c r="VJ5" s="214" t="e">
        <f ca="1">IF(VJ$2&lt;=$BM5,IF($X5="IO",$W5/12*HJ5,-IPMT($W5/12,VJ$2,$X5,$S5)+$BT5/$BS5)+IFERROR((HJ5-HK5+PPMT($W5/12,VJ$2,$X5,-$TE5)),0)-((IF($TD5&gt;0,N(OFFSET(#REF!,$TD5+VJ$2-2,0))/12,0)+$AW5/12)*$BF5+$AX5/12*(1-$BF5))*HJ5-$BJ5/12,0)+IF(VJ$2=$BM5,HK5*$BH5+IF($X5="IO",$S5+$TE5,-CUMPRINC($W5/12,$X5,$S5,$BM5,$X5,0)+CUMPRINC($W5/12,$X5,-$TE5,$BM5,$X5,0)))</f>
        <v>#REF!</v>
      </c>
      <c r="VK5" s="214" t="e">
        <f ca="1">IF(VK$2&lt;=$BM5,IF($X5="IO",$W5/12*HK5,-IPMT($W5/12,VK$2,$X5,$S5)+$BT5/$BS5)+IFERROR((HK5-HL5+PPMT($W5/12,VK$2,$X5,-$TE5)),0)-((IF($TD5&gt;0,N(OFFSET(#REF!,$TD5+VK$2-2,0))/12,0)+$AW5/12)*$BF5+$AX5/12*(1-$BF5))*HK5-$BJ5/12,0)+IF(VK$2=$BM5,HL5*$BH5+IF($X5="IO",$S5+$TE5,-CUMPRINC($W5/12,$X5,$S5,$BM5,$X5,0)+CUMPRINC($W5/12,$X5,-$TE5,$BM5,$X5,0)))</f>
        <v>#REF!</v>
      </c>
      <c r="VL5" s="214" t="e">
        <f ca="1">IF(VL$2&lt;=$BM5,IF($X5="IO",$W5/12*HL5,-IPMT($W5/12,VL$2,$X5,$S5)+$BT5/$BS5)+IFERROR((HL5-HM5+PPMT($W5/12,VL$2,$X5,-$TE5)),0)-((IF($TD5&gt;0,N(OFFSET(#REF!,$TD5+VL$2-2,0))/12,0)+$AW5/12)*$BF5+$AX5/12*(1-$BF5))*HL5-$BJ5/12,0)+IF(VL$2=$BM5,HM5*$BH5+IF($X5="IO",$S5+$TE5,-CUMPRINC($W5/12,$X5,$S5,$BM5,$X5,0)+CUMPRINC($W5/12,$X5,-$TE5,$BM5,$X5,0)))</f>
        <v>#REF!</v>
      </c>
      <c r="VM5" s="214" t="e">
        <f ca="1">IF(VM$2&lt;=$BM5,IF($X5="IO",$W5/12*HM5,-IPMT($W5/12,VM$2,$X5,$S5)+$BT5/$BS5)+IFERROR((HM5-HN5+PPMT($W5/12,VM$2,$X5,-$TE5)),0)-((IF($TD5&gt;0,N(OFFSET(#REF!,$TD5+VM$2-2,0))/12,0)+$AW5/12)*$BF5+$AX5/12*(1-$BF5))*HM5-$BJ5/12,0)+IF(VM$2=$BM5,HN5*$BH5+IF($X5="IO",$S5+$TE5,-CUMPRINC($W5/12,$X5,$S5,$BM5,$X5,0)+CUMPRINC($W5/12,$X5,-$TE5,$BM5,$X5,0)))</f>
        <v>#REF!</v>
      </c>
      <c r="VN5" s="214" t="e">
        <f ca="1">IF(VN$2&lt;=$BM5,IF($X5="IO",$W5/12*HN5,-IPMT($W5/12,VN$2,$X5,$S5)+$BT5/$BS5)+IFERROR((HN5-HO5+PPMT($W5/12,VN$2,$X5,-$TE5)),0)-((IF($TD5&gt;0,N(OFFSET(#REF!,$TD5+VN$2-2,0))/12,0)+$AW5/12)*$BF5+$AX5/12*(1-$BF5))*HN5-$BJ5/12,0)+IF(VN$2=$BM5,HO5*$BH5+IF($X5="IO",$S5+$TE5,-CUMPRINC($W5/12,$X5,$S5,$BM5,$X5,0)+CUMPRINC($W5/12,$X5,-$TE5,$BM5,$X5,0)))</f>
        <v>#REF!</v>
      </c>
      <c r="VO5" s="214" t="e">
        <f ca="1">IF(VO$2&lt;=$BM5,IF($X5="IO",$W5/12*HO5,-IPMT($W5/12,VO$2,$X5,$S5)+$BT5/$BS5)+IFERROR((HO5-HP5+PPMT($W5/12,VO$2,$X5,-$TE5)),0)-((IF($TD5&gt;0,N(OFFSET(#REF!,$TD5+VO$2-2,0))/12,0)+$AW5/12)*$BF5+$AX5/12*(1-$BF5))*HO5-$BJ5/12,0)+IF(VO$2=$BM5,HP5*$BH5+IF($X5="IO",$S5+$TE5,-CUMPRINC($W5/12,$X5,$S5,$BM5,$X5,0)+CUMPRINC($W5/12,$X5,-$TE5,$BM5,$X5,0)))</f>
        <v>#REF!</v>
      </c>
      <c r="VP5" s="214" t="e">
        <f ca="1">IF(VP$2&lt;=$BM5,IF($X5="IO",$W5/12*HP5,-IPMT($W5/12,VP$2,$X5,$S5)+$BT5/$BS5)+IFERROR((HP5-HQ5+PPMT($W5/12,VP$2,$X5,-$TE5)),0)-((IF($TD5&gt;0,N(OFFSET(#REF!,$TD5+VP$2-2,0))/12,0)+$AW5/12)*$BF5+$AX5/12*(1-$BF5))*HP5-$BJ5/12,0)+IF(VP$2=$BM5,HQ5*$BH5+IF($X5="IO",$S5+$TE5,-CUMPRINC($W5/12,$X5,$S5,$BM5,$X5,0)+CUMPRINC($W5/12,$X5,-$TE5,$BM5,$X5,0)))</f>
        <v>#REF!</v>
      </c>
      <c r="VQ5" s="214" t="e">
        <f ca="1">IF(VQ$2&lt;=$BM5,IF($X5="IO",$W5/12*HQ5,-IPMT($W5/12,VQ$2,$X5,$S5)+$BT5/$BS5)+IFERROR((HQ5-HR5+PPMT($W5/12,VQ$2,$X5,-$TE5)),0)-((IF($TD5&gt;0,N(OFFSET(#REF!,$TD5+VQ$2-2,0))/12,0)+$AW5/12)*$BF5+$AX5/12*(1-$BF5))*HQ5-$BJ5/12,0)+IF(VQ$2=$BM5,HR5*$BH5+IF($X5="IO",$S5+$TE5,-CUMPRINC($W5/12,$X5,$S5,$BM5,$X5,0)+CUMPRINC($W5/12,$X5,-$TE5,$BM5,$X5,0)))</f>
        <v>#REF!</v>
      </c>
      <c r="VR5" s="214" t="e">
        <f ca="1">IF(VR$2&lt;=$BM5,IF($X5="IO",$W5/12*HR5,-IPMT($W5/12,VR$2,$X5,$S5)+$BT5/$BS5)+IFERROR((HR5-HS5+PPMT($W5/12,VR$2,$X5,-$TE5)),0)-((IF($TD5&gt;0,N(OFFSET(#REF!,$TD5+VR$2-2,0))/12,0)+$AW5/12)*$BF5+$AX5/12*(1-$BF5))*HR5-$BJ5/12,0)+IF(VR$2=$BM5,HS5*$BH5+IF($X5="IO",$S5+$TE5,-CUMPRINC($W5/12,$X5,$S5,$BM5,$X5,0)+CUMPRINC($W5/12,$X5,-$TE5,$BM5,$X5,0)))</f>
        <v>#REF!</v>
      </c>
      <c r="VS5" s="214" t="e">
        <f ca="1">IF(VS$2&lt;=$BM5,IF($X5="IO",$W5/12*HS5,-IPMT($W5/12,VS$2,$X5,$S5)+$BT5/$BS5)+IFERROR((HS5-HT5+PPMT($W5/12,VS$2,$X5,-$TE5)),0)-((IF($TD5&gt;0,N(OFFSET(#REF!,$TD5+VS$2-2,0))/12,0)+$AW5/12)*$BF5+$AX5/12*(1-$BF5))*HS5-$BJ5/12,0)+IF(VS$2=$BM5,HT5*$BH5+IF($X5="IO",$S5+$TE5,-CUMPRINC($W5/12,$X5,$S5,$BM5,$X5,0)+CUMPRINC($W5/12,$X5,-$TE5,$BM5,$X5,0)))</f>
        <v>#REF!</v>
      </c>
      <c r="VT5" s="214" t="e">
        <f ca="1">IF(VT$2&lt;=$BM5,IF($X5="IO",$W5/12*HT5,-IPMT($W5/12,VT$2,$X5,$S5)+$BT5/$BS5)+IFERROR((HT5-HU5+PPMT($W5/12,VT$2,$X5,-$TE5)),0)-((IF($TD5&gt;0,N(OFFSET(#REF!,$TD5+VT$2-2,0))/12,0)+$AW5/12)*$BF5+$AX5/12*(1-$BF5))*HT5-$BJ5/12,0)+IF(VT$2=$BM5,HU5*$BH5+IF($X5="IO",$S5+$TE5,-CUMPRINC($W5/12,$X5,$S5,$BM5,$X5,0)+CUMPRINC($W5/12,$X5,-$TE5,$BM5,$X5,0)))</f>
        <v>#REF!</v>
      </c>
      <c r="VU5" s="214" t="e">
        <f ca="1">IF(VU$2&lt;=$BM5,IF($X5="IO",$W5/12*HU5,-IPMT($W5/12,VU$2,$X5,$S5)+$BT5/$BS5)+IFERROR((HU5-HV5+PPMT($W5/12,VU$2,$X5,-$TE5)),0)-((IF($TD5&gt;0,N(OFFSET(#REF!,$TD5+VU$2-2,0))/12,0)+$AW5/12)*$BF5+$AX5/12*(1-$BF5))*HU5-$BJ5/12,0)+IF(VU$2=$BM5,HV5*$BH5+IF($X5="IO",$S5+$TE5,-CUMPRINC($W5/12,$X5,$S5,$BM5,$X5,0)+CUMPRINC($W5/12,$X5,-$TE5,$BM5,$X5,0)))</f>
        <v>#REF!</v>
      </c>
      <c r="VV5" s="214" t="e">
        <f ca="1">IF(VV$2&lt;=$BM5,IF($X5="IO",$W5/12*HV5,-IPMT($W5/12,VV$2,$X5,$S5)+$BT5/$BS5)+IFERROR((HV5-HW5+PPMT($W5/12,VV$2,$X5,-$TE5)),0)-((IF($TD5&gt;0,N(OFFSET(#REF!,$TD5+VV$2-2,0))/12,0)+$AW5/12)*$BF5+$AX5/12*(1-$BF5))*HV5-$BJ5/12,0)+IF(VV$2=$BM5,HW5*$BH5+IF($X5="IO",$S5+$TE5,-CUMPRINC($W5/12,$X5,$S5,$BM5,$X5,0)+CUMPRINC($W5/12,$X5,-$TE5,$BM5,$X5,0)))</f>
        <v>#REF!</v>
      </c>
      <c r="VW5" s="214" t="e">
        <f ca="1">IF(VW$2&lt;=$BM5,IF($X5="IO",$W5/12*HW5,-IPMT($W5/12,VW$2,$X5,$S5)+$BT5/$BS5)+IFERROR((HW5-HX5+PPMT($W5/12,VW$2,$X5,-$TE5)),0)-((IF($TD5&gt;0,N(OFFSET(#REF!,$TD5+VW$2-2,0))/12,0)+$AW5/12)*$BF5+$AX5/12*(1-$BF5))*HW5-$BJ5/12,0)+IF(VW$2=$BM5,HX5*$BH5+IF($X5="IO",$S5+$TE5,-CUMPRINC($W5/12,$X5,$S5,$BM5,$X5,0)+CUMPRINC($W5/12,$X5,-$TE5,$BM5,$X5,0)))</f>
        <v>#REF!</v>
      </c>
      <c r="VX5" s="214" t="e">
        <f ca="1">IF(VX$2&lt;=$BM5,IF($X5="IO",$W5/12*HX5,-IPMT($W5/12,VX$2,$X5,$S5)+$BT5/$BS5)+IFERROR((HX5-HY5+PPMT($W5/12,VX$2,$X5,-$TE5)),0)-((IF($TD5&gt;0,N(OFFSET(#REF!,$TD5+VX$2-2,0))/12,0)+$AW5/12)*$BF5+$AX5/12*(1-$BF5))*HX5-$BJ5/12,0)+IF(VX$2=$BM5,HY5*$BH5+IF($X5="IO",$S5+$TE5,-CUMPRINC($W5/12,$X5,$S5,$BM5,$X5,0)+CUMPRINC($W5/12,$X5,-$TE5,$BM5,$X5,0)))</f>
        <v>#REF!</v>
      </c>
      <c r="VY5" s="214" t="e">
        <f ca="1">IF(VY$2&lt;=$BM5,IF($X5="IO",$W5/12*HY5,-IPMT($W5/12,VY$2,$X5,$S5)+$BT5/$BS5)+IFERROR((HY5-HZ5+PPMT($W5/12,VY$2,$X5,-$TE5)),0)-((IF($TD5&gt;0,N(OFFSET(#REF!,$TD5+VY$2-2,0))/12,0)+$AW5/12)*$BF5+$AX5/12*(1-$BF5))*HY5-$BJ5/12,0)+IF(VY$2=$BM5,HZ5*$BH5+IF($X5="IO",$S5+$TE5,-CUMPRINC($W5/12,$X5,$S5,$BM5,$X5,0)+CUMPRINC($W5/12,$X5,-$TE5,$BM5,$X5,0)))</f>
        <v>#REF!</v>
      </c>
      <c r="VZ5" s="214" t="e">
        <f ca="1">IF(VZ$2&lt;=$BM5,IF($X5="IO",$W5/12*HZ5,-IPMT($W5/12,VZ$2,$X5,$S5)+$BT5/$BS5)+IFERROR((HZ5-IA5+PPMT($W5/12,VZ$2,$X5,-$TE5)),0)-((IF($TD5&gt;0,N(OFFSET(#REF!,$TD5+VZ$2-2,0))/12,0)+$AW5/12)*$BF5+$AX5/12*(1-$BF5))*HZ5-$BJ5/12,0)+IF(VZ$2=$BM5,IA5*$BH5+IF($X5="IO",$S5+$TE5,-CUMPRINC($W5/12,$X5,$S5,$BM5,$X5,0)+CUMPRINC($W5/12,$X5,-$TE5,$BM5,$X5,0)))</f>
        <v>#REF!</v>
      </c>
      <c r="WA5" s="214" t="e">
        <f ca="1">IF(WA$2&lt;=$BM5,IF($X5="IO",$W5/12*IA5,-IPMT($W5/12,WA$2,$X5,$S5)+$BT5/$BS5)+IFERROR((IA5-IB5+PPMT($W5/12,WA$2,$X5,-$TE5)),0)-((IF($TD5&gt;0,N(OFFSET(#REF!,$TD5+WA$2-2,0))/12,0)+$AW5/12)*$BF5+$AX5/12*(1-$BF5))*IA5-$BJ5/12,0)+IF(WA$2=$BM5,IB5*$BH5+IF($X5="IO",$S5+$TE5,-CUMPRINC($W5/12,$X5,$S5,$BM5,$X5,0)+CUMPRINC($W5/12,$X5,-$TE5,$BM5,$X5,0)))</f>
        <v>#REF!</v>
      </c>
      <c r="WB5" s="214" t="e">
        <f ca="1">IF(WB$2&lt;=$BM5,IF($X5="IO",$W5/12*IB5,-IPMT($W5/12,WB$2,$X5,$S5)+$BT5/$BS5)+IFERROR((IB5-IC5+PPMT($W5/12,WB$2,$X5,-$TE5)),0)-((IF($TD5&gt;0,N(OFFSET(#REF!,$TD5+WB$2-2,0))/12,0)+$AW5/12)*$BF5+$AX5/12*(1-$BF5))*IB5-$BJ5/12,0)+IF(WB$2=$BM5,IC5*$BH5+IF($X5="IO",$S5+$TE5,-CUMPRINC($W5/12,$X5,$S5,$BM5,$X5,0)+CUMPRINC($W5/12,$X5,-$TE5,$BM5,$X5,0)))</f>
        <v>#REF!</v>
      </c>
      <c r="WC5" s="214" t="e">
        <f ca="1">IF(WC$2&lt;=$BM5,IF($X5="IO",$W5/12*IC5,-IPMT($W5/12,WC$2,$X5,$S5)+$BT5/$BS5)+IFERROR((IC5-ID5+PPMT($W5/12,WC$2,$X5,-$TE5)),0)-((IF($TD5&gt;0,N(OFFSET(#REF!,$TD5+WC$2-2,0))/12,0)+$AW5/12)*$BF5+$AX5/12*(1-$BF5))*IC5-$BJ5/12,0)+IF(WC$2=$BM5,ID5*$BH5+IF($X5="IO",$S5+$TE5,-CUMPRINC($W5/12,$X5,$S5,$BM5,$X5,0)+CUMPRINC($W5/12,$X5,-$TE5,$BM5,$X5,0)))</f>
        <v>#REF!</v>
      </c>
      <c r="WD5" s="214" t="e">
        <f ca="1">IF(WD$2&lt;=$BM5,IF($X5="IO",$W5/12*ID5,-IPMT($W5/12,WD$2,$X5,$S5)+$BT5/$BS5)+IFERROR((ID5-IE5+PPMT($W5/12,WD$2,$X5,-$TE5)),0)-((IF($TD5&gt;0,N(OFFSET(#REF!,$TD5+WD$2-2,0))/12,0)+$AW5/12)*$BF5+$AX5/12*(1-$BF5))*ID5-$BJ5/12,0)+IF(WD$2=$BM5,IE5*$BH5+IF($X5="IO",$S5+$TE5,-CUMPRINC($W5/12,$X5,$S5,$BM5,$X5,0)+CUMPRINC($W5/12,$X5,-$TE5,$BM5,$X5,0)))</f>
        <v>#REF!</v>
      </c>
      <c r="WE5" s="214" t="e">
        <f ca="1">IF(WE$2&lt;=$BM5,IF($X5="IO",$W5/12*IE5,-IPMT($W5/12,WE$2,$X5,$S5)+$BT5/$BS5)+IFERROR((IE5-IF5+PPMT($W5/12,WE$2,$X5,-$TE5)),0)-((IF($TD5&gt;0,N(OFFSET(#REF!,$TD5+WE$2-2,0))/12,0)+$AW5/12)*$BF5+$AX5/12*(1-$BF5))*IE5-$BJ5/12,0)+IF(WE$2=$BM5,IF5*$BH5+IF($X5="IO",$S5+$TE5,-CUMPRINC($W5/12,$X5,$S5,$BM5,$X5,0)+CUMPRINC($W5/12,$X5,-$TE5,$BM5,$X5,0)))</f>
        <v>#REF!</v>
      </c>
      <c r="WF5" s="214" t="e">
        <f ca="1">IF(WF$2&lt;=$BM5,IF($X5="IO",$W5/12*IF5,-IPMT($W5/12,WF$2,$X5,$S5)+$BT5/$BS5)+IFERROR((IF5-IG5+PPMT($W5/12,WF$2,$X5,-$TE5)),0)-((IF($TD5&gt;0,N(OFFSET(#REF!,$TD5+WF$2-2,0))/12,0)+$AW5/12)*$BF5+$AX5/12*(1-$BF5))*IF5-$BJ5/12,0)+IF(WF$2=$BM5,IG5*$BH5+IF($X5="IO",$S5+$TE5,-CUMPRINC($W5/12,$X5,$S5,$BM5,$X5,0)+CUMPRINC($W5/12,$X5,-$TE5,$BM5,$X5,0)))</f>
        <v>#REF!</v>
      </c>
      <c r="WG5" s="214" t="e">
        <f ca="1">IF(WG$2&lt;=$BM5,IF($X5="IO",$W5/12*IG5,-IPMT($W5/12,WG$2,$X5,$S5)+$BT5/$BS5)+IFERROR((IG5-IH5+PPMT($W5/12,WG$2,$X5,-$TE5)),0)-((IF($TD5&gt;0,N(OFFSET(#REF!,$TD5+WG$2-2,0))/12,0)+$AW5/12)*$BF5+$AX5/12*(1-$BF5))*IG5-$BJ5/12,0)+IF(WG$2=$BM5,IH5*$BH5+IF($X5="IO",$S5+$TE5,-CUMPRINC($W5/12,$X5,$S5,$BM5,$X5,0)+CUMPRINC($W5/12,$X5,-$TE5,$BM5,$X5,0)))</f>
        <v>#REF!</v>
      </c>
      <c r="WH5" s="214" t="e">
        <f ca="1">IF(WH$2&lt;=$BM5,IF($X5="IO",$W5/12*IH5,-IPMT($W5/12,WH$2,$X5,$S5)+$BT5/$BS5)+IFERROR((IH5-II5+PPMT($W5/12,WH$2,$X5,-$TE5)),0)-((IF($TD5&gt;0,N(OFFSET(#REF!,$TD5+WH$2-2,0))/12,0)+$AW5/12)*$BF5+$AX5/12*(1-$BF5))*IH5-$BJ5/12,0)+IF(WH$2=$BM5,II5*$BH5+IF($X5="IO",$S5+$TE5,-CUMPRINC($W5/12,$X5,$S5,$BM5,$X5,0)+CUMPRINC($W5/12,$X5,-$TE5,$BM5,$X5,0)))</f>
        <v>#REF!</v>
      </c>
      <c r="WI5" s="214" t="e">
        <f ca="1">IF(WI$2&lt;=$BM5,IF($X5="IO",$W5/12*II5,-IPMT($W5/12,WI$2,$X5,$S5)+$BT5/$BS5)+IFERROR((II5-IJ5+PPMT($W5/12,WI$2,$X5,-$TE5)),0)-((IF($TD5&gt;0,N(OFFSET(#REF!,$TD5+WI$2-2,0))/12,0)+$AW5/12)*$BF5+$AX5/12*(1-$BF5))*II5-$BJ5/12,0)+IF(WI$2=$BM5,IJ5*$BH5+IF($X5="IO",$S5+$TE5,-CUMPRINC($W5/12,$X5,$S5,$BM5,$X5,0)+CUMPRINC($W5/12,$X5,-$TE5,$BM5,$X5,0)))</f>
        <v>#REF!</v>
      </c>
      <c r="WJ5" s="214" t="e">
        <f ca="1">IF(WJ$2&lt;=$BM5,IF($X5="IO",$W5/12*IJ5,-IPMT($W5/12,WJ$2,$X5,$S5)+$BT5/$BS5)+IFERROR((IJ5-IK5+PPMT($W5/12,WJ$2,$X5,-$TE5)),0)-((IF($TD5&gt;0,N(OFFSET(#REF!,$TD5+WJ$2-2,0))/12,0)+$AW5/12)*$BF5+$AX5/12*(1-$BF5))*IJ5-$BJ5/12,0)+IF(WJ$2=$BM5,IK5*$BH5+IF($X5="IO",$S5+$TE5,-CUMPRINC($W5/12,$X5,$S5,$BM5,$X5,0)+CUMPRINC($W5/12,$X5,-$TE5,$BM5,$X5,0)))</f>
        <v>#REF!</v>
      </c>
      <c r="WK5" s="214" t="e">
        <f ca="1">IF(WK$2&lt;=$BM5,IF($X5="IO",$W5/12*IK5,-IPMT($W5/12,WK$2,$X5,$S5)+$BT5/$BS5)+IFERROR((IK5-IL5+PPMT($W5/12,WK$2,$X5,-$TE5)),0)-((IF($TD5&gt;0,N(OFFSET(#REF!,$TD5+WK$2-2,0))/12,0)+$AW5/12)*$BF5+$AX5/12*(1-$BF5))*IK5-$BJ5/12,0)+IF(WK$2=$BM5,IL5*$BH5+IF($X5="IO",$S5+$TE5,-CUMPRINC($W5/12,$X5,$S5,$BM5,$X5,0)+CUMPRINC($W5/12,$X5,-$TE5,$BM5,$X5,0)))</f>
        <v>#REF!</v>
      </c>
      <c r="WL5" s="214" t="e">
        <f ca="1">IF(WL$2&lt;=$BM5,IF($X5="IO",$W5/12*IL5,-IPMT($W5/12,WL$2,$X5,$S5)+$BT5/$BS5)+IFERROR((IL5-IM5+PPMT($W5/12,WL$2,$X5,-$TE5)),0)-((IF($TD5&gt;0,N(OFFSET(#REF!,$TD5+WL$2-2,0))/12,0)+$AW5/12)*$BF5+$AX5/12*(1-$BF5))*IL5-$BJ5/12,0)+IF(WL$2=$BM5,IM5*$BH5+IF($X5="IO",$S5+$TE5,-CUMPRINC($W5/12,$X5,$S5,$BM5,$X5,0)+CUMPRINC($W5/12,$X5,-$TE5,$BM5,$X5,0)))</f>
        <v>#REF!</v>
      </c>
      <c r="WM5" s="214" t="e">
        <f ca="1">IF(WM$2&lt;=$BM5,IF($X5="IO",$W5/12*IM5,-IPMT($W5/12,WM$2,$X5,$S5)+$BT5/$BS5)+IFERROR((IM5-IN5+PPMT($W5/12,WM$2,$X5,-$TE5)),0)-((IF($TD5&gt;0,N(OFFSET(#REF!,$TD5+WM$2-2,0))/12,0)+$AW5/12)*$BF5+$AX5/12*(1-$BF5))*IM5-$BJ5/12,0)+IF(WM$2=$BM5,IN5*$BH5+IF($X5="IO",$S5+$TE5,-CUMPRINC($W5/12,$X5,$S5,$BM5,$X5,0)+CUMPRINC($W5/12,$X5,-$TE5,$BM5,$X5,0)))</f>
        <v>#REF!</v>
      </c>
      <c r="WN5" s="214" t="e">
        <f ca="1">IF(WN$2&lt;=$BM5,IF($X5="IO",$W5/12*IN5,-IPMT($W5/12,WN$2,$X5,$S5)+$BT5/$BS5)+IFERROR((IN5-IO5+PPMT($W5/12,WN$2,$X5,-$TE5)),0)-((IF($TD5&gt;0,N(OFFSET(#REF!,$TD5+WN$2-2,0))/12,0)+$AW5/12)*$BF5+$AX5/12*(1-$BF5))*IN5-$BJ5/12,0)+IF(WN$2=$BM5,IO5*$BH5+IF($X5="IO",$S5+$TE5,-CUMPRINC($W5/12,$X5,$S5,$BM5,$X5,0)+CUMPRINC($W5/12,$X5,-$TE5,$BM5,$X5,0)))</f>
        <v>#REF!</v>
      </c>
      <c r="WO5" s="214" t="e">
        <f ca="1">IF(WO$2&lt;=$BM5,IF($X5="IO",$W5/12*IO5,-IPMT($W5/12,WO$2,$X5,$S5)+$BT5/$BS5)+IFERROR((IO5-IP5+PPMT($W5/12,WO$2,$X5,-$TE5)),0)-((IF($TD5&gt;0,N(OFFSET(#REF!,$TD5+WO$2-2,0))/12,0)+$AW5/12)*$BF5+$AX5/12*(1-$BF5))*IO5-$BJ5/12,0)+IF(WO$2=$BM5,IP5*$BH5+IF($X5="IO",$S5+$TE5,-CUMPRINC($W5/12,$X5,$S5,$BM5,$X5,0)+CUMPRINC($W5/12,$X5,-$TE5,$BM5,$X5,0)))</f>
        <v>#REF!</v>
      </c>
      <c r="WP5" s="214" t="e">
        <f ca="1">IF(WP$2&lt;=$BM5,IF($X5="IO",$W5/12*IP5,-IPMT($W5/12,WP$2,$X5,$S5)+$BT5/$BS5)+IFERROR((IP5-IQ5+PPMT($W5/12,WP$2,$X5,-$TE5)),0)-((IF($TD5&gt;0,N(OFFSET(#REF!,$TD5+WP$2-2,0))/12,0)+$AW5/12)*$BF5+$AX5/12*(1-$BF5))*IP5-$BJ5/12,0)+IF(WP$2=$BM5,IQ5*$BH5+IF($X5="IO",$S5+$TE5,-CUMPRINC($W5/12,$X5,$S5,$BM5,$X5,0)+CUMPRINC($W5/12,$X5,-$TE5,$BM5,$X5,0)))</f>
        <v>#REF!</v>
      </c>
      <c r="WQ5" s="214" t="e">
        <f ca="1">IF(WQ$2&lt;=$BM5,IF($X5="IO",$W5/12*IQ5,-IPMT($W5/12,WQ$2,$X5,$S5)+$BT5/$BS5)+IFERROR((IQ5-IR5+PPMT($W5/12,WQ$2,$X5,-$TE5)),0)-((IF($TD5&gt;0,N(OFFSET(#REF!,$TD5+WQ$2-2,0))/12,0)+$AW5/12)*$BF5+$AX5/12*(1-$BF5))*IQ5-$BJ5/12,0)+IF(WQ$2=$BM5,IR5*$BH5+IF($X5="IO",$S5+$TE5,-CUMPRINC($W5/12,$X5,$S5,$BM5,$X5,0)+CUMPRINC($W5/12,$X5,-$TE5,$BM5,$X5,0)))</f>
        <v>#REF!</v>
      </c>
      <c r="WR5" s="214" t="e">
        <f ca="1">IF(WR$2&lt;=$BM5,IF($X5="IO",$W5/12*IR5,-IPMT($W5/12,WR$2,$X5,$S5)+$BT5/$BS5)+IFERROR((IR5-IS5+PPMT($W5/12,WR$2,$X5,-$TE5)),0)-((IF($TD5&gt;0,N(OFFSET(#REF!,$TD5+WR$2-2,0))/12,0)+$AW5/12)*$BF5+$AX5/12*(1-$BF5))*IR5-$BJ5/12,0)+IF(WR$2=$BM5,IS5*$BH5+IF($X5="IO",$S5+$TE5,-CUMPRINC($W5/12,$X5,$S5,$BM5,$X5,0)+CUMPRINC($W5/12,$X5,-$TE5,$BM5,$X5,0)))</f>
        <v>#REF!</v>
      </c>
      <c r="WS5" s="214" t="e">
        <f ca="1">IF(WS$2&lt;=$BM5,IF($X5="IO",$W5/12*IS5,-IPMT($W5/12,WS$2,$X5,$S5)+$BT5/$BS5)+IFERROR((IS5-IT5+PPMT($W5/12,WS$2,$X5,-$TE5)),0)-((IF($TD5&gt;0,N(OFFSET(#REF!,$TD5+WS$2-2,0))/12,0)+$AW5/12)*$BF5+$AX5/12*(1-$BF5))*IS5-$BJ5/12,0)+IF(WS$2=$BM5,IT5*$BH5+IF($X5="IO",$S5+$TE5,-CUMPRINC($W5/12,$X5,$S5,$BM5,$X5,0)+CUMPRINC($W5/12,$X5,-$TE5,$BM5,$X5,0)))</f>
        <v>#REF!</v>
      </c>
      <c r="WT5" s="214" t="e">
        <f ca="1">IF(WT$2&lt;=$BM5,IF($X5="IO",$W5/12*IT5,-IPMT($W5/12,WT$2,$X5,$S5)+$BT5/$BS5)+IFERROR((IT5-IU5+PPMT($W5/12,WT$2,$X5,-$TE5)),0)-((IF($TD5&gt;0,N(OFFSET(#REF!,$TD5+WT$2-2,0))/12,0)+$AW5/12)*$BF5+$AX5/12*(1-$BF5))*IT5-$BJ5/12,0)+IF(WT$2=$BM5,IU5*$BH5+IF($X5="IO",$S5+$TE5,-CUMPRINC($W5/12,$X5,$S5,$BM5,$X5,0)+CUMPRINC($W5/12,$X5,-$TE5,$BM5,$X5,0)))</f>
        <v>#REF!</v>
      </c>
      <c r="WU5" s="214" t="e">
        <f ca="1">IF(WU$2&lt;=$BM5,IF($X5="IO",$W5/12*IU5,-IPMT($W5/12,WU$2,$X5,$S5)+$BT5/$BS5)+IFERROR((IU5-IV5+PPMT($W5/12,WU$2,$X5,-$TE5)),0)-((IF($TD5&gt;0,N(OFFSET(#REF!,$TD5+WU$2-2,0))/12,0)+$AW5/12)*$BF5+$AX5/12*(1-$BF5))*IU5-$BJ5/12,0)+IF(WU$2=$BM5,IV5*$BH5+IF($X5="IO",$S5+$TE5,-CUMPRINC($W5/12,$X5,$S5,$BM5,$X5,0)+CUMPRINC($W5/12,$X5,-$TE5,$BM5,$X5,0)))</f>
        <v>#REF!</v>
      </c>
      <c r="WV5" s="214" t="e">
        <f ca="1">IF(WV$2&lt;=$BM5,IF($X5="IO",$W5/12*IV5,-IPMT($W5/12,WV$2,$X5,$S5)+$BT5/$BS5)+IFERROR((IV5-IW5+PPMT($W5/12,WV$2,$X5,-$TE5)),0)-((IF($TD5&gt;0,N(OFFSET(#REF!,$TD5+WV$2-2,0))/12,0)+$AW5/12)*$BF5+$AX5/12*(1-$BF5))*IV5-$BJ5/12,0)+IF(WV$2=$BM5,IW5*$BH5+IF($X5="IO",$S5+$TE5,-CUMPRINC($W5/12,$X5,$S5,$BM5,$X5,0)+CUMPRINC($W5/12,$X5,-$TE5,$BM5,$X5,0)))</f>
        <v>#REF!</v>
      </c>
      <c r="WW5" s="214" t="e">
        <f ca="1">IF(WW$2&lt;=$BM5,IF($X5="IO",$W5/12*IW5,-IPMT($W5/12,WW$2,$X5,$S5)+$BT5/$BS5)+IFERROR((IW5-IX5+PPMT($W5/12,WW$2,$X5,-$TE5)),0)-((IF($TD5&gt;0,N(OFFSET(#REF!,$TD5+WW$2-2,0))/12,0)+$AW5/12)*$BF5+$AX5/12*(1-$BF5))*IW5-$BJ5/12,0)+IF(WW$2=$BM5,IX5*$BH5+IF($X5="IO",$S5+$TE5,-CUMPRINC($W5/12,$X5,$S5,$BM5,$X5,0)+CUMPRINC($W5/12,$X5,-$TE5,$BM5,$X5,0)))</f>
        <v>#REF!</v>
      </c>
      <c r="WX5" s="214" t="e">
        <f ca="1">IF(WX$2&lt;=$BM5,IF($X5="IO",$W5/12*IX5,-IPMT($W5/12,WX$2,$X5,$S5)+$BT5/$BS5)+IFERROR((IX5-IY5+PPMT($W5/12,WX$2,$X5,-$TE5)),0)-((IF($TD5&gt;0,N(OFFSET(#REF!,$TD5+WX$2-2,0))/12,0)+$AW5/12)*$BF5+$AX5/12*(1-$BF5))*IX5-$BJ5/12,0)+IF(WX$2=$BM5,IY5*$BH5+IF($X5="IO",$S5+$TE5,-CUMPRINC($W5/12,$X5,$S5,$BM5,$X5,0)+CUMPRINC($W5/12,$X5,-$TE5,$BM5,$X5,0)))</f>
        <v>#REF!</v>
      </c>
      <c r="WY5" s="214" t="e">
        <f ca="1">IF(WY$2&lt;=$BM5,IF($X5="IO",$W5/12*IY5,-IPMT($W5/12,WY$2,$X5,$S5)+$BT5/$BS5)+IFERROR((IY5-IZ5+PPMT($W5/12,WY$2,$X5,-$TE5)),0)-((IF($TD5&gt;0,N(OFFSET(#REF!,$TD5+WY$2-2,0))/12,0)+$AW5/12)*$BF5+$AX5/12*(1-$BF5))*IY5-$BJ5/12,0)+IF(WY$2=$BM5,IZ5*$BH5+IF($X5="IO",$S5+$TE5,-CUMPRINC($W5/12,$X5,$S5,$BM5,$X5,0)+CUMPRINC($W5/12,$X5,-$TE5,$BM5,$X5,0)))</f>
        <v>#REF!</v>
      </c>
      <c r="WZ5" s="214" t="e">
        <f ca="1">IF(WZ$2&lt;=$BM5,IF($X5="IO",$W5/12*IZ5,-IPMT($W5/12,WZ$2,$X5,$S5)+$BT5/$BS5)+IFERROR((IZ5-JA5+PPMT($W5/12,WZ$2,$X5,-$TE5)),0)-((IF($TD5&gt;0,N(OFFSET(#REF!,$TD5+WZ$2-2,0))/12,0)+$AW5/12)*$BF5+$AX5/12*(1-$BF5))*IZ5-$BJ5/12,0)+IF(WZ$2=$BM5,JA5*$BH5+IF($X5="IO",$S5+$TE5,-CUMPRINC($W5/12,$X5,$S5,$BM5,$X5,0)+CUMPRINC($W5/12,$X5,-$TE5,$BM5,$X5,0)))</f>
        <v>#REF!</v>
      </c>
      <c r="XA5" s="214" t="e">
        <f ca="1">IF(XA$2&lt;=$BM5,IF($X5="IO",$W5/12*JA5,-IPMT($W5/12,XA$2,$X5,$S5)+$BT5/$BS5)+IFERROR((JA5-JB5+PPMT($W5/12,XA$2,$X5,-$TE5)),0)-((IF($TD5&gt;0,N(OFFSET(#REF!,$TD5+XA$2-2,0))/12,0)+$AW5/12)*$BF5+$AX5/12*(1-$BF5))*JA5-$BJ5/12,0)+IF(XA$2=$BM5,JB5*$BH5+IF($X5="IO",$S5+$TE5,-CUMPRINC($W5/12,$X5,$S5,$BM5,$X5,0)+CUMPRINC($W5/12,$X5,-$TE5,$BM5,$X5,0)))</f>
        <v>#REF!</v>
      </c>
      <c r="XB5" s="214" t="e">
        <f ca="1">IF(XB$2&lt;=$BM5,IF($X5="IO",$W5/12*JB5,-IPMT($W5/12,XB$2,$X5,$S5)+$BT5/$BS5)+IFERROR((JB5-JC5+PPMT($W5/12,XB$2,$X5,-$TE5)),0)-((IF($TD5&gt;0,N(OFFSET(#REF!,$TD5+XB$2-2,0))/12,0)+$AW5/12)*$BF5+$AX5/12*(1-$BF5))*JB5-$BJ5/12,0)+IF(XB$2=$BM5,JC5*$BH5+IF($X5="IO",$S5+$TE5,-CUMPRINC($W5/12,$X5,$S5,$BM5,$X5,0)+CUMPRINC($W5/12,$X5,-$TE5,$BM5,$X5,0)))</f>
        <v>#REF!</v>
      </c>
      <c r="XC5" s="214" t="e">
        <f ca="1">IF(XC$2&lt;=$BM5,IF($X5="IO",$W5/12*JC5,-IPMT($W5/12,XC$2,$X5,$S5)+$BT5/$BS5)+IFERROR((JC5-JD5+PPMT($W5/12,XC$2,$X5,-$TE5)),0)-((IF($TD5&gt;0,N(OFFSET(#REF!,$TD5+XC$2-2,0))/12,0)+$AW5/12)*$BF5+$AX5/12*(1-$BF5))*JC5-$BJ5/12,0)+IF(XC$2=$BM5,JD5*$BH5+IF($X5="IO",$S5+$TE5,-CUMPRINC($W5/12,$X5,$S5,$BM5,$X5,0)+CUMPRINC($W5/12,$X5,-$TE5,$BM5,$X5,0)))</f>
        <v>#REF!</v>
      </c>
      <c r="XD5" s="214" t="e">
        <f ca="1">IF(XD$2&lt;=$BM5,IF($X5="IO",$W5/12*JD5,-IPMT($W5/12,XD$2,$X5,$S5)+$BT5/$BS5)+IFERROR((JD5-JE5+PPMT($W5/12,XD$2,$X5,-$TE5)),0)-((IF($TD5&gt;0,N(OFFSET(#REF!,$TD5+XD$2-2,0))/12,0)+$AW5/12)*$BF5+$AX5/12*(1-$BF5))*JD5-$BJ5/12,0)+IF(XD$2=$BM5,JE5*$BH5+IF($X5="IO",$S5+$TE5,-CUMPRINC($W5/12,$X5,$S5,$BM5,$X5,0)+CUMPRINC($W5/12,$X5,-$TE5,$BM5,$X5,0)))</f>
        <v>#REF!</v>
      </c>
      <c r="XE5" s="214" t="e">
        <f ca="1">IF(XE$2&lt;=$BM5,IF($X5="IO",$W5/12*JE5,-IPMT($W5/12,XE$2,$X5,$S5)+$BT5/$BS5)+IFERROR((JE5-JF5+PPMT($W5/12,XE$2,$X5,-$TE5)),0)-((IF($TD5&gt;0,N(OFFSET(#REF!,$TD5+XE$2-2,0))/12,0)+$AW5/12)*$BF5+$AX5/12*(1-$BF5))*JE5-$BJ5/12,0)+IF(XE$2=$BM5,JF5*$BH5+IF($X5="IO",$S5+$TE5,-CUMPRINC($W5/12,$X5,$S5,$BM5,$X5,0)+CUMPRINC($W5/12,$X5,-$TE5,$BM5,$X5,0)))</f>
        <v>#REF!</v>
      </c>
      <c r="XF5" s="214" t="e">
        <f ca="1">IF(XF$2&lt;=$BM5,IF($X5="IO",$W5/12*JF5,-IPMT($W5/12,XF$2,$X5,$S5)+$BT5/$BS5)+IFERROR((JF5-JG5+PPMT($W5/12,XF$2,$X5,-$TE5)),0)-((IF($TD5&gt;0,N(OFFSET(#REF!,$TD5+XF$2-2,0))/12,0)+$AW5/12)*$BF5+$AX5/12*(1-$BF5))*JF5-$BJ5/12,0)+IF(XF$2=$BM5,JG5*$BH5+IF($X5="IO",$S5+$TE5,-CUMPRINC($W5/12,$X5,$S5,$BM5,$X5,0)+CUMPRINC($W5/12,$X5,-$TE5,$BM5,$X5,0)))</f>
        <v>#REF!</v>
      </c>
      <c r="XG5" s="214" t="e">
        <f ca="1">IF(XG$2&lt;=$BM5,IF($X5="IO",$W5/12*JG5,-IPMT($W5/12,XG$2,$X5,$S5)+$BT5/$BS5)+IFERROR((JG5-JH5+PPMT($W5/12,XG$2,$X5,-$TE5)),0)-((IF($TD5&gt;0,N(OFFSET(#REF!,$TD5+XG$2-2,0))/12,0)+$AW5/12)*$BF5+$AX5/12*(1-$BF5))*JG5-$BJ5/12,0)+IF(XG$2=$BM5,JH5*$BH5+IF($X5="IO",$S5+$TE5,-CUMPRINC($W5/12,$X5,$S5,$BM5,$X5,0)+CUMPRINC($W5/12,$X5,-$TE5,$BM5,$X5,0)))</f>
        <v>#REF!</v>
      </c>
      <c r="XH5" s="214" t="e">
        <f ca="1">IF(XH$2&lt;=$BM5,IF($X5="IO",$W5/12*JH5,-IPMT($W5/12,XH$2,$X5,$S5)+$BT5/$BS5)+IFERROR((JH5-JI5+PPMT($W5/12,XH$2,$X5,-$TE5)),0)-((IF($TD5&gt;0,N(OFFSET(#REF!,$TD5+XH$2-2,0))/12,0)+$AW5/12)*$BF5+$AX5/12*(1-$BF5))*JH5-$BJ5/12,0)+IF(XH$2=$BM5,JI5*$BH5+IF($X5="IO",$S5+$TE5,-CUMPRINC($W5/12,$X5,$S5,$BM5,$X5,0)+CUMPRINC($W5/12,$X5,-$TE5,$BM5,$X5,0)))</f>
        <v>#REF!</v>
      </c>
      <c r="XI5" s="214" t="e">
        <f ca="1">IF(XI$2&lt;=$BM5,IF($X5="IO",$W5/12*JI5,-IPMT($W5/12,XI$2,$X5,$S5)+$BT5/$BS5)+IFERROR((JI5-JJ5+PPMT($W5/12,XI$2,$X5,-$TE5)),0)-((IF($TD5&gt;0,N(OFFSET(#REF!,$TD5+XI$2-2,0))/12,0)+$AW5/12)*$BF5+$AX5/12*(1-$BF5))*JI5-$BJ5/12,0)+IF(XI$2=$BM5,JJ5*$BH5+IF($X5="IO",$S5+$TE5,-CUMPRINC($W5/12,$X5,$S5,$BM5,$X5,0)+CUMPRINC($W5/12,$X5,-$TE5,$BM5,$X5,0)))</f>
        <v>#REF!</v>
      </c>
      <c r="XJ5" s="214" t="e">
        <f ca="1">IF(XJ$2&lt;=$BM5,IF($X5="IO",$W5/12*JJ5,-IPMT($W5/12,XJ$2,$X5,$S5)+$BT5/$BS5)+IFERROR((JJ5-JK5+PPMT($W5/12,XJ$2,$X5,-$TE5)),0)-((IF($TD5&gt;0,N(OFFSET(#REF!,$TD5+XJ$2-2,0))/12,0)+$AW5/12)*$BF5+$AX5/12*(1-$BF5))*JJ5-$BJ5/12,0)+IF(XJ$2=$BM5,JK5*$BH5+IF($X5="IO",$S5+$TE5,-CUMPRINC($W5/12,$X5,$S5,$BM5,$X5,0)+CUMPRINC($W5/12,$X5,-$TE5,$BM5,$X5,0)))</f>
        <v>#REF!</v>
      </c>
      <c r="XK5" s="214" t="e">
        <f ca="1">IF(XK$2&lt;=$BM5,IF($X5="IO",$W5/12*JK5,-IPMT($W5/12,XK$2,$X5,$S5)+$BT5/$BS5)+IFERROR((JK5-JL5+PPMT($W5/12,XK$2,$X5,-$TE5)),0)-((IF($TD5&gt;0,N(OFFSET(#REF!,$TD5+XK$2-2,0))/12,0)+$AW5/12)*$BF5+$AX5/12*(1-$BF5))*JK5-$BJ5/12,0)+IF(XK$2=$BM5,JL5*$BH5+IF($X5="IO",$S5+$TE5,-CUMPRINC($W5/12,$X5,$S5,$BM5,$X5,0)+CUMPRINC($W5/12,$X5,-$TE5,$BM5,$X5,0)))</f>
        <v>#REF!</v>
      </c>
      <c r="XL5" s="214" t="e">
        <f ca="1">IF(XL$2&lt;=$BM5,IF($X5="IO",$W5/12*JL5,-IPMT($W5/12,XL$2,$X5,$S5)+$BT5/$BS5)+IFERROR((JL5-JM5+PPMT($W5/12,XL$2,$X5,-$TE5)),0)-((IF($TD5&gt;0,N(OFFSET(#REF!,$TD5+XL$2-2,0))/12,0)+$AW5/12)*$BF5+$AX5/12*(1-$BF5))*JL5-$BJ5/12,0)+IF(XL$2=$BM5,JM5*$BH5+IF($X5="IO",$S5+$TE5,-CUMPRINC($W5/12,$X5,$S5,$BM5,$X5,0)+CUMPRINC($W5/12,$X5,-$TE5,$BM5,$X5,0)))</f>
        <v>#REF!</v>
      </c>
      <c r="XM5" s="214" t="e">
        <f ca="1">IF(XM$2&lt;=$BM5,IF($X5="IO",$W5/12*JM5,-IPMT($W5/12,XM$2,$X5,$S5)+$BT5/$BS5)+IFERROR((JM5-JN5+PPMT($W5/12,XM$2,$X5,-$TE5)),0)-((IF($TD5&gt;0,N(OFFSET(#REF!,$TD5+XM$2-2,0))/12,0)+$AW5/12)*$BF5+$AX5/12*(1-$BF5))*JM5-$BJ5/12,0)+IF(XM$2=$BM5,JN5*$BH5+IF($X5="IO",$S5+$TE5,-CUMPRINC($W5/12,$X5,$S5,$BM5,$X5,0)+CUMPRINC($W5/12,$X5,-$TE5,$BM5,$X5,0)))</f>
        <v>#REF!</v>
      </c>
      <c r="XN5" s="214" t="e">
        <f ca="1">IF(XN$2&lt;=$BM5,IF($X5="IO",$W5/12*JN5,-IPMT($W5/12,XN$2,$X5,$S5)+$BT5/$BS5)+IFERROR((JN5-JO5+PPMT($W5/12,XN$2,$X5,-$TE5)),0)-((IF($TD5&gt;0,N(OFFSET(#REF!,$TD5+XN$2-2,0))/12,0)+$AW5/12)*$BF5+$AX5/12*(1-$BF5))*JN5-$BJ5/12,0)+IF(XN$2=$BM5,JO5*$BH5+IF($X5="IO",$S5+$TE5,-CUMPRINC($W5/12,$X5,$S5,$BM5,$X5,0)+CUMPRINC($W5/12,$X5,-$TE5,$BM5,$X5,0)))</f>
        <v>#REF!</v>
      </c>
      <c r="XO5" s="214" t="e">
        <f ca="1">IF(XO$2&lt;=$BM5,IF($X5="IO",$W5/12*JO5,-IPMT($W5/12,XO$2,$X5,$S5)+$BT5/$BS5)+IFERROR((JO5-JP5+PPMT($W5/12,XO$2,$X5,-$TE5)),0)-((IF($TD5&gt;0,N(OFFSET(#REF!,$TD5+XO$2-2,0))/12,0)+$AW5/12)*$BF5+$AX5/12*(1-$BF5))*JO5-$BJ5/12,0)+IF(XO$2=$BM5,JP5*$BH5+IF($X5="IO",$S5+$TE5,-CUMPRINC($W5/12,$X5,$S5,$BM5,$X5,0)+CUMPRINC($W5/12,$X5,-$TE5,$BM5,$X5,0)))</f>
        <v>#REF!</v>
      </c>
      <c r="XP5" s="214" t="e">
        <f ca="1">IF(XP$2&lt;=$BM5,IF($X5="IO",$W5/12*JP5,-IPMT($W5/12,XP$2,$X5,$S5)+$BT5/$BS5)+IFERROR((JP5-JQ5+PPMT($W5/12,XP$2,$X5,-$TE5)),0)-((IF($TD5&gt;0,N(OFFSET(#REF!,$TD5+XP$2-2,0))/12,0)+$AW5/12)*$BF5+$AX5/12*(1-$BF5))*JP5-$BJ5/12,0)+IF(XP$2=$BM5,JQ5*$BH5+IF($X5="IO",$S5+$TE5,-CUMPRINC($W5/12,$X5,$S5,$BM5,$X5,0)+CUMPRINC($W5/12,$X5,-$TE5,$BM5,$X5,0)))</f>
        <v>#REF!</v>
      </c>
      <c r="XQ5" s="214" t="e">
        <f ca="1">IF(XQ$2&lt;=$BM5,IF($X5="IO",$W5/12*JQ5,-IPMT($W5/12,XQ$2,$X5,$S5)+$BT5/$BS5)+IFERROR((JQ5-JR5+PPMT($W5/12,XQ$2,$X5,-$TE5)),0)-((IF($TD5&gt;0,N(OFFSET(#REF!,$TD5+XQ$2-2,0))/12,0)+$AW5/12)*$BF5+$AX5/12*(1-$BF5))*JQ5-$BJ5/12,0)+IF(XQ$2=$BM5,JR5*$BH5+IF($X5="IO",$S5+$TE5,-CUMPRINC($W5/12,$X5,$S5,$BM5,$X5,0)+CUMPRINC($W5/12,$X5,-$TE5,$BM5,$X5,0)))</f>
        <v>#REF!</v>
      </c>
      <c r="XR5" s="214" t="e">
        <f ca="1">IF(XR$2&lt;=$BM5,IF($X5="IO",$W5/12*JR5,-IPMT($W5/12,XR$2,$X5,$S5)+$BT5/$BS5)+IFERROR((JR5-JS5+PPMT($W5/12,XR$2,$X5,-$TE5)),0)-((IF($TD5&gt;0,N(OFFSET(#REF!,$TD5+XR$2-2,0))/12,0)+$AW5/12)*$BF5+$AX5/12*(1-$BF5))*JR5-$BJ5/12,0)+IF(XR$2=$BM5,JS5*$BH5+IF($X5="IO",$S5+$TE5,-CUMPRINC($W5/12,$X5,$S5,$BM5,$X5,0)+CUMPRINC($W5/12,$X5,-$TE5,$BM5,$X5,0)))</f>
        <v>#REF!</v>
      </c>
      <c r="XS5" s="214" t="e">
        <f ca="1">IF(XS$2&lt;=$BM5,IF($X5="IO",$W5/12*JS5,-IPMT($W5/12,XS$2,$X5,$S5)+$BT5/$BS5)+IFERROR((JS5-JT5+PPMT($W5/12,XS$2,$X5,-$TE5)),0)-((IF($TD5&gt;0,N(OFFSET(#REF!,$TD5+XS$2-2,0))/12,0)+$AW5/12)*$BF5+$AX5/12*(1-$BF5))*JS5-$BJ5/12,0)+IF(XS$2=$BM5,JT5*$BH5+IF($X5="IO",$S5+$TE5,-CUMPRINC($W5/12,$X5,$S5,$BM5,$X5,0)+CUMPRINC($W5/12,$X5,-$TE5,$BM5,$X5,0)))</f>
        <v>#REF!</v>
      </c>
      <c r="XT5" s="214" t="e">
        <f ca="1">IF(XT$2&lt;=$BM5,IF($X5="IO",$W5/12*JT5,-IPMT($W5/12,XT$2,$X5,$S5)+$BT5/$BS5)+IFERROR((JT5-JU5+PPMT($W5/12,XT$2,$X5,-$TE5)),0)-((IF($TD5&gt;0,N(OFFSET(#REF!,$TD5+XT$2-2,0))/12,0)+$AW5/12)*$BF5+$AX5/12*(1-$BF5))*JT5-$BJ5/12,0)+IF(XT$2=$BM5,JU5*$BH5+IF($X5="IO",$S5+$TE5,-CUMPRINC($W5/12,$X5,$S5,$BM5,$X5,0)+CUMPRINC($W5/12,$X5,-$TE5,$BM5,$X5,0)))</f>
        <v>#REF!</v>
      </c>
      <c r="XU5" s="214" t="e">
        <f ca="1">IF(XU$2&lt;=$BM5,IF($X5="IO",$W5/12*JU5,-IPMT($W5/12,XU$2,$X5,$S5)+$BT5/$BS5)+IFERROR((JU5-JV5+PPMT($W5/12,XU$2,$X5,-$TE5)),0)-((IF($TD5&gt;0,N(OFFSET(#REF!,$TD5+XU$2-2,0))/12,0)+$AW5/12)*$BF5+$AX5/12*(1-$BF5))*JU5-$BJ5/12,0)+IF(XU$2=$BM5,JV5*$BH5+IF($X5="IO",$S5+$TE5,-CUMPRINC($W5/12,$X5,$S5,$BM5,$X5,0)+CUMPRINC($W5/12,$X5,-$TE5,$BM5,$X5,0)))</f>
        <v>#REF!</v>
      </c>
      <c r="XV5" s="214" t="e">
        <f ca="1">IF(XV$2&lt;=$BM5,IF($X5="IO",$W5/12*JV5,-IPMT($W5/12,XV$2,$X5,$S5)+$BT5/$BS5)+IFERROR((JV5-JW5+PPMT($W5/12,XV$2,$X5,-$TE5)),0)-((IF($TD5&gt;0,N(OFFSET(#REF!,$TD5+XV$2-2,0))/12,0)+$AW5/12)*$BF5+$AX5/12*(1-$BF5))*JV5-$BJ5/12,0)+IF(XV$2=$BM5,JW5*$BH5+IF($X5="IO",$S5+$TE5,-CUMPRINC($W5/12,$X5,$S5,$BM5,$X5,0)+CUMPRINC($W5/12,$X5,-$TE5,$BM5,$X5,0)))</f>
        <v>#REF!</v>
      </c>
      <c r="XW5" s="214" t="e">
        <f ca="1">IF(XW$2&lt;=$BM5,IF($X5="IO",$W5/12*JW5,-IPMT($W5/12,XW$2,$X5,$S5)+$BT5/$BS5)+IFERROR((JW5-JX5+PPMT($W5/12,XW$2,$X5,-$TE5)),0)-((IF($TD5&gt;0,N(OFFSET(#REF!,$TD5+XW$2-2,0))/12,0)+$AW5/12)*$BF5+$AX5/12*(1-$BF5))*JW5-$BJ5/12,0)+IF(XW$2=$BM5,JX5*$BH5+IF($X5="IO",$S5+$TE5,-CUMPRINC($W5/12,$X5,$S5,$BM5,$X5,0)+CUMPRINC($W5/12,$X5,-$TE5,$BM5,$X5,0)))</f>
        <v>#REF!</v>
      </c>
      <c r="XX5" s="214" t="e">
        <f ca="1">IF(XX$2&lt;=$BM5,IF($X5="IO",$W5/12*JX5,-IPMT($W5/12,XX$2,$X5,$S5)+$BT5/$BS5)+IFERROR((JX5-JY5+PPMT($W5/12,XX$2,$X5,-$TE5)),0)-((IF($TD5&gt;0,N(OFFSET(#REF!,$TD5+XX$2-2,0))/12,0)+$AW5/12)*$BF5+$AX5/12*(1-$BF5))*JX5-$BJ5/12,0)+IF(XX$2=$BM5,JY5*$BH5+IF($X5="IO",$S5+$TE5,-CUMPRINC($W5/12,$X5,$S5,$BM5,$X5,0)+CUMPRINC($W5/12,$X5,-$TE5,$BM5,$X5,0)))</f>
        <v>#REF!</v>
      </c>
      <c r="XY5" s="214" t="e">
        <f ca="1">IF(XY$2&lt;=$BM5,IF($X5="IO",$W5/12*JY5,-IPMT($W5/12,XY$2,$X5,$S5)+$BT5/$BS5)+IFERROR((JY5-JZ5+PPMT($W5/12,XY$2,$X5,-$TE5)),0)-((IF($TD5&gt;0,N(OFFSET(#REF!,$TD5+XY$2-2,0))/12,0)+$AW5/12)*$BF5+$AX5/12*(1-$BF5))*JY5-$BJ5/12,0)+IF(XY$2=$BM5,JZ5*$BH5+IF($X5="IO",$S5+$TE5,-CUMPRINC($W5/12,$X5,$S5,$BM5,$X5,0)+CUMPRINC($W5/12,$X5,-$TE5,$BM5,$X5,0)))</f>
        <v>#REF!</v>
      </c>
      <c r="XZ5" s="214" t="e">
        <f ca="1">IF(XZ$2&lt;=$BM5,IF($X5="IO",$W5/12*JZ5,-IPMT($W5/12,XZ$2,$X5,$S5)+$BT5/$BS5)+IFERROR((JZ5-KA5+PPMT($W5/12,XZ$2,$X5,-$TE5)),0)-((IF($TD5&gt;0,N(OFFSET(#REF!,$TD5+XZ$2-2,0))/12,0)+$AW5/12)*$BF5+$AX5/12*(1-$BF5))*JZ5-$BJ5/12,0)+IF(XZ$2=$BM5,KA5*$BH5+IF($X5="IO",$S5+$TE5,-CUMPRINC($W5/12,$X5,$S5,$BM5,$X5,0)+CUMPRINC($W5/12,$X5,-$TE5,$BM5,$X5,0)))</f>
        <v>#REF!</v>
      </c>
      <c r="YA5" s="214" t="e">
        <f ca="1">IF(YA$2&lt;=$BM5,IF($X5="IO",$W5/12*KA5,-IPMT($W5/12,YA$2,$X5,$S5)+$BT5/$BS5)+IFERROR((KA5-KB5+PPMT($W5/12,YA$2,$X5,-$TE5)),0)-((IF($TD5&gt;0,N(OFFSET(#REF!,$TD5+YA$2-2,0))/12,0)+$AW5/12)*$BF5+$AX5/12*(1-$BF5))*KA5-$BJ5/12,0)+IF(YA$2=$BM5,KB5*$BH5+IF($X5="IO",$S5+$TE5,-CUMPRINC($W5/12,$X5,$S5,$BM5,$X5,0)+CUMPRINC($W5/12,$X5,-$TE5,$BM5,$X5,0)))</f>
        <v>#REF!</v>
      </c>
      <c r="YB5" s="214" t="e">
        <f ca="1">IF(YB$2&lt;=$BM5,IF($X5="IO",$W5/12*KB5,-IPMT($W5/12,YB$2,$X5,$S5)+$BT5/$BS5)+IFERROR((KB5-KC5+PPMT($W5/12,YB$2,$X5,-$TE5)),0)-((IF($TD5&gt;0,N(OFFSET(#REF!,$TD5+YB$2-2,0))/12,0)+$AW5/12)*$BF5+$AX5/12*(1-$BF5))*KB5-$BJ5/12,0)+IF(YB$2=$BM5,KC5*$BH5+IF($X5="IO",$S5+$TE5,-CUMPRINC($W5/12,$X5,$S5,$BM5,$X5,0)+CUMPRINC($W5/12,$X5,-$TE5,$BM5,$X5,0)))</f>
        <v>#REF!</v>
      </c>
      <c r="YC5" s="214" t="e">
        <f ca="1">IF(YC$2&lt;=$BM5,IF($X5="IO",$W5/12*KC5,-IPMT($W5/12,YC$2,$X5,$S5)+$BT5/$BS5)+IFERROR((KC5-KD5+PPMT($W5/12,YC$2,$X5,-$TE5)),0)-((IF($TD5&gt;0,N(OFFSET(#REF!,$TD5+YC$2-2,0))/12,0)+$AW5/12)*$BF5+$AX5/12*(1-$BF5))*KC5-$BJ5/12,0)+IF(YC$2=$BM5,KD5*$BH5+IF($X5="IO",$S5+$TE5,-CUMPRINC($W5/12,$X5,$S5,$BM5,$X5,0)+CUMPRINC($W5/12,$X5,-$TE5,$BM5,$X5,0)))</f>
        <v>#REF!</v>
      </c>
      <c r="YD5" s="214" t="e">
        <f ca="1">IF(YD$2&lt;=$BM5,IF($X5="IO",$W5/12*KD5,-IPMT($W5/12,YD$2,$X5,$S5)+$BT5/$BS5)+IFERROR((KD5-KE5+PPMT($W5/12,YD$2,$X5,-$TE5)),0)-((IF($TD5&gt;0,N(OFFSET(#REF!,$TD5+YD$2-2,0))/12,0)+$AW5/12)*$BF5+$AX5/12*(1-$BF5))*KD5-$BJ5/12,0)+IF(YD$2=$BM5,KE5*$BH5+IF($X5="IO",$S5+$TE5,-CUMPRINC($W5/12,$X5,$S5,$BM5,$X5,0)+CUMPRINC($W5/12,$X5,-$TE5,$BM5,$X5,0)))</f>
        <v>#REF!</v>
      </c>
      <c r="YE5" s="214" t="e">
        <f ca="1">IF(YE$2&lt;=$BM5,IF($X5="IO",$W5/12*KE5,-IPMT($W5/12,YE$2,$X5,$S5)+$BT5/$BS5)+IFERROR((KE5-KF5+PPMT($W5/12,YE$2,$X5,-$TE5)),0)-((IF($TD5&gt;0,N(OFFSET(#REF!,$TD5+YE$2-2,0))/12,0)+$AW5/12)*$BF5+$AX5/12*(1-$BF5))*KE5-$BJ5/12,0)+IF(YE$2=$BM5,KF5*$BH5+IF($X5="IO",$S5+$TE5,-CUMPRINC($W5/12,$X5,$S5,$BM5,$X5,0)+CUMPRINC($W5/12,$X5,-$TE5,$BM5,$X5,0)))</f>
        <v>#REF!</v>
      </c>
      <c r="YF5" s="214" t="e">
        <f ca="1">IF(YF$2&lt;=$BM5,IF($X5="IO",$W5/12*KF5,-IPMT($W5/12,YF$2,$X5,$S5)+$BT5/$BS5)+IFERROR((KF5-KG5+PPMT($W5/12,YF$2,$X5,-$TE5)),0)-((IF($TD5&gt;0,N(OFFSET(#REF!,$TD5+YF$2-2,0))/12,0)+$AW5/12)*$BF5+$AX5/12*(1-$BF5))*KF5-$BJ5/12,0)+IF(YF$2=$BM5,KG5*$BH5+IF($X5="IO",$S5+$TE5,-CUMPRINC($W5/12,$X5,$S5,$BM5,$X5,0)+CUMPRINC($W5/12,$X5,-$TE5,$BM5,$X5,0)))</f>
        <v>#REF!</v>
      </c>
      <c r="YG5" s="214" t="e">
        <f ca="1">IF(YG$2&lt;=$BM5,IF($X5="IO",$W5/12*KG5,-IPMT($W5/12,YG$2,$X5,$S5)+$BT5/$BS5)+IFERROR((KG5-KH5+PPMT($W5/12,YG$2,$X5,-$TE5)),0)-((IF($TD5&gt;0,N(OFFSET(#REF!,$TD5+YG$2-2,0))/12,0)+$AW5/12)*$BF5+$AX5/12*(1-$BF5))*KG5-$BJ5/12,0)+IF(YG$2=$BM5,KH5*$BH5+IF($X5="IO",$S5+$TE5,-CUMPRINC($W5/12,$X5,$S5,$BM5,$X5,0)+CUMPRINC($W5/12,$X5,-$TE5,$BM5,$X5,0)))</f>
        <v>#REF!</v>
      </c>
      <c r="YH5" s="214" t="e">
        <f ca="1">IF(YH$2&lt;=$BM5,IF($X5="IO",$W5/12*KH5,-IPMT($W5/12,YH$2,$X5,$S5)+$BT5/$BS5)+IFERROR((KH5-KI5+PPMT($W5/12,YH$2,$X5,-$TE5)),0)-((IF($TD5&gt;0,N(OFFSET(#REF!,$TD5+YH$2-2,0))/12,0)+$AW5/12)*$BF5+$AX5/12*(1-$BF5))*KH5-$BJ5/12,0)+IF(YH$2=$BM5,KI5*$BH5+IF($X5="IO",$S5+$TE5,-CUMPRINC($W5/12,$X5,$S5,$BM5,$X5,0)+CUMPRINC($W5/12,$X5,-$TE5,$BM5,$X5,0)))</f>
        <v>#REF!</v>
      </c>
      <c r="YI5" s="214" t="e">
        <f ca="1">IF(YI$2&lt;=$BM5,IF($X5="IO",$W5/12*KI5,-IPMT($W5/12,YI$2,$X5,$S5)+$BT5/$BS5)+IFERROR((KI5-KJ5+PPMT($W5/12,YI$2,$X5,-$TE5)),0)-((IF($TD5&gt;0,N(OFFSET(#REF!,$TD5+YI$2-2,0))/12,0)+$AW5/12)*$BF5+$AX5/12*(1-$BF5))*KI5-$BJ5/12,0)+IF(YI$2=$BM5,KJ5*$BH5+IF($X5="IO",$S5+$TE5,-CUMPRINC($W5/12,$X5,$S5,$BM5,$X5,0)+CUMPRINC($W5/12,$X5,-$TE5,$BM5,$X5,0)))</f>
        <v>#REF!</v>
      </c>
      <c r="YJ5" s="214" t="e">
        <f ca="1">IF(YJ$2&lt;=$BM5,IF($X5="IO",$W5/12*KJ5,-IPMT($W5/12,YJ$2,$X5,$S5)+$BT5/$BS5)+IFERROR((KJ5-KK5+PPMT($W5/12,YJ$2,$X5,-$TE5)),0)-((IF($TD5&gt;0,N(OFFSET(#REF!,$TD5+YJ$2-2,0))/12,0)+$AW5/12)*$BF5+$AX5/12*(1-$BF5))*KJ5-$BJ5/12,0)+IF(YJ$2=$BM5,KK5*$BH5+IF($X5="IO",$S5+$TE5,-CUMPRINC($W5/12,$X5,$S5,$BM5,$X5,0)+CUMPRINC($W5/12,$X5,-$TE5,$BM5,$X5,0)))</f>
        <v>#REF!</v>
      </c>
      <c r="YK5" s="214" t="e">
        <f ca="1">IF(YK$2&lt;=$BM5,IF($X5="IO",$W5/12*KK5,-IPMT($W5/12,YK$2,$X5,$S5)+$BT5/$BS5)+IFERROR((KK5-KL5+PPMT($W5/12,YK$2,$X5,-$TE5)),0)-((IF($TD5&gt;0,N(OFFSET(#REF!,$TD5+YK$2-2,0))/12,0)+$AW5/12)*$BF5+$AX5/12*(1-$BF5))*KK5-$BJ5/12,0)+IF(YK$2=$BM5,KL5*$BH5+IF($X5="IO",$S5+$TE5,-CUMPRINC($W5/12,$X5,$S5,$BM5,$X5,0)+CUMPRINC($W5/12,$X5,-$TE5,$BM5,$X5,0)))</f>
        <v>#REF!</v>
      </c>
      <c r="YL5" s="214" t="e">
        <f ca="1">IF(YL$2&lt;=$BM5,IF($X5="IO",$W5/12*KL5,-IPMT($W5/12,YL$2,$X5,$S5)+$BT5/$BS5)+IFERROR((KL5-KM5+PPMT($W5/12,YL$2,$X5,-$TE5)),0)-((IF($TD5&gt;0,N(OFFSET(#REF!,$TD5+YL$2-2,0))/12,0)+$AW5/12)*$BF5+$AX5/12*(1-$BF5))*KL5-$BJ5/12,0)+IF(YL$2=$BM5,KM5*$BH5+IF($X5="IO",$S5+$TE5,-CUMPRINC($W5/12,$X5,$S5,$BM5,$X5,0)+CUMPRINC($W5/12,$X5,-$TE5,$BM5,$X5,0)))</f>
        <v>#REF!</v>
      </c>
      <c r="YM5" s="214" t="e">
        <f ca="1">IF(YM$2&lt;=$BM5,IF($X5="IO",$W5/12*KM5,-IPMT($W5/12,YM$2,$X5,$S5)+$BT5/$BS5)+IFERROR((KM5-KN5+PPMT($W5/12,YM$2,$X5,-$TE5)),0)-((IF($TD5&gt;0,N(OFFSET(#REF!,$TD5+YM$2-2,0))/12,0)+$AW5/12)*$BF5+$AX5/12*(1-$BF5))*KM5-$BJ5/12,0)+IF(YM$2=$BM5,KN5*$BH5+IF($X5="IO",$S5+$TE5,-CUMPRINC($W5/12,$X5,$S5,$BM5,$X5,0)+CUMPRINC($W5/12,$X5,-$TE5,$BM5,$X5,0)))</f>
        <v>#REF!</v>
      </c>
      <c r="YN5" s="214" t="e">
        <f ca="1">IF(YN$2&lt;=$BM5,IF($X5="IO",$W5/12*KN5,-IPMT($W5/12,YN$2,$X5,$S5)+$BT5/$BS5)+IFERROR((KN5-KO5+PPMT($W5/12,YN$2,$X5,-$TE5)),0)-((IF($TD5&gt;0,N(OFFSET(#REF!,$TD5+YN$2-2,0))/12,0)+$AW5/12)*$BF5+$AX5/12*(1-$BF5))*KN5-$BJ5/12,0)+IF(YN$2=$BM5,KO5*$BH5+IF($X5="IO",$S5+$TE5,-CUMPRINC($W5/12,$X5,$S5,$BM5,$X5,0)+CUMPRINC($W5/12,$X5,-$TE5,$BM5,$X5,0)))</f>
        <v>#REF!</v>
      </c>
      <c r="YO5" s="214" t="e">
        <f ca="1">IF(YO$2&lt;=$BM5,IF($X5="IO",$W5/12*KO5,-IPMT($W5/12,YO$2,$X5,$S5)+$BT5/$BS5)+IFERROR((KO5-KP5+PPMT($W5/12,YO$2,$X5,-$TE5)),0)-((IF($TD5&gt;0,N(OFFSET(#REF!,$TD5+YO$2-2,0))/12,0)+$AW5/12)*$BF5+$AX5/12*(1-$BF5))*KO5-$BJ5/12,0)+IF(YO$2=$BM5,KP5*$BH5+IF($X5="IO",$S5+$TE5,-CUMPRINC($W5/12,$X5,$S5,$BM5,$X5,0)+CUMPRINC($W5/12,$X5,-$TE5,$BM5,$X5,0)))</f>
        <v>#REF!</v>
      </c>
      <c r="YP5" s="214" t="e">
        <f ca="1">IF(YP$2&lt;=$BM5,IF($X5="IO",$W5/12*KP5,-IPMT($W5/12,YP$2,$X5,$S5)+$BT5/$BS5)+IFERROR((KP5-KQ5+PPMT($W5/12,YP$2,$X5,-$TE5)),0)-((IF($TD5&gt;0,N(OFFSET(#REF!,$TD5+YP$2-2,0))/12,0)+$AW5/12)*$BF5+$AX5/12*(1-$BF5))*KP5-$BJ5/12,0)+IF(YP$2=$BM5,KQ5*$BH5+IF($X5="IO",$S5+$TE5,-CUMPRINC($W5/12,$X5,$S5,$BM5,$X5,0)+CUMPRINC($W5/12,$X5,-$TE5,$BM5,$X5,0)))</f>
        <v>#REF!</v>
      </c>
      <c r="YQ5" s="214" t="e">
        <f ca="1">IF(YQ$2&lt;=$BM5,IF($X5="IO",$W5/12*KQ5,-IPMT($W5/12,YQ$2,$X5,$S5)+$BT5/$BS5)+IFERROR((KQ5-KR5+PPMT($W5/12,YQ$2,$X5,-$TE5)),0)-((IF($TD5&gt;0,N(OFFSET(#REF!,$TD5+YQ$2-2,0))/12,0)+$AW5/12)*$BF5+$AX5/12*(1-$BF5))*KQ5-$BJ5/12,0)+IF(YQ$2=$BM5,KR5*$BH5+IF($X5="IO",$S5+$TE5,-CUMPRINC($W5/12,$X5,$S5,$BM5,$X5,0)+CUMPRINC($W5/12,$X5,-$TE5,$BM5,$X5,0)))</f>
        <v>#REF!</v>
      </c>
      <c r="YR5" s="214" t="e">
        <f ca="1">IF(YR$2&lt;=$BM5,IF($X5="IO",$W5/12*KR5,-IPMT($W5/12,YR$2,$X5,$S5)+$BT5/$BS5)+IFERROR((KR5-KS5+PPMT($W5/12,YR$2,$X5,-$TE5)),0)-((IF($TD5&gt;0,N(OFFSET(#REF!,$TD5+YR$2-2,0))/12,0)+$AW5/12)*$BF5+$AX5/12*(1-$BF5))*KR5-$BJ5/12,0)+IF(YR$2=$BM5,KS5*$BH5+IF($X5="IO",$S5+$TE5,-CUMPRINC($W5/12,$X5,$S5,$BM5,$X5,0)+CUMPRINC($W5/12,$X5,-$TE5,$BM5,$X5,0)))</f>
        <v>#REF!</v>
      </c>
      <c r="YS5" s="214" t="e">
        <f ca="1">IF(YS$2&lt;=$BM5,IF($X5="IO",$W5/12*KS5,-IPMT($W5/12,YS$2,$X5,$S5)+$BT5/$BS5)+IFERROR((KS5-KT5+PPMT($W5/12,YS$2,$X5,-$TE5)),0)-((IF($TD5&gt;0,N(OFFSET(#REF!,$TD5+YS$2-2,0))/12,0)+$AW5/12)*$BF5+$AX5/12*(1-$BF5))*KS5-$BJ5/12,0)+IF(YS$2=$BM5,KT5*$BH5+IF($X5="IO",$S5+$TE5,-CUMPRINC($W5/12,$X5,$S5,$BM5,$X5,0)+CUMPRINC($W5/12,$X5,-$TE5,$BM5,$X5,0)))</f>
        <v>#REF!</v>
      </c>
      <c r="YT5" s="214" t="e">
        <f ca="1">IF(YT$2&lt;=$BM5,IF($X5="IO",$W5/12*KT5,-IPMT($W5/12,YT$2,$X5,$S5)+$BT5/$BS5)+IFERROR((KT5-KU5+PPMT($W5/12,YT$2,$X5,-$TE5)),0)-((IF($TD5&gt;0,N(OFFSET(#REF!,$TD5+YT$2-2,0))/12,0)+$AW5/12)*$BF5+$AX5/12*(1-$BF5))*KT5-$BJ5/12,0)+IF(YT$2=$BM5,KU5*$BH5+IF($X5="IO",$S5+$TE5,-CUMPRINC($W5/12,$X5,$S5,$BM5,$X5,0)+CUMPRINC($W5/12,$X5,-$TE5,$BM5,$X5,0)))</f>
        <v>#REF!</v>
      </c>
      <c r="YU5" s="214" t="e">
        <f ca="1">IF(YU$2&lt;=$BM5,IF($X5="IO",$W5/12*KU5,-IPMT($W5/12,YU$2,$X5,$S5)+$BT5/$BS5)+IFERROR((KU5-KV5+PPMT($W5/12,YU$2,$X5,-$TE5)),0)-((IF($TD5&gt;0,N(OFFSET(#REF!,$TD5+YU$2-2,0))/12,0)+$AW5/12)*$BF5+$AX5/12*(1-$BF5))*KU5-$BJ5/12,0)+IF(YU$2=$BM5,KV5*$BH5+IF($X5="IO",$S5+$TE5,-CUMPRINC($W5/12,$X5,$S5,$BM5,$X5,0)+CUMPRINC($W5/12,$X5,-$TE5,$BM5,$X5,0)))</f>
        <v>#REF!</v>
      </c>
      <c r="YV5" s="214" t="e">
        <f ca="1">IF(YV$2&lt;=$BM5,IF($X5="IO",$W5/12*KV5,-IPMT($W5/12,YV$2,$X5,$S5)+$BT5/$BS5)+IFERROR((KV5-KW5+PPMT($W5/12,YV$2,$X5,-$TE5)),0)-((IF($TD5&gt;0,N(OFFSET(#REF!,$TD5+YV$2-2,0))/12,0)+$AW5/12)*$BF5+$AX5/12*(1-$BF5))*KV5-$BJ5/12,0)+IF(YV$2=$BM5,KW5*$BH5+IF($X5="IO",$S5+$TE5,-CUMPRINC($W5/12,$X5,$S5,$BM5,$X5,0)+CUMPRINC($W5/12,$X5,-$TE5,$BM5,$X5,0)))</f>
        <v>#REF!</v>
      </c>
      <c r="YW5" s="214" t="e">
        <f ca="1">IF(YW$2&lt;=$BM5,IF($X5="IO",$W5/12*KW5,-IPMT($W5/12,YW$2,$X5,$S5)+$BT5/$BS5)+IFERROR((KW5-KX5+PPMT($W5/12,YW$2,$X5,-$TE5)),0)-((IF($TD5&gt;0,N(OFFSET(#REF!,$TD5+YW$2-2,0))/12,0)+$AW5/12)*$BF5+$AX5/12*(1-$BF5))*KW5-$BJ5/12,0)+IF(YW$2=$BM5,KX5*$BH5+IF($X5="IO",$S5+$TE5,-CUMPRINC($W5/12,$X5,$S5,$BM5,$X5,0)+CUMPRINC($W5/12,$X5,-$TE5,$BM5,$X5,0)))</f>
        <v>#REF!</v>
      </c>
      <c r="YX5" s="214" t="e">
        <f ca="1">IF(YX$2&lt;=$BM5,IF($X5="IO",$W5/12*KX5,-IPMT($W5/12,YX$2,$X5,$S5)+$BT5/$BS5)+IFERROR((KX5-KY5+PPMT($W5/12,YX$2,$X5,-$TE5)),0)-((IF($TD5&gt;0,N(OFFSET(#REF!,$TD5+YX$2-2,0))/12,0)+$AW5/12)*$BF5+$AX5/12*(1-$BF5))*KX5-$BJ5/12,0)+IF(YX$2=$BM5,KY5*$BH5+IF($X5="IO",$S5+$TE5,-CUMPRINC($W5/12,$X5,$S5,$BM5,$X5,0)+CUMPRINC($W5/12,$X5,-$TE5,$BM5,$X5,0)))</f>
        <v>#REF!</v>
      </c>
      <c r="YY5" s="214" t="e">
        <f ca="1">IF(YY$2&lt;=$BM5,IF($X5="IO",$W5/12*KY5,-IPMT($W5/12,YY$2,$X5,$S5)+$BT5/$BS5)+IFERROR((KY5-KZ5+PPMT($W5/12,YY$2,$X5,-$TE5)),0)-((IF($TD5&gt;0,N(OFFSET(#REF!,$TD5+YY$2-2,0))/12,0)+$AW5/12)*$BF5+$AX5/12*(1-$BF5))*KY5-$BJ5/12,0)+IF(YY$2=$BM5,KZ5*$BH5+IF($X5="IO",$S5+$TE5,-CUMPRINC($W5/12,$X5,$S5,$BM5,$X5,0)+CUMPRINC($W5/12,$X5,-$TE5,$BM5,$X5,0)))</f>
        <v>#REF!</v>
      </c>
      <c r="YZ5" s="214" t="e">
        <f ca="1">IF(YZ$2&lt;=$BM5,IF($X5="IO",$W5/12*KZ5,-IPMT($W5/12,YZ$2,$X5,$S5)+$BT5/$BS5)+IFERROR((KZ5-LA5+PPMT($W5/12,YZ$2,$X5,-$TE5)),0)-((IF($TD5&gt;0,N(OFFSET(#REF!,$TD5+YZ$2-2,0))/12,0)+$AW5/12)*$BF5+$AX5/12*(1-$BF5))*KZ5-$BJ5/12,0)+IF(YZ$2=$BM5,LA5*$BH5+IF($X5="IO",$S5+$TE5,-CUMPRINC($W5/12,$X5,$S5,$BM5,$X5,0)+CUMPRINC($W5/12,$X5,-$TE5,$BM5,$X5,0)))</f>
        <v>#REF!</v>
      </c>
      <c r="ZA5" s="214" t="e">
        <f ca="1">IF(ZA$2&lt;=$BM5,IF($X5="IO",$W5/12*LA5,-IPMT($W5/12,ZA$2,$X5,$S5)+$BT5/$BS5)+IFERROR((LA5-LB5+PPMT($W5/12,ZA$2,$X5,-$TE5)),0)-((IF($TD5&gt;0,N(OFFSET(#REF!,$TD5+ZA$2-2,0))/12,0)+$AW5/12)*$BF5+$AX5/12*(1-$BF5))*LA5-$BJ5/12,0)+IF(ZA$2=$BM5,LB5*$BH5+IF($X5="IO",$S5+$TE5,-CUMPRINC($W5/12,$X5,$S5,$BM5,$X5,0)+CUMPRINC($W5/12,$X5,-$TE5,$BM5,$X5,0)))</f>
        <v>#REF!</v>
      </c>
      <c r="ZB5" s="214" t="e">
        <f ca="1">IF(ZB$2&lt;=$BM5,IF($X5="IO",$W5/12*LB5,-IPMT($W5/12,ZB$2,$X5,$S5)+$BT5/$BS5)+IFERROR((LB5-LC5+PPMT($W5/12,ZB$2,$X5,-$TE5)),0)-((IF($TD5&gt;0,N(OFFSET(#REF!,$TD5+ZB$2-2,0))/12,0)+$AW5/12)*$BF5+$AX5/12*(1-$BF5))*LB5-$BJ5/12,0)+IF(ZB$2=$BM5,LC5*$BH5+IF($X5="IO",$S5+$TE5,-CUMPRINC($W5/12,$X5,$S5,$BM5,$X5,0)+CUMPRINC($W5/12,$X5,-$TE5,$BM5,$X5,0)))</f>
        <v>#REF!</v>
      </c>
      <c r="ZC5" s="214" t="e">
        <f ca="1">IF(ZC$2&lt;=$BM5,IF($X5="IO",$W5/12*LC5,-IPMT($W5/12,ZC$2,$X5,$S5)+$BT5/$BS5)+IFERROR((LC5-LD5+PPMT($W5/12,ZC$2,$X5,-$TE5)),0)-((IF($TD5&gt;0,N(OFFSET(#REF!,$TD5+ZC$2-2,0))/12,0)+$AW5/12)*$BF5+$AX5/12*(1-$BF5))*LC5-$BJ5/12,0)+IF(ZC$2=$BM5,LD5*$BH5+IF($X5="IO",$S5+$TE5,-CUMPRINC($W5/12,$X5,$S5,$BM5,$X5,0)+CUMPRINC($W5/12,$X5,-$TE5,$BM5,$X5,0)))</f>
        <v>#REF!</v>
      </c>
      <c r="ZD5" s="214" t="e">
        <f ca="1">IF(ZD$2&lt;=$BM5,IF($X5="IO",$W5/12*LD5,-IPMT($W5/12,ZD$2,$X5,$S5)+$BT5/$BS5)+IFERROR((LD5-LE5+PPMT($W5/12,ZD$2,$X5,-$TE5)),0)-((IF($TD5&gt;0,N(OFFSET(#REF!,$TD5+ZD$2-2,0))/12,0)+$AW5/12)*$BF5+$AX5/12*(1-$BF5))*LD5-$BJ5/12,0)+IF(ZD$2=$BM5,LE5*$BH5+IF($X5="IO",$S5+$TE5,-CUMPRINC($W5/12,$X5,$S5,$BM5,$X5,0)+CUMPRINC($W5/12,$X5,-$TE5,$BM5,$X5,0)))</f>
        <v>#REF!</v>
      </c>
      <c r="ZE5" s="214" t="e">
        <f ca="1">IF(ZE$2&lt;=$BM5,IF($X5="IO",$W5/12*LE5,-IPMT($W5/12,ZE$2,$X5,$S5)+$BT5/$BS5)+IFERROR((LE5-LF5+PPMT($W5/12,ZE$2,$X5,-$TE5)),0)-((IF($TD5&gt;0,N(OFFSET(#REF!,$TD5+ZE$2-2,0))/12,0)+$AW5/12)*$BF5+$AX5/12*(1-$BF5))*LE5-$BJ5/12,0)+IF(ZE$2=$BM5,LF5*$BH5+IF($X5="IO",$S5+$TE5,-CUMPRINC($W5/12,$X5,$S5,$BM5,$X5,0)+CUMPRINC($W5/12,$X5,-$TE5,$BM5,$X5,0)))</f>
        <v>#REF!</v>
      </c>
      <c r="ZF5" s="214" t="e">
        <f ca="1">IF(ZF$2&lt;=$BM5,IF($X5="IO",$W5/12*LF5,-IPMT($W5/12,ZF$2,$X5,$S5)+$BT5/$BS5)+IFERROR((LF5-LG5+PPMT($W5/12,ZF$2,$X5,-$TE5)),0)-((IF($TD5&gt;0,N(OFFSET(#REF!,$TD5+ZF$2-2,0))/12,0)+$AW5/12)*$BF5+$AX5/12*(1-$BF5))*LF5-$BJ5/12,0)+IF(ZF$2=$BM5,LG5*$BH5+IF($X5="IO",$S5+$TE5,-CUMPRINC($W5/12,$X5,$S5,$BM5,$X5,0)+CUMPRINC($W5/12,$X5,-$TE5,$BM5,$X5,0)))</f>
        <v>#REF!</v>
      </c>
      <c r="ZG5" s="214" t="e">
        <f ca="1">IF(ZG$2&lt;=$BM5,IF($X5="IO",$W5/12*LG5,-IPMT($W5/12,ZG$2,$X5,$S5)+$BT5/$BS5)+IFERROR((LG5-LH5+PPMT($W5/12,ZG$2,$X5,-$TE5)),0)-((IF($TD5&gt;0,N(OFFSET(#REF!,$TD5+ZG$2-2,0))/12,0)+$AW5/12)*$BF5+$AX5/12*(1-$BF5))*LG5-$BJ5/12,0)+IF(ZG$2=$BM5,LH5*$BH5+IF($X5="IO",$S5+$TE5,-CUMPRINC($W5/12,$X5,$S5,$BM5,$X5,0)+CUMPRINC($W5/12,$X5,-$TE5,$BM5,$X5,0)))</f>
        <v>#REF!</v>
      </c>
      <c r="ZH5" s="214" t="e">
        <f ca="1">IF(ZH$2&lt;=$BM5,IF($X5="IO",$W5/12*LH5,-IPMT($W5/12,ZH$2,$X5,$S5)+$BT5/$BS5)+IFERROR((LH5-LI5+PPMT($W5/12,ZH$2,$X5,-$TE5)),0)-((IF($TD5&gt;0,N(OFFSET(#REF!,$TD5+ZH$2-2,0))/12,0)+$AW5/12)*$BF5+$AX5/12*(1-$BF5))*LH5-$BJ5/12,0)+IF(ZH$2=$BM5,LI5*$BH5+IF($X5="IO",$S5+$TE5,-CUMPRINC($W5/12,$X5,$S5,$BM5,$X5,0)+CUMPRINC($W5/12,$X5,-$TE5,$BM5,$X5,0)))</f>
        <v>#REF!</v>
      </c>
      <c r="ZI5" s="214" t="e">
        <f ca="1">IF(ZI$2&lt;=$BM5,IF($X5="IO",$W5/12*LI5,-IPMT($W5/12,ZI$2,$X5,$S5)+$BT5/$BS5)+IFERROR((LI5-LJ5+PPMT($W5/12,ZI$2,$X5,-$TE5)),0)-((IF($TD5&gt;0,N(OFFSET(#REF!,$TD5+ZI$2-2,0))/12,0)+$AW5/12)*$BF5+$AX5/12*(1-$BF5))*LI5-$BJ5/12,0)+IF(ZI$2=$BM5,LJ5*$BH5+IF($X5="IO",$S5+$TE5,-CUMPRINC($W5/12,$X5,$S5,$BM5,$X5,0)+CUMPRINC($W5/12,$X5,-$TE5,$BM5,$X5,0)))</f>
        <v>#REF!</v>
      </c>
      <c r="ZJ5" s="214" t="e">
        <f ca="1">IF(ZJ$2&lt;=$BM5,IF($X5="IO",$W5/12*LJ5,-IPMT($W5/12,ZJ$2,$X5,$S5)+$BT5/$BS5)+IFERROR((LJ5-LK5+PPMT($W5/12,ZJ$2,$X5,-$TE5)),0)-((IF($TD5&gt;0,N(OFFSET(#REF!,$TD5+ZJ$2-2,0))/12,0)+$AW5/12)*$BF5+$AX5/12*(1-$BF5))*LJ5-$BJ5/12,0)+IF(ZJ$2=$BM5,LK5*$BH5+IF($X5="IO",$S5+$TE5,-CUMPRINC($W5/12,$X5,$S5,$BM5,$X5,0)+CUMPRINC($W5/12,$X5,-$TE5,$BM5,$X5,0)))</f>
        <v>#REF!</v>
      </c>
      <c r="ZK5" s="214" t="e">
        <f ca="1">IF(ZK$2&lt;=$BM5,IF($X5="IO",$W5/12*LK5,-IPMT($W5/12,ZK$2,$X5,$S5)+$BT5/$BS5)+IFERROR((LK5-LL5+PPMT($W5/12,ZK$2,$X5,-$TE5)),0)-((IF($TD5&gt;0,N(OFFSET(#REF!,$TD5+ZK$2-2,0))/12,0)+$AW5/12)*$BF5+$AX5/12*(1-$BF5))*LK5-$BJ5/12,0)+IF(ZK$2=$BM5,LL5*$BH5+IF($X5="IO",$S5+$TE5,-CUMPRINC($W5/12,$X5,$S5,$BM5,$X5,0)+CUMPRINC($W5/12,$X5,-$TE5,$BM5,$X5,0)))</f>
        <v>#REF!</v>
      </c>
      <c r="ZL5" s="214" t="e">
        <f ca="1">IF(ZL$2&lt;=$BM5,IF($X5="IO",$W5/12*LL5,-IPMT($W5/12,ZL$2,$X5,$S5)+$BT5/$BS5)+IFERROR((LL5-LM5+PPMT($W5/12,ZL$2,$X5,-$TE5)),0)-((IF($TD5&gt;0,N(OFFSET(#REF!,$TD5+ZL$2-2,0))/12,0)+$AW5/12)*$BF5+$AX5/12*(1-$BF5))*LL5-$BJ5/12,0)+IF(ZL$2=$BM5,LM5*$BH5+IF($X5="IO",$S5+$TE5,-CUMPRINC($W5/12,$X5,$S5,$BM5,$X5,0)+CUMPRINC($W5/12,$X5,-$TE5,$BM5,$X5,0)))</f>
        <v>#REF!</v>
      </c>
      <c r="ZM5" s="214" t="e">
        <f ca="1">IF(ZM$2&lt;=$BM5,IF($X5="IO",$W5/12*LM5,-IPMT($W5/12,ZM$2,$X5,$S5)+$BT5/$BS5)+IFERROR((LM5-LN5+PPMT($W5/12,ZM$2,$X5,-$TE5)),0)-((IF($TD5&gt;0,N(OFFSET(#REF!,$TD5+ZM$2-2,0))/12,0)+$AW5/12)*$BF5+$AX5/12*(1-$BF5))*LM5-$BJ5/12,0)+IF(ZM$2=$BM5,LN5*$BH5+IF($X5="IO",$S5+$TE5,-CUMPRINC($W5/12,$X5,$S5,$BM5,$X5,0)+CUMPRINC($W5/12,$X5,-$TE5,$BM5,$X5,0)))</f>
        <v>#REF!</v>
      </c>
      <c r="ZN5" s="214" t="e">
        <f ca="1">IF(ZN$2&lt;=$BM5,IF($X5="IO",$W5/12*LN5,-IPMT($W5/12,ZN$2,$X5,$S5)+$BT5/$BS5)+IFERROR((LN5-LO5+PPMT($W5/12,ZN$2,$X5,-$TE5)),0)-((IF($TD5&gt;0,N(OFFSET(#REF!,$TD5+ZN$2-2,0))/12,0)+$AW5/12)*$BF5+$AX5/12*(1-$BF5))*LN5-$BJ5/12,0)+IF(ZN$2=$BM5,LO5*$BH5+IF($X5="IO",$S5+$TE5,-CUMPRINC($W5/12,$X5,$S5,$BM5,$X5,0)+CUMPRINC($W5/12,$X5,-$TE5,$BM5,$X5,0)))</f>
        <v>#REF!</v>
      </c>
      <c r="ZO5" s="214" t="e">
        <f ca="1">IF(ZO$2&lt;=$BM5,IF($X5="IO",$W5/12*LO5,-IPMT($W5/12,ZO$2,$X5,$S5)+$BT5/$BS5)+IFERROR((LO5-LP5+PPMT($W5/12,ZO$2,$X5,-$TE5)),0)-((IF($TD5&gt;0,N(OFFSET(#REF!,$TD5+ZO$2-2,0))/12,0)+$AW5/12)*$BF5+$AX5/12*(1-$BF5))*LO5-$BJ5/12,0)+IF(ZO$2=$BM5,LP5*$BH5+IF($X5="IO",$S5+$TE5,-CUMPRINC($W5/12,$X5,$S5,$BM5,$X5,0)+CUMPRINC($W5/12,$X5,-$TE5,$BM5,$X5,0)))</f>
        <v>#REF!</v>
      </c>
      <c r="ZP5" s="214" t="e">
        <f ca="1">IF(ZP$2&lt;=$BM5,IF($X5="IO",$W5/12*LP5,-IPMT($W5/12,ZP$2,$X5,$S5)+$BT5/$BS5)+IFERROR((LP5-LQ5+PPMT($W5/12,ZP$2,$X5,-$TE5)),0)-((IF($TD5&gt;0,N(OFFSET(#REF!,$TD5+ZP$2-2,0))/12,0)+$AW5/12)*$BF5+$AX5/12*(1-$BF5))*LP5-$BJ5/12,0)+IF(ZP$2=$BM5,LQ5*$BH5+IF($X5="IO",$S5+$TE5,-CUMPRINC($W5/12,$X5,$S5,$BM5,$X5,0)+CUMPRINC($W5/12,$X5,-$TE5,$BM5,$X5,0)))</f>
        <v>#REF!</v>
      </c>
      <c r="ZQ5" s="214" t="e">
        <f ca="1">IF(ZQ$2&lt;=$BM5,IF($X5="IO",$W5/12*LQ5,-IPMT($W5/12,ZQ$2,$X5,$S5)+$BT5/$BS5)+IFERROR((LQ5-LR5+PPMT($W5/12,ZQ$2,$X5,-$TE5)),0)-((IF($TD5&gt;0,N(OFFSET(#REF!,$TD5+ZQ$2-2,0))/12,0)+$AW5/12)*$BF5+$AX5/12*(1-$BF5))*LQ5-$BJ5/12,0)+IF(ZQ$2=$BM5,LR5*$BH5+IF($X5="IO",$S5+$TE5,-CUMPRINC($W5/12,$X5,$S5,$BM5,$X5,0)+CUMPRINC($W5/12,$X5,-$TE5,$BM5,$X5,0)))</f>
        <v>#REF!</v>
      </c>
      <c r="ZR5" s="214" t="e">
        <f ca="1">IF(ZR$2&lt;=$BM5,IF($X5="IO",$W5/12*LR5,-IPMT($W5/12,ZR$2,$X5,$S5)+$BT5/$BS5)+IFERROR((LR5-LS5+PPMT($W5/12,ZR$2,$X5,-$TE5)),0)-((IF($TD5&gt;0,N(OFFSET(#REF!,$TD5+ZR$2-2,0))/12,0)+$AW5/12)*$BF5+$AX5/12*(1-$BF5))*LR5-$BJ5/12,0)+IF(ZR$2=$BM5,LS5*$BH5+IF($X5="IO",$S5+$TE5,-CUMPRINC($W5/12,$X5,$S5,$BM5,$X5,0)+CUMPRINC($W5/12,$X5,-$TE5,$BM5,$X5,0)))</f>
        <v>#REF!</v>
      </c>
      <c r="ZS5" s="214" t="e">
        <f ca="1">IF(ZS$2&lt;=$BM5,IF($X5="IO",$W5/12*LS5,-IPMT($W5/12,ZS$2,$X5,$S5)+$BT5/$BS5)+IFERROR((LS5-LT5+PPMT($W5/12,ZS$2,$X5,-$TE5)),0)-((IF($TD5&gt;0,N(OFFSET(#REF!,$TD5+ZS$2-2,0))/12,0)+$AW5/12)*$BF5+$AX5/12*(1-$BF5))*LS5-$BJ5/12,0)+IF(ZS$2=$BM5,LT5*$BH5+IF($X5="IO",$S5+$TE5,-CUMPRINC($W5/12,$X5,$S5,$BM5,$X5,0)+CUMPRINC($W5/12,$X5,-$TE5,$BM5,$X5,0)))</f>
        <v>#REF!</v>
      </c>
      <c r="ZT5" s="214" t="e">
        <f ca="1">IF(ZT$2&lt;=$BM5,IF($X5="IO",$W5/12*LT5,-IPMT($W5/12,ZT$2,$X5,$S5)+$BT5/$BS5)+IFERROR((LT5-LU5+PPMT($W5/12,ZT$2,$X5,-$TE5)),0)-((IF($TD5&gt;0,N(OFFSET(#REF!,$TD5+ZT$2-2,0))/12,0)+$AW5/12)*$BF5+$AX5/12*(1-$BF5))*LT5-$BJ5/12,0)+IF(ZT$2=$BM5,LU5*$BH5+IF($X5="IO",$S5+$TE5,-CUMPRINC($W5/12,$X5,$S5,$BM5,$X5,0)+CUMPRINC($W5/12,$X5,-$TE5,$BM5,$X5,0)))</f>
        <v>#REF!</v>
      </c>
      <c r="ZU5" s="214" t="e">
        <f ca="1">IF(ZU$2&lt;=$BM5,IF($X5="IO",$W5/12*LU5,-IPMT($W5/12,ZU$2,$X5,$S5)+$BT5/$BS5)+IFERROR((LU5-LV5+PPMT($W5/12,ZU$2,$X5,-$TE5)),0)-((IF($TD5&gt;0,N(OFFSET(#REF!,$TD5+ZU$2-2,0))/12,0)+$AW5/12)*$BF5+$AX5/12*(1-$BF5))*LU5-$BJ5/12,0)+IF(ZU$2=$BM5,LV5*$BH5+IF($X5="IO",$S5+$TE5,-CUMPRINC($W5/12,$X5,$S5,$BM5,$X5,0)+CUMPRINC($W5/12,$X5,-$TE5,$BM5,$X5,0)))</f>
        <v>#REF!</v>
      </c>
      <c r="ZV5" s="214" t="e">
        <f ca="1">IF(ZV$2&lt;=$BM5,IF($X5="IO",$W5/12*LV5,-IPMT($W5/12,ZV$2,$X5,$S5)+$BT5/$BS5)+IFERROR((LV5-LW5+PPMT($W5/12,ZV$2,$X5,-$TE5)),0)-((IF($TD5&gt;0,N(OFFSET(#REF!,$TD5+ZV$2-2,0))/12,0)+$AW5/12)*$BF5+$AX5/12*(1-$BF5))*LV5-$BJ5/12,0)+IF(ZV$2=$BM5,LW5*$BH5+IF($X5="IO",$S5+$TE5,-CUMPRINC($W5/12,$X5,$S5,$BM5,$X5,0)+CUMPRINC($W5/12,$X5,-$TE5,$BM5,$X5,0)))</f>
        <v>#REF!</v>
      </c>
      <c r="ZW5" s="214" t="e">
        <f ca="1">IF(ZW$2&lt;=$BM5,IF($X5="IO",$W5/12*LW5,-IPMT($W5/12,ZW$2,$X5,$S5)+$BT5/$BS5)+IFERROR((LW5-LX5+PPMT($W5/12,ZW$2,$X5,-$TE5)),0)-((IF($TD5&gt;0,N(OFFSET(#REF!,$TD5+ZW$2-2,0))/12,0)+$AW5/12)*$BF5+$AX5/12*(1-$BF5))*LW5-$BJ5/12,0)+IF(ZW$2=$BM5,LX5*$BH5+IF($X5="IO",$S5+$TE5,-CUMPRINC($W5/12,$X5,$S5,$BM5,$X5,0)+CUMPRINC($W5/12,$X5,-$TE5,$BM5,$X5,0)))</f>
        <v>#REF!</v>
      </c>
      <c r="ZX5" s="214" t="e">
        <f ca="1">IF(ZX$2&lt;=$BM5,IF($X5="IO",$W5/12*LX5,-IPMT($W5/12,ZX$2,$X5,$S5)+$BT5/$BS5)+IFERROR((LX5-LY5+PPMT($W5/12,ZX$2,$X5,-$TE5)),0)-((IF($TD5&gt;0,N(OFFSET(#REF!,$TD5+ZX$2-2,0))/12,0)+$AW5/12)*$BF5+$AX5/12*(1-$BF5))*LX5-$BJ5/12,0)+IF(ZX$2=$BM5,LY5*$BH5+IF($X5="IO",$S5+$TE5,-CUMPRINC($W5/12,$X5,$S5,$BM5,$X5,0)+CUMPRINC($W5/12,$X5,-$TE5,$BM5,$X5,0)))</f>
        <v>#REF!</v>
      </c>
      <c r="ZY5" s="214" t="e">
        <f ca="1">IF(ZY$2&lt;=$BM5,IF($X5="IO",$W5/12*LY5,-IPMT($W5/12,ZY$2,$X5,$S5)+$BT5/$BS5)+IFERROR((LY5-LZ5+PPMT($W5/12,ZY$2,$X5,-$TE5)),0)-((IF($TD5&gt;0,N(OFFSET(#REF!,$TD5+ZY$2-2,0))/12,0)+$AW5/12)*$BF5+$AX5/12*(1-$BF5))*LY5-$BJ5/12,0)+IF(ZY$2=$BM5,LZ5*$BH5+IF($X5="IO",$S5+$TE5,-CUMPRINC($W5/12,$X5,$S5,$BM5,$X5,0)+CUMPRINC($W5/12,$X5,-$TE5,$BM5,$X5,0)))</f>
        <v>#REF!</v>
      </c>
      <c r="ZZ5" s="214" t="e">
        <f ca="1">IF(ZZ$2&lt;=$BM5,IF($X5="IO",$W5/12*LZ5,-IPMT($W5/12,ZZ$2,$X5,$S5)+$BT5/$BS5)+IFERROR((LZ5-MA5+PPMT($W5/12,ZZ$2,$X5,-$TE5)),0)-((IF($TD5&gt;0,N(OFFSET(#REF!,$TD5+ZZ$2-2,0))/12,0)+$AW5/12)*$BF5+$AX5/12*(1-$BF5))*LZ5-$BJ5/12,0)+IF(ZZ$2=$BM5,MA5*$BH5+IF($X5="IO",$S5+$TE5,-CUMPRINC($W5/12,$X5,$S5,$BM5,$X5,0)+CUMPRINC($W5/12,$X5,-$TE5,$BM5,$X5,0)))</f>
        <v>#REF!</v>
      </c>
      <c r="AAA5" s="214" t="e">
        <f ca="1">IF(AAA$2&lt;=$BM5,IF($X5="IO",$W5/12*MA5,-IPMT($W5/12,AAA$2,$X5,$S5)+$BT5/$BS5)+IFERROR((MA5-MB5+PPMT($W5/12,AAA$2,$X5,-$TE5)),0)-((IF($TD5&gt;0,N(OFFSET(#REF!,$TD5+AAA$2-2,0))/12,0)+$AW5/12)*$BF5+$AX5/12*(1-$BF5))*MA5-$BJ5/12,0)+IF(AAA$2=$BM5,MB5*$BH5+IF($X5="IO",$S5+$TE5,-CUMPRINC($W5/12,$X5,$S5,$BM5,$X5,0)+CUMPRINC($W5/12,$X5,-$TE5,$BM5,$X5,0)))</f>
        <v>#REF!</v>
      </c>
      <c r="AAB5" s="214" t="e">
        <f ca="1">IF(AAB$2&lt;=$BM5,IF($X5="IO",$W5/12*MB5,-IPMT($W5/12,AAB$2,$X5,$S5)+$BT5/$BS5)+IFERROR((MB5-MC5+PPMT($W5/12,AAB$2,$X5,-$TE5)),0)-((IF($TD5&gt;0,N(OFFSET(#REF!,$TD5+AAB$2-2,0))/12,0)+$AW5/12)*$BF5+$AX5/12*(1-$BF5))*MB5-$BJ5/12,0)+IF(AAB$2=$BM5,MC5*$BH5+IF($X5="IO",$S5+$TE5,-CUMPRINC($W5/12,$X5,$S5,$BM5,$X5,0)+CUMPRINC($W5/12,$X5,-$TE5,$BM5,$X5,0)))</f>
        <v>#REF!</v>
      </c>
      <c r="AAC5" s="214" t="e">
        <f ca="1">IF(AAC$2&lt;=$BM5,IF($X5="IO",$W5/12*MC5,-IPMT($W5/12,AAC$2,$X5,$S5)+$BT5/$BS5)+IFERROR((MC5-MD5+PPMT($W5/12,AAC$2,$X5,-$TE5)),0)-((IF($TD5&gt;0,N(OFFSET(#REF!,$TD5+AAC$2-2,0))/12,0)+$AW5/12)*$BF5+$AX5/12*(1-$BF5))*MC5-$BJ5/12,0)+IF(AAC$2=$BM5,MD5*$BH5+IF($X5="IO",$S5+$TE5,-CUMPRINC($W5/12,$X5,$S5,$BM5,$X5,0)+CUMPRINC($W5/12,$X5,-$TE5,$BM5,$X5,0)))</f>
        <v>#REF!</v>
      </c>
      <c r="AAD5" s="214" t="e">
        <f ca="1">IF(AAD$2&lt;=$BM5,IF($X5="IO",$W5/12*MD5,-IPMT($W5/12,AAD$2,$X5,$S5)+$BT5/$BS5)+IFERROR((MD5-ME5+PPMT($W5/12,AAD$2,$X5,-$TE5)),0)-((IF($TD5&gt;0,N(OFFSET(#REF!,$TD5+AAD$2-2,0))/12,0)+$AW5/12)*$BF5+$AX5/12*(1-$BF5))*MD5-$BJ5/12,0)+IF(AAD$2=$BM5,ME5*$BH5+IF($X5="IO",$S5+$TE5,-CUMPRINC($W5/12,$X5,$S5,$BM5,$X5,0)+CUMPRINC($W5/12,$X5,-$TE5,$BM5,$X5,0)))</f>
        <v>#REF!</v>
      </c>
      <c r="AAE5" s="214" t="e">
        <f ca="1">IF(AAE$2&lt;=$BM5,IF($X5="IO",$W5/12*ME5,-IPMT($W5/12,AAE$2,$X5,$S5)+$BT5/$BS5)+IFERROR((ME5-MF5+PPMT($W5/12,AAE$2,$X5,-$TE5)),0)-((IF($TD5&gt;0,N(OFFSET(#REF!,$TD5+AAE$2-2,0))/12,0)+$AW5/12)*$BF5+$AX5/12*(1-$BF5))*ME5-$BJ5/12,0)+IF(AAE$2=$BM5,MF5*$BH5+IF($X5="IO",$S5+$TE5,-CUMPRINC($W5/12,$X5,$S5,$BM5,$X5,0)+CUMPRINC($W5/12,$X5,-$TE5,$BM5,$X5,0)))</f>
        <v>#REF!</v>
      </c>
      <c r="AAF5" s="214" t="e">
        <f ca="1">IF(AAF$2&lt;=$BM5,IF($X5="IO",$W5/12*MF5,-IPMT($W5/12,AAF$2,$X5,$S5)+$BT5/$BS5)+IFERROR((MF5-MG5+PPMT($W5/12,AAF$2,$X5,-$TE5)),0)-((IF($TD5&gt;0,N(OFFSET(#REF!,$TD5+AAF$2-2,0))/12,0)+$AW5/12)*$BF5+$AX5/12*(1-$BF5))*MF5-$BJ5/12,0)+IF(AAF$2=$BM5,MG5*$BH5+IF($X5="IO",$S5+$TE5,-CUMPRINC($W5/12,$X5,$S5,$BM5,$X5,0)+CUMPRINC($W5/12,$X5,-$TE5,$BM5,$X5,0)))</f>
        <v>#REF!</v>
      </c>
      <c r="AAG5" s="214" t="e">
        <f ca="1">IF(AAG$2&lt;=$BM5,IF($X5="IO",$W5/12*MG5,-IPMT($W5/12,AAG$2,$X5,$S5)+$BT5/$BS5)+IFERROR((MG5-MH5+PPMT($W5/12,AAG$2,$X5,-$TE5)),0)-((IF($TD5&gt;0,N(OFFSET(#REF!,$TD5+AAG$2-2,0))/12,0)+$AW5/12)*$BF5+$AX5/12*(1-$BF5))*MG5-$BJ5/12,0)+IF(AAG$2=$BM5,MH5*$BH5+IF($X5="IO",$S5+$TE5,-CUMPRINC($W5/12,$X5,$S5,$BM5,$X5,0)+CUMPRINC($W5/12,$X5,-$TE5,$BM5,$X5,0)))</f>
        <v>#REF!</v>
      </c>
      <c r="AAH5" s="214" t="e">
        <f ca="1">IF(AAH$2&lt;=$BM5,IF($X5="IO",$W5/12*MH5,-IPMT($W5/12,AAH$2,$X5,$S5)+$BT5/$BS5)+IFERROR((MH5-MI5+PPMT($W5/12,AAH$2,$X5,-$TE5)),0)-((IF($TD5&gt;0,N(OFFSET(#REF!,$TD5+AAH$2-2,0))/12,0)+$AW5/12)*$BF5+$AX5/12*(1-$BF5))*MH5-$BJ5/12,0)+IF(AAH$2=$BM5,MI5*$BH5+IF($X5="IO",$S5+$TE5,-CUMPRINC($W5/12,$X5,$S5,$BM5,$X5,0)+CUMPRINC($W5/12,$X5,-$TE5,$BM5,$X5,0)))</f>
        <v>#REF!</v>
      </c>
      <c r="AAI5" s="214" t="e">
        <f ca="1">IF(AAI$2&lt;=$BM5,IF($X5="IO",$W5/12*MI5,-IPMT($W5/12,AAI$2,$X5,$S5)+$BT5/$BS5)+IFERROR((MI5-MJ5+PPMT($W5/12,AAI$2,$X5,-$TE5)),0)-((IF($TD5&gt;0,N(OFFSET(#REF!,$TD5+AAI$2-2,0))/12,0)+$AW5/12)*$BF5+$AX5/12*(1-$BF5))*MI5-$BJ5/12,0)+IF(AAI$2=$BM5,MJ5*$BH5+IF($X5="IO",$S5+$TE5,-CUMPRINC($W5/12,$X5,$S5,$BM5,$X5,0)+CUMPRINC($W5/12,$X5,-$TE5,$BM5,$X5,0)))</f>
        <v>#REF!</v>
      </c>
      <c r="AAJ5" s="214" t="e">
        <f ca="1">IF(AAJ$2&lt;=$BM5,IF($X5="IO",$W5/12*MJ5,-IPMT($W5/12,AAJ$2,$X5,$S5)+$BT5/$BS5)+IFERROR((MJ5-MK5+PPMT($W5/12,AAJ$2,$X5,-$TE5)),0)-((IF($TD5&gt;0,N(OFFSET(#REF!,$TD5+AAJ$2-2,0))/12,0)+$AW5/12)*$BF5+$AX5/12*(1-$BF5))*MJ5-$BJ5/12,0)+IF(AAJ$2=$BM5,MK5*$BH5+IF($X5="IO",$S5+$TE5,-CUMPRINC($W5/12,$X5,$S5,$BM5,$X5,0)+CUMPRINC($W5/12,$X5,-$TE5,$BM5,$X5,0)))</f>
        <v>#REF!</v>
      </c>
      <c r="AAK5" s="214" t="e">
        <f ca="1">IF(AAK$2&lt;=$BM5,IF($X5="IO",$W5/12*MK5,-IPMT($W5/12,AAK$2,$X5,$S5)+$BT5/$BS5)+IFERROR((MK5-ML5+PPMT($W5/12,AAK$2,$X5,-$TE5)),0)-((IF($TD5&gt;0,N(OFFSET(#REF!,$TD5+AAK$2-2,0))/12,0)+$AW5/12)*$BF5+$AX5/12*(1-$BF5))*MK5-$BJ5/12,0)+IF(AAK$2=$BM5,ML5*$BH5+IF($X5="IO",$S5+$TE5,-CUMPRINC($W5/12,$X5,$S5,$BM5,$X5,0)+CUMPRINC($W5/12,$X5,-$TE5,$BM5,$X5,0)))</f>
        <v>#REF!</v>
      </c>
      <c r="AAL5" s="214" t="e">
        <f ca="1">IF(AAL$2&lt;=$BM5,IF($X5="IO",$W5/12*ML5,-IPMT($W5/12,AAL$2,$X5,$S5)+$BT5/$BS5)+IFERROR((ML5-MM5+PPMT($W5/12,AAL$2,$X5,-$TE5)),0)-((IF($TD5&gt;0,N(OFFSET(#REF!,$TD5+AAL$2-2,0))/12,0)+$AW5/12)*$BF5+$AX5/12*(1-$BF5))*ML5-$BJ5/12,0)+IF(AAL$2=$BM5,MM5*$BH5+IF($X5="IO",$S5+$TE5,-CUMPRINC($W5/12,$X5,$S5,$BM5,$X5,0)+CUMPRINC($W5/12,$X5,-$TE5,$BM5,$X5,0)))</f>
        <v>#REF!</v>
      </c>
      <c r="AAM5" s="214" t="e">
        <f ca="1">IF(AAM$2&lt;=$BM5,IF($X5="IO",$W5/12*MM5,-IPMT($W5/12,AAM$2,$X5,$S5)+$BT5/$BS5)+IFERROR((MM5-MN5+PPMT($W5/12,AAM$2,$X5,-$TE5)),0)-((IF($TD5&gt;0,N(OFFSET(#REF!,$TD5+AAM$2-2,0))/12,0)+$AW5/12)*$BF5+$AX5/12*(1-$BF5))*MM5-$BJ5/12,0)+IF(AAM$2=$BM5,MN5*$BH5+IF($X5="IO",$S5+$TE5,-CUMPRINC($W5/12,$X5,$S5,$BM5,$X5,0)+CUMPRINC($W5/12,$X5,-$TE5,$BM5,$X5,0)))</f>
        <v>#REF!</v>
      </c>
      <c r="AAN5" s="214" t="e">
        <f ca="1">IF(AAN$2&lt;=$BM5,IF($X5="IO",$W5/12*MN5,-IPMT($W5/12,AAN$2,$X5,$S5)+$BT5/$BS5)+IFERROR((MN5-MO5+PPMT($W5/12,AAN$2,$X5,-$TE5)),0)-((IF($TD5&gt;0,N(OFFSET(#REF!,$TD5+AAN$2-2,0))/12,0)+$AW5/12)*$BF5+$AX5/12*(1-$BF5))*MN5-$BJ5/12,0)+IF(AAN$2=$BM5,MO5*$BH5+IF($X5="IO",$S5+$TE5,-CUMPRINC($W5/12,$X5,$S5,$BM5,$X5,0)+CUMPRINC($W5/12,$X5,-$TE5,$BM5,$X5,0)))</f>
        <v>#REF!</v>
      </c>
      <c r="AAO5" s="214" t="e">
        <f ca="1">IF(AAO$2&lt;=$BM5,IF($X5="IO",$W5/12*MO5,-IPMT($W5/12,AAO$2,$X5,$S5)+$BT5/$BS5)+IFERROR((MO5-MP5+PPMT($W5/12,AAO$2,$X5,-$TE5)),0)-((IF($TD5&gt;0,N(OFFSET(#REF!,$TD5+AAO$2-2,0))/12,0)+$AW5/12)*$BF5+$AX5/12*(1-$BF5))*MO5-$BJ5/12,0)+IF(AAO$2=$BM5,MP5*$BH5+IF($X5="IO",$S5+$TE5,-CUMPRINC($W5/12,$X5,$S5,$BM5,$X5,0)+CUMPRINC($W5/12,$X5,-$TE5,$BM5,$X5,0)))</f>
        <v>#REF!</v>
      </c>
      <c r="AAP5" s="214" t="e">
        <f ca="1">IF(AAP$2&lt;=$BM5,IF($X5="IO",$W5/12*MP5,-IPMT($W5/12,AAP$2,$X5,$S5)+$BT5/$BS5)+IFERROR((MP5-MQ5+PPMT($W5/12,AAP$2,$X5,-$TE5)),0)-((IF($TD5&gt;0,N(OFFSET(#REF!,$TD5+AAP$2-2,0))/12,0)+$AW5/12)*$BF5+$AX5/12*(1-$BF5))*MP5-$BJ5/12,0)+IF(AAP$2=$BM5,MQ5*$BH5+IF($X5="IO",$S5+$TE5,-CUMPRINC($W5/12,$X5,$S5,$BM5,$X5,0)+CUMPRINC($W5/12,$X5,-$TE5,$BM5,$X5,0)))</f>
        <v>#REF!</v>
      </c>
      <c r="AAQ5" s="214" t="e">
        <f ca="1">IF(AAQ$2&lt;=$BM5,IF($X5="IO",$W5/12*MQ5,-IPMT($W5/12,AAQ$2,$X5,$S5)+$BT5/$BS5)+IFERROR((MQ5-MR5+PPMT($W5/12,AAQ$2,$X5,-$TE5)),0)-((IF($TD5&gt;0,N(OFFSET(#REF!,$TD5+AAQ$2-2,0))/12,0)+$AW5/12)*$BF5+$AX5/12*(1-$BF5))*MQ5-$BJ5/12,0)+IF(AAQ$2=$BM5,MR5*$BH5+IF($X5="IO",$S5+$TE5,-CUMPRINC($W5/12,$X5,$S5,$BM5,$X5,0)+CUMPRINC($W5/12,$X5,-$TE5,$BM5,$X5,0)))</f>
        <v>#REF!</v>
      </c>
      <c r="AAR5" s="214" t="e">
        <f ca="1">IF(AAR$2&lt;=$BM5,IF($X5="IO",$W5/12*MR5,-IPMT($W5/12,AAR$2,$X5,$S5)+$BT5/$BS5)+IFERROR((MR5-MS5+PPMT($W5/12,AAR$2,$X5,-$TE5)),0)-((IF($TD5&gt;0,N(OFFSET(#REF!,$TD5+AAR$2-2,0))/12,0)+$AW5/12)*$BF5+$AX5/12*(1-$BF5))*MR5-$BJ5/12,0)+IF(AAR$2=$BM5,MS5*$BH5+IF($X5="IO",$S5+$TE5,-CUMPRINC($W5/12,$X5,$S5,$BM5,$X5,0)+CUMPRINC($W5/12,$X5,-$TE5,$BM5,$X5,0)))</f>
        <v>#REF!</v>
      </c>
      <c r="AAS5" s="214" t="e">
        <f ca="1">IF(AAS$2&lt;=$BM5,IF($X5="IO",$W5/12*MS5,-IPMT($W5/12,AAS$2,$X5,$S5)+$BT5/$BS5)+IFERROR((MS5-MT5+PPMT($W5/12,AAS$2,$X5,-$TE5)),0)-((IF($TD5&gt;0,N(OFFSET(#REF!,$TD5+AAS$2-2,0))/12,0)+$AW5/12)*$BF5+$AX5/12*(1-$BF5))*MS5-$BJ5/12,0)+IF(AAS$2=$BM5,MT5*$BH5+IF($X5="IO",$S5+$TE5,-CUMPRINC($W5/12,$X5,$S5,$BM5,$X5,0)+CUMPRINC($W5/12,$X5,-$TE5,$BM5,$X5,0)))</f>
        <v>#REF!</v>
      </c>
      <c r="AAT5" s="214" t="e">
        <f ca="1">IF(AAT$2&lt;=$BM5,IF($X5="IO",$W5/12*MT5,-IPMT($W5/12,AAT$2,$X5,$S5)+$BT5/$BS5)+IFERROR((MT5-MU5+PPMT($W5/12,AAT$2,$X5,-$TE5)),0)-((IF($TD5&gt;0,N(OFFSET(#REF!,$TD5+AAT$2-2,0))/12,0)+$AW5/12)*$BF5+$AX5/12*(1-$BF5))*MT5-$BJ5/12,0)+IF(AAT$2=$BM5,MU5*$BH5+IF($X5="IO",$S5+$TE5,-CUMPRINC($W5/12,$X5,$S5,$BM5,$X5,0)+CUMPRINC($W5/12,$X5,-$TE5,$BM5,$X5,0)))</f>
        <v>#REF!</v>
      </c>
      <c r="AAU5" s="214" t="e">
        <f ca="1">IF(AAU$2&lt;=$BM5,IF($X5="IO",$W5/12*MU5,-IPMT($W5/12,AAU$2,$X5,$S5)+$BT5/$BS5)+IFERROR((MU5-MV5+PPMT($W5/12,AAU$2,$X5,-$TE5)),0)-((IF($TD5&gt;0,N(OFFSET(#REF!,$TD5+AAU$2-2,0))/12,0)+$AW5/12)*$BF5+$AX5/12*(1-$BF5))*MU5-$BJ5/12,0)+IF(AAU$2=$BM5,MV5*$BH5+IF($X5="IO",$S5+$TE5,-CUMPRINC($W5/12,$X5,$S5,$BM5,$X5,0)+CUMPRINC($W5/12,$X5,-$TE5,$BM5,$X5,0)))</f>
        <v>#REF!</v>
      </c>
      <c r="AAV5" s="214" t="e">
        <f ca="1">IF(AAV$2&lt;=$BM5,IF($X5="IO",$W5/12*MV5,-IPMT($W5/12,AAV$2,$X5,$S5)+$BT5/$BS5)+IFERROR((MV5-MW5+PPMT($W5/12,AAV$2,$X5,-$TE5)),0)-((IF($TD5&gt;0,N(OFFSET(#REF!,$TD5+AAV$2-2,0))/12,0)+$AW5/12)*$BF5+$AX5/12*(1-$BF5))*MV5-$BJ5/12,0)+IF(AAV$2=$BM5,MW5*$BH5+IF($X5="IO",$S5+$TE5,-CUMPRINC($W5/12,$X5,$S5,$BM5,$X5,0)+CUMPRINC($W5/12,$X5,-$TE5,$BM5,$X5,0)))</f>
        <v>#REF!</v>
      </c>
      <c r="AAW5" s="214" t="e">
        <f ca="1">IF(AAW$2&lt;=$BM5,IF($X5="IO",$W5/12*MW5,-IPMT($W5/12,AAW$2,$X5,$S5)+$BT5/$BS5)+IFERROR((MW5-MX5+PPMT($W5/12,AAW$2,$X5,-$TE5)),0)-((IF($TD5&gt;0,N(OFFSET(#REF!,$TD5+AAW$2-2,0))/12,0)+$AW5/12)*$BF5+$AX5/12*(1-$BF5))*MW5-$BJ5/12,0)+IF(AAW$2=$BM5,MX5*$BH5+IF($X5="IO",$S5+$TE5,-CUMPRINC($W5/12,$X5,$S5,$BM5,$X5,0)+CUMPRINC($W5/12,$X5,-$TE5,$BM5,$X5,0)))</f>
        <v>#REF!</v>
      </c>
      <c r="AAX5" s="214" t="e">
        <f ca="1">IF(AAX$2&lt;=$BM5,IF($X5="IO",$W5/12*MX5,-IPMT($W5/12,AAX$2,$X5,$S5)+$BT5/$BS5)+IFERROR((MX5-MY5+PPMT($W5/12,AAX$2,$X5,-$TE5)),0)-((IF($TD5&gt;0,N(OFFSET(#REF!,$TD5+AAX$2-2,0))/12,0)+$AW5/12)*$BF5+$AX5/12*(1-$BF5))*MX5-$BJ5/12,0)+IF(AAX$2=$BM5,MY5*$BH5+IF($X5="IO",$S5+$TE5,-CUMPRINC($W5/12,$X5,$S5,$BM5,$X5,0)+CUMPRINC($W5/12,$X5,-$TE5,$BM5,$X5,0)))</f>
        <v>#REF!</v>
      </c>
      <c r="AAY5" s="214" t="e">
        <f ca="1">IF(AAY$2&lt;=$BM5,IF($X5="IO",$W5/12*MY5,-IPMT($W5/12,AAY$2,$X5,$S5)+$BT5/$BS5)+IFERROR((MY5-MZ5+PPMT($W5/12,AAY$2,$X5,-$TE5)),0)-((IF($TD5&gt;0,N(OFFSET(#REF!,$TD5+AAY$2-2,0))/12,0)+$AW5/12)*$BF5+$AX5/12*(1-$BF5))*MY5-$BJ5/12,0)+IF(AAY$2=$BM5,MZ5*$BH5+IF($X5="IO",$S5+$TE5,-CUMPRINC($W5/12,$X5,$S5,$BM5,$X5,0)+CUMPRINC($W5/12,$X5,-$TE5,$BM5,$X5,0)))</f>
        <v>#REF!</v>
      </c>
      <c r="AAZ5" s="214" t="e">
        <f ca="1">IF(AAZ$2&lt;=$BM5,IF($X5="IO",$W5/12*MZ5,-IPMT($W5/12,AAZ$2,$X5,$S5)+$BT5/$BS5)+IFERROR((MZ5-NA5+PPMT($W5/12,AAZ$2,$X5,-$TE5)),0)-((IF($TD5&gt;0,N(OFFSET(#REF!,$TD5+AAZ$2-2,0))/12,0)+$AW5/12)*$BF5+$AX5/12*(1-$BF5))*MZ5-$BJ5/12,0)+IF(AAZ$2=$BM5,NA5*$BH5+IF($X5="IO",$S5+$TE5,-CUMPRINC($W5/12,$X5,$S5,$BM5,$X5,0)+CUMPRINC($W5/12,$X5,-$TE5,$BM5,$X5,0)))</f>
        <v>#REF!</v>
      </c>
      <c r="ABA5" s="214" t="e">
        <f ca="1">IF(ABA$2&lt;=$BM5,IF($X5="IO",$W5/12*NA5,-IPMT($W5/12,ABA$2,$X5,$S5)+$BT5/$BS5)+IFERROR((NA5-NB5+PPMT($W5/12,ABA$2,$X5,-$TE5)),0)-((IF($TD5&gt;0,N(OFFSET(#REF!,$TD5+ABA$2-2,0))/12,0)+$AW5/12)*$BF5+$AX5/12*(1-$BF5))*NA5-$BJ5/12,0)+IF(ABA$2=$BM5,NB5*$BH5+IF($X5="IO",$S5+$TE5,-CUMPRINC($W5/12,$X5,$S5,$BM5,$X5,0)+CUMPRINC($W5/12,$X5,-$TE5,$BM5,$X5,0)))</f>
        <v>#REF!</v>
      </c>
      <c r="ABB5" s="214" t="e">
        <f ca="1">IF(ABB$2&lt;=$BM5,IF($X5="IO",$W5/12*NB5,-IPMT($W5/12,ABB$2,$X5,$S5)+$BT5/$BS5)+IFERROR((NB5-NC5+PPMT($W5/12,ABB$2,$X5,-$TE5)),0)-((IF($TD5&gt;0,N(OFFSET(#REF!,$TD5+ABB$2-2,0))/12,0)+$AW5/12)*$BF5+$AX5/12*(1-$BF5))*NB5-$BJ5/12,0)+IF(ABB$2=$BM5,NC5*$BH5+IF($X5="IO",$S5+$TE5,-CUMPRINC($W5/12,$X5,$S5,$BM5,$X5,0)+CUMPRINC($W5/12,$X5,-$TE5,$BM5,$X5,0)))</f>
        <v>#REF!</v>
      </c>
      <c r="ABC5" s="214" t="e">
        <f ca="1">IF(ABC$2&lt;=$BM5,IF($X5="IO",$W5/12*NC5,-IPMT($W5/12,ABC$2,$X5,$S5)+$BT5/$BS5)+IFERROR((NC5-ND5+PPMT($W5/12,ABC$2,$X5,-$TE5)),0)-((IF($TD5&gt;0,N(OFFSET(#REF!,$TD5+ABC$2-2,0))/12,0)+$AW5/12)*$BF5+$AX5/12*(1-$BF5))*NC5-$BJ5/12,0)+IF(ABC$2=$BM5,ND5*$BH5+IF($X5="IO",$S5+$TE5,-CUMPRINC($W5/12,$X5,$S5,$BM5,$X5,0)+CUMPRINC($W5/12,$X5,-$TE5,$BM5,$X5,0)))</f>
        <v>#REF!</v>
      </c>
      <c r="ABD5" s="214" t="e">
        <f ca="1">IF(ABD$2&lt;=$BM5,IF($X5="IO",$W5/12*ND5,-IPMT($W5/12,ABD$2,$X5,$S5)+$BT5/$BS5)+IFERROR((ND5-NE5+PPMT($W5/12,ABD$2,$X5,-$TE5)),0)-((IF($TD5&gt;0,N(OFFSET(#REF!,$TD5+ABD$2-2,0))/12,0)+$AW5/12)*$BF5+$AX5/12*(1-$BF5))*ND5-$BJ5/12,0)+IF(ABD$2=$BM5,NE5*$BH5+IF($X5="IO",$S5+$TE5,-CUMPRINC($W5/12,$X5,$S5,$BM5,$X5,0)+CUMPRINC($W5/12,$X5,-$TE5,$BM5,$X5,0)))</f>
        <v>#REF!</v>
      </c>
      <c r="ABE5" s="214" t="e">
        <f ca="1">IF(ABE$2&lt;=$BM5,IF($X5="IO",$W5/12*NE5,-IPMT($W5/12,ABE$2,$X5,$S5)+$BT5/$BS5)+IFERROR((NE5-NF5+PPMT($W5/12,ABE$2,$X5,-$TE5)),0)-((IF($TD5&gt;0,N(OFFSET(#REF!,$TD5+ABE$2-2,0))/12,0)+$AW5/12)*$BF5+$AX5/12*(1-$BF5))*NE5-$BJ5/12,0)+IF(ABE$2=$BM5,NF5*$BH5+IF($X5="IO",$S5+$TE5,-CUMPRINC($W5/12,$X5,$S5,$BM5,$X5,0)+CUMPRINC($W5/12,$X5,-$TE5,$BM5,$X5,0)))</f>
        <v>#REF!</v>
      </c>
      <c r="ABF5" s="214" t="e">
        <f ca="1">IF(ABF$2&lt;=$BM5,IF($X5="IO",$W5/12*NF5,-IPMT($W5/12,ABF$2,$X5,$S5)+$BT5/$BS5)+IFERROR((NF5-NG5+PPMT($W5/12,ABF$2,$X5,-$TE5)),0)-((IF($TD5&gt;0,N(OFFSET(#REF!,$TD5+ABF$2-2,0))/12,0)+$AW5/12)*$BF5+$AX5/12*(1-$BF5))*NF5-$BJ5/12,0)+IF(ABF$2=$BM5,NG5*$BH5+IF($X5="IO",$S5+$TE5,-CUMPRINC($W5/12,$X5,$S5,$BM5,$X5,0)+CUMPRINC($W5/12,$X5,-$TE5,$BM5,$X5,0)))</f>
        <v>#REF!</v>
      </c>
      <c r="ABG5" s="214" t="e">
        <f ca="1">IF(ABG$2&lt;=$BM5,IF($X5="IO",$W5/12*NG5,-IPMT($W5/12,ABG$2,$X5,$S5)+$BT5/$BS5)+IFERROR((NG5-NH5+PPMT($W5/12,ABG$2,$X5,-$TE5)),0)-((IF($TD5&gt;0,N(OFFSET(#REF!,$TD5+ABG$2-2,0))/12,0)+$AW5/12)*$BF5+$AX5/12*(1-$BF5))*NG5-$BJ5/12,0)+IF(ABG$2=$BM5,NH5*$BH5+IF($X5="IO",$S5+$TE5,-CUMPRINC($W5/12,$X5,$S5,$BM5,$X5,0)+CUMPRINC($W5/12,$X5,-$TE5,$BM5,$X5,0)))</f>
        <v>#REF!</v>
      </c>
      <c r="ABH5" s="214" t="e">
        <f ca="1">IF(ABH$2&lt;=$BM5,IF($X5="IO",$W5/12*NH5,-IPMT($W5/12,ABH$2,$X5,$S5)+$BT5/$BS5)+IFERROR((NH5-NI5+PPMT($W5/12,ABH$2,$X5,-$TE5)),0)-((IF($TD5&gt;0,N(OFFSET(#REF!,$TD5+ABH$2-2,0))/12,0)+$AW5/12)*$BF5+$AX5/12*(1-$BF5))*NH5-$BJ5/12,0)+IF(ABH$2=$BM5,NI5*$BH5+IF($X5="IO",$S5+$TE5,-CUMPRINC($W5/12,$X5,$S5,$BM5,$X5,0)+CUMPRINC($W5/12,$X5,-$TE5,$BM5,$X5,0)))</f>
        <v>#REF!</v>
      </c>
      <c r="ABI5" s="214" t="e">
        <f ca="1">IF(ABI$2&lt;=$BM5,IF($X5="IO",$W5/12*NI5,-IPMT($W5/12,ABI$2,$X5,$S5)+$BT5/$BS5)+IFERROR((NI5-NJ5+PPMT($W5/12,ABI$2,$X5,-$TE5)),0)-((IF($TD5&gt;0,N(OFFSET(#REF!,$TD5+ABI$2-2,0))/12,0)+$AW5/12)*$BF5+$AX5/12*(1-$BF5))*NI5-$BJ5/12,0)+IF(ABI$2=$BM5,NJ5*$BH5+IF($X5="IO",$S5+$TE5,-CUMPRINC($W5/12,$X5,$S5,$BM5,$X5,0)+CUMPRINC($W5/12,$X5,-$TE5,$BM5,$X5,0)))</f>
        <v>#REF!</v>
      </c>
      <c r="ABJ5" s="214" t="e">
        <f ca="1">IF(ABJ$2&lt;=$BM5,IF($X5="IO",$W5/12*NJ5,-IPMT($W5/12,ABJ$2,$X5,$S5)+$BT5/$BS5)+IFERROR((NJ5-NK5+PPMT($W5/12,ABJ$2,$X5,-$TE5)),0)-((IF($TD5&gt;0,N(OFFSET(#REF!,$TD5+ABJ$2-2,0))/12,0)+$AW5/12)*$BF5+$AX5/12*(1-$BF5))*NJ5-$BJ5/12,0)+IF(ABJ$2=$BM5,NK5*$BH5+IF($X5="IO",$S5+$TE5,-CUMPRINC($W5/12,$X5,$S5,$BM5,$X5,0)+CUMPRINC($W5/12,$X5,-$TE5,$BM5,$X5,0)))</f>
        <v>#REF!</v>
      </c>
      <c r="ABK5" s="214" t="e">
        <f ca="1">IF(ABK$2&lt;=$BM5,IF($X5="IO",$W5/12*NK5,-IPMT($W5/12,ABK$2,$X5,$S5)+$BT5/$BS5)+IFERROR((NK5-NL5+PPMT($W5/12,ABK$2,$X5,-$TE5)),0)-((IF($TD5&gt;0,N(OFFSET(#REF!,$TD5+ABK$2-2,0))/12,0)+$AW5/12)*$BF5+$AX5/12*(1-$BF5))*NK5-$BJ5/12,0)+IF(ABK$2=$BM5,NL5*$BH5+IF($X5="IO",$S5+$TE5,-CUMPRINC($W5/12,$X5,$S5,$BM5,$X5,0)+CUMPRINC($W5/12,$X5,-$TE5,$BM5,$X5,0)))</f>
        <v>#REF!</v>
      </c>
      <c r="ABL5" s="214" t="e">
        <f ca="1">IF(ABL$2&lt;=$BM5,IF($X5="IO",$W5/12*NL5,-IPMT($W5/12,ABL$2,$X5,$S5)+$BT5/$BS5)+IFERROR((NL5-NM5+PPMT($W5/12,ABL$2,$X5,-$TE5)),0)-((IF($TD5&gt;0,N(OFFSET(#REF!,$TD5+ABL$2-2,0))/12,0)+$AW5/12)*$BF5+$AX5/12*(1-$BF5))*NL5-$BJ5/12,0)+IF(ABL$2=$BM5,NM5*$BH5+IF($X5="IO",$S5+$TE5,-CUMPRINC($W5/12,$X5,$S5,$BM5,$X5,0)+CUMPRINC($W5/12,$X5,-$TE5,$BM5,$X5,0)))</f>
        <v>#REF!</v>
      </c>
      <c r="ABM5" s="214" t="e">
        <f ca="1">IF(ABM$2&lt;=$BM5,IF($X5="IO",$W5/12*NM5,-IPMT($W5/12,ABM$2,$X5,$S5)+$BT5/$BS5)+IFERROR((NM5-NN5+PPMT($W5/12,ABM$2,$X5,-$TE5)),0)-((IF($TD5&gt;0,N(OFFSET(#REF!,$TD5+ABM$2-2,0))/12,0)+$AW5/12)*$BF5+$AX5/12*(1-$BF5))*NM5-$BJ5/12,0)+IF(ABM$2=$BM5,NN5*$BH5+IF($X5="IO",$S5+$TE5,-CUMPRINC($W5/12,$X5,$S5,$BM5,$X5,0)+CUMPRINC($W5/12,$X5,-$TE5,$BM5,$X5,0)))</f>
        <v>#REF!</v>
      </c>
      <c r="ABN5" s="214" t="e">
        <f ca="1">IF(ABN$2&lt;=$BM5,IF($X5="IO",$W5/12*NN5,-IPMT($W5/12,ABN$2,$X5,$S5)+$BT5/$BS5)+IFERROR((NN5-NO5+PPMT($W5/12,ABN$2,$X5,-$TE5)),0)-((IF($TD5&gt;0,N(OFFSET(#REF!,$TD5+ABN$2-2,0))/12,0)+$AW5/12)*$BF5+$AX5/12*(1-$BF5))*NN5-$BJ5/12,0)+IF(ABN$2=$BM5,NO5*$BH5+IF($X5="IO",$S5+$TE5,-CUMPRINC($W5/12,$X5,$S5,$BM5,$X5,0)+CUMPRINC($W5/12,$X5,-$TE5,$BM5,$X5,0)))</f>
        <v>#REF!</v>
      </c>
      <c r="ABO5" s="214" t="e">
        <f ca="1">IF(ABO$2&lt;=$BM5,IF($X5="IO",$W5/12*NO5,-IPMT($W5/12,ABO$2,$X5,$S5)+$BT5/$BS5)+IFERROR((NO5-NP5+PPMT($W5/12,ABO$2,$X5,-$TE5)),0)-((IF($TD5&gt;0,N(OFFSET(#REF!,$TD5+ABO$2-2,0))/12,0)+$AW5/12)*$BF5+$AX5/12*(1-$BF5))*NO5-$BJ5/12,0)+IF(ABO$2=$BM5,NP5*$BH5+IF($X5="IO",$S5+$TE5,-CUMPRINC($W5/12,$X5,$S5,$BM5,$X5,0)+CUMPRINC($W5/12,$X5,-$TE5,$BM5,$X5,0)))</f>
        <v>#REF!</v>
      </c>
      <c r="ABP5" s="214" t="e">
        <f ca="1">IF(ABP$2&lt;=$BM5,IF($X5="IO",$W5/12*NP5,-IPMT($W5/12,ABP$2,$X5,$S5)+$BT5/$BS5)+IFERROR((NP5-NQ5+PPMT($W5/12,ABP$2,$X5,-$TE5)),0)-((IF($TD5&gt;0,N(OFFSET(#REF!,$TD5+ABP$2-2,0))/12,0)+$AW5/12)*$BF5+$AX5/12*(1-$BF5))*NP5-$BJ5/12,0)+IF(ABP$2=$BM5,NQ5*$BH5+IF($X5="IO",$S5+$TE5,-CUMPRINC($W5/12,$X5,$S5,$BM5,$X5,0)+CUMPRINC($W5/12,$X5,-$TE5,$BM5,$X5,0)))</f>
        <v>#REF!</v>
      </c>
      <c r="ABQ5" s="214" t="e">
        <f ca="1">IF(ABQ$2&lt;=$BM5,IF($X5="IO",$W5/12*NQ5,-IPMT($W5/12,ABQ$2,$X5,$S5)+$BT5/$BS5)+IFERROR((NQ5-NR5+PPMT($W5/12,ABQ$2,$X5,-$TE5)),0)-((IF($TD5&gt;0,N(OFFSET(#REF!,$TD5+ABQ$2-2,0))/12,0)+$AW5/12)*$BF5+$AX5/12*(1-$BF5))*NQ5-$BJ5/12,0)+IF(ABQ$2=$BM5,NR5*$BH5+IF($X5="IO",$S5+$TE5,-CUMPRINC($W5/12,$X5,$S5,$BM5,$X5,0)+CUMPRINC($W5/12,$X5,-$TE5,$BM5,$X5,0)))</f>
        <v>#REF!</v>
      </c>
      <c r="ABR5" s="214" t="e">
        <f ca="1">IF(ABR$2&lt;=$BM5,IF($X5="IO",$W5/12*NR5,-IPMT($W5/12,ABR$2,$X5,$S5)+$BT5/$BS5)+IFERROR((NR5-NS5+PPMT($W5/12,ABR$2,$X5,-$TE5)),0)-((IF($TD5&gt;0,N(OFFSET(#REF!,$TD5+ABR$2-2,0))/12,0)+$AW5/12)*$BF5+$AX5/12*(1-$BF5))*NR5-$BJ5/12,0)+IF(ABR$2=$BM5,NS5*$BH5+IF($X5="IO",$S5+$TE5,-CUMPRINC($W5/12,$X5,$S5,$BM5,$X5,0)+CUMPRINC($W5/12,$X5,-$TE5,$BM5,$X5,0)))</f>
        <v>#REF!</v>
      </c>
      <c r="ABS5" s="214" t="e">
        <f ca="1">IF(ABS$2&lt;=$BM5,IF($X5="IO",$W5/12*NS5,-IPMT($W5/12,ABS$2,$X5,$S5)+$BT5/$BS5)+IFERROR((NS5-NT5+PPMT($W5/12,ABS$2,$X5,-$TE5)),0)-((IF($TD5&gt;0,N(OFFSET(#REF!,$TD5+ABS$2-2,0))/12,0)+$AW5/12)*$BF5+$AX5/12*(1-$BF5))*NS5-$BJ5/12,0)+IF(ABS$2=$BM5,NT5*$BH5+IF($X5="IO",$S5+$TE5,-CUMPRINC($W5/12,$X5,$S5,$BM5,$X5,0)+CUMPRINC($W5/12,$X5,-$TE5,$BM5,$X5,0)))</f>
        <v>#REF!</v>
      </c>
      <c r="ABT5" s="214" t="e">
        <f ca="1">IF(ABT$2&lt;=$BM5,IF($X5="IO",$W5/12*NT5,-IPMT($W5/12,ABT$2,$X5,$S5)+$BT5/$BS5)+IFERROR((NT5-NU5+PPMT($W5/12,ABT$2,$X5,-$TE5)),0)-((IF($TD5&gt;0,N(OFFSET(#REF!,$TD5+ABT$2-2,0))/12,0)+$AW5/12)*$BF5+$AX5/12*(1-$BF5))*NT5-$BJ5/12,0)+IF(ABT$2=$BM5,NU5*$BH5+IF($X5="IO",$S5+$TE5,-CUMPRINC($W5/12,$X5,$S5,$BM5,$X5,0)+CUMPRINC($W5/12,$X5,-$TE5,$BM5,$X5,0)))</f>
        <v>#REF!</v>
      </c>
      <c r="ABU5" s="214" t="e">
        <f ca="1">IF(ABU$2&lt;=$BM5,IF($X5="IO",$W5/12*NU5,-IPMT($W5/12,ABU$2,$X5,$S5)+$BT5/$BS5)+IFERROR((NU5-NV5+PPMT($W5/12,ABU$2,$X5,-$TE5)),0)-((IF($TD5&gt;0,N(OFFSET(#REF!,$TD5+ABU$2-2,0))/12,0)+$AW5/12)*$BF5+$AX5/12*(1-$BF5))*NU5-$BJ5/12,0)+IF(ABU$2=$BM5,NV5*$BH5+IF($X5="IO",$S5+$TE5,-CUMPRINC($W5/12,$X5,$S5,$BM5,$X5,0)+CUMPRINC($W5/12,$X5,-$TE5,$BM5,$X5,0)))</f>
        <v>#REF!</v>
      </c>
      <c r="ABV5" s="214" t="e">
        <f ca="1">IF(ABV$2&lt;=$BM5,IF($X5="IO",$W5/12*NV5,-IPMT($W5/12,ABV$2,$X5,$S5)+$BT5/$BS5)+IFERROR((NV5-NW5+PPMT($W5/12,ABV$2,$X5,-$TE5)),0)-((IF($TD5&gt;0,N(OFFSET(#REF!,$TD5+ABV$2-2,0))/12,0)+$AW5/12)*$BF5+$AX5/12*(1-$BF5))*NV5-$BJ5/12,0)+IF(ABV$2=$BM5,NW5*$BH5+IF($X5="IO",$S5+$TE5,-CUMPRINC($W5/12,$X5,$S5,$BM5,$X5,0)+CUMPRINC($W5/12,$X5,-$TE5,$BM5,$X5,0)))</f>
        <v>#REF!</v>
      </c>
      <c r="ABW5" s="214" t="e">
        <f ca="1">IF(ABW$2&lt;=$BM5,IF($X5="IO",$W5/12*NW5,-IPMT($W5/12,ABW$2,$X5,$S5)+$BT5/$BS5)+IFERROR((NW5-NX5+PPMT($W5/12,ABW$2,$X5,-$TE5)),0)-((IF($TD5&gt;0,N(OFFSET(#REF!,$TD5+ABW$2-2,0))/12,0)+$AW5/12)*$BF5+$AX5/12*(1-$BF5))*NW5-$BJ5/12,0)+IF(ABW$2=$BM5,NX5*$BH5+IF($X5="IO",$S5+$TE5,-CUMPRINC($W5/12,$X5,$S5,$BM5,$X5,0)+CUMPRINC($W5/12,$X5,-$TE5,$BM5,$X5,0)))</f>
        <v>#REF!</v>
      </c>
      <c r="ABX5" s="214" t="e">
        <f ca="1">IF(ABX$2&lt;=$BM5,IF($X5="IO",$W5/12*NX5,-IPMT($W5/12,ABX$2,$X5,$S5)+$BT5/$BS5)+IFERROR((NX5-NY5+PPMT($W5/12,ABX$2,$X5,-$TE5)),0)-((IF($TD5&gt;0,N(OFFSET(#REF!,$TD5+ABX$2-2,0))/12,0)+$AW5/12)*$BF5+$AX5/12*(1-$BF5))*NX5-$BJ5/12,0)+IF(ABX$2=$BM5,NY5*$BH5+IF($X5="IO",$S5+$TE5,-CUMPRINC($W5/12,$X5,$S5,$BM5,$X5,0)+CUMPRINC($W5/12,$X5,-$TE5,$BM5,$X5,0)))</f>
        <v>#REF!</v>
      </c>
      <c r="ABY5" s="214" t="e">
        <f ca="1">IF(ABY$2&lt;=$BM5,IF($X5="IO",$W5/12*NY5,-IPMT($W5/12,ABY$2,$X5,$S5)+$BT5/$BS5)+IFERROR((NY5-NZ5+PPMT($W5/12,ABY$2,$X5,-$TE5)),0)-((IF($TD5&gt;0,N(OFFSET(#REF!,$TD5+ABY$2-2,0))/12,0)+$AW5/12)*$BF5+$AX5/12*(1-$BF5))*NY5-$BJ5/12,0)+IF(ABY$2=$BM5,NZ5*$BH5+IF($X5="IO",$S5+$TE5,-CUMPRINC($W5/12,$X5,$S5,$BM5,$X5,0)+CUMPRINC($W5/12,$X5,-$TE5,$BM5,$X5,0)))</f>
        <v>#REF!</v>
      </c>
      <c r="ABZ5" s="214" t="e">
        <f ca="1">IF(ABZ$2&lt;=$BM5,IF($X5="IO",$W5/12*NZ5,-IPMT($W5/12,ABZ$2,$X5,$S5)+$BT5/$BS5)+IFERROR((NZ5-OA5+PPMT($W5/12,ABZ$2,$X5,-$TE5)),0)-((IF($TD5&gt;0,N(OFFSET(#REF!,$TD5+ABZ$2-2,0))/12,0)+$AW5/12)*$BF5+$AX5/12*(1-$BF5))*NZ5-$BJ5/12,0)+IF(ABZ$2=$BM5,OA5*$BH5+IF($X5="IO",$S5+$TE5,-CUMPRINC($W5/12,$X5,$S5,$BM5,$X5,0)+CUMPRINC($W5/12,$X5,-$TE5,$BM5,$X5,0)))</f>
        <v>#REF!</v>
      </c>
      <c r="ACA5" s="214" t="e">
        <f ca="1">IF(ACA$2&lt;=$BM5,IF($X5="IO",$W5/12*OA5,-IPMT($W5/12,ACA$2,$X5,$S5)+$BT5/$BS5)+IFERROR((OA5-OB5+PPMT($W5/12,ACA$2,$X5,-$TE5)),0)-((IF($TD5&gt;0,N(OFFSET(#REF!,$TD5+ACA$2-2,0))/12,0)+$AW5/12)*$BF5+$AX5/12*(1-$BF5))*OA5-$BJ5/12,0)+IF(ACA$2=$BM5,OB5*$BH5+IF($X5="IO",$S5+$TE5,-CUMPRINC($W5/12,$X5,$S5,$BM5,$X5,0)+CUMPRINC($W5/12,$X5,-$TE5,$BM5,$X5,0)))</f>
        <v>#REF!</v>
      </c>
      <c r="ACB5" s="214" t="e">
        <f ca="1">IF(ACB$2&lt;=$BM5,IF($X5="IO",$W5/12*OB5,-IPMT($W5/12,ACB$2,$X5,$S5)+$BT5/$BS5)+IFERROR((OB5-OC5+PPMT($W5/12,ACB$2,$X5,-$TE5)),0)-((IF($TD5&gt;0,N(OFFSET(#REF!,$TD5+ACB$2-2,0))/12,0)+$AW5/12)*$BF5+$AX5/12*(1-$BF5))*OB5-$BJ5/12,0)+IF(ACB$2=$BM5,OC5*$BH5+IF($X5="IO",$S5+$TE5,-CUMPRINC($W5/12,$X5,$S5,$BM5,$X5,0)+CUMPRINC($W5/12,$X5,-$TE5,$BM5,$X5,0)))</f>
        <v>#REF!</v>
      </c>
      <c r="ACC5" s="214" t="e">
        <f ca="1">IF(ACC$2&lt;=$BM5,IF($X5="IO",$W5/12*OC5,-IPMT($W5/12,ACC$2,$X5,$S5)+$BT5/$BS5)+IFERROR((OC5-OD5+PPMT($W5/12,ACC$2,$X5,-$TE5)),0)-((IF($TD5&gt;0,N(OFFSET(#REF!,$TD5+ACC$2-2,0))/12,0)+$AW5/12)*$BF5+$AX5/12*(1-$BF5))*OC5-$BJ5/12,0)+IF(ACC$2=$BM5,OD5*$BH5+IF($X5="IO",$S5+$TE5,-CUMPRINC($W5/12,$X5,$S5,$BM5,$X5,0)+CUMPRINC($W5/12,$X5,-$TE5,$BM5,$X5,0)))</f>
        <v>#REF!</v>
      </c>
      <c r="ACD5" s="214" t="e">
        <f ca="1">IF(ACD$2&lt;=$BM5,IF($X5="IO",$W5/12*OD5,-IPMT($W5/12,ACD$2,$X5,$S5)+$BT5/$BS5)+IFERROR((OD5-OE5+PPMT($W5/12,ACD$2,$X5,-$TE5)),0)-((IF($TD5&gt;0,N(OFFSET(#REF!,$TD5+ACD$2-2,0))/12,0)+$AW5/12)*$BF5+$AX5/12*(1-$BF5))*OD5-$BJ5/12,0)+IF(ACD$2=$BM5,OE5*$BH5+IF($X5="IO",$S5+$TE5,-CUMPRINC($W5/12,$X5,$S5,$BM5,$X5,0)+CUMPRINC($W5/12,$X5,-$TE5,$BM5,$X5,0)))</f>
        <v>#REF!</v>
      </c>
      <c r="ACE5" s="214" t="e">
        <f ca="1">IF(ACE$2&lt;=$BM5,IF($X5="IO",$W5/12*OE5,-IPMT($W5/12,ACE$2,$X5,$S5)+$BT5/$BS5)+IFERROR((OE5-OF5+PPMT($W5/12,ACE$2,$X5,-$TE5)),0)-((IF($TD5&gt;0,N(OFFSET(#REF!,$TD5+ACE$2-2,0))/12,0)+$AW5/12)*$BF5+$AX5/12*(1-$BF5))*OE5-$BJ5/12,0)+IF(ACE$2=$BM5,OF5*$BH5+IF($X5="IO",$S5+$TE5,-CUMPRINC($W5/12,$X5,$S5,$BM5,$X5,0)+CUMPRINC($W5/12,$X5,-$TE5,$BM5,$X5,0)))</f>
        <v>#REF!</v>
      </c>
      <c r="ACF5" s="214" t="e">
        <f ca="1">IF(ACF$2&lt;=$BM5,IF($X5="IO",$W5/12*OF5,-IPMT($W5/12,ACF$2,$X5,$S5)+$BT5/$BS5)+IFERROR((OF5-OG5+PPMT($W5/12,ACF$2,$X5,-$TE5)),0)-((IF($TD5&gt;0,N(OFFSET(#REF!,$TD5+ACF$2-2,0))/12,0)+$AW5/12)*$BF5+$AX5/12*(1-$BF5))*OF5-$BJ5/12,0)+IF(ACF$2=$BM5,OG5*$BH5+IF($X5="IO",$S5+$TE5,-CUMPRINC($W5/12,$X5,$S5,$BM5,$X5,0)+CUMPRINC($W5/12,$X5,-$TE5,$BM5,$X5,0)))</f>
        <v>#REF!</v>
      </c>
      <c r="ACG5" s="214" t="e">
        <f ca="1">IF(ACG$2&lt;=$BM5,IF($X5="IO",$W5/12*OG5,-IPMT($W5/12,ACG$2,$X5,$S5)+$BT5/$BS5)+IFERROR((OG5-OH5+PPMT($W5/12,ACG$2,$X5,-$TE5)),0)-((IF($TD5&gt;0,N(OFFSET(#REF!,$TD5+ACG$2-2,0))/12,0)+$AW5/12)*$BF5+$AX5/12*(1-$BF5))*OG5-$BJ5/12,0)+IF(ACG$2=$BM5,OH5*$BH5+IF($X5="IO",$S5+$TE5,-CUMPRINC($W5/12,$X5,$S5,$BM5,$X5,0)+CUMPRINC($W5/12,$X5,-$TE5,$BM5,$X5,0)))</f>
        <v>#REF!</v>
      </c>
      <c r="ACH5" s="214" t="e">
        <f ca="1">IF(ACH$2&lt;=$BM5,IF($X5="IO",$W5/12*OH5,-IPMT($W5/12,ACH$2,$X5,$S5)+$BT5/$BS5)+IFERROR((OH5-OI5+PPMT($W5/12,ACH$2,$X5,-$TE5)),0)-((IF($TD5&gt;0,N(OFFSET(#REF!,$TD5+ACH$2-2,0))/12,0)+$AW5/12)*$BF5+$AX5/12*(1-$BF5))*OH5-$BJ5/12,0)+IF(ACH$2=$BM5,OI5*$BH5+IF($X5="IO",$S5+$TE5,-CUMPRINC($W5/12,$X5,$S5,$BM5,$X5,0)+CUMPRINC($W5/12,$X5,-$TE5,$BM5,$X5,0)))</f>
        <v>#REF!</v>
      </c>
      <c r="ACI5" s="214" t="e">
        <f ca="1">IF(ACI$2&lt;=$BM5,IF($X5="IO",$W5/12*OI5,-IPMT($W5/12,ACI$2,$X5,$S5)+$BT5/$BS5)+IFERROR((OI5-OJ5+PPMT($W5/12,ACI$2,$X5,-$TE5)),0)-((IF($TD5&gt;0,N(OFFSET(#REF!,$TD5+ACI$2-2,0))/12,0)+$AW5/12)*$BF5+$AX5/12*(1-$BF5))*OI5-$BJ5/12,0)+IF(ACI$2=$BM5,OJ5*$BH5+IF($X5="IO",$S5+$TE5,-CUMPRINC($W5/12,$X5,$S5,$BM5,$X5,0)+CUMPRINC($W5/12,$X5,-$TE5,$BM5,$X5,0)))</f>
        <v>#REF!</v>
      </c>
      <c r="ACJ5" s="214" t="e">
        <f ca="1">IF(ACJ$2&lt;=$BM5,IF($X5="IO",$W5/12*OJ5,-IPMT($W5/12,ACJ$2,$X5,$S5)+$BT5/$BS5)+IFERROR((OJ5-OK5+PPMT($W5/12,ACJ$2,$X5,-$TE5)),0)-((IF($TD5&gt;0,N(OFFSET(#REF!,$TD5+ACJ$2-2,0))/12,0)+$AW5/12)*$BF5+$AX5/12*(1-$BF5))*OJ5-$BJ5/12,0)+IF(ACJ$2=$BM5,OK5*$BH5+IF($X5="IO",$S5+$TE5,-CUMPRINC($W5/12,$X5,$S5,$BM5,$X5,0)+CUMPRINC($W5/12,$X5,-$TE5,$BM5,$X5,0)))</f>
        <v>#REF!</v>
      </c>
      <c r="ACK5" s="214" t="e">
        <f ca="1">IF(ACK$2&lt;=$BM5,IF($X5="IO",$W5/12*OK5,-IPMT($W5/12,ACK$2,$X5,$S5)+$BT5/$BS5)+IFERROR((OK5-OL5+PPMT($W5/12,ACK$2,$X5,-$TE5)),0)-((IF($TD5&gt;0,N(OFFSET(#REF!,$TD5+ACK$2-2,0))/12,0)+$AW5/12)*$BF5+$AX5/12*(1-$BF5))*OK5-$BJ5/12,0)+IF(ACK$2=$BM5,OL5*$BH5+IF($X5="IO",$S5+$TE5,-CUMPRINC($W5/12,$X5,$S5,$BM5,$X5,0)+CUMPRINC($W5/12,$X5,-$TE5,$BM5,$X5,0)))</f>
        <v>#REF!</v>
      </c>
      <c r="ACL5" s="214" t="e">
        <f ca="1">IF(ACL$2&lt;=$BM5,IF($X5="IO",$W5/12*OL5,-IPMT($W5/12,ACL$2,$X5,$S5)+$BT5/$BS5)+IFERROR((OL5-OM5+PPMT($W5/12,ACL$2,$X5,-$TE5)),0)-((IF($TD5&gt;0,N(OFFSET(#REF!,$TD5+ACL$2-2,0))/12,0)+$AW5/12)*$BF5+$AX5/12*(1-$BF5))*OL5-$BJ5/12,0)+IF(ACL$2=$BM5,OM5*$BH5+IF($X5="IO",$S5+$TE5,-CUMPRINC($W5/12,$X5,$S5,$BM5,$X5,0)+CUMPRINC($W5/12,$X5,-$TE5,$BM5,$X5,0)))</f>
        <v>#REF!</v>
      </c>
      <c r="ACM5" s="214" t="e">
        <f ca="1">IF(ACM$2&lt;=$BM5,IF($X5="IO",$W5/12*OM5,-IPMT($W5/12,ACM$2,$X5,$S5)+$BT5/$BS5)+IFERROR((OM5-ON5+PPMT($W5/12,ACM$2,$X5,-$TE5)),0)-((IF($TD5&gt;0,N(OFFSET(#REF!,$TD5+ACM$2-2,0))/12,0)+$AW5/12)*$BF5+$AX5/12*(1-$BF5))*OM5-$BJ5/12,0)+IF(ACM$2=$BM5,ON5*$BH5+IF($X5="IO",$S5+$TE5,-CUMPRINC($W5/12,$X5,$S5,$BM5,$X5,0)+CUMPRINC($W5/12,$X5,-$TE5,$BM5,$X5,0)))</f>
        <v>#REF!</v>
      </c>
      <c r="ACN5" s="214" t="e">
        <f ca="1">IF(ACN$2&lt;=$BM5,IF($X5="IO",$W5/12*ON5,-IPMT($W5/12,ACN$2,$X5,$S5)+$BT5/$BS5)+IFERROR((ON5-OO5+PPMT($W5/12,ACN$2,$X5,-$TE5)),0)-((IF($TD5&gt;0,N(OFFSET(#REF!,$TD5+ACN$2-2,0))/12,0)+$AW5/12)*$BF5+$AX5/12*(1-$BF5))*ON5-$BJ5/12,0)+IF(ACN$2=$BM5,OO5*$BH5+IF($X5="IO",$S5+$TE5,-CUMPRINC($W5/12,$X5,$S5,$BM5,$X5,0)+CUMPRINC($W5/12,$X5,-$TE5,$BM5,$X5,0)))</f>
        <v>#REF!</v>
      </c>
      <c r="ACO5" s="214" t="e">
        <f ca="1">IF(ACO$2&lt;=$BM5,IF($X5="IO",$W5/12*OO5,-IPMT($W5/12,ACO$2,$X5,$S5)+$BT5/$BS5)+IFERROR((OO5-OP5+PPMT($W5/12,ACO$2,$X5,-$TE5)),0)-((IF($TD5&gt;0,N(OFFSET(#REF!,$TD5+ACO$2-2,0))/12,0)+$AW5/12)*$BF5+$AX5/12*(1-$BF5))*OO5-$BJ5/12,0)+IF(ACO$2=$BM5,OP5*$BH5+IF($X5="IO",$S5+$TE5,-CUMPRINC($W5/12,$X5,$S5,$BM5,$X5,0)+CUMPRINC($W5/12,$X5,-$TE5,$BM5,$X5,0)))</f>
        <v>#REF!</v>
      </c>
      <c r="ACP5" s="214" t="e">
        <f ca="1">IF(ACP$2&lt;=$BM5,IF($X5="IO",$W5/12*OP5,-IPMT($W5/12,ACP$2,$X5,$S5)+$BT5/$BS5)+IFERROR((OP5-OQ5+PPMT($W5/12,ACP$2,$X5,-$TE5)),0)-((IF($TD5&gt;0,N(OFFSET(#REF!,$TD5+ACP$2-2,0))/12,0)+$AW5/12)*$BF5+$AX5/12*(1-$BF5))*OP5-$BJ5/12,0)+IF(ACP$2=$BM5,OQ5*$BH5+IF($X5="IO",$S5+$TE5,-CUMPRINC($W5/12,$X5,$S5,$BM5,$X5,0)+CUMPRINC($W5/12,$X5,-$TE5,$BM5,$X5,0)))</f>
        <v>#REF!</v>
      </c>
      <c r="ACQ5" s="214" t="e">
        <f ca="1">IF(ACQ$2&lt;=$BM5,IF($X5="IO",$W5/12*OQ5,-IPMT($W5/12,ACQ$2,$X5,$S5)+$BT5/$BS5)+IFERROR((OQ5-OR5+PPMT($W5/12,ACQ$2,$X5,-$TE5)),0)-((IF($TD5&gt;0,N(OFFSET(#REF!,$TD5+ACQ$2-2,0))/12,0)+$AW5/12)*$BF5+$AX5/12*(1-$BF5))*OQ5-$BJ5/12,0)+IF(ACQ$2=$BM5,OR5*$BH5+IF($X5="IO",$S5+$TE5,-CUMPRINC($W5/12,$X5,$S5,$BM5,$X5,0)+CUMPRINC($W5/12,$X5,-$TE5,$BM5,$X5,0)))</f>
        <v>#REF!</v>
      </c>
      <c r="ACR5" s="214" t="e">
        <f ca="1">IF(ACR$2&lt;=$BM5,IF($X5="IO",$W5/12*OR5,-IPMT($W5/12,ACR$2,$X5,$S5)+$BT5/$BS5)+IFERROR((OR5-OS5+PPMT($W5/12,ACR$2,$X5,-$TE5)),0)-((IF($TD5&gt;0,N(OFFSET(#REF!,$TD5+ACR$2-2,0))/12,0)+$AW5/12)*$BF5+$AX5/12*(1-$BF5))*OR5-$BJ5/12,0)+IF(ACR$2=$BM5,OS5*$BH5+IF($X5="IO",$S5+$TE5,-CUMPRINC($W5/12,$X5,$S5,$BM5,$X5,0)+CUMPRINC($W5/12,$X5,-$TE5,$BM5,$X5,0)))</f>
        <v>#REF!</v>
      </c>
      <c r="ACS5" s="214" t="e">
        <f ca="1">IF(ACS$2&lt;=$BM5,IF($X5="IO",$W5/12*OS5,-IPMT($W5/12,ACS$2,$X5,$S5)+$BT5/$BS5)+IFERROR((OS5-OT5+PPMT($W5/12,ACS$2,$X5,-$TE5)),0)-((IF($TD5&gt;0,N(OFFSET(#REF!,$TD5+ACS$2-2,0))/12,0)+$AW5/12)*$BF5+$AX5/12*(1-$BF5))*OS5-$BJ5/12,0)+IF(ACS$2=$BM5,OT5*$BH5+IF($X5="IO",$S5+$TE5,-CUMPRINC($W5/12,$X5,$S5,$BM5,$X5,0)+CUMPRINC($W5/12,$X5,-$TE5,$BM5,$X5,0)))</f>
        <v>#REF!</v>
      </c>
      <c r="ACT5" s="214" t="e">
        <f ca="1">IF(ACT$2&lt;=$BM5,IF($X5="IO",$W5/12*OT5,-IPMT($W5/12,ACT$2,$X5,$S5)+$BT5/$BS5)+IFERROR((OT5-OU5+PPMT($W5/12,ACT$2,$X5,-$TE5)),0)-((IF($TD5&gt;0,N(OFFSET(#REF!,$TD5+ACT$2-2,0))/12,0)+$AW5/12)*$BF5+$AX5/12*(1-$BF5))*OT5-$BJ5/12,0)+IF(ACT$2=$BM5,OU5*$BH5+IF($X5="IO",$S5+$TE5,-CUMPRINC($W5/12,$X5,$S5,$BM5,$X5,0)+CUMPRINC($W5/12,$X5,-$TE5,$BM5,$X5,0)))</f>
        <v>#REF!</v>
      </c>
      <c r="ACU5" s="214" t="e">
        <f ca="1">IF(ACU$2&lt;=$BM5,IF($X5="IO",$W5/12*OU5,-IPMT($W5/12,ACU$2,$X5,$S5)+$BT5/$BS5)+IFERROR((OU5-OV5+PPMT($W5/12,ACU$2,$X5,-$TE5)),0)-((IF($TD5&gt;0,N(OFFSET(#REF!,$TD5+ACU$2-2,0))/12,0)+$AW5/12)*$BF5+$AX5/12*(1-$BF5))*OU5-$BJ5/12,0)+IF(ACU$2=$BM5,OV5*$BH5+IF($X5="IO",$S5+$TE5,-CUMPRINC($W5/12,$X5,$S5,$BM5,$X5,0)+CUMPRINC($W5/12,$X5,-$TE5,$BM5,$X5,0)))</f>
        <v>#REF!</v>
      </c>
      <c r="ACV5" s="214" t="e">
        <f ca="1">IF(ACV$2&lt;=$BM5,IF($X5="IO",$W5/12*OV5,-IPMT($W5/12,ACV$2,$X5,$S5)+$BT5/$BS5)+IFERROR((OV5-OW5+PPMT($W5/12,ACV$2,$X5,-$TE5)),0)-((IF($TD5&gt;0,N(OFFSET(#REF!,$TD5+ACV$2-2,0))/12,0)+$AW5/12)*$BF5+$AX5/12*(1-$BF5))*OV5-$BJ5/12,0)+IF(ACV$2=$BM5,OW5*$BH5+IF($X5="IO",$S5+$TE5,-CUMPRINC($W5/12,$X5,$S5,$BM5,$X5,0)+CUMPRINC($W5/12,$X5,-$TE5,$BM5,$X5,0)))</f>
        <v>#REF!</v>
      </c>
      <c r="ACW5" s="214" t="e">
        <f ca="1">IF(ACW$2&lt;=$BM5,IF($X5="IO",$W5/12*OW5,-IPMT($W5/12,ACW$2,$X5,$S5)+$BT5/$BS5)+IFERROR((OW5-OX5+PPMT($W5/12,ACW$2,$X5,-$TE5)),0)-((IF($TD5&gt;0,N(OFFSET(#REF!,$TD5+ACW$2-2,0))/12,0)+$AW5/12)*$BF5+$AX5/12*(1-$BF5))*OW5-$BJ5/12,0)+IF(ACW$2=$BM5,OX5*$BH5+IF($X5="IO",$S5+$TE5,-CUMPRINC($W5/12,$X5,$S5,$BM5,$X5,0)+CUMPRINC($W5/12,$X5,-$TE5,$BM5,$X5,0)))</f>
        <v>#REF!</v>
      </c>
      <c r="ACX5" s="214" t="e">
        <f ca="1">IF(ACX$2&lt;=$BM5,IF($X5="IO",$W5/12*OX5,-IPMT($W5/12,ACX$2,$X5,$S5)+$BT5/$BS5)+IFERROR((OX5-OY5+PPMT($W5/12,ACX$2,$X5,-$TE5)),0)-((IF($TD5&gt;0,N(OFFSET(#REF!,$TD5+ACX$2-2,0))/12,0)+$AW5/12)*$BF5+$AX5/12*(1-$BF5))*OX5-$BJ5/12,0)+IF(ACX$2=$BM5,OY5*$BH5+IF($X5="IO",$S5+$TE5,-CUMPRINC($W5/12,$X5,$S5,$BM5,$X5,0)+CUMPRINC($W5/12,$X5,-$TE5,$BM5,$X5,0)))</f>
        <v>#REF!</v>
      </c>
      <c r="ACY5" s="214" t="e">
        <f ca="1">IF(ACY$2&lt;=$BM5,IF($X5="IO",$W5/12*OY5,-IPMT($W5/12,ACY$2,$X5,$S5)+$BT5/$BS5)+IFERROR((OY5-OZ5+PPMT($W5/12,ACY$2,$X5,-$TE5)),0)-((IF($TD5&gt;0,N(OFFSET(#REF!,$TD5+ACY$2-2,0))/12,0)+$AW5/12)*$BF5+$AX5/12*(1-$BF5))*OY5-$BJ5/12,0)+IF(ACY$2=$BM5,OZ5*$BH5+IF($X5="IO",$S5+$TE5,-CUMPRINC($W5/12,$X5,$S5,$BM5,$X5,0)+CUMPRINC($W5/12,$X5,-$TE5,$BM5,$X5,0)))</f>
        <v>#REF!</v>
      </c>
      <c r="ACZ5" s="214" t="e">
        <f ca="1">IF(ACZ$2&lt;=$BM5,IF($X5="IO",$W5/12*OZ5,-IPMT($W5/12,ACZ$2,$X5,$S5)+$BT5/$BS5)+IFERROR((OZ5-PA5+PPMT($W5/12,ACZ$2,$X5,-$TE5)),0)-((IF($TD5&gt;0,N(OFFSET(#REF!,$TD5+ACZ$2-2,0))/12,0)+$AW5/12)*$BF5+$AX5/12*(1-$BF5))*OZ5-$BJ5/12,0)+IF(ACZ$2=$BM5,PA5*$BH5+IF($X5="IO",$S5+$TE5,-CUMPRINC($W5/12,$X5,$S5,$BM5,$X5,0)+CUMPRINC($W5/12,$X5,-$TE5,$BM5,$X5,0)))</f>
        <v>#REF!</v>
      </c>
      <c r="ADA5" s="214" t="e">
        <f ca="1">IF(ADA$2&lt;=$BM5,IF($X5="IO",$W5/12*PA5,-IPMT($W5/12,ADA$2,$X5,$S5)+$BT5/$BS5)+IFERROR((PA5-PB5+PPMT($W5/12,ADA$2,$X5,-$TE5)),0)-((IF($TD5&gt;0,N(OFFSET(#REF!,$TD5+ADA$2-2,0))/12,0)+$AW5/12)*$BF5+$AX5/12*(1-$BF5))*PA5-$BJ5/12,0)+IF(ADA$2=$BM5,PB5*$BH5+IF($X5="IO",$S5+$TE5,-CUMPRINC($W5/12,$X5,$S5,$BM5,$X5,0)+CUMPRINC($W5/12,$X5,-$TE5,$BM5,$X5,0)))</f>
        <v>#REF!</v>
      </c>
      <c r="ADB5" s="214" t="e">
        <f ca="1">IF(ADB$2&lt;=$BM5,IF($X5="IO",$W5/12*PB5,-IPMT($W5/12,ADB$2,$X5,$S5)+$BT5/$BS5)+IFERROR((PB5-PC5+PPMT($W5/12,ADB$2,$X5,-$TE5)),0)-((IF($TD5&gt;0,N(OFFSET(#REF!,$TD5+ADB$2-2,0))/12,0)+$AW5/12)*$BF5+$AX5/12*(1-$BF5))*PB5-$BJ5/12,0)+IF(ADB$2=$BM5,PC5*$BH5+IF($X5="IO",$S5+$TE5,-CUMPRINC($W5/12,$X5,$S5,$BM5,$X5,0)+CUMPRINC($W5/12,$X5,-$TE5,$BM5,$X5,0)))</f>
        <v>#REF!</v>
      </c>
      <c r="ADC5" s="214" t="e">
        <f ca="1">IF(ADC$2&lt;=$BM5,IF($X5="IO",$W5/12*PC5,-IPMT($W5/12,ADC$2,$X5,$S5)+$BT5/$BS5)+IFERROR((PC5-PD5+PPMT($W5/12,ADC$2,$X5,-$TE5)),0)-((IF($TD5&gt;0,N(OFFSET(#REF!,$TD5+ADC$2-2,0))/12,0)+$AW5/12)*$BF5+$AX5/12*(1-$BF5))*PC5-$BJ5/12,0)+IF(ADC$2=$BM5,PD5*$BH5+IF($X5="IO",$S5+$TE5,-CUMPRINC($W5/12,$X5,$S5,$BM5,$X5,0)+CUMPRINC($W5/12,$X5,-$TE5,$BM5,$X5,0)))</f>
        <v>#REF!</v>
      </c>
      <c r="ADD5" s="214" t="e">
        <f ca="1">IF(ADD$2&lt;=$BM5,IF($X5="IO",$W5/12*PD5,-IPMT($W5/12,ADD$2,$X5,$S5)+$BT5/$BS5)+IFERROR((PD5-PE5+PPMT($W5/12,ADD$2,$X5,-$TE5)),0)-((IF($TD5&gt;0,N(OFFSET(#REF!,$TD5+ADD$2-2,0))/12,0)+$AW5/12)*$BF5+$AX5/12*(1-$BF5))*PD5-$BJ5/12,0)+IF(ADD$2=$BM5,PE5*$BH5+IF($X5="IO",$S5+$TE5,-CUMPRINC($W5/12,$X5,$S5,$BM5,$X5,0)+CUMPRINC($W5/12,$X5,-$TE5,$BM5,$X5,0)))</f>
        <v>#REF!</v>
      </c>
      <c r="ADE5" s="214" t="e">
        <f ca="1">IF(ADE$2&lt;=$BM5,IF($X5="IO",$W5/12*PE5,-IPMT($W5/12,ADE$2,$X5,$S5)+$BT5/$BS5)+IFERROR((PE5-PF5+PPMT($W5/12,ADE$2,$X5,-$TE5)),0)-((IF($TD5&gt;0,N(OFFSET(#REF!,$TD5+ADE$2-2,0))/12,0)+$AW5/12)*$BF5+$AX5/12*(1-$BF5))*PE5-$BJ5/12,0)+IF(ADE$2=$BM5,PF5*$BH5+IF($X5="IO",$S5+$TE5,-CUMPRINC($W5/12,$X5,$S5,$BM5,$X5,0)+CUMPRINC($W5/12,$X5,-$TE5,$BM5,$X5,0)))</f>
        <v>#REF!</v>
      </c>
      <c r="ADF5" s="214" t="e">
        <f ca="1">IF(ADF$2&lt;=$BM5,IF($X5="IO",$W5/12*PF5,-IPMT($W5/12,ADF$2,$X5,$S5)+$BT5/$BS5)+IFERROR((PF5-PG5+PPMT($W5/12,ADF$2,$X5,-$TE5)),0)-((IF($TD5&gt;0,N(OFFSET(#REF!,$TD5+ADF$2-2,0))/12,0)+$AW5/12)*$BF5+$AX5/12*(1-$BF5))*PF5-$BJ5/12,0)+IF(ADF$2=$BM5,PG5*$BH5+IF($X5="IO",$S5+$TE5,-CUMPRINC($W5/12,$X5,$S5,$BM5,$X5,0)+CUMPRINC($W5/12,$X5,-$TE5,$BM5,$X5,0)))</f>
        <v>#REF!</v>
      </c>
      <c r="ADG5" s="214" t="e">
        <f ca="1">IF(ADG$2&lt;=$BM5,IF($X5="IO",$W5/12*PG5,-IPMT($W5/12,ADG$2,$X5,$S5)+$BT5/$BS5)+IFERROR((PG5-PH5+PPMT($W5/12,ADG$2,$X5,-$TE5)),0)-((IF($TD5&gt;0,N(OFFSET(#REF!,$TD5+ADG$2-2,0))/12,0)+$AW5/12)*$BF5+$AX5/12*(1-$BF5))*PG5-$BJ5/12,0)+IF(ADG$2=$BM5,PH5*$BH5+IF($X5="IO",$S5+$TE5,-CUMPRINC($W5/12,$X5,$S5,$BM5,$X5,0)+CUMPRINC($W5/12,$X5,-$TE5,$BM5,$X5,0)))</f>
        <v>#REF!</v>
      </c>
      <c r="ADH5" s="214" t="e">
        <f ca="1">IF(ADH$2&lt;=$BM5,IF($X5="IO",$W5/12*PH5,-IPMT($W5/12,ADH$2,$X5,$S5)+$BT5/$BS5)+IFERROR((PH5-PI5+PPMT($W5/12,ADH$2,$X5,-$TE5)),0)-((IF($TD5&gt;0,N(OFFSET(#REF!,$TD5+ADH$2-2,0))/12,0)+$AW5/12)*$BF5+$AX5/12*(1-$BF5))*PH5-$BJ5/12,0)+IF(ADH$2=$BM5,PI5*$BH5+IF($X5="IO",$S5+$TE5,-CUMPRINC($W5/12,$X5,$S5,$BM5,$X5,0)+CUMPRINC($W5/12,$X5,-$TE5,$BM5,$X5,0)))</f>
        <v>#REF!</v>
      </c>
      <c r="ADI5" s="214" t="e">
        <f ca="1">IF(ADI$2&lt;=$BM5,IF($X5="IO",$W5/12*PI5,-IPMT($W5/12,ADI$2,$X5,$S5)+$BT5/$BS5)+IFERROR((PI5-PJ5+PPMT($W5/12,ADI$2,$X5,-$TE5)),0)-((IF($TD5&gt;0,N(OFFSET(#REF!,$TD5+ADI$2-2,0))/12,0)+$AW5/12)*$BF5+$AX5/12*(1-$BF5))*PI5-$BJ5/12,0)+IF(ADI$2=$BM5,PJ5*$BH5+IF($X5="IO",$S5+$TE5,-CUMPRINC($W5/12,$X5,$S5,$BM5,$X5,0)+CUMPRINC($W5/12,$X5,-$TE5,$BM5,$X5,0)))</f>
        <v>#REF!</v>
      </c>
      <c r="ADJ5" s="214" t="e">
        <f ca="1">IF(ADJ$2&lt;=$BM5,IF($X5="IO",$W5/12*PJ5,-IPMT($W5/12,ADJ$2,$X5,$S5)+$BT5/$BS5)+IFERROR((PJ5-PK5+PPMT($W5/12,ADJ$2,$X5,-$TE5)),0)-((IF($TD5&gt;0,N(OFFSET(#REF!,$TD5+ADJ$2-2,0))/12,0)+$AW5/12)*$BF5+$AX5/12*(1-$BF5))*PJ5-$BJ5/12,0)+IF(ADJ$2=$BM5,PK5*$BH5+IF($X5="IO",$S5+$TE5,-CUMPRINC($W5/12,$X5,$S5,$BM5,$X5,0)+CUMPRINC($W5/12,$X5,-$TE5,$BM5,$X5,0)))</f>
        <v>#REF!</v>
      </c>
      <c r="ADK5" s="214" t="e">
        <f ca="1">IF(ADK$2&lt;=$BM5,IF($X5="IO",$W5/12*PK5,-IPMT($W5/12,ADK$2,$X5,$S5)+$BT5/$BS5)+IFERROR((PK5-PL5+PPMT($W5/12,ADK$2,$X5,-$TE5)),0)-((IF($TD5&gt;0,N(OFFSET(#REF!,$TD5+ADK$2-2,0))/12,0)+$AW5/12)*$BF5+$AX5/12*(1-$BF5))*PK5-$BJ5/12,0)+IF(ADK$2=$BM5,PL5*$BH5+IF($X5="IO",$S5+$TE5,-CUMPRINC($W5/12,$X5,$S5,$BM5,$X5,0)+CUMPRINC($W5/12,$X5,-$TE5,$BM5,$X5,0)))</f>
        <v>#REF!</v>
      </c>
      <c r="ADL5" s="214" t="e">
        <f ca="1">IF(ADL$2&lt;=$BM5,IF($X5="IO",$W5/12*PL5,-IPMT($W5/12,ADL$2,$X5,$S5)+$BT5/$BS5)+IFERROR((PL5-PM5+PPMT($W5/12,ADL$2,$X5,-$TE5)),0)-((IF($TD5&gt;0,N(OFFSET(#REF!,$TD5+ADL$2-2,0))/12,0)+$AW5/12)*$BF5+$AX5/12*(1-$BF5))*PL5-$BJ5/12,0)+IF(ADL$2=$BM5,PM5*$BH5+IF($X5="IO",$S5+$TE5,-CUMPRINC($W5/12,$X5,$S5,$BM5,$X5,0)+CUMPRINC($W5/12,$X5,-$TE5,$BM5,$X5,0)))</f>
        <v>#REF!</v>
      </c>
      <c r="ADM5" s="214" t="e">
        <f ca="1">IF(ADM$2&lt;=$BM5,IF($X5="IO",$W5/12*PM5,-IPMT($W5/12,ADM$2,$X5,$S5)+$BT5/$BS5)+IFERROR((PM5-PN5+PPMT($W5/12,ADM$2,$X5,-$TE5)),0)-((IF($TD5&gt;0,N(OFFSET(#REF!,$TD5+ADM$2-2,0))/12,0)+$AW5/12)*$BF5+$AX5/12*(1-$BF5))*PM5-$BJ5/12,0)+IF(ADM$2=$BM5,PN5*$BH5+IF($X5="IO",$S5+$TE5,-CUMPRINC($W5/12,$X5,$S5,$BM5,$X5,0)+CUMPRINC($W5/12,$X5,-$TE5,$BM5,$X5,0)))</f>
        <v>#REF!</v>
      </c>
      <c r="ADN5" s="214" t="e">
        <f ca="1">IF(ADN$2&lt;=$BM5,IF($X5="IO",$W5/12*PN5,-IPMT($W5/12,ADN$2,$X5,$S5)+$BT5/$BS5)+IFERROR((PN5-PO5+PPMT($W5/12,ADN$2,$X5,-$TE5)),0)-((IF($TD5&gt;0,N(OFFSET(#REF!,$TD5+ADN$2-2,0))/12,0)+$AW5/12)*$BF5+$AX5/12*(1-$BF5))*PN5-$BJ5/12,0)+IF(ADN$2=$BM5,PO5*$BH5+IF($X5="IO",$S5+$TE5,-CUMPRINC($W5/12,$X5,$S5,$BM5,$X5,0)+CUMPRINC($W5/12,$X5,-$TE5,$BM5,$X5,0)))</f>
        <v>#REF!</v>
      </c>
      <c r="ADO5" s="214" t="e">
        <f ca="1">IF(ADO$2&lt;=$BM5,IF($X5="IO",$W5/12*PO5,-IPMT($W5/12,ADO$2,$X5,$S5)+$BT5/$BS5)+IFERROR((PO5-PP5+PPMT($W5/12,ADO$2,$X5,-$TE5)),0)-((IF($TD5&gt;0,N(OFFSET(#REF!,$TD5+ADO$2-2,0))/12,0)+$AW5/12)*$BF5+$AX5/12*(1-$BF5))*PO5-$BJ5/12,0)+IF(ADO$2=$BM5,PP5*$BH5+IF($X5="IO",$S5+$TE5,-CUMPRINC($W5/12,$X5,$S5,$BM5,$X5,0)+CUMPRINC($W5/12,$X5,-$TE5,$BM5,$X5,0)))</f>
        <v>#REF!</v>
      </c>
      <c r="ADP5" s="214" t="e">
        <f ca="1">IF(ADP$2&lt;=$BM5,IF($X5="IO",$W5/12*PP5,-IPMT($W5/12,ADP$2,$X5,$S5)+$BT5/$BS5)+IFERROR((PP5-PQ5+PPMT($W5/12,ADP$2,$X5,-$TE5)),0)-((IF($TD5&gt;0,N(OFFSET(#REF!,$TD5+ADP$2-2,0))/12,0)+$AW5/12)*$BF5+$AX5/12*(1-$BF5))*PP5-$BJ5/12,0)+IF(ADP$2=$BM5,PQ5*$BH5+IF($X5="IO",$S5+$TE5,-CUMPRINC($W5/12,$X5,$S5,$BM5,$X5,0)+CUMPRINC($W5/12,$X5,-$TE5,$BM5,$X5,0)))</f>
        <v>#REF!</v>
      </c>
      <c r="ADQ5" s="214" t="e">
        <f ca="1">IF(ADQ$2&lt;=$BM5,IF($X5="IO",$W5/12*PQ5,-IPMT($W5/12,ADQ$2,$X5,$S5)+$BT5/$BS5)+IFERROR((PQ5-PR5+PPMT($W5/12,ADQ$2,$X5,-$TE5)),0)-((IF($TD5&gt;0,N(OFFSET(#REF!,$TD5+ADQ$2-2,0))/12,0)+$AW5/12)*$BF5+$AX5/12*(1-$BF5))*PQ5-$BJ5/12,0)+IF(ADQ$2=$BM5,PR5*$BH5+IF($X5="IO",$S5+$TE5,-CUMPRINC($W5/12,$X5,$S5,$BM5,$X5,0)+CUMPRINC($W5/12,$X5,-$TE5,$BM5,$X5,0)))</f>
        <v>#REF!</v>
      </c>
      <c r="ADR5" s="214" t="e">
        <f ca="1">IF(ADR$2&lt;=$BM5,IF($X5="IO",$W5/12*PR5,-IPMT($W5/12,ADR$2,$X5,$S5)+$BT5/$BS5)+IFERROR((PR5-PS5+PPMT($W5/12,ADR$2,$X5,-$TE5)),0)-((IF($TD5&gt;0,N(OFFSET(#REF!,$TD5+ADR$2-2,0))/12,0)+$AW5/12)*$BF5+$AX5/12*(1-$BF5))*PR5-$BJ5/12,0)+IF(ADR$2=$BM5,PS5*$BH5+IF($X5="IO",$S5+$TE5,-CUMPRINC($W5/12,$X5,$S5,$BM5,$X5,0)+CUMPRINC($W5/12,$X5,-$TE5,$BM5,$X5,0)))</f>
        <v>#REF!</v>
      </c>
      <c r="ADS5" s="214" t="e">
        <f ca="1">IF(ADS$2&lt;=$BM5,IF($X5="IO",$W5/12*PS5,-IPMT($W5/12,ADS$2,$X5,$S5)+$BT5/$BS5)+IFERROR((PS5-PT5+PPMT($W5/12,ADS$2,$X5,-$TE5)),0)-((IF($TD5&gt;0,N(OFFSET(#REF!,$TD5+ADS$2-2,0))/12,0)+$AW5/12)*$BF5+$AX5/12*(1-$BF5))*PS5-$BJ5/12,0)+IF(ADS$2=$BM5,PT5*$BH5+IF($X5="IO",$S5+$TE5,-CUMPRINC($W5/12,$X5,$S5,$BM5,$X5,0)+CUMPRINC($W5/12,$X5,-$TE5,$BM5,$X5,0)))</f>
        <v>#REF!</v>
      </c>
      <c r="ADT5" s="214" t="e">
        <f ca="1">IF(ADT$2&lt;=$BM5,IF($X5="IO",$W5/12*PT5,-IPMT($W5/12,ADT$2,$X5,$S5)+$BT5/$BS5)+IFERROR((PT5-PU5+PPMT($W5/12,ADT$2,$X5,-$TE5)),0)-((IF($TD5&gt;0,N(OFFSET(#REF!,$TD5+ADT$2-2,0))/12,0)+$AW5/12)*$BF5+$AX5/12*(1-$BF5))*PT5-$BJ5/12,0)+IF(ADT$2=$BM5,PU5*$BH5+IF($X5="IO",$S5+$TE5,-CUMPRINC($W5/12,$X5,$S5,$BM5,$X5,0)+CUMPRINC($W5/12,$X5,-$TE5,$BM5,$X5,0)))</f>
        <v>#REF!</v>
      </c>
      <c r="ADU5" s="214" t="e">
        <f ca="1">IF(ADU$2&lt;=$BM5,IF($X5="IO",$W5/12*PU5,-IPMT($W5/12,ADU$2,$X5,$S5)+$BT5/$BS5)+IFERROR((PU5-PV5+PPMT($W5/12,ADU$2,$X5,-$TE5)),0)-((IF($TD5&gt;0,N(OFFSET(#REF!,$TD5+ADU$2-2,0))/12,0)+$AW5/12)*$BF5+$AX5/12*(1-$BF5))*PU5-$BJ5/12,0)+IF(ADU$2=$BM5,PV5*$BH5+IF($X5="IO",$S5+$TE5,-CUMPRINC($W5/12,$X5,$S5,$BM5,$X5,0)+CUMPRINC($W5/12,$X5,-$TE5,$BM5,$X5,0)))</f>
        <v>#REF!</v>
      </c>
      <c r="ADV5" s="214" t="e">
        <f ca="1">IF(ADV$2&lt;=$BM5,IF($X5="IO",$W5/12*PV5,-IPMT($W5/12,ADV$2,$X5,$S5)+$BT5/$BS5)+IFERROR((PV5-PW5+PPMT($W5/12,ADV$2,$X5,-$TE5)),0)-((IF($TD5&gt;0,N(OFFSET(#REF!,$TD5+ADV$2-2,0))/12,0)+$AW5/12)*$BF5+$AX5/12*(1-$BF5))*PV5-$BJ5/12,0)+IF(ADV$2=$BM5,PW5*$BH5+IF($X5="IO",$S5+$TE5,-CUMPRINC($W5/12,$X5,$S5,$BM5,$X5,0)+CUMPRINC($W5/12,$X5,-$TE5,$BM5,$X5,0)))</f>
        <v>#REF!</v>
      </c>
      <c r="ADW5" s="214" t="e">
        <f ca="1">IF(ADW$2&lt;=$BM5,IF($X5="IO",$W5/12*PW5,-IPMT($W5/12,ADW$2,$X5,$S5)+$BT5/$BS5)+IFERROR((PW5-PX5+PPMT($W5/12,ADW$2,$X5,-$TE5)),0)-((IF($TD5&gt;0,N(OFFSET(#REF!,$TD5+ADW$2-2,0))/12,0)+$AW5/12)*$BF5+$AX5/12*(1-$BF5))*PW5-$BJ5/12,0)+IF(ADW$2=$BM5,PX5*$BH5+IF($X5="IO",$S5+$TE5,-CUMPRINC($W5/12,$X5,$S5,$BM5,$X5,0)+CUMPRINC($W5/12,$X5,-$TE5,$BM5,$X5,0)))</f>
        <v>#REF!</v>
      </c>
      <c r="ADX5" s="214" t="e">
        <f ca="1">IF(ADX$2&lt;=$BM5,IF($X5="IO",$W5/12*PX5,-IPMT($W5/12,ADX$2,$X5,$S5)+$BT5/$BS5)+IFERROR((PX5-PY5+PPMT($W5/12,ADX$2,$X5,-$TE5)),0)-((IF($TD5&gt;0,N(OFFSET(#REF!,$TD5+ADX$2-2,0))/12,0)+$AW5/12)*$BF5+$AX5/12*(1-$BF5))*PX5-$BJ5/12,0)+IF(ADX$2=$BM5,PY5*$BH5+IF($X5="IO",$S5+$TE5,-CUMPRINC($W5/12,$X5,$S5,$BM5,$X5,0)+CUMPRINC($W5/12,$X5,-$TE5,$BM5,$X5,0)))</f>
        <v>#REF!</v>
      </c>
      <c r="ADY5" s="214" t="e">
        <f ca="1">IF(ADY$2&lt;=$BM5,IF($X5="IO",$W5/12*PY5,-IPMT($W5/12,ADY$2,$X5,$S5)+$BT5/$BS5)+IFERROR((PY5-PZ5+PPMT($W5/12,ADY$2,$X5,-$TE5)),0)-((IF($TD5&gt;0,N(OFFSET(#REF!,$TD5+ADY$2-2,0))/12,0)+$AW5/12)*$BF5+$AX5/12*(1-$BF5))*PY5-$BJ5/12,0)+IF(ADY$2=$BM5,PZ5*$BH5+IF($X5="IO",$S5+$TE5,-CUMPRINC($W5/12,$X5,$S5,$BM5,$X5,0)+CUMPRINC($W5/12,$X5,-$TE5,$BM5,$X5,0)))</f>
        <v>#REF!</v>
      </c>
      <c r="ADZ5" s="214" t="e">
        <f ca="1">IF(ADZ$2&lt;=$BM5,IF($X5="IO",$W5/12*PZ5,-IPMT($W5/12,ADZ$2,$X5,$S5)+$BT5/$BS5)+IFERROR((PZ5-QA5+PPMT($W5/12,ADZ$2,$X5,-$TE5)),0)-((IF($TD5&gt;0,N(OFFSET(#REF!,$TD5+ADZ$2-2,0))/12,0)+$AW5/12)*$BF5+$AX5/12*(1-$BF5))*PZ5-$BJ5/12,0)+IF(ADZ$2=$BM5,QA5*$BH5+IF($X5="IO",$S5+$TE5,-CUMPRINC($W5/12,$X5,$S5,$BM5,$X5,0)+CUMPRINC($W5/12,$X5,-$TE5,$BM5,$X5,0)))</f>
        <v>#REF!</v>
      </c>
      <c r="AEA5" s="214" t="e">
        <f ca="1">IF(AEA$2&lt;=$BM5,IF($X5="IO",$W5/12*QA5,-IPMT($W5/12,AEA$2,$X5,$S5)+$BT5/$BS5)+IFERROR((QA5-QB5+PPMT($W5/12,AEA$2,$X5,-$TE5)),0)-((IF($TD5&gt;0,N(OFFSET(#REF!,$TD5+AEA$2-2,0))/12,0)+$AW5/12)*$BF5+$AX5/12*(1-$BF5))*QA5-$BJ5/12,0)+IF(AEA$2=$BM5,QB5*$BH5+IF($X5="IO",$S5+$TE5,-CUMPRINC($W5/12,$X5,$S5,$BM5,$X5,0)+CUMPRINC($W5/12,$X5,-$TE5,$BM5,$X5,0)))</f>
        <v>#REF!</v>
      </c>
      <c r="AEB5" s="214" t="e">
        <f ca="1">IF(AEB$2&lt;=$BM5,IF($X5="IO",$W5/12*QB5,-IPMT($W5/12,AEB$2,$X5,$S5)+$BT5/$BS5)+IFERROR((QB5-QC5+PPMT($W5/12,AEB$2,$X5,-$TE5)),0)-((IF($TD5&gt;0,N(OFFSET(#REF!,$TD5+AEB$2-2,0))/12,0)+$AW5/12)*$BF5+$AX5/12*(1-$BF5))*QB5-$BJ5/12,0)+IF(AEB$2=$BM5,QC5*$BH5+IF($X5="IO",$S5+$TE5,-CUMPRINC($W5/12,$X5,$S5,$BM5,$X5,0)+CUMPRINC($W5/12,$X5,-$TE5,$BM5,$X5,0)))</f>
        <v>#REF!</v>
      </c>
      <c r="AEC5" s="214" t="e">
        <f ca="1">IF(AEC$2&lt;=$BM5,IF($X5="IO",$W5/12*QC5,-IPMT($W5/12,AEC$2,$X5,$S5)+$BT5/$BS5)+IFERROR((QC5-QD5+PPMT($W5/12,AEC$2,$X5,-$TE5)),0)-((IF($TD5&gt;0,N(OFFSET(#REF!,$TD5+AEC$2-2,0))/12,0)+$AW5/12)*$BF5+$AX5/12*(1-$BF5))*QC5-$BJ5/12,0)+IF(AEC$2=$BM5,QD5*$BH5+IF($X5="IO",$S5+$TE5,-CUMPRINC($W5/12,$X5,$S5,$BM5,$X5,0)+CUMPRINC($W5/12,$X5,-$TE5,$BM5,$X5,0)))</f>
        <v>#REF!</v>
      </c>
      <c r="AED5" s="214" t="e">
        <f ca="1">IF(AED$2&lt;=$BM5,IF($X5="IO",$W5/12*QD5,-IPMT($W5/12,AED$2,$X5,$S5)+$BT5/$BS5)+IFERROR((QD5-QE5+PPMT($W5/12,AED$2,$X5,-$TE5)),0)-((IF($TD5&gt;0,N(OFFSET(#REF!,$TD5+AED$2-2,0))/12,0)+$AW5/12)*$BF5+$AX5/12*(1-$BF5))*QD5-$BJ5/12,0)+IF(AED$2=$BM5,QE5*$BH5+IF($X5="IO",$S5+$TE5,-CUMPRINC($W5/12,$X5,$S5,$BM5,$X5,0)+CUMPRINC($W5/12,$X5,-$TE5,$BM5,$X5,0)))</f>
        <v>#REF!</v>
      </c>
      <c r="AEE5" s="214" t="e">
        <f ca="1">IF(AEE$2&lt;=$BM5,IF($X5="IO",$W5/12*QE5,-IPMT($W5/12,AEE$2,$X5,$S5)+$BT5/$BS5)+IFERROR((QE5-QF5+PPMT($W5/12,AEE$2,$X5,-$TE5)),0)-((IF($TD5&gt;0,N(OFFSET(#REF!,$TD5+AEE$2-2,0))/12,0)+$AW5/12)*$BF5+$AX5/12*(1-$BF5))*QE5-$BJ5/12,0)+IF(AEE$2=$BM5,QF5*$BH5+IF($X5="IO",$S5+$TE5,-CUMPRINC($W5/12,$X5,$S5,$BM5,$X5,0)+CUMPRINC($W5/12,$X5,-$TE5,$BM5,$X5,0)))</f>
        <v>#REF!</v>
      </c>
      <c r="AEF5" s="214" t="e">
        <f ca="1">IF(AEF$2&lt;=$BM5,IF($X5="IO",$W5/12*QF5,-IPMT($W5/12,AEF$2,$X5,$S5)+$BT5/$BS5)+IFERROR((QF5-QG5+PPMT($W5/12,AEF$2,$X5,-$TE5)),0)-((IF($TD5&gt;0,N(OFFSET(#REF!,$TD5+AEF$2-2,0))/12,0)+$AW5/12)*$BF5+$AX5/12*(1-$BF5))*QF5-$BJ5/12,0)+IF(AEF$2=$BM5,QG5*$BH5+IF($X5="IO",$S5+$TE5,-CUMPRINC($W5/12,$X5,$S5,$BM5,$X5,0)+CUMPRINC($W5/12,$X5,-$TE5,$BM5,$X5,0)))</f>
        <v>#REF!</v>
      </c>
      <c r="AEG5" s="214" t="e">
        <f ca="1">IF(AEG$2&lt;=$BM5,IF($X5="IO",$W5/12*QG5,-IPMT($W5/12,AEG$2,$X5,$S5)+$BT5/$BS5)+IFERROR((QG5-QH5+PPMT($W5/12,AEG$2,$X5,-$TE5)),0)-((IF($TD5&gt;0,N(OFFSET(#REF!,$TD5+AEG$2-2,0))/12,0)+$AW5/12)*$BF5+$AX5/12*(1-$BF5))*QG5-$BJ5/12,0)+IF(AEG$2=$BM5,QH5*$BH5+IF($X5="IO",$S5+$TE5,-CUMPRINC($W5/12,$X5,$S5,$BM5,$X5,0)+CUMPRINC($W5/12,$X5,-$TE5,$BM5,$X5,0)))</f>
        <v>#REF!</v>
      </c>
      <c r="AEH5" s="214" t="e">
        <f ca="1">IF(AEH$2&lt;=$BM5,IF($X5="IO",$W5/12*QH5,-IPMT($W5/12,AEH$2,$X5,$S5)+$BT5/$BS5)+IFERROR((QH5-QI5+PPMT($W5/12,AEH$2,$X5,-$TE5)),0)-((IF($TD5&gt;0,N(OFFSET(#REF!,$TD5+AEH$2-2,0))/12,0)+$AW5/12)*$BF5+$AX5/12*(1-$BF5))*QH5-$BJ5/12,0)+IF(AEH$2=$BM5,QI5*$BH5+IF($X5="IO",$S5+$TE5,-CUMPRINC($W5/12,$X5,$S5,$BM5,$X5,0)+CUMPRINC($W5/12,$X5,-$TE5,$BM5,$X5,0)))</f>
        <v>#REF!</v>
      </c>
      <c r="AEI5" s="214" t="e">
        <f ca="1">IF(AEI$2&lt;=$BM5,IF($X5="IO",$W5/12*QI5,-IPMT($W5/12,AEI$2,$X5,$S5)+$BT5/$BS5)+IFERROR((QI5-QJ5+PPMT($W5/12,AEI$2,$X5,-$TE5)),0)-((IF($TD5&gt;0,N(OFFSET(#REF!,$TD5+AEI$2-2,0))/12,0)+$AW5/12)*$BF5+$AX5/12*(1-$BF5))*QI5-$BJ5/12,0)+IF(AEI$2=$BM5,QJ5*$BH5+IF($X5="IO",$S5+$TE5,-CUMPRINC($W5/12,$X5,$S5,$BM5,$X5,0)+CUMPRINC($W5/12,$X5,-$TE5,$BM5,$X5,0)))</f>
        <v>#REF!</v>
      </c>
      <c r="AEJ5" s="214" t="e">
        <f ca="1">IF(AEJ$2&lt;=$BM5,IF($X5="IO",$W5/12*QJ5,-IPMT($W5/12,AEJ$2,$X5,$S5)+$BT5/$BS5)+IFERROR((QJ5-QK5+PPMT($W5/12,AEJ$2,$X5,-$TE5)),0)-((IF($TD5&gt;0,N(OFFSET(#REF!,$TD5+AEJ$2-2,0))/12,0)+$AW5/12)*$BF5+$AX5/12*(1-$BF5))*QJ5-$BJ5/12,0)+IF(AEJ$2=$BM5,QK5*$BH5+IF($X5="IO",$S5+$TE5,-CUMPRINC($W5/12,$X5,$S5,$BM5,$X5,0)+CUMPRINC($W5/12,$X5,-$TE5,$BM5,$X5,0)))</f>
        <v>#REF!</v>
      </c>
      <c r="AEK5" s="214" t="e">
        <f ca="1">IF(AEK$2&lt;=$BM5,IF($X5="IO",$W5/12*QK5,-IPMT($W5/12,AEK$2,$X5,$S5)+$BT5/$BS5)+IFERROR((QK5-QL5+PPMT($W5/12,AEK$2,$X5,-$TE5)),0)-((IF($TD5&gt;0,N(OFFSET(#REF!,$TD5+AEK$2-2,0))/12,0)+$AW5/12)*$BF5+$AX5/12*(1-$BF5))*QK5-$BJ5/12,0)+IF(AEK$2=$BM5,QL5*$BH5+IF($X5="IO",$S5+$TE5,-CUMPRINC($W5/12,$X5,$S5,$BM5,$X5,0)+CUMPRINC($W5/12,$X5,-$TE5,$BM5,$X5,0)))</f>
        <v>#REF!</v>
      </c>
      <c r="AEL5" s="214" t="e">
        <f ca="1">IF(AEL$2&lt;=$BM5,IF($X5="IO",$W5/12*QL5,-IPMT($W5/12,AEL$2,$X5,$S5)+$BT5/$BS5)+IFERROR((QL5-QM5+PPMT($W5/12,AEL$2,$X5,-$TE5)),0)-((IF($TD5&gt;0,N(OFFSET(#REF!,$TD5+AEL$2-2,0))/12,0)+$AW5/12)*$BF5+$AX5/12*(1-$BF5))*QL5-$BJ5/12,0)+IF(AEL$2=$BM5,QM5*$BH5+IF($X5="IO",$S5+$TE5,-CUMPRINC($W5/12,$X5,$S5,$BM5,$X5,0)+CUMPRINC($W5/12,$X5,-$TE5,$BM5,$X5,0)))</f>
        <v>#REF!</v>
      </c>
      <c r="AEM5" s="214" t="e">
        <f ca="1">IF(AEM$2&lt;=$BM5,IF($X5="IO",$W5/12*QM5,-IPMT($W5/12,AEM$2,$X5,$S5)+$BT5/$BS5)+IFERROR((QM5-QN5+PPMT($W5/12,AEM$2,$X5,-$TE5)),0)-((IF($TD5&gt;0,N(OFFSET(#REF!,$TD5+AEM$2-2,0))/12,0)+$AW5/12)*$BF5+$AX5/12*(1-$BF5))*QM5-$BJ5/12,0)+IF(AEM$2=$BM5,QN5*$BH5+IF($X5="IO",$S5+$TE5,-CUMPRINC($W5/12,$X5,$S5,$BM5,$X5,0)+CUMPRINC($W5/12,$X5,-$TE5,$BM5,$X5,0)))</f>
        <v>#REF!</v>
      </c>
      <c r="AEN5" s="214" t="e">
        <f ca="1">IF(AEN$2&lt;=$BM5,IF($X5="IO",$W5/12*QN5,-IPMT($W5/12,AEN$2,$X5,$S5)+$BT5/$BS5)+IFERROR((QN5-QO5+PPMT($W5/12,AEN$2,$X5,-$TE5)),0)-((IF($TD5&gt;0,N(OFFSET(#REF!,$TD5+AEN$2-2,0))/12,0)+$AW5/12)*$BF5+$AX5/12*(1-$BF5))*QN5-$BJ5/12,0)+IF(AEN$2=$BM5,QO5*$BH5+IF($X5="IO",$S5+$TE5,-CUMPRINC($W5/12,$X5,$S5,$BM5,$X5,0)+CUMPRINC($W5/12,$X5,-$TE5,$BM5,$X5,0)))</f>
        <v>#REF!</v>
      </c>
      <c r="AEO5" s="214" t="e">
        <f ca="1">IF(AEO$2&lt;=$BM5,IF($X5="IO",$W5/12*QO5,-IPMT($W5/12,AEO$2,$X5,$S5)+$BT5/$BS5)+IFERROR((QO5-QP5+PPMT($W5/12,AEO$2,$X5,-$TE5)),0)-((IF($TD5&gt;0,N(OFFSET(#REF!,$TD5+AEO$2-2,0))/12,0)+$AW5/12)*$BF5+$AX5/12*(1-$BF5))*QO5-$BJ5/12,0)+IF(AEO$2=$BM5,QP5*$BH5+IF($X5="IO",$S5+$TE5,-CUMPRINC($W5/12,$X5,$S5,$BM5,$X5,0)+CUMPRINC($W5/12,$X5,-$TE5,$BM5,$X5,0)))</f>
        <v>#REF!</v>
      </c>
      <c r="AEP5" s="214" t="e">
        <f ca="1">IF(AEP$2&lt;=$BM5,IF($X5="IO",$W5/12*QP5,-IPMT($W5/12,AEP$2,$X5,$S5)+$BT5/$BS5)+IFERROR((QP5-QQ5+PPMT($W5/12,AEP$2,$X5,-$TE5)),0)-((IF($TD5&gt;0,N(OFFSET(#REF!,$TD5+AEP$2-2,0))/12,0)+$AW5/12)*$BF5+$AX5/12*(1-$BF5))*QP5-$BJ5/12,0)+IF(AEP$2=$BM5,QQ5*$BH5+IF($X5="IO",$S5+$TE5,-CUMPRINC($W5/12,$X5,$S5,$BM5,$X5,0)+CUMPRINC($W5/12,$X5,-$TE5,$BM5,$X5,0)))</f>
        <v>#REF!</v>
      </c>
      <c r="AEQ5" s="214" t="e">
        <f ca="1">IF(AEQ$2&lt;=$BM5,IF($X5="IO",$W5/12*QQ5,-IPMT($W5/12,AEQ$2,$X5,$S5)+$BT5/$BS5)+IFERROR((QQ5-QR5+PPMT($W5/12,AEQ$2,$X5,-$TE5)),0)-((IF($TD5&gt;0,N(OFFSET(#REF!,$TD5+AEQ$2-2,0))/12,0)+$AW5/12)*$BF5+$AX5/12*(1-$BF5))*QQ5-$BJ5/12,0)+IF(AEQ$2=$BM5,QR5*$BH5+IF($X5="IO",$S5+$TE5,-CUMPRINC($W5/12,$X5,$S5,$BM5,$X5,0)+CUMPRINC($W5/12,$X5,-$TE5,$BM5,$X5,0)))</f>
        <v>#REF!</v>
      </c>
      <c r="AER5" s="214" t="e">
        <f ca="1">IF(AER$2&lt;=$BM5,IF($X5="IO",$W5/12*QR5,-IPMT($W5/12,AER$2,$X5,$S5)+$BT5/$BS5)+IFERROR((QR5-QS5+PPMT($W5/12,AER$2,$X5,-$TE5)),0)-((IF($TD5&gt;0,N(OFFSET(#REF!,$TD5+AER$2-2,0))/12,0)+$AW5/12)*$BF5+$AX5/12*(1-$BF5))*QR5-$BJ5/12,0)+IF(AER$2=$BM5,QS5*$BH5+IF($X5="IO",$S5+$TE5,-CUMPRINC($W5/12,$X5,$S5,$BM5,$X5,0)+CUMPRINC($W5/12,$X5,-$TE5,$BM5,$X5,0)))</f>
        <v>#REF!</v>
      </c>
      <c r="AES5" s="214" t="e">
        <f ca="1">IF(AES$2&lt;=$BM5,IF($X5="IO",$W5/12*QS5,-IPMT($W5/12,AES$2,$X5,$S5)+$BT5/$BS5)+IFERROR((QS5-QT5+PPMT($W5/12,AES$2,$X5,-$TE5)),0)-((IF($TD5&gt;0,N(OFFSET(#REF!,$TD5+AES$2-2,0))/12,0)+$AW5/12)*$BF5+$AX5/12*(1-$BF5))*QS5-$BJ5/12,0)+IF(AES$2=$BM5,QT5*$BH5+IF($X5="IO",$S5+$TE5,-CUMPRINC($W5/12,$X5,$S5,$BM5,$X5,0)+CUMPRINC($W5/12,$X5,-$TE5,$BM5,$X5,0)))</f>
        <v>#REF!</v>
      </c>
      <c r="AET5" s="214" t="e">
        <f ca="1">IF(AET$2&lt;=$BM5,IF($X5="IO",$W5/12*QT5,-IPMT($W5/12,AET$2,$X5,$S5)+$BT5/$BS5)+IFERROR((QT5-QU5+PPMT($W5/12,AET$2,$X5,-$TE5)),0)-((IF($TD5&gt;0,N(OFFSET(#REF!,$TD5+AET$2-2,0))/12,0)+$AW5/12)*$BF5+$AX5/12*(1-$BF5))*QT5-$BJ5/12,0)+IF(AET$2=$BM5,QU5*$BH5+IF($X5="IO",$S5+$TE5,-CUMPRINC($W5/12,$X5,$S5,$BM5,$X5,0)+CUMPRINC($W5/12,$X5,-$TE5,$BM5,$X5,0)))</f>
        <v>#REF!</v>
      </c>
      <c r="AEU5" s="214" t="e">
        <f ca="1">IF(AEU$2&lt;=$BM5,IF($X5="IO",$W5/12*QU5,-IPMT($W5/12,AEU$2,$X5,$S5)+$BT5/$BS5)+IFERROR((QU5-QV5+PPMT($W5/12,AEU$2,$X5,-$TE5)),0)-((IF($TD5&gt;0,N(OFFSET(#REF!,$TD5+AEU$2-2,0))/12,0)+$AW5/12)*$BF5+$AX5/12*(1-$BF5))*QU5-$BJ5/12,0)+IF(AEU$2=$BM5,QV5*$BH5+IF($X5="IO",$S5+$TE5,-CUMPRINC($W5/12,$X5,$S5,$BM5,$X5,0)+CUMPRINC($W5/12,$X5,-$TE5,$BM5,$X5,0)))</f>
        <v>#REF!</v>
      </c>
      <c r="AEV5" s="214" t="e">
        <f ca="1">IF(AEV$2&lt;=$BM5,IF($X5="IO",$W5/12*QV5,-IPMT($W5/12,AEV$2,$X5,$S5)+$BT5/$BS5)+IFERROR((QV5-QW5+PPMT($W5/12,AEV$2,$X5,-$TE5)),0)-((IF($TD5&gt;0,N(OFFSET(#REF!,$TD5+AEV$2-2,0))/12,0)+$AW5/12)*$BF5+$AX5/12*(1-$BF5))*QV5-$BJ5/12,0)+IF(AEV$2=$BM5,QW5*$BH5+IF($X5="IO",$S5+$TE5,-CUMPRINC($W5/12,$X5,$S5,$BM5,$X5,0)+CUMPRINC($W5/12,$X5,-$TE5,$BM5,$X5,0)))</f>
        <v>#REF!</v>
      </c>
      <c r="AEW5" s="214" t="e">
        <f ca="1">IF(AEW$2&lt;=$BM5,IF($X5="IO",$W5/12*QW5,-IPMT($W5/12,AEW$2,$X5,$S5)+$BT5/$BS5)+IFERROR((QW5-QX5+PPMT($W5/12,AEW$2,$X5,-$TE5)),0)-((IF($TD5&gt;0,N(OFFSET(#REF!,$TD5+AEW$2-2,0))/12,0)+$AW5/12)*$BF5+$AX5/12*(1-$BF5))*QW5-$BJ5/12,0)+IF(AEW$2=$BM5,QX5*$BH5+IF($X5="IO",$S5+$TE5,-CUMPRINC($W5/12,$X5,$S5,$BM5,$X5,0)+CUMPRINC($W5/12,$X5,-$TE5,$BM5,$X5,0)))</f>
        <v>#REF!</v>
      </c>
      <c r="AEX5" s="214" t="e">
        <f ca="1">IF(AEX$2&lt;=$BM5,IF($X5="IO",$W5/12*QX5,-IPMT($W5/12,AEX$2,$X5,$S5)+$BT5/$BS5)+IFERROR((QX5-QY5+PPMT($W5/12,AEX$2,$X5,-$TE5)),0)-((IF($TD5&gt;0,N(OFFSET(#REF!,$TD5+AEX$2-2,0))/12,0)+$AW5/12)*$BF5+$AX5/12*(1-$BF5))*QX5-$BJ5/12,0)+IF(AEX$2=$BM5,QY5*$BH5+IF($X5="IO",$S5+$TE5,-CUMPRINC($W5/12,$X5,$S5,$BM5,$X5,0)+CUMPRINC($W5/12,$X5,-$TE5,$BM5,$X5,0)))</f>
        <v>#REF!</v>
      </c>
      <c r="AEY5" s="214" t="e">
        <f ca="1">IF(AEY$2&lt;=$BM5,IF($X5="IO",$W5/12*QY5,-IPMT($W5/12,AEY$2,$X5,$S5)+$BT5/$BS5)+IFERROR((QY5-QZ5+PPMT($W5/12,AEY$2,$X5,-$TE5)),0)-((IF($TD5&gt;0,N(OFFSET(#REF!,$TD5+AEY$2-2,0))/12,0)+$AW5/12)*$BF5+$AX5/12*(1-$BF5))*QY5-$BJ5/12,0)+IF(AEY$2=$BM5,QZ5*$BH5+IF($X5="IO",$S5+$TE5,-CUMPRINC($W5/12,$X5,$S5,$BM5,$X5,0)+CUMPRINC($W5/12,$X5,-$TE5,$BM5,$X5,0)))</f>
        <v>#REF!</v>
      </c>
      <c r="AEZ5" s="214" t="e">
        <f ca="1">IF(AEZ$2&lt;=$BM5,IF($X5="IO",$W5/12*QZ5,-IPMT($W5/12,AEZ$2,$X5,$S5)+$BT5/$BS5)+IFERROR((QZ5-RA5+PPMT($W5/12,AEZ$2,$X5,-$TE5)),0)-((IF($TD5&gt;0,N(OFFSET(#REF!,$TD5+AEZ$2-2,0))/12,0)+$AW5/12)*$BF5+$AX5/12*(1-$BF5))*QZ5-$BJ5/12,0)+IF(AEZ$2=$BM5,RA5*$BH5+IF($X5="IO",$S5+$TE5,-CUMPRINC($W5/12,$X5,$S5,$BM5,$X5,0)+CUMPRINC($W5/12,$X5,-$TE5,$BM5,$X5,0)))</f>
        <v>#REF!</v>
      </c>
      <c r="AFA5" s="214" t="e">
        <f ca="1">IF(AFA$2&lt;=$BM5,IF($X5="IO",$W5/12*RA5,-IPMT($W5/12,AFA$2,$X5,$S5)+$BT5/$BS5)+IFERROR((RA5-RB5+PPMT($W5/12,AFA$2,$X5,-$TE5)),0)-((IF($TD5&gt;0,N(OFFSET(#REF!,$TD5+AFA$2-2,0))/12,0)+$AW5/12)*$BF5+$AX5/12*(1-$BF5))*RA5-$BJ5/12,0)+IF(AFA$2=$BM5,RB5*$BH5+IF($X5="IO",$S5+$TE5,-CUMPRINC($W5/12,$X5,$S5,$BM5,$X5,0)+CUMPRINC($W5/12,$X5,-$TE5,$BM5,$X5,0)))</f>
        <v>#REF!</v>
      </c>
      <c r="AFB5" s="214" t="e">
        <f ca="1">IF(AFB$2&lt;=$BM5,IF($X5="IO",$W5/12*RB5,-IPMT($W5/12,AFB$2,$X5,$S5)+$BT5/$BS5)+IFERROR((RB5-RC5+PPMT($W5/12,AFB$2,$X5,-$TE5)),0)-((IF($TD5&gt;0,N(OFFSET(#REF!,$TD5+AFB$2-2,0))/12,0)+$AW5/12)*$BF5+$AX5/12*(1-$BF5))*RB5-$BJ5/12,0)+IF(AFB$2=$BM5,RC5*$BH5+IF($X5="IO",$S5+$TE5,-CUMPRINC($W5/12,$X5,$S5,$BM5,$X5,0)+CUMPRINC($W5/12,$X5,-$TE5,$BM5,$X5,0)))</f>
        <v>#REF!</v>
      </c>
      <c r="AFC5" s="214" t="e">
        <f ca="1">IF(AFC$2&lt;=$BM5,IF($X5="IO",$W5/12*RC5,-IPMT($W5/12,AFC$2,$X5,$S5)+$BT5/$BS5)+IFERROR((RC5-RD5+PPMT($W5/12,AFC$2,$X5,-$TE5)),0)-((IF($TD5&gt;0,N(OFFSET(#REF!,$TD5+AFC$2-2,0))/12,0)+$AW5/12)*$BF5+$AX5/12*(1-$BF5))*RC5-$BJ5/12,0)+IF(AFC$2=$BM5,RD5*$BH5+IF($X5="IO",$S5+$TE5,-CUMPRINC($W5/12,$X5,$S5,$BM5,$X5,0)+CUMPRINC($W5/12,$X5,-$TE5,$BM5,$X5,0)))</f>
        <v>#REF!</v>
      </c>
      <c r="AFD5" s="214" t="e">
        <f ca="1">IF(AFD$2&lt;=$BM5,IF($X5="IO",$W5/12*RD5,-IPMT($W5/12,AFD$2,$X5,$S5)+$BT5/$BS5)+IFERROR((RD5-RE5+PPMT($W5/12,AFD$2,$X5,-$TE5)),0)-((IF($TD5&gt;0,N(OFFSET(#REF!,$TD5+AFD$2-2,0))/12,0)+$AW5/12)*$BF5+$AX5/12*(1-$BF5))*RD5-$BJ5/12,0)+IF(AFD$2=$BM5,RE5*$BH5+IF($X5="IO",$S5+$TE5,-CUMPRINC($W5/12,$X5,$S5,$BM5,$X5,0)+CUMPRINC($W5/12,$X5,-$TE5,$BM5,$X5,0)))</f>
        <v>#REF!</v>
      </c>
      <c r="AFE5" s="214" t="e">
        <f ca="1">IF(AFE$2&lt;=$BM5,IF($X5="IO",$W5/12*RE5,-IPMT($W5/12,AFE$2,$X5,$S5)+$BT5/$BS5)+IFERROR((RE5-RF5+PPMT($W5/12,AFE$2,$X5,-$TE5)),0)-((IF($TD5&gt;0,N(OFFSET(#REF!,$TD5+AFE$2-2,0))/12,0)+$AW5/12)*$BF5+$AX5/12*(1-$BF5))*RE5-$BJ5/12,0)+IF(AFE$2=$BM5,RF5*$BH5+IF($X5="IO",$S5+$TE5,-CUMPRINC($W5/12,$X5,$S5,$BM5,$X5,0)+CUMPRINC($W5/12,$X5,-$TE5,$BM5,$X5,0)))</f>
        <v>#REF!</v>
      </c>
      <c r="AFF5" s="214" t="e">
        <f ca="1">IF(AFF$2&lt;=$BM5,IF($X5="IO",$W5/12*RF5,-IPMT($W5/12,AFF$2,$X5,$S5)+$BT5/$BS5)+IFERROR((RF5-RG5+PPMT($W5/12,AFF$2,$X5,-$TE5)),0)-((IF($TD5&gt;0,N(OFFSET(#REF!,$TD5+AFF$2-2,0))/12,0)+$AW5/12)*$BF5+$AX5/12*(1-$BF5))*RF5-$BJ5/12,0)+IF(AFF$2=$BM5,RG5*$BH5+IF($X5="IO",$S5+$TE5,-CUMPRINC($W5/12,$X5,$S5,$BM5,$X5,0)+CUMPRINC($W5/12,$X5,-$TE5,$BM5,$X5,0)))</f>
        <v>#REF!</v>
      </c>
      <c r="AFG5" s="214" t="e">
        <f ca="1">IF(AFG$2&lt;=$BM5,IF($X5="IO",$W5/12*RG5,-IPMT($W5/12,AFG$2,$X5,$S5)+$BT5/$BS5)+IFERROR((RG5-RH5+PPMT($W5/12,AFG$2,$X5,-$TE5)),0)-((IF($TD5&gt;0,N(OFFSET(#REF!,$TD5+AFG$2-2,0))/12,0)+$AW5/12)*$BF5+$AX5/12*(1-$BF5))*RG5-$BJ5/12,0)+IF(AFG$2=$BM5,RH5*$BH5+IF($X5="IO",$S5+$TE5,-CUMPRINC($W5/12,$X5,$S5,$BM5,$X5,0)+CUMPRINC($W5/12,$X5,-$TE5,$BM5,$X5,0)))</f>
        <v>#REF!</v>
      </c>
      <c r="AFH5" s="214" t="e">
        <f ca="1">IF(AFH$2&lt;=$BM5,IF($X5="IO",$W5/12*RH5,-IPMT($W5/12,AFH$2,$X5,$S5)+$BT5/$BS5)+IFERROR((RH5-RI5+PPMT($W5/12,AFH$2,$X5,-$TE5)),0)-((IF($TD5&gt;0,N(OFFSET(#REF!,$TD5+AFH$2-2,0))/12,0)+$AW5/12)*$BF5+$AX5/12*(1-$BF5))*RH5-$BJ5/12,0)+IF(AFH$2=$BM5,RI5*$BH5+IF($X5="IO",$S5+$TE5,-CUMPRINC($W5/12,$X5,$S5,$BM5,$X5,0)+CUMPRINC($W5/12,$X5,-$TE5,$BM5,$X5,0)))</f>
        <v>#REF!</v>
      </c>
      <c r="AFI5" s="214" t="e">
        <f ca="1">IF(AFI$2&lt;=$BM5,IF($X5="IO",$W5/12*RI5,-IPMT($W5/12,AFI$2,$X5,$S5)+$BT5/$BS5)+IFERROR((RI5-RJ5+PPMT($W5/12,AFI$2,$X5,-$TE5)),0)-((IF($TD5&gt;0,N(OFFSET(#REF!,$TD5+AFI$2-2,0))/12,0)+$AW5/12)*$BF5+$AX5/12*(1-$BF5))*RI5-$BJ5/12,0)+IF(AFI$2=$BM5,RJ5*$BH5+IF($X5="IO",$S5+$TE5,-CUMPRINC($W5/12,$X5,$S5,$BM5,$X5,0)+CUMPRINC($W5/12,$X5,-$TE5,$BM5,$X5,0)))</f>
        <v>#REF!</v>
      </c>
      <c r="AFJ5" s="214" t="e">
        <f ca="1">IF(AFJ$2&lt;=$BM5,IF($X5="IO",$W5/12*RJ5,-IPMT($W5/12,AFJ$2,$X5,$S5)+$BT5/$BS5)+IFERROR((RJ5-RK5+PPMT($W5/12,AFJ$2,$X5,-$TE5)),0)-((IF($TD5&gt;0,N(OFFSET(#REF!,$TD5+AFJ$2-2,0))/12,0)+$AW5/12)*$BF5+$AX5/12*(1-$BF5))*RJ5-$BJ5/12,0)+IF(AFJ$2=$BM5,RK5*$BH5+IF($X5="IO",$S5+$TE5,-CUMPRINC($W5/12,$X5,$S5,$BM5,$X5,0)+CUMPRINC($W5/12,$X5,-$TE5,$BM5,$X5,0)))</f>
        <v>#REF!</v>
      </c>
      <c r="AFK5" s="214" t="e">
        <f ca="1">IF(AFK$2&lt;=$BM5,IF($X5="IO",$W5/12*RK5,-IPMT($W5/12,AFK$2,$X5,$S5)+$BT5/$BS5)+IFERROR((RK5-RL5+PPMT($W5/12,AFK$2,$X5,-$TE5)),0)-((IF($TD5&gt;0,N(OFFSET(#REF!,$TD5+AFK$2-2,0))/12,0)+$AW5/12)*$BF5+$AX5/12*(1-$BF5))*RK5-$BJ5/12,0)+IF(AFK$2=$BM5,RL5*$BH5+IF($X5="IO",$S5+$TE5,-CUMPRINC($W5/12,$X5,$S5,$BM5,$X5,0)+CUMPRINC($W5/12,$X5,-$TE5,$BM5,$X5,0)))</f>
        <v>#REF!</v>
      </c>
      <c r="AFL5" s="214" t="e">
        <f ca="1">IF(AFL$2&lt;=$BM5,IF($X5="IO",$W5/12*RL5,-IPMT($W5/12,AFL$2,$X5,$S5)+$BT5/$BS5)+IFERROR((RL5-RM5+PPMT($W5/12,AFL$2,$X5,-$TE5)),0)-((IF($TD5&gt;0,N(OFFSET(#REF!,$TD5+AFL$2-2,0))/12,0)+$AW5/12)*$BF5+$AX5/12*(1-$BF5))*RL5-$BJ5/12,0)+IF(AFL$2=$BM5,RM5*$BH5+IF($X5="IO",$S5+$TE5,-CUMPRINC($W5/12,$X5,$S5,$BM5,$X5,0)+CUMPRINC($W5/12,$X5,-$TE5,$BM5,$X5,0)))</f>
        <v>#REF!</v>
      </c>
      <c r="AFM5" s="214" t="e">
        <f ca="1">IF(AFM$2&lt;=$BM5,IF($X5="IO",$W5/12*RM5,-IPMT($W5/12,AFM$2,$X5,$S5)+$BT5/$BS5)+IFERROR((RM5-RN5+PPMT($W5/12,AFM$2,$X5,-$TE5)),0)-((IF($TD5&gt;0,N(OFFSET(#REF!,$TD5+AFM$2-2,0))/12,0)+$AW5/12)*$BF5+$AX5/12*(1-$BF5))*RM5-$BJ5/12,0)+IF(AFM$2=$BM5,RN5*$BH5+IF($X5="IO",$S5+$TE5,-CUMPRINC($W5/12,$X5,$S5,$BM5,$X5,0)+CUMPRINC($W5/12,$X5,-$TE5,$BM5,$X5,0)))</f>
        <v>#REF!</v>
      </c>
      <c r="AFN5" s="214" t="e">
        <f ca="1">IF(AFN$2&lt;=$BM5,IF($X5="IO",$W5/12*RN5,-IPMT($W5/12,AFN$2,$X5,$S5)+$BT5/$BS5)+IFERROR((RN5-RO5+PPMT($W5/12,AFN$2,$X5,-$TE5)),0)-((IF($TD5&gt;0,N(OFFSET(#REF!,$TD5+AFN$2-2,0))/12,0)+$AW5/12)*$BF5+$AX5/12*(1-$BF5))*RN5-$BJ5/12,0)+IF(AFN$2=$BM5,RO5*$BH5+IF($X5="IO",$S5+$TE5,-CUMPRINC($W5/12,$X5,$S5,$BM5,$X5,0)+CUMPRINC($W5/12,$X5,-$TE5,$BM5,$X5,0)))</f>
        <v>#REF!</v>
      </c>
      <c r="AFO5" s="214" t="e">
        <f ca="1">IF(AFO$2&lt;=$BM5,IF($X5="IO",$W5/12*RO5,-IPMT($W5/12,AFO$2,$X5,$S5)+$BT5/$BS5)+IFERROR((RO5-RP5+PPMT($W5/12,AFO$2,$X5,-$TE5)),0)-((IF($TD5&gt;0,N(OFFSET(#REF!,$TD5+AFO$2-2,0))/12,0)+$AW5/12)*$BF5+$AX5/12*(1-$BF5))*RO5-$BJ5/12,0)+IF(AFO$2=$BM5,RP5*$BH5+IF($X5="IO",$S5+$TE5,-CUMPRINC($W5/12,$X5,$S5,$BM5,$X5,0)+CUMPRINC($W5/12,$X5,-$TE5,$BM5,$X5,0)))</f>
        <v>#REF!</v>
      </c>
      <c r="AFP5" s="214" t="e">
        <f ca="1">IF(AFP$2&lt;=$BM5,IF($X5="IO",$W5/12*RP5,-IPMT($W5/12,AFP$2,$X5,$S5)+$BT5/$BS5)+IFERROR((RP5-RQ5+PPMT($W5/12,AFP$2,$X5,-$TE5)),0)-((IF($TD5&gt;0,N(OFFSET(#REF!,$TD5+AFP$2-2,0))/12,0)+$AW5/12)*$BF5+$AX5/12*(1-$BF5))*RP5-$BJ5/12,0)+IF(AFP$2=$BM5,RQ5*$BH5+IF($X5="IO",$S5+$TE5,-CUMPRINC($W5/12,$X5,$S5,$BM5,$X5,0)+CUMPRINC($W5/12,$X5,-$TE5,$BM5,$X5,0)))</f>
        <v>#REF!</v>
      </c>
      <c r="AFQ5" s="214" t="e">
        <f ca="1">IF(AFQ$2&lt;=$BM5,IF($X5="IO",$W5/12*RQ5,-IPMT($W5/12,AFQ$2,$X5,$S5)+$BT5/$BS5)+IFERROR((RQ5-RR5+PPMT($W5/12,AFQ$2,$X5,-$TE5)),0)-((IF($TD5&gt;0,N(OFFSET(#REF!,$TD5+AFQ$2-2,0))/12,0)+$AW5/12)*$BF5+$AX5/12*(1-$BF5))*RQ5-$BJ5/12,0)+IF(AFQ$2=$BM5,RR5*$BH5+IF($X5="IO",$S5+$TE5,-CUMPRINC($W5/12,$X5,$S5,$BM5,$X5,0)+CUMPRINC($W5/12,$X5,-$TE5,$BM5,$X5,0)))</f>
        <v>#REF!</v>
      </c>
      <c r="AFR5" s="214" t="e">
        <f ca="1">IF(AFR$2&lt;=$BM5,IF($X5="IO",$W5/12*RR5,-IPMT($W5/12,AFR$2,$X5,$S5)+$BT5/$BS5)+IFERROR((RR5-RS5+PPMT($W5/12,AFR$2,$X5,-$TE5)),0)-((IF($TD5&gt;0,N(OFFSET(#REF!,$TD5+AFR$2-2,0))/12,0)+$AW5/12)*$BF5+$AX5/12*(1-$BF5))*RR5-$BJ5/12,0)+IF(AFR$2=$BM5,RS5*$BH5+IF($X5="IO",$S5+$TE5,-CUMPRINC($W5/12,$X5,$S5,$BM5,$X5,0)+CUMPRINC($W5/12,$X5,-$TE5,$BM5,$X5,0)))</f>
        <v>#REF!</v>
      </c>
      <c r="AFS5" s="214" t="e">
        <f ca="1">IF(AFS$2&lt;=$BM5,IF($X5="IO",$W5/12*RS5,-IPMT($W5/12,AFS$2,$X5,$S5)+$BT5/$BS5)+IFERROR((RS5-RT5+PPMT($W5/12,AFS$2,$X5,-$TE5)),0)-((IF($TD5&gt;0,N(OFFSET(#REF!,$TD5+AFS$2-2,0))/12,0)+$AW5/12)*$BF5+$AX5/12*(1-$BF5))*RS5-$BJ5/12,0)+IF(AFS$2=$BM5,RT5*$BH5+IF($X5="IO",$S5+$TE5,-CUMPRINC($W5/12,$X5,$S5,$BM5,$X5,0)+CUMPRINC($W5/12,$X5,-$TE5,$BM5,$X5,0)))</f>
        <v>#REF!</v>
      </c>
      <c r="AFT5" s="214" t="e">
        <f ca="1">IF(AFT$2&lt;=$BM5,IF($X5="IO",$W5/12*RT5,-IPMT($W5/12,AFT$2,$X5,$S5)+$BT5/$BS5)+IFERROR((RT5-RU5+PPMT($W5/12,AFT$2,$X5,-$TE5)),0)-((IF($TD5&gt;0,N(OFFSET(#REF!,$TD5+AFT$2-2,0))/12,0)+$AW5/12)*$BF5+$AX5/12*(1-$BF5))*RT5-$BJ5/12,0)+IF(AFT$2=$BM5,RU5*$BH5+IF($X5="IO",$S5+$TE5,-CUMPRINC($W5/12,$X5,$S5,$BM5,$X5,0)+CUMPRINC($W5/12,$X5,-$TE5,$BM5,$X5,0)))</f>
        <v>#REF!</v>
      </c>
      <c r="AFU5" s="214" t="e">
        <f ca="1">IF(AFU$2&lt;=$BM5,IF($X5="IO",$W5/12*RU5,-IPMT($W5/12,AFU$2,$X5,$S5)+$BT5/$BS5)+IFERROR((RU5-RV5+PPMT($W5/12,AFU$2,$X5,-$TE5)),0)-((IF($TD5&gt;0,N(OFFSET(#REF!,$TD5+AFU$2-2,0))/12,0)+$AW5/12)*$BF5+$AX5/12*(1-$BF5))*RU5-$BJ5/12,0)+IF(AFU$2=$BM5,RV5*$BH5+IF($X5="IO",$S5+$TE5,-CUMPRINC($W5/12,$X5,$S5,$BM5,$X5,0)+CUMPRINC($W5/12,$X5,-$TE5,$BM5,$X5,0)))</f>
        <v>#REF!</v>
      </c>
      <c r="AFV5" s="214" t="e">
        <f ca="1">IF(AFV$2&lt;=$BM5,IF($X5="IO",$W5/12*RV5,-IPMT($W5/12,AFV$2,$X5,$S5)+$BT5/$BS5)+IFERROR((RV5-RW5+PPMT($W5/12,AFV$2,$X5,-$TE5)),0)-((IF($TD5&gt;0,N(OFFSET(#REF!,$TD5+AFV$2-2,0))/12,0)+$AW5/12)*$BF5+$AX5/12*(1-$BF5))*RV5-$BJ5/12,0)+IF(AFV$2=$BM5,RW5*$BH5+IF($X5="IO",$S5+$TE5,-CUMPRINC($W5/12,$X5,$S5,$BM5,$X5,0)+CUMPRINC($W5/12,$X5,-$TE5,$BM5,$X5,0)))</f>
        <v>#REF!</v>
      </c>
      <c r="AFW5" s="214" t="e">
        <f ca="1">IF(AFW$2&lt;=$BM5,IF($X5="IO",$W5/12*RW5,-IPMT($W5/12,AFW$2,$X5,$S5)+$BT5/$BS5)+IFERROR((RW5-RX5+PPMT($W5/12,AFW$2,$X5,-$TE5)),0)-((IF($TD5&gt;0,N(OFFSET(#REF!,$TD5+AFW$2-2,0))/12,0)+$AW5/12)*$BF5+$AX5/12*(1-$BF5))*RW5-$BJ5/12,0)+IF(AFW$2=$BM5,RX5*$BH5+IF($X5="IO",$S5+$TE5,-CUMPRINC($W5/12,$X5,$S5,$BM5,$X5,0)+CUMPRINC($W5/12,$X5,-$TE5,$BM5,$X5,0)))</f>
        <v>#REF!</v>
      </c>
      <c r="AFX5" s="214" t="e">
        <f ca="1">IF(AFX$2&lt;=$BM5,IF($X5="IO",$W5/12*RX5,-IPMT($W5/12,AFX$2,$X5,$S5)+$BT5/$BS5)+IFERROR((RX5-RY5+PPMT($W5/12,AFX$2,$X5,-$TE5)),0)-((IF($TD5&gt;0,N(OFFSET(#REF!,$TD5+AFX$2-2,0))/12,0)+$AW5/12)*$BF5+$AX5/12*(1-$BF5))*RX5-$BJ5/12,0)+IF(AFX$2=$BM5,RY5*$BH5+IF($X5="IO",$S5+$TE5,-CUMPRINC($W5/12,$X5,$S5,$BM5,$X5,0)+CUMPRINC($W5/12,$X5,-$TE5,$BM5,$X5,0)))</f>
        <v>#REF!</v>
      </c>
      <c r="AFY5" s="214" t="e">
        <f ca="1">IF(AFY$2&lt;=$BM5,IF($X5="IO",$W5/12*RY5,-IPMT($W5/12,AFY$2,$X5,$S5)+$BT5/$BS5)+IFERROR((RY5-RZ5+PPMT($W5/12,AFY$2,$X5,-$TE5)),0)-((IF($TD5&gt;0,N(OFFSET(#REF!,$TD5+AFY$2-2,0))/12,0)+$AW5/12)*$BF5+$AX5/12*(1-$BF5))*RY5-$BJ5/12,0)+IF(AFY$2=$BM5,RZ5*$BH5+IF($X5="IO",$S5+$TE5,-CUMPRINC($W5/12,$X5,$S5,$BM5,$X5,0)+CUMPRINC($W5/12,$X5,-$TE5,$BM5,$X5,0)))</f>
        <v>#REF!</v>
      </c>
      <c r="AFZ5" s="214" t="e">
        <f ca="1">IF(AFZ$2&lt;=$BM5,IF($X5="IO",$W5/12*RZ5,-IPMT($W5/12,AFZ$2,$X5,$S5)+$BT5/$BS5)+IFERROR((RZ5-SA5+PPMT($W5/12,AFZ$2,$X5,-$TE5)),0)-((IF($TD5&gt;0,N(OFFSET(#REF!,$TD5+AFZ$2-2,0))/12,0)+$AW5/12)*$BF5+$AX5/12*(1-$BF5))*RZ5-$BJ5/12,0)+IF(AFZ$2=$BM5,SA5*$BH5+IF($X5="IO",$S5+$TE5,-CUMPRINC($W5/12,$X5,$S5,$BM5,$X5,0)+CUMPRINC($W5/12,$X5,-$TE5,$BM5,$X5,0)))</f>
        <v>#REF!</v>
      </c>
      <c r="AGA5" s="214" t="e">
        <f ca="1">IF(AGA$2&lt;=$BM5,IF($X5="IO",$W5/12*SA5,-IPMT($W5/12,AGA$2,$X5,$S5)+$BT5/$BS5)+IFERROR((SA5-SB5+PPMT($W5/12,AGA$2,$X5,-$TE5)),0)-((IF($TD5&gt;0,N(OFFSET(#REF!,$TD5+AGA$2-2,0))/12,0)+$AW5/12)*$BF5+$AX5/12*(1-$BF5))*SA5-$BJ5/12,0)+IF(AGA$2=$BM5,SB5*$BH5+IF($X5="IO",$S5+$TE5,-CUMPRINC($W5/12,$X5,$S5,$BM5,$X5,0)+CUMPRINC($W5/12,$X5,-$TE5,$BM5,$X5,0)))</f>
        <v>#REF!</v>
      </c>
      <c r="AGB5" s="214" t="e">
        <f ca="1">IF(AGB$2&lt;=$BM5,IF($X5="IO",$W5/12*SB5,-IPMT($W5/12,AGB$2,$X5,$S5)+$BT5/$BS5)+IFERROR((SB5-SC5+PPMT($W5/12,AGB$2,$X5,-$TE5)),0)-((IF($TD5&gt;0,N(OFFSET(#REF!,$TD5+AGB$2-2,0))/12,0)+$AW5/12)*$BF5+$AX5/12*(1-$BF5))*SB5-$BJ5/12,0)+IF(AGB$2=$BM5,SC5*$BH5+IF($X5="IO",$S5+$TE5,-CUMPRINC($W5/12,$X5,$S5,$BM5,$X5,0)+CUMPRINC($W5/12,$X5,-$TE5,$BM5,$X5,0)))</f>
        <v>#REF!</v>
      </c>
      <c r="AGC5" s="214" t="e">
        <f ca="1">IF(AGC$2&lt;=$BM5,IF($X5="IO",$W5/12*SC5,-IPMT($W5/12,AGC$2,$X5,$S5)+$BT5/$BS5)+IFERROR((SC5-SD5+PPMT($W5/12,AGC$2,$X5,-$TE5)),0)-((IF($TD5&gt;0,N(OFFSET(#REF!,$TD5+AGC$2-2,0))/12,0)+$AW5/12)*$BF5+$AX5/12*(1-$BF5))*SC5-$BJ5/12,0)+IF(AGC$2=$BM5,SD5*$BH5+IF($X5="IO",$S5+$TE5,-CUMPRINC($W5/12,$X5,$S5,$BM5,$X5,0)+CUMPRINC($W5/12,$X5,-$TE5,$BM5,$X5,0)))</f>
        <v>#REF!</v>
      </c>
      <c r="AGD5" s="214" t="e">
        <f ca="1">IF(AGD$2&lt;=$BM5,IF($X5="IO",$W5/12*SD5,-IPMT($W5/12,AGD$2,$X5,$S5)+$BT5/$BS5)+IFERROR((SD5-SE5+PPMT($W5/12,AGD$2,$X5,-$TE5)),0)-((IF($TD5&gt;0,N(OFFSET(#REF!,$TD5+AGD$2-2,0))/12,0)+$AW5/12)*$BF5+$AX5/12*(1-$BF5))*SD5-$BJ5/12,0)+IF(AGD$2=$BM5,SE5*$BH5+IF($X5="IO",$S5+$TE5,-CUMPRINC($W5/12,$X5,$S5,$BM5,$X5,0)+CUMPRINC($W5/12,$X5,-$TE5,$BM5,$X5,0)))</f>
        <v>#REF!</v>
      </c>
      <c r="AGE5" s="214" t="e">
        <f ca="1">IF(AGE$2&lt;=$BM5,IF($X5="IO",$W5/12*SE5,-IPMT($W5/12,AGE$2,$X5,$S5)+$BT5/$BS5)+IFERROR((SE5-SF5+PPMT($W5/12,AGE$2,$X5,-$TE5)),0)-((IF($TD5&gt;0,N(OFFSET(#REF!,$TD5+AGE$2-2,0))/12,0)+$AW5/12)*$BF5+$AX5/12*(1-$BF5))*SE5-$BJ5/12,0)+IF(AGE$2=$BM5,SF5*$BH5+IF($X5="IO",$S5+$TE5,-CUMPRINC($W5/12,$X5,$S5,$BM5,$X5,0)+CUMPRINC($W5/12,$X5,-$TE5,$BM5,$X5,0)))</f>
        <v>#REF!</v>
      </c>
      <c r="AGF5" s="214" t="e">
        <f ca="1">IF(AGF$2&lt;=$BM5,IF($X5="IO",$W5/12*SF5,-IPMT($W5/12,AGF$2,$X5,$S5)+$BT5/$BS5)+IFERROR((SF5-SG5+PPMT($W5/12,AGF$2,$X5,-$TE5)),0)-((IF($TD5&gt;0,N(OFFSET(#REF!,$TD5+AGF$2-2,0))/12,0)+$AW5/12)*$BF5+$AX5/12*(1-$BF5))*SF5-$BJ5/12,0)+IF(AGF$2=$BM5,SG5*$BH5+IF($X5="IO",$S5+$TE5,-CUMPRINC($W5/12,$X5,$S5,$BM5,$X5,0)+CUMPRINC($W5/12,$X5,-$TE5,$BM5,$X5,0)))</f>
        <v>#REF!</v>
      </c>
      <c r="AGG5" s="214" t="e">
        <f ca="1">IF(AGG$2&lt;=$BM5,IF($X5="IO",$W5/12*SG5,-IPMT($W5/12,AGG$2,$X5,$S5)+$BT5/$BS5)+IFERROR((SG5-SH5+PPMT($W5/12,AGG$2,$X5,-$TE5)),0)-((IF($TD5&gt;0,N(OFFSET(#REF!,$TD5+AGG$2-2,0))/12,0)+$AW5/12)*$BF5+$AX5/12*(1-$BF5))*SG5-$BJ5/12,0)+IF(AGG$2=$BM5,SH5*$BH5+IF($X5="IO",$S5+$TE5,-CUMPRINC($W5/12,$X5,$S5,$BM5,$X5,0)+CUMPRINC($W5/12,$X5,-$TE5,$BM5,$X5,0)))</f>
        <v>#REF!</v>
      </c>
      <c r="AGH5" s="214" t="e">
        <f ca="1">IF(AGH$2&lt;=$BM5,IF($X5="IO",$W5/12*SH5,-IPMT($W5/12,AGH$2,$X5,$S5)+$BT5/$BS5)+IFERROR((SH5-SI5+PPMT($W5/12,AGH$2,$X5,-$TE5)),0)-((IF($TD5&gt;0,N(OFFSET(#REF!,$TD5+AGH$2-2,0))/12,0)+$AW5/12)*$BF5+$AX5/12*(1-$BF5))*SH5-$BJ5/12,0)+IF(AGH$2=$BM5,SI5*$BH5+IF($X5="IO",$S5+$TE5,-CUMPRINC($W5/12,$X5,$S5,$BM5,$X5,0)+CUMPRINC($W5/12,$X5,-$TE5,$BM5,$X5,0)))</f>
        <v>#REF!</v>
      </c>
      <c r="AGI5" s="214" t="e">
        <f ca="1">IF(AGI$2&lt;=$BM5,IF($X5="IO",$W5/12*SI5,-IPMT($W5/12,AGI$2,$X5,$S5)+$BT5/$BS5)+IFERROR((SI5-SJ5+PPMT($W5/12,AGI$2,$X5,-$TE5)),0)-((IF($TD5&gt;0,N(OFFSET(#REF!,$TD5+AGI$2-2,0))/12,0)+$AW5/12)*$BF5+$AX5/12*(1-$BF5))*SI5-$BJ5/12,0)+IF(AGI$2=$BM5,SJ5*$BH5+IF($X5="IO",$S5+$TE5,-CUMPRINC($W5/12,$X5,$S5,$BM5,$X5,0)+CUMPRINC($W5/12,$X5,-$TE5,$BM5,$X5,0)))</f>
        <v>#REF!</v>
      </c>
      <c r="AGJ5" s="214" t="e">
        <f ca="1">IF(AGJ$2&lt;=$BM5,IF($X5="IO",$W5/12*SJ5,-IPMT($W5/12,AGJ$2,$X5,$S5)+$BT5/$BS5)+IFERROR((SJ5-SK5+PPMT($W5/12,AGJ$2,$X5,-$TE5)),0)-((IF($TD5&gt;0,N(OFFSET(#REF!,$TD5+AGJ$2-2,0))/12,0)+$AW5/12)*$BF5+$AX5/12*(1-$BF5))*SJ5-$BJ5/12,0)+IF(AGJ$2=$BM5,SK5*$BH5+IF($X5="IO",$S5+$TE5,-CUMPRINC($W5/12,$X5,$S5,$BM5,$X5,0)+CUMPRINC($W5/12,$X5,-$TE5,$BM5,$X5,0)))</f>
        <v>#REF!</v>
      </c>
      <c r="AGK5" s="214" t="e">
        <f ca="1">IF(AGK$2&lt;=$BM5,IF($X5="IO",$W5/12*SK5,-IPMT($W5/12,AGK$2,$X5,$S5)+$BT5/$BS5)+IFERROR((SK5-SL5+PPMT($W5/12,AGK$2,$X5,-$TE5)),0)-((IF($TD5&gt;0,N(OFFSET(#REF!,$TD5+AGK$2-2,0))/12,0)+$AW5/12)*$BF5+$AX5/12*(1-$BF5))*SK5-$BJ5/12,0)+IF(AGK$2=$BM5,SL5*$BH5+IF($X5="IO",$S5+$TE5,-CUMPRINC($W5/12,$X5,$S5,$BM5,$X5,0)+CUMPRINC($W5/12,$X5,-$TE5,$BM5,$X5,0)))</f>
        <v>#REF!</v>
      </c>
      <c r="AGL5" s="214" t="e">
        <f ca="1">IF(AGL$2&lt;=$BM5,IF($X5="IO",$W5/12*SL5,-IPMT($W5/12,AGL$2,$X5,$S5)+$BT5/$BS5)+IFERROR((SL5-SM5+PPMT($W5/12,AGL$2,$X5,-$TE5)),0)-((IF($TD5&gt;0,N(OFFSET(#REF!,$TD5+AGL$2-2,0))/12,0)+$AW5/12)*$BF5+$AX5/12*(1-$BF5))*SL5-$BJ5/12,0)+IF(AGL$2=$BM5,SM5*$BH5+IF($X5="IO",$S5+$TE5,-CUMPRINC($W5/12,$X5,$S5,$BM5,$X5,0)+CUMPRINC($W5/12,$X5,-$TE5,$BM5,$X5,0)))</f>
        <v>#REF!</v>
      </c>
      <c r="AGM5" s="214" t="e">
        <f ca="1">IF(AGM$2&lt;=$BM5,IF($X5="IO",$W5/12*SM5,-IPMT($W5/12,AGM$2,$X5,$S5)+$BT5/$BS5)+IFERROR((SM5-SN5+PPMT($W5/12,AGM$2,$X5,-$TE5)),0)-((IF($TD5&gt;0,N(OFFSET(#REF!,$TD5+AGM$2-2,0))/12,0)+$AW5/12)*$BF5+$AX5/12*(1-$BF5))*SM5-$BJ5/12,0)+IF(AGM$2=$BM5,SN5*$BH5+IF($X5="IO",$S5+$TE5,-CUMPRINC($W5/12,$X5,$S5,$BM5,$X5,0)+CUMPRINC($W5/12,$X5,-$TE5,$BM5,$X5,0)))</f>
        <v>#REF!</v>
      </c>
      <c r="AGN5" s="214" t="e">
        <f ca="1">IF(AGN$2&lt;=$BM5,IF($X5="IO",$W5/12*SN5,-IPMT($W5/12,AGN$2,$X5,$S5)+$BT5/$BS5)+IFERROR((SN5-SO5+PPMT($W5/12,AGN$2,$X5,-$TE5)),0)-((IF($TD5&gt;0,N(OFFSET(#REF!,$TD5+AGN$2-2,0))/12,0)+$AW5/12)*$BF5+$AX5/12*(1-$BF5))*SN5-$BJ5/12,0)+IF(AGN$2=$BM5,SO5*$BH5+IF($X5="IO",$S5+$TE5,-CUMPRINC($W5/12,$X5,$S5,$BM5,$X5,0)+CUMPRINC($W5/12,$X5,-$TE5,$BM5,$X5,0)))</f>
        <v>#REF!</v>
      </c>
      <c r="AGO5" s="214" t="e">
        <f ca="1">IF(AGO$2&lt;=$BM5,IF($X5="IO",$W5/12*SO5,-IPMT($W5/12,AGO$2,$X5,$S5)+$BT5/$BS5)+IFERROR((SO5-SP5+PPMT($W5/12,AGO$2,$X5,-$TE5)),0)-((IF($TD5&gt;0,N(OFFSET(#REF!,$TD5+AGO$2-2,0))/12,0)+$AW5/12)*$BF5+$AX5/12*(1-$BF5))*SO5-$BJ5/12,0)+IF(AGO$2=$BM5,SP5*$BH5+IF($X5="IO",$S5+$TE5,-CUMPRINC($W5/12,$X5,$S5,$BM5,$X5,0)+CUMPRINC($W5/12,$X5,-$TE5,$BM5,$X5,0)))</f>
        <v>#REF!</v>
      </c>
      <c r="AGP5" s="214" t="e">
        <f ca="1">IF(AGP$2&lt;=$BM5,IF($X5="IO",$W5/12*SP5,-IPMT($W5/12,AGP$2,$X5,$S5)+$BT5/$BS5)+IFERROR((SP5-SQ5+PPMT($W5/12,AGP$2,$X5,-$TE5)),0)-((IF($TD5&gt;0,N(OFFSET(#REF!,$TD5+AGP$2-2,0))/12,0)+$AW5/12)*$BF5+$AX5/12*(1-$BF5))*SP5-$BJ5/12,0)+IF(AGP$2=$BM5,SQ5*$BH5+IF($X5="IO",$S5+$TE5,-CUMPRINC($W5/12,$X5,$S5,$BM5,$X5,0)+CUMPRINC($W5/12,$X5,-$TE5,$BM5,$X5,0)))</f>
        <v>#REF!</v>
      </c>
      <c r="AGQ5" s="214" t="e">
        <f ca="1">IF(AGQ$2&lt;=$BM5,IF($X5="IO",$W5/12*SQ5,-IPMT($W5/12,AGQ$2,$X5,$S5)+$BT5/$BS5)+IFERROR((SQ5-SR5+PPMT($W5/12,AGQ$2,$X5,-$TE5)),0)-((IF($TD5&gt;0,N(OFFSET(#REF!,$TD5+AGQ$2-2,0))/12,0)+$AW5/12)*$BF5+$AX5/12*(1-$BF5))*SQ5-$BJ5/12,0)+IF(AGQ$2=$BM5,SR5*$BH5+IF($X5="IO",$S5+$TE5,-CUMPRINC($W5/12,$X5,$S5,$BM5,$X5,0)+CUMPRINC($W5/12,$X5,-$TE5,$BM5,$X5,0)))</f>
        <v>#REF!</v>
      </c>
      <c r="AGR5" s="214" t="e">
        <f ca="1">IF(AGR$2&lt;=$BM5,IF($X5="IO",$W5/12*SR5,-IPMT($W5/12,AGR$2,$X5,$S5)+$BT5/$BS5)+IFERROR((SR5-SS5+PPMT($W5/12,AGR$2,$X5,-$TE5)),0)-((IF($TD5&gt;0,N(OFFSET(#REF!,$TD5+AGR$2-2,0))/12,0)+$AW5/12)*$BF5+$AX5/12*(1-$BF5))*SR5-$BJ5/12,0)+IF(AGR$2=$BM5,SS5*$BH5+IF($X5="IO",$S5+$TE5,-CUMPRINC($W5/12,$X5,$S5,$BM5,$X5,0)+CUMPRINC($W5/12,$X5,-$TE5,$BM5,$X5,0)))</f>
        <v>#REF!</v>
      </c>
      <c r="AGS5" s="214" t="e">
        <f ca="1">IF(AGS$2&lt;=$BM5,IF($X5="IO",$W5/12*SS5,-IPMT($W5/12,AGS$2,$X5,$S5)+$BT5/$BS5)+IFERROR((SS5-ST5+PPMT($W5/12,AGS$2,$X5,-$TE5)),0)-((IF($TD5&gt;0,N(OFFSET(#REF!,$TD5+AGS$2-2,0))/12,0)+$AW5/12)*$BF5+$AX5/12*(1-$BF5))*SS5-$BJ5/12,0)+IF(AGS$2=$BM5,ST5*$BH5+IF($X5="IO",$S5+$TE5,-CUMPRINC($W5/12,$X5,$S5,$BM5,$X5,0)+CUMPRINC($W5/12,$X5,-$TE5,$BM5,$X5,0)))</f>
        <v>#REF!</v>
      </c>
      <c r="AGT5" s="214" t="e">
        <f ca="1">IF(AGT$2&lt;=$BM5,IF($X5="IO",$W5/12*ST5,-IPMT($W5/12,AGT$2,$X5,$S5)+$BT5/$BS5)+IFERROR((ST5-SU5+PPMT($W5/12,AGT$2,$X5,-$TE5)),0)-((IF($TD5&gt;0,N(OFFSET(#REF!,$TD5+AGT$2-2,0))/12,0)+$AW5/12)*$BF5+$AX5/12*(1-$BF5))*ST5-$BJ5/12,0)+IF(AGT$2=$BM5,SU5*$BH5+IF($X5="IO",$S5+$TE5,-CUMPRINC($W5/12,$X5,$S5,$BM5,$X5,0)+CUMPRINC($W5/12,$X5,-$TE5,$BM5,$X5,0)))</f>
        <v>#REF!</v>
      </c>
      <c r="AGU5" s="214" t="e">
        <f ca="1">IF(AGU$2&lt;=$BM5,IF($X5="IO",$W5/12*SU5,-IPMT($W5/12,AGU$2,$X5,$S5)+$BT5/$BS5)+IFERROR((SU5-SV5+PPMT($W5/12,AGU$2,$X5,-$TE5)),0)-((IF($TD5&gt;0,N(OFFSET(#REF!,$TD5+AGU$2-2,0))/12,0)+$AW5/12)*$BF5+$AX5/12*(1-$BF5))*SU5-$BJ5/12,0)+IF(AGU$2=$BM5,SV5*$BH5+IF($X5="IO",$S5+$TE5,-CUMPRINC($W5/12,$X5,$S5,$BM5,$X5,0)+CUMPRINC($W5/12,$X5,-$TE5,$BM5,$X5,0)))</f>
        <v>#REF!</v>
      </c>
      <c r="AGV5" s="214" t="e">
        <f ca="1">IF(AGV$2&lt;=$BM5,IF($X5="IO",$W5/12*SV5,-IPMT($W5/12,AGV$2,$X5,$S5)+$BT5/$BS5)+IFERROR((SV5-SW5+PPMT($W5/12,AGV$2,$X5,-$TE5)),0)-((IF($TD5&gt;0,N(OFFSET(#REF!,$TD5+AGV$2-2,0))/12,0)+$AW5/12)*$BF5+$AX5/12*(1-$BF5))*SV5-$BJ5/12,0)+IF(AGV$2=$BM5,SW5*$BH5+IF($X5="IO",$S5+$TE5,-CUMPRINC($W5/12,$X5,$S5,$BM5,$X5,0)+CUMPRINC($W5/12,$X5,-$TE5,$BM5,$X5,0)))</f>
        <v>#REF!</v>
      </c>
      <c r="AGW5" s="214" t="e">
        <f ca="1">IF(AGW$2&lt;=$BM5,IF($X5="IO",$W5/12*SW5,-IPMT($W5/12,AGW$2,$X5,$S5)+$BT5/$BS5)+IFERROR((SW5-SX5+PPMT($W5/12,AGW$2,$X5,-$TE5)),0)-((IF($TD5&gt;0,N(OFFSET(#REF!,$TD5+AGW$2-2,0))/12,0)+$AW5/12)*$BF5+$AX5/12*(1-$BF5))*SW5-$BJ5/12,0)+IF(AGW$2=$BM5,SX5*$BH5+IF($X5="IO",$S5+$TE5,-CUMPRINC($W5/12,$X5,$S5,$BM5,$X5,0)+CUMPRINC($W5/12,$X5,-$TE5,$BM5,$X5,0)))</f>
        <v>#REF!</v>
      </c>
      <c r="AGX5" s="214" t="e">
        <f ca="1">IF(AGX$2&lt;=$BM5,IF($X5="IO",$W5/12*SX5,-IPMT($W5/12,AGX$2,$X5,$S5)+$BT5/$BS5)+IFERROR((SX5-SY5+PPMT($W5/12,AGX$2,$X5,-$TE5)),0)-((IF($TD5&gt;0,N(OFFSET(#REF!,$TD5+AGX$2-2,0))/12,0)+$AW5/12)*$BF5+$AX5/12*(1-$BF5))*SX5-$BJ5/12,0)+IF(AGX$2=$BM5,SY5*$BH5+IF($X5="IO",$S5+$TE5,-CUMPRINC($W5/12,$X5,$S5,$BM5,$X5,0)+CUMPRINC($W5/12,$X5,-$TE5,$BM5,$X5,0)))</f>
        <v>#REF!</v>
      </c>
      <c r="AGY5" s="214" t="e">
        <f ca="1">IF(AGY$2&lt;=$BM5,IF($X5="IO",$W5/12*SY5,-IPMT($W5/12,AGY$2,$X5,$S5)+$BT5/$BS5)+IFERROR((SY5-SZ5+PPMT($W5/12,AGY$2,$X5,-$TE5)),0)-((IF($TD5&gt;0,N(OFFSET(#REF!,$TD5+AGY$2-2,0))/12,0)+$AW5/12)*$BF5+$AX5/12*(1-$BF5))*SY5-$BJ5/12,0)+IF(AGY$2=$BM5,SZ5*$BH5+IF($X5="IO",$S5+$TE5,-CUMPRINC($W5/12,$X5,$S5,$BM5,$X5,0)+CUMPRINC($W5/12,$X5,-$TE5,$BM5,$X5,0)))</f>
        <v>#REF!</v>
      </c>
      <c r="AGZ5" s="214" t="e">
        <f ca="1">IF(AGZ$2&lt;=$BM5,IF($X5="IO",$W5/12*SZ5,-IPMT($W5/12,AGZ$2,$X5,$S5)+$BT5/$BS5)+IFERROR((SZ5-TA5+PPMT($W5/12,AGZ$2,$X5,-$TE5)),0)-((IF($TD5&gt;0,N(OFFSET(#REF!,$TD5+AGZ$2-2,0))/12,0)+$AW5/12)*$BF5+$AX5/12*(1-$BF5))*SZ5-$BJ5/12,0)+IF(AGZ$2=$BM5,TA5*$BH5+IF($X5="IO",$S5+$TE5,-CUMPRINC($W5/12,$X5,$S5,$BM5,$X5,0)+CUMPRINC($W5/12,$X5,-$TE5,$BM5,$X5,0)))</f>
        <v>#REF!</v>
      </c>
      <c r="AHA5" s="214" t="e">
        <f ca="1">IF(AHA$2&lt;=$BM5,IF($X5="IO",$W5/12*TA5,-IPMT($W5/12,AHA$2,$X5,$S5)+$BT5/$BS5)+IFERROR((TA5-TB5+PPMT($W5/12,AHA$2,$X5,-$TE5)),0)-((IF($TD5&gt;0,N(OFFSET(#REF!,$TD5+AHA$2-2,0))/12,0)+$AW5/12)*$BF5+$AX5/12*(1-$BF5))*TA5-$BJ5/12,0)+IF(AHA$2=$BM5,TB5*$BH5+IF($X5="IO",$S5+$TE5,-CUMPRINC($W5/12,$X5,$S5,$BM5,$X5,0)+CUMPRINC($W5/12,$X5,-$TE5,$BM5,$X5,0)))</f>
        <v>#REF!</v>
      </c>
      <c r="AHB5"/>
    </row>
    <row r="6" spans="1:886" s="299" customFormat="1" x14ac:dyDescent="0.25">
      <c r="A6" s="243">
        <f>IFERROR(A5+1,1)</f>
        <v>2</v>
      </c>
      <c r="B6" s="244"/>
      <c r="C6" s="215"/>
      <c r="D6" s="245"/>
      <c r="E6" s="246">
        <f>IF(AA6&gt;0,EDATE(AA6,BS6-1),EDATE(C6,BS6))</f>
        <v>3653</v>
      </c>
      <c r="F6" s="244"/>
      <c r="G6" s="301" t="s">
        <v>3064</v>
      </c>
      <c r="H6" s="248"/>
      <c r="I6" s="244"/>
      <c r="J6" s="244"/>
      <c r="K6" s="249"/>
      <c r="L6" s="250">
        <f>IF(AND(NOT(ISBLANK(K6)),J6="Homestead"),IF(C6&gt;DATEVALUE("12/31/"&amp;(YEAR(K6)+64)),0,ROUNDDOWN(YEARFRAC(C6,DATEVALUE("12/30/"&amp;(YEAR(K6)+64)))*12,0)),9999)</f>
        <v>9999</v>
      </c>
      <c r="M6" s="251">
        <v>352000</v>
      </c>
      <c r="N6" s="252">
        <v>10001.99</v>
      </c>
      <c r="O6" s="252">
        <v>900</v>
      </c>
      <c r="P6" s="253" t="e">
        <f>IF($BU6="CREL",0,(IF(IFERROR(SEARCH("refi",F6),0),2,1)+MAX(1,H6))*VLOOKUP(IF(ISBLANK(D6),"Generic",D6),#REF!,5,FALSE)+(IF(IFERROR(SEARCH("refi",F6),0),4,2)+MAX(1,H6))*4)</f>
        <v>#REF!</v>
      </c>
      <c r="Q6" s="252">
        <v>76</v>
      </c>
      <c r="R6" s="254"/>
      <c r="S6" s="255">
        <f>SUM(N6:O6,Q6)</f>
        <v>10977.99</v>
      </c>
      <c r="T6" s="253">
        <f>SUM(R6:S6)</f>
        <v>10977.99</v>
      </c>
      <c r="U6" s="256">
        <f>IFERROR((R6+S6)/M6,9.99)</f>
        <v>3.118747159090909E-2</v>
      </c>
      <c r="V6" s="253">
        <f>S6-O6+R6</f>
        <v>10077.99</v>
      </c>
      <c r="W6" s="257">
        <v>0.17899999999999999</v>
      </c>
      <c r="X6" s="258">
        <v>120</v>
      </c>
      <c r="Y6" s="258"/>
      <c r="Z6" s="258" t="s">
        <v>2403</v>
      </c>
      <c r="AA6" s="259"/>
      <c r="AB6" s="260" t="e">
        <f>IF($X6&gt;$Y6,INDEX($FG6:$TB6,$Y6),0)</f>
        <v>#VALUE!</v>
      </c>
      <c r="AC6" s="302">
        <f ca="1">IF(L6&lt;IF(Y6,Y6,X6),"Max: "&amp;L6&amp;" mo.",IF($X6="IO",T6*AF6/12+BT6/BS6,-PMT($AF6/12,$BS6,$T6)+$BT6/BS6))</f>
        <v>197.10092411586226</v>
      </c>
      <c r="AD6" s="261">
        <f ca="1">IF(OR(X6="IO",AA6),"Not regular",RATE(X6,AC6,-V6)*12)</f>
        <v>0.20349057595108688</v>
      </c>
      <c r="AE6" s="262">
        <f ca="1">IFERROR(MID($W6,1,SEARCH("+",$W6)-1)+$AV6,$W6)</f>
        <v>0.17899999999999999</v>
      </c>
      <c r="AF6" s="262">
        <f ca="1">IFERROR(MID($W6,1,SEARCH("+",$W6)-1)+OFFSET(#REF!,MATCH($C6,#REF!,1)-1,0,1),$W6)</f>
        <v>0.17899999999999999</v>
      </c>
      <c r="AG6" s="263" t="e">
        <f ca="1">IF(U6&gt;IF(BC6=0,1000,BC6),"LTV Too high",IF(OR($U6&gt;IF($BC6=0,1000,$BC6),AND($J6="Homestead",OR($X6&gt;$L6,$BU6="CREL"))),IF(IFERROR(SEARCH("CREL",$F6),0),"No CREL on HS","Max: "&amp;$L6&amp;" mo."),ROUND(IF(OR($AT6="2017a",$AT6&lt;2017),IFERROR((IF($BM6&gt;$BS6,$BM6/12*$AE6*$S6,IF($X6="IO",($AE6-$BE6)/12*$S6*BM6,-CUMIPMT($AE6/12,$BS6,$S6+$BT6,1,MIN($BM6,$BS6),0)*($AE6-$BE6)/$AE6))+$O6)-$BR6+IFERROR(IF(SEARCH("Refi",$F6),IF(BK6&gt;1,-SUM(MAX(0,$CO6),MAX(0,$DK6),MAX(0,$EG6),MAX(0,$FC6))+$BP6,$BR6),0),0),0),IF(IFERROR(SEARCH("Broker",F6),0),O6-$BK6,$TC6)-(ABS(IF(IFERROR(SEARCH("Broker",F6),0),O6,$TC6))*($BL6-IF(IFERROR(SEARCH("Refi",$F6),0),$BQ6)))),2))-AH6)</f>
        <v>#REF!</v>
      </c>
      <c r="AH6" s="263">
        <f>IF(IFERROR(SEARCH("Purchase",$F6),0),IF(IFERROR(SEARCH("CREL",$F6),0),INDEX(#REF!,MATCH($W6,#REF!,1),MATCH($U6,#REF!,1)),INDEX(#REF!,MATCH($W6,#REF!,1),MATCH($U6,#REF!,1)))*$X6/MAX($X6,48)*($N6+O6+Q6)+O6,0)</f>
        <v>0</v>
      </c>
      <c r="AI6" s="264" t="e">
        <f ca="1">ROUND(MAX(IFERROR(MIN(MAX(AG6,0)*IFERROR(MID(BD6,SEARCH("else",BD6)+5,LEN(BD6)-SEARCH("else",BD6)-5),1),MID(BD6,1,SEARCH("(",BD6)-1)),BD6),($BN6+IF(Z6="Y",BO6))*$AG6),2)</f>
        <v>#REF!</v>
      </c>
      <c r="AJ6" s="265" t="e">
        <f ca="1">AI6/T6</f>
        <v>#REF!</v>
      </c>
      <c r="AK6" s="260">
        <f ca="1">-PMT($W6/12,12,$T6+$BT6)</f>
        <v>1005.939661842232</v>
      </c>
      <c r="AL6" s="260">
        <f ca="1">-PMT($W6/12,36,$T6+$BT6)</f>
        <v>396.33014395261472</v>
      </c>
      <c r="AM6" s="260">
        <f ca="1">-PMT($W6/12,60,$T6+$BT6)</f>
        <v>278.17193625625498</v>
      </c>
      <c r="AN6" s="260">
        <f ca="1">-PMT($W6/12,84,$T6+$BT6)</f>
        <v>230.09060813336322</v>
      </c>
      <c r="AO6" s="260">
        <f ca="1">-PMT($W6/12,120,$T6+$BT6)</f>
        <v>197.10092411586226</v>
      </c>
      <c r="AP6" s="260">
        <f ca="1">T6*W6/12+BT6/BS6</f>
        <v>163.75501749999998</v>
      </c>
      <c r="AQ6" s="266"/>
      <c r="AR6" s="267"/>
      <c r="AS6" s="268"/>
      <c r="AT6" s="269" t="e">
        <f ca="1">MIN($AT$2,IF(AND(YEAR(C6)=2017,MONTH(C6)&lt;4),"2017a",IF(C6,YEAR(C6),YEAR(TODAY()))))</f>
        <v>#REF!</v>
      </c>
      <c r="AU6" s="270" t="e">
        <f ca="1">INDEX(OFFSET(#REF!,0,INDEX(#REF!,MATCH($F6,#REF!,0))+AU$2),MATCH($AT6,#REF!,0))</f>
        <v>#REF!</v>
      </c>
      <c r="AV6" s="261" t="b">
        <f ca="1">IF(IFERROR(SEARCH("+L",$AU6),0),AVERAGE(OFFSET(#REF!,MATCH(IF(ISBLANK($C6),TODAY(),$C6),#REF!,1)-1,0,$BM6-1)))</f>
        <v>0</v>
      </c>
      <c r="AW6" s="261" t="e">
        <f ca="1">IFERROR(MID(AU6,1,SEARCH("+LIBOR",AU6)-1),AU6)+0</f>
        <v>#REF!</v>
      </c>
      <c r="AX6" s="271" t="e">
        <f ca="1">INDEX(OFFSET(#REF!,0,INDEX(#REF!,MATCH($F6,#REF!,0))+AX$2),MATCH($AT6,#REF!,0))</f>
        <v>#REF!</v>
      </c>
      <c r="AY6" s="271" t="e">
        <f ca="1">INDEX(OFFSET(#REF!,0,INDEX(#REF!,MATCH($F6,#REF!,0))+AY$2),MATCH($AT6,#REF!,0))</f>
        <v>#REF!</v>
      </c>
      <c r="AZ6" s="271" t="e">
        <f ca="1">INDEX(OFFSET(#REF!,0,INDEX(#REF!,MATCH($F6,#REF!,0))+AZ$2),MATCH($AT6,#REF!,0))</f>
        <v>#REF!</v>
      </c>
      <c r="BA6" s="271" t="e">
        <f ca="1">INDEX(OFFSET(#REF!,0,INDEX(#REF!,MATCH($F6,#REF!,0))+BA$2),MATCH($AT6,#REF!,0))</f>
        <v>#REF!</v>
      </c>
      <c r="BB6" s="271" t="e">
        <f ca="1">INDEX(OFFSET(#REF!,0,INDEX(#REF!,MATCH($F6,#REF!,0))+BB$2),MATCH($AT6,#REF!,0))</f>
        <v>#REF!</v>
      </c>
      <c r="BC6" s="272" t="e">
        <f ca="1">INDEX(OFFSET(#REF!,0,INDEX(#REF!,MATCH($F6,#REF!,0))+BC$2),MATCH($AT6,#REF!,0))</f>
        <v>#REF!</v>
      </c>
      <c r="BD6" s="253" t="e">
        <f ca="1">INDEX(OFFSET(#REF!,0,INDEX(#REF!,MATCH($F6,#REF!,0))+BD$2),MATCH($AT6,#REF!,0))</f>
        <v>#REF!</v>
      </c>
      <c r="BE6" s="261" t="e">
        <f ca="1">(MAX(0,MIN(AY6,U6))*((AW6+AV6)*AZ6+(1-AZ6)*AX6)+IF(U6&gt;AY6,MAX(0,MIN(U6-AY6,BA6-AY6))*((AW6+AV6)*BB6+(1-BB6)*AX6)+IF(U6&gt;BA6,(U6-MAX(AY6,BA6))*AX6,0),0))/U6</f>
        <v>#REF!</v>
      </c>
      <c r="BF6" s="261" t="e">
        <f ca="1">IF(U6&gt;BC6,0,(MAX(0,MIN(AY6,U6))*AZ6+IF(U6&gt;AY6,MAX(0,MIN(U6-AY6,BA6-AY6))*BB6))/U6)</f>
        <v>#REF!</v>
      </c>
      <c r="BG6" s="253" t="e">
        <f ca="1">INDEX(OFFSET(#REF!,0,INDEX(#REF!,MATCH($F6,#REF!,0))+BG$2),MATCH($AT6,#REF!,0))</f>
        <v>#REF!</v>
      </c>
      <c r="BH6" s="261" t="e">
        <f ca="1">INDEX(OFFSET(#REF!,0,INDEX(#REF!,MATCH($F6,#REF!,0))+BH$2),MATCH($AT6,#REF!,0))</f>
        <v>#REF!</v>
      </c>
      <c r="BI6" s="272" t="e">
        <f ca="1">INDEX(OFFSET(#REF!,0,INDEX(#REF!,MATCH($F6,#REF!,0))+BI$2),MATCH($AT6,#REF!,0))</f>
        <v>#REF!</v>
      </c>
      <c r="BJ6" s="253" t="e">
        <f ca="1">IF(BG6="Variable",INDEX(OFFSET(#REF!,0,INDEX(#REF!,MATCH($F6,#REF!,0))+$BG$2+IFERROR(MATCH(U6,#REF!,-1),1)),MATCH($AT6,#REF!,0)),BG6)*(1-IF(IFERROR(SEARCH("Refi",$F6),0),BI6,0))</f>
        <v>#REF!</v>
      </c>
      <c r="BK6" s="253" t="e">
        <f ca="1">INDEX(OFFSET(#REF!,0,INDEX(#REF!,MATCH($F6,#REF!,0))+BK$2),MATCH($AT6,#REF!,0))</f>
        <v>#REF!</v>
      </c>
      <c r="BL6" s="272" t="e">
        <f ca="1">INDEX(OFFSET(#REF!,0,INDEX(#REF!,MATCH($F6,#REF!,0))+BL$2),MATCH($AT6,#REF!,0))</f>
        <v>#REF!</v>
      </c>
      <c r="BM6" s="273" t="e">
        <f ca="1">IF(INDEX(OFFSET(#REF!,0,INDEX(#REF!,MATCH($F6,#REF!,0))+BM$2),MATCH($AT6,#REF!,0)),MIN(IF(Y6,Y6,X6),INDEX(OFFSET(#REF!,0,INDEX(#REF!,MATCH($F6,#REF!,0))+BM$2),MATCH($AT6,#REF!,0))),ROUND(INDEX(OFFSET(#REF!,0,INDEX(#REF!,MATCH($F6,#REF!,0))+$BH$2+IFERROR(MATCH(IF(Y6,Y6,X6),#REF!,-1),1)),MATCH($AT6,#REF!,0))*IF(Y6,Y6,X6),0))</f>
        <v>#REF!</v>
      </c>
      <c r="BN6" s="261" t="e">
        <f ca="1">INDEX(OFFSET(#REF!,0,INDEX(#REF!,MATCH($F6,#REF!,0))+BN$2),MATCH($AT6,#REF!,0))</f>
        <v>#REF!</v>
      </c>
      <c r="BO6" s="261" t="e">
        <f ca="1">INDEX(OFFSET(#REF!,0,INDEX(#REF!,MATCH($F6,#REF!,0))+BO$2),MATCH($AT6,#REF!,0))</f>
        <v>#REF!</v>
      </c>
      <c r="BP6" s="253" t="e">
        <f ca="1">INDEX(OFFSET(#REF!,0,INDEX(#REF!,MATCH($F6,#REF!,0))+BP$2),MATCH($AT6,#REF!,0))</f>
        <v>#REF!</v>
      </c>
      <c r="BQ6" s="272" t="e">
        <f ca="1">INDEX(OFFSET(#REF!,0,INDEX(#REF!,MATCH($F6,#REF!,0))+BQ$2),MATCH($AT6,#REF!,0))</f>
        <v>#REF!</v>
      </c>
      <c r="BR6" s="253" t="e">
        <f ca="1">IF(BK6&lt;1,0,BK6)+BM6/12*BJ6</f>
        <v>#REF!</v>
      </c>
      <c r="BS6" s="269">
        <f>IF(AA6&gt;0,MIN(X6,ROUND(YEARFRAC($AA6,EDATE(C6,X6))*12,0)+1),IF(X6="IO",IF(Y6,Y6,120),X6))</f>
        <v>120</v>
      </c>
      <c r="BT6" s="274">
        <f ca="1">IF(AA6&gt;0,YEARFRAC(C6,AA6)*12-1)*AF6/12*S6</f>
        <v>0</v>
      </c>
      <c r="BU6" s="274" t="b">
        <f>IF(IFERROR(SEARCH("CREL",F6),0),"CREL",FALSE)</f>
        <v>0</v>
      </c>
      <c r="BV6" s="275"/>
      <c r="BW6" s="275"/>
      <c r="BX6" s="276"/>
      <c r="BY6" s="277"/>
      <c r="BZ6" s="277"/>
      <c r="CA6" s="255">
        <f>SUM(BY6:BZ6)</f>
        <v>0</v>
      </c>
      <c r="CB6" s="278"/>
      <c r="CC6" s="275"/>
      <c r="CD6" s="275"/>
      <c r="CE6" s="279">
        <f ca="1">IF(AND(YEAR(BV6)=2017,MONTH(BV6)&lt;4),"2017a",IF(BV6,YEAR(BV6),YEAR(TODAY())))</f>
        <v>2019</v>
      </c>
      <c r="CF6" s="261" t="e">
        <f ca="1">INDEX(OFFSET(#REF!,0,INDEX(Previous_Loan_Offsets,MATCH(BX6,Previous_Loan_Types,0))+$AW$2),MATCH(CE6,#REF!,0))</f>
        <v>#REF!</v>
      </c>
      <c r="CG6" s="253" t="e">
        <f ca="1">INDEX(OFFSET(#REF!,0,INDEX(Previous_Loan_Offsets,MATCH(BX6,Previous_Loan_Types,0))+$BJ$2),MATCH(CE6,#REF!,0))</f>
        <v>#REF!</v>
      </c>
      <c r="CH6" s="253" t="e">
        <f ca="1">INDEX(OFFSET(#REF!,0,INDEX(Previous_Loan_Offsets,MATCH(BX6,Previous_Loan_Types,0))+$BK$2),MATCH(CE6,#REF!,0))</f>
        <v>#REF!</v>
      </c>
      <c r="CI6" s="250" t="e">
        <f ca="1">ROUND(INDEX(OFFSET(#REF!,0,INDEX(Previous_Loan_Offsets,MATCH(BX6,Previous_Loan_Types,0))+$BH$2+IFERROR(MATCH(IF(CD6,CD6,CC6),#REF!,-1),1)),MATCH(CE6,#REF!,0))*CC6,0)</f>
        <v>#REF!</v>
      </c>
      <c r="CJ6" s="261" t="e">
        <f ca="1">INDEX(OFFSET(#REF!,0,INDEX(Previous_Loan_Offsets,MATCH(BX6,Previous_Loan_Types,0))+$BN$2),MATCH(CE6,#REF!,0))</f>
        <v>#REF!</v>
      </c>
      <c r="CK6" s="253" t="e">
        <f ca="1">INDEX(OFFSET(#REF!,0,INDEX(Previous_Loan_Offsets,MATCH(BX6,Previous_Loan_Types,0))+$BP$2),MATCH(CE6,#REF!,0))</f>
        <v>#REF!</v>
      </c>
      <c r="CL6" s="253" t="e">
        <f ca="1">CH6+CI6/12*CG6</f>
        <v>#REF!</v>
      </c>
      <c r="CM6" s="280">
        <f>IF(BW6&gt;0,MIN(CC6,ROUND(YEARFRAC(BW6,EDATE(BV6,CC6))*12,0)+1),CC6)</f>
        <v>0</v>
      </c>
      <c r="CN6" s="253">
        <f>IF(BW6&gt;0,YEARFRAC(BV6,BW6)*12-1)*CB6/12*CA6</f>
        <v>0</v>
      </c>
      <c r="CO6" s="263">
        <f ca="1">MAX(0,IFERROR(IF(CI6&gt;CM6,CI6/12*CB6*CA6,IF(CC6="IO",CB6/12*CI6+CN6,-CUMIPMT(CB6/12,CM6,CA6+CN6,1,MIN(CI6,CM6),0)))*(CB6-CF6)/CB6-CL6+BZ6+IFERROR(IF(SEARCH("Refi",BX6),CK6),0),0))</f>
        <v>0</v>
      </c>
      <c r="CP6" s="267"/>
      <c r="CQ6" s="268"/>
      <c r="CR6" s="281"/>
      <c r="CS6" s="282"/>
      <c r="CT6" s="283"/>
      <c r="CU6" s="284"/>
      <c r="CV6" s="284"/>
      <c r="CW6" s="255">
        <f>SUM(CU6:CV6)</f>
        <v>0</v>
      </c>
      <c r="CX6" s="285"/>
      <c r="CY6" s="286"/>
      <c r="CZ6" s="286"/>
      <c r="DA6" s="279">
        <f ca="1">IF(AND(YEAR(CR6)=2017,MONTH(CR6)&lt;4),"2017a",IF(CR6,YEAR(CR6),YEAR(TODAY())))</f>
        <v>2019</v>
      </c>
      <c r="DB6" s="261" t="e">
        <f ca="1">INDEX(OFFSET(#REF!,0,INDEX(Previous_Loan_Offsets,MATCH(CT6,Previous_Loan_Types,0))+$AW$2),MATCH(DA6,#REF!,0))</f>
        <v>#REF!</v>
      </c>
      <c r="DC6" s="253" t="e">
        <f ca="1">INDEX(OFFSET(#REF!,0,INDEX(Previous_Loan_Offsets,MATCH(CT6,Previous_Loan_Types,0))+$BJ$2),MATCH(DA6,#REF!,0))</f>
        <v>#REF!</v>
      </c>
      <c r="DD6" s="253" t="e">
        <f ca="1">INDEX(OFFSET(#REF!,0,INDEX(Previous_Loan_Offsets,MATCH(CT6,Previous_Loan_Types,0))+$BK$2),MATCH(DA6,#REF!,0))</f>
        <v>#REF!</v>
      </c>
      <c r="DE6" s="250" t="e">
        <f ca="1">ROUND(INDEX(OFFSET(#REF!,0,INDEX(Previous_Loan_Offsets,MATCH(CT6,Previous_Loan_Types,0))+$BH$2+IFERROR(MATCH(IF(CZ6,CZ6,CY6),#REF!,-1),1)),MATCH(DA6,#REF!,0))*CY6,0)</f>
        <v>#REF!</v>
      </c>
      <c r="DF6" s="261" t="e">
        <f ca="1">INDEX(OFFSET(#REF!,0,INDEX(Previous_Loan_Offsets,MATCH(CT6,Previous_Loan_Types,0))+$BN$2),MATCH(DA6,#REF!,0))</f>
        <v>#REF!</v>
      </c>
      <c r="DG6" s="253" t="e">
        <f ca="1">INDEX(OFFSET(#REF!,0,INDEX(Previous_Loan_Offsets,MATCH(CT6,Previous_Loan_Types,0))+$BP$2),MATCH(DA6,#REF!,0))</f>
        <v>#REF!</v>
      </c>
      <c r="DH6" s="253" t="e">
        <f ca="1">DD6+DE6/12*DC6</f>
        <v>#REF!</v>
      </c>
      <c r="DI6" s="280">
        <f>IF(CS6&gt;0,MIN(CY6,ROUND(YEARFRAC(CS6,EDATE(CR6,CY6))*12,0)+1),CY6)</f>
        <v>0</v>
      </c>
      <c r="DJ6" s="253">
        <f>IF(CS6&gt;0,YEARFRAC(CR6,CS6)*12-1)*CX6/12*CW6</f>
        <v>0</v>
      </c>
      <c r="DK6" s="263">
        <f ca="1">MAX(0,IFERROR(IF(DE6&gt;DI6,DE6/12*CX6*CW6,IF(CY6="IO",CX6/12*DE6+DJ6,-CUMIPMT(CX6/12,DI6,CW6+DJ6,1,MIN(DE6,DI6),0)))*(CX6-DB6)/CX6-DH6+CV6+IFERROR(IF(SEARCH("Refi",CT6),DG6),0),0))</f>
        <v>0</v>
      </c>
      <c r="DL6" s="267"/>
      <c r="DM6" s="268"/>
      <c r="DN6" s="287"/>
      <c r="DO6" s="288"/>
      <c r="DP6" s="289"/>
      <c r="DQ6" s="290"/>
      <c r="DR6" s="290"/>
      <c r="DS6" s="255">
        <f>SUM(DQ6:DR6)</f>
        <v>0</v>
      </c>
      <c r="DT6" s="291"/>
      <c r="DU6" s="292"/>
      <c r="DV6" s="292"/>
      <c r="DW6" s="279">
        <f ca="1">IF(AND(YEAR(DN6)=2017,MONTH(DN6)&lt;4),"2017a",IF(DN6,YEAR(DN6),YEAR(TODAY())))</f>
        <v>2019</v>
      </c>
      <c r="DX6" s="261" t="e">
        <f ca="1">INDEX(OFFSET(#REF!,0,INDEX(Previous_Loan_Offsets,MATCH(DP6,Previous_Loan_Types,0))+$AW$2),MATCH(DW6,#REF!,0))</f>
        <v>#REF!</v>
      </c>
      <c r="DY6" s="253" t="e">
        <f ca="1">INDEX(OFFSET(#REF!,0,INDEX(Previous_Loan_Offsets,MATCH(DP6,Previous_Loan_Types,0))+$BJ$2),MATCH(DW6,#REF!,0))</f>
        <v>#REF!</v>
      </c>
      <c r="DZ6" s="253" t="e">
        <f ca="1">INDEX(OFFSET(#REF!,0,INDEX(Previous_Loan_Offsets,MATCH(DP6,Previous_Loan_Types,0))+$BK$2),MATCH(DW6,#REF!,0))</f>
        <v>#REF!</v>
      </c>
      <c r="EA6" s="250" t="e">
        <f ca="1">ROUND(INDEX(OFFSET(#REF!,0,INDEX(Previous_Loan_Offsets,MATCH(DP6,Previous_Loan_Types,0))+$BH$2+IFERROR(MATCH(IF(DV6,DV6,DU6),#REF!,-1),1)),MATCH(DW6,#REF!,0))*DU6,0)</f>
        <v>#REF!</v>
      </c>
      <c r="EB6" s="261" t="e">
        <f ca="1">INDEX(OFFSET(#REF!,0,INDEX(Previous_Loan_Offsets,MATCH(DP6,Previous_Loan_Types,0))+$BN$2),MATCH(DW6,#REF!,0))</f>
        <v>#REF!</v>
      </c>
      <c r="EC6" s="253" t="e">
        <f ca="1">INDEX(OFFSET(#REF!,0,INDEX(Previous_Loan_Offsets,MATCH(DP6,Previous_Loan_Types,0))+$BP$2),MATCH(DW6,#REF!,0))</f>
        <v>#REF!</v>
      </c>
      <c r="ED6" s="253" t="e">
        <f ca="1">DZ6+EA6/12*DY6</f>
        <v>#REF!</v>
      </c>
      <c r="EE6" s="280">
        <f>IF(DO6&gt;0,MIN(DU6,ROUND(YEARFRAC(DO6,EDATE(DN6,DU6))*12,0)+1),DU6)</f>
        <v>0</v>
      </c>
      <c r="EF6" s="253">
        <f>IF(DO6&gt;0,YEARFRAC(DN6,DO6)*12-1)*DT6/12*DS6</f>
        <v>0</v>
      </c>
      <c r="EG6" s="263">
        <f ca="1">MAX(0,IFERROR(IF(EA6&gt;EE6,EA6/12*DT6*DS6,IF(DU6="IO",DT6/12*EA6+EF6,-CUMIPMT(DT6/12,EE6,DS6+EF6,1,MIN(EA6,EE6),0)))*(DT6-DX6)/DT6-ED6+DR6+IFERROR(IF(SEARCH("Refi",DP6),EC6),0),0))</f>
        <v>0</v>
      </c>
      <c r="EH6" s="267"/>
      <c r="EI6" s="268"/>
      <c r="EJ6" s="293"/>
      <c r="EK6" s="294"/>
      <c r="EL6" s="295"/>
      <c r="EM6" s="296"/>
      <c r="EN6" s="296"/>
      <c r="EO6" s="255">
        <f>SUM(EM6:EN6)</f>
        <v>0</v>
      </c>
      <c r="EP6" s="297"/>
      <c r="EQ6" s="298"/>
      <c r="ER6" s="298"/>
      <c r="ES6" s="279">
        <f ca="1">IF(AND(YEAR(EJ6)=2017,MONTH(EJ6)&lt;4),"2017a",IF(EJ6,YEAR(EJ6),YEAR(TODAY())))</f>
        <v>2019</v>
      </c>
      <c r="ET6" s="261" t="e">
        <f ca="1">INDEX(OFFSET(#REF!,0,INDEX(Previous_Loan_Offsets,MATCH(EL6,Previous_Loan_Types,0))+$AW$2),MATCH(ES6,#REF!,0))</f>
        <v>#REF!</v>
      </c>
      <c r="EU6" s="253" t="e">
        <f ca="1">INDEX(OFFSET(#REF!,0,INDEX(Previous_Loan_Offsets,MATCH(EL6,Previous_Loan_Types,0))+$BJ$2),MATCH(ES6,#REF!,0))</f>
        <v>#REF!</v>
      </c>
      <c r="EV6" s="253" t="e">
        <f ca="1">INDEX(OFFSET(#REF!,0,INDEX(Previous_Loan_Offsets,MATCH(EL6,Previous_Loan_Types,0))+$BK$2),MATCH(ES6,#REF!,0))</f>
        <v>#REF!</v>
      </c>
      <c r="EW6" s="250" t="e">
        <f ca="1">ROUND(INDEX(OFFSET(#REF!,0,INDEX(Previous_Loan_Offsets,MATCH(EL6,Previous_Loan_Types,0))+$BH$2+IFERROR(MATCH(IF(ER6,ER6,EQ6),#REF!,-1),1)),MATCH(ES6,#REF!,0))*EQ6,0)</f>
        <v>#REF!</v>
      </c>
      <c r="EX6" s="261" t="e">
        <f ca="1">INDEX(OFFSET(#REF!,0,INDEX(Previous_Loan_Offsets,MATCH(EL6,Previous_Loan_Types,0))+$BN$2),MATCH(ES6,#REF!,0))</f>
        <v>#REF!</v>
      </c>
      <c r="EY6" s="253" t="e">
        <f ca="1">INDEX(OFFSET(#REF!,0,INDEX(Previous_Loan_Offsets,MATCH(EL6,Previous_Loan_Types,0))+$BP$2),MATCH(ES6,#REF!,0))</f>
        <v>#REF!</v>
      </c>
      <c r="EZ6" s="253" t="e">
        <f ca="1">EV6+EW6/12*EU6</f>
        <v>#REF!</v>
      </c>
      <c r="FA6" s="280">
        <f>IF(EK6&gt;0,MIN(EQ6,ROUND(YEARFRAC(EK6,EDATE(EJ6,EQ6))*12,0)+1),EQ6)</f>
        <v>0</v>
      </c>
      <c r="FB6" s="253">
        <f>IF(EK6&gt;0,YEARFRAC(EJ6,EK6)*12-1)*EP6/12*EO6</f>
        <v>0</v>
      </c>
      <c r="FC6" s="263">
        <f ca="1">MAX(0,IFERROR(IF(EW6&gt;FA6,EW6/12*EP6*EO6,IF(EQ6="IO",EP6/12*EW6+FB6,-CUMIPMT(EP6/12,FA6,EO6+FB6,1,MIN(EW6,FA6),0)))*(EP6-ET6)/EP6-EZ6+EN6+IFERROR(IF(SEARCH("Refi",EL6),EY6),0),0))</f>
        <v>0</v>
      </c>
      <c r="FF6" s="214">
        <f ca="1">S6+BT6</f>
        <v>10977.99</v>
      </c>
      <c r="FG6" s="214">
        <f t="shared" ca="1" si="24"/>
        <v>10944.644093384137</v>
      </c>
      <c r="FH6" s="214">
        <f t="shared" ca="1" si="24"/>
        <v>10910.800776994587</v>
      </c>
      <c r="FI6" s="214">
        <f t="shared" ca="1" si="24"/>
        <v>10876.45263113556</v>
      </c>
      <c r="FJ6" s="214">
        <f t="shared" ca="1" si="24"/>
        <v>10841.592125434137</v>
      </c>
      <c r="FK6" s="214">
        <f t="shared" ca="1" si="24"/>
        <v>10806.211617189334</v>
      </c>
      <c r="FL6" s="214">
        <f t="shared" ca="1" si="24"/>
        <v>10770.303349696545</v>
      </c>
      <c r="FM6" s="214">
        <f t="shared" ca="1" si="24"/>
        <v>10733.85945054699</v>
      </c>
      <c r="FN6" s="214">
        <f t="shared" ca="1" si="24"/>
        <v>10696.871929901787</v>
      </c>
      <c r="FO6" s="214">
        <f t="shared" ca="1" si="24"/>
        <v>10659.332678740293</v>
      </c>
      <c r="FP6" s="214">
        <f t="shared" ca="1" si="24"/>
        <v>10621.233467082307</v>
      </c>
      <c r="FQ6" s="214">
        <f t="shared" ca="1" si="24"/>
        <v>10582.565942183757</v>
      </c>
      <c r="FR6" s="214">
        <f t="shared" ca="1" si="24"/>
        <v>10543.321626705469</v>
      </c>
      <c r="FS6" s="214">
        <f t="shared" ca="1" si="24"/>
        <v>10503.491916854629</v>
      </c>
      <c r="FT6" s="214">
        <f t="shared" ca="1" si="24"/>
        <v>10463.068080498515</v>
      </c>
      <c r="FU6" s="214">
        <f t="shared" ca="1" si="24"/>
        <v>10422.041255250089</v>
      </c>
      <c r="FV6" s="214">
        <f t="shared" ca="1" si="24"/>
        <v>10380.40244652504</v>
      </c>
      <c r="FW6" s="214">
        <f t="shared" ca="1" si="25"/>
        <v>10338.142525569843</v>
      </c>
      <c r="FX6" s="214">
        <f t="shared" ca="1" si="25"/>
        <v>10295.252227460398</v>
      </c>
      <c r="FY6" s="214">
        <f t="shared" ca="1" si="25"/>
        <v>10251.72214907082</v>
      </c>
      <c r="FZ6" s="214">
        <f t="shared" ca="1" si="25"/>
        <v>10207.54274701193</v>
      </c>
      <c r="GA6" s="214">
        <f t="shared" ca="1" si="25"/>
        <v>10162.704335538996</v>
      </c>
      <c r="GB6" s="214">
        <f t="shared" ca="1" si="25"/>
        <v>10117.197084428257</v>
      </c>
      <c r="GC6" s="214">
        <f t="shared" ca="1" si="25"/>
        <v>10071.011016821783</v>
      </c>
      <c r="GD6" s="214">
        <f t="shared" ca="1" si="25"/>
        <v>10024.136007040179</v>
      </c>
      <c r="GE6" s="214">
        <f t="shared" ca="1" si="25"/>
        <v>9976.5617783626658</v>
      </c>
      <c r="GF6" s="214">
        <f t="shared" ca="1" si="25"/>
        <v>9928.2779007740464</v>
      </c>
      <c r="GG6" s="214">
        <f t="shared" ca="1" si="25"/>
        <v>9879.2737886780633</v>
      </c>
      <c r="GH6" s="214">
        <f t="shared" ca="1" si="25"/>
        <v>9829.538698576649</v>
      </c>
      <c r="GI6" s="214">
        <f t="shared" ca="1" si="25"/>
        <v>9779.0617267145553</v>
      </c>
      <c r="GJ6" s="214">
        <f t="shared" ca="1" si="25"/>
        <v>9727.8318066888514</v>
      </c>
      <c r="GK6" s="214">
        <f t="shared" ca="1" si="25"/>
        <v>9675.8377070227652</v>
      </c>
      <c r="GL6" s="214">
        <f t="shared" ca="1" si="25"/>
        <v>9623.0680287033265</v>
      </c>
      <c r="GM6" s="214">
        <f t="shared" ca="1" si="26"/>
        <v>9569.5112026822881</v>
      </c>
      <c r="GN6" s="214">
        <f t="shared" ca="1" si="26"/>
        <v>9515.1554873397708</v>
      </c>
      <c r="GO6" s="214">
        <f t="shared" ca="1" si="26"/>
        <v>9459.9889659100609</v>
      </c>
      <c r="GP6" s="214">
        <f t="shared" ca="1" si="26"/>
        <v>9403.9995438690239</v>
      </c>
      <c r="GQ6" s="214">
        <f t="shared" ca="1" si="26"/>
        <v>9347.174946282541</v>
      </c>
      <c r="GR6" s="214">
        <f t="shared" ca="1" si="26"/>
        <v>9289.5027151153936</v>
      </c>
      <c r="GS6" s="214">
        <f t="shared" ca="1" si="26"/>
        <v>9230.970206500002</v>
      </c>
      <c r="GT6" s="214">
        <f t="shared" ca="1" si="26"/>
        <v>9171.5645879644308</v>
      </c>
      <c r="GU6" s="214">
        <f t="shared" ca="1" si="26"/>
        <v>9111.2728356190382</v>
      </c>
      <c r="GV6" s="214">
        <f t="shared" ca="1" si="26"/>
        <v>9050.0817313011594</v>
      </c>
      <c r="GW6" s="214">
        <f t="shared" ca="1" si="26"/>
        <v>8987.9778596772067</v>
      </c>
      <c r="GX6" s="214">
        <f t="shared" ca="1" si="26"/>
        <v>8924.9476053015296</v>
      </c>
      <c r="GY6" s="214">
        <f t="shared" ca="1" si="26"/>
        <v>8860.9771496314152</v>
      </c>
      <c r="GZ6" s="214">
        <f t="shared" ca="1" si="26"/>
        <v>8796.0524679975551</v>
      </c>
      <c r="HA6" s="214">
        <f t="shared" ca="1" si="26"/>
        <v>8730.1593265293232</v>
      </c>
      <c r="HB6" s="214">
        <f t="shared" ca="1" si="26"/>
        <v>8663.2832790341909</v>
      </c>
      <c r="HC6" s="214">
        <f t="shared" ca="1" si="27"/>
        <v>8595.4096638305891</v>
      </c>
      <c r="HD6" s="214">
        <f t="shared" ca="1" si="27"/>
        <v>8526.5236005335337</v>
      </c>
      <c r="HE6" s="214">
        <f t="shared" ca="1" si="27"/>
        <v>8456.6099867922967</v>
      </c>
      <c r="HF6" s="214">
        <f t="shared" ca="1" si="27"/>
        <v>8385.6534949794204</v>
      </c>
      <c r="HG6" s="214">
        <f t="shared" ca="1" si="27"/>
        <v>8313.6385688303344</v>
      </c>
      <c r="HH6" s="214">
        <f t="shared" ca="1" si="27"/>
        <v>8240.5494200328576</v>
      </c>
      <c r="HI6" s="214">
        <f t="shared" ca="1" si="27"/>
        <v>8166.3700247658189</v>
      </c>
      <c r="HJ6" s="214">
        <f t="shared" ca="1" si="27"/>
        <v>8091.0841201860467</v>
      </c>
      <c r="HK6" s="214">
        <f t="shared" ca="1" si="27"/>
        <v>8014.6752008629592</v>
      </c>
      <c r="HL6" s="214">
        <f t="shared" ca="1" si="27"/>
        <v>7937.1265151599691</v>
      </c>
      <c r="HM6" s="214">
        <f t="shared" ca="1" si="27"/>
        <v>7858.4210615619095</v>
      </c>
      <c r="HN6" s="214">
        <f t="shared" ca="1" si="27"/>
        <v>7778.5415849476794</v>
      </c>
      <c r="HO6" s="214">
        <f t="shared" ca="1" si="27"/>
        <v>7697.4705728072868</v>
      </c>
      <c r="HP6" s="214">
        <f t="shared" ca="1" si="27"/>
        <v>7615.1902514024669</v>
      </c>
      <c r="HQ6" s="214">
        <f t="shared" ca="1" si="27"/>
        <v>7531.6825818700245</v>
      </c>
      <c r="HR6" s="214">
        <f t="shared" ca="1" si="27"/>
        <v>7446.9292562670571</v>
      </c>
      <c r="HS6" s="214">
        <f t="shared" ca="1" si="28"/>
        <v>7360.9116935571783</v>
      </c>
      <c r="HT6" s="214">
        <f t="shared" ca="1" si="28"/>
        <v>7273.6110355368774</v>
      </c>
      <c r="HU6" s="214">
        <f t="shared" ca="1" si="28"/>
        <v>7185.0081427011064</v>
      </c>
      <c r="HV6" s="214">
        <f t="shared" ca="1" si="28"/>
        <v>7095.0835900472021</v>
      </c>
      <c r="HW6" s="214">
        <f t="shared" ca="1" si="28"/>
        <v>7003.8176628162109</v>
      </c>
      <c r="HX6" s="214">
        <f t="shared" ca="1" si="28"/>
        <v>6911.1903521706909</v>
      </c>
      <c r="HY6" s="214">
        <f t="shared" ca="1" si="28"/>
        <v>6817.1813508080413</v>
      </c>
      <c r="HZ6" s="214">
        <f t="shared" ca="1" si="28"/>
        <v>6721.7700485083988</v>
      </c>
      <c r="IA6" s="214">
        <f t="shared" ca="1" si="28"/>
        <v>6624.9355276161205</v>
      </c>
      <c r="IB6" s="214">
        <f t="shared" ca="1" si="28"/>
        <v>6526.6565584538657</v>
      </c>
      <c r="IC6" s="214">
        <f t="shared" ca="1" si="28"/>
        <v>6426.9115946682741</v>
      </c>
      <c r="ID6" s="214">
        <f t="shared" ca="1" si="28"/>
        <v>6325.6787685062136</v>
      </c>
      <c r="IE6" s="214">
        <f t="shared" ca="1" si="28"/>
        <v>6222.9358860205693</v>
      </c>
      <c r="IF6" s="214">
        <f t="shared" ca="1" si="28"/>
        <v>6118.6604222045144</v>
      </c>
      <c r="IG6" s="214">
        <f t="shared" ca="1" si="28"/>
        <v>6012.8295160532025</v>
      </c>
      <c r="IH6" s="214">
        <f t="shared" ca="1" si="28"/>
        <v>5905.4199655518005</v>
      </c>
      <c r="II6" s="214">
        <f t="shared" ca="1" si="29"/>
        <v>5796.4082225887523</v>
      </c>
      <c r="IJ6" s="214">
        <f t="shared" ca="1" si="29"/>
        <v>5685.7703877931726</v>
      </c>
      <c r="IK6" s="214">
        <f t="shared" ca="1" si="29"/>
        <v>5573.482205295225</v>
      </c>
      <c r="IL6" s="214">
        <f t="shared" ca="1" si="29"/>
        <v>5459.5190574083499</v>
      </c>
      <c r="IM6" s="214">
        <f t="shared" ca="1" si="29"/>
        <v>5343.8559592321626</v>
      </c>
      <c r="IN6" s="214">
        <f t="shared" ca="1" si="29"/>
        <v>5226.4675531748471</v>
      </c>
      <c r="IO6" s="214">
        <f t="shared" ca="1" si="29"/>
        <v>5107.3281033938429</v>
      </c>
      <c r="IP6" s="214">
        <f t="shared" ca="1" si="29"/>
        <v>4986.4114901536059</v>
      </c>
      <c r="IQ6" s="214">
        <f t="shared" ca="1" si="29"/>
        <v>4863.691204099202</v>
      </c>
      <c r="IR6" s="214">
        <f t="shared" ca="1" si="29"/>
        <v>4739.1403404444864</v>
      </c>
      <c r="IS6" s="214">
        <f t="shared" ca="1" si="29"/>
        <v>4612.7315930735876</v>
      </c>
      <c r="IT6" s="214">
        <f t="shared" ca="1" si="29"/>
        <v>4484.4372485544063</v>
      </c>
      <c r="IU6" s="214">
        <f t="shared" ca="1" si="29"/>
        <v>4354.2291800628136</v>
      </c>
      <c r="IV6" s="214">
        <f t="shared" ca="1" si="29"/>
        <v>4222.0788412162219</v>
      </c>
      <c r="IW6" s="214">
        <f t="shared" ca="1" si="29"/>
        <v>4087.9572598151681</v>
      </c>
      <c r="IX6" s="214">
        <f t="shared" ca="1" si="29"/>
        <v>3951.8350314915488</v>
      </c>
      <c r="IY6" s="214">
        <f t="shared" ca="1" si="30"/>
        <v>3813.6823132621021</v>
      </c>
      <c r="IZ6" s="214">
        <f t="shared" ca="1" si="30"/>
        <v>3673.4688169857327</v>
      </c>
      <c r="JA6" s="214">
        <f t="shared" ca="1" si="30"/>
        <v>3531.1638027232411</v>
      </c>
      <c r="JB6" s="214">
        <f t="shared" ca="1" si="30"/>
        <v>3386.7360719980006</v>
      </c>
      <c r="JC6" s="214">
        <f t="shared" ca="1" si="30"/>
        <v>3240.1539609561087</v>
      </c>
      <c r="JD6" s="214">
        <f t="shared" ca="1" si="30"/>
        <v>3091.3853334245082</v>
      </c>
      <c r="JE6" s="214">
        <f t="shared" ca="1" si="30"/>
        <v>2940.3975738655613</v>
      </c>
      <c r="JF6" s="214">
        <f t="shared" ca="1" si="30"/>
        <v>2787.157580226527</v>
      </c>
      <c r="JG6" s="214">
        <f t="shared" ca="1" si="30"/>
        <v>2631.6317566823773</v>
      </c>
      <c r="JH6" s="214">
        <f t="shared" ca="1" si="30"/>
        <v>2473.7860062703603</v>
      </c>
      <c r="JI6" s="214">
        <f t="shared" ca="1" si="30"/>
        <v>2313.5857234146974</v>
      </c>
      <c r="JJ6" s="214">
        <f t="shared" ca="1" si="30"/>
        <v>2150.9957863397713</v>
      </c>
      <c r="JK6" s="214">
        <f t="shared" ca="1" si="30"/>
        <v>1985.980549370144</v>
      </c>
      <c r="JL6" s="214">
        <f t="shared" ca="1" si="30"/>
        <v>1818.5038351157198</v>
      </c>
      <c r="JM6" s="214">
        <f t="shared" ca="1" si="30"/>
        <v>1648.5289265403337</v>
      </c>
      <c r="JN6" s="214">
        <f t="shared" ca="1" si="30"/>
        <v>1476.0185589120315</v>
      </c>
      <c r="JO6" s="214">
        <f t="shared" ca="1" si="31"/>
        <v>1300.9349116332737</v>
      </c>
      <c r="JP6" s="214">
        <f t="shared" ca="1" si="31"/>
        <v>1123.2395999492744</v>
      </c>
      <c r="JQ6" s="214">
        <f t="shared" ca="1" si="31"/>
        <v>942.89366653265552</v>
      </c>
      <c r="JR6" s="214">
        <f t="shared" ca="1" si="31"/>
        <v>759.85757294257201</v>
      </c>
      <c r="JS6" s="214">
        <f t="shared" ca="1" si="31"/>
        <v>574.09119095643644</v>
      </c>
      <c r="JT6" s="214">
        <f t="shared" ca="1" si="31"/>
        <v>385.55379377234101</v>
      </c>
      <c r="JU6" s="214">
        <f t="shared" ca="1" si="31"/>
        <v>194.2040470802495</v>
      </c>
      <c r="JV6" s="214">
        <f t="shared" ca="1" si="31"/>
        <v>9.3791641120333225E-13</v>
      </c>
      <c r="JW6" s="214">
        <f t="shared" ca="1" si="31"/>
        <v>0</v>
      </c>
      <c r="JX6" s="214">
        <f t="shared" ca="1" si="31"/>
        <v>0</v>
      </c>
      <c r="JY6" s="214">
        <f t="shared" ca="1" si="31"/>
        <v>0</v>
      </c>
      <c r="JZ6" s="214">
        <f t="shared" ca="1" si="31"/>
        <v>0</v>
      </c>
      <c r="KA6" s="214">
        <f t="shared" ca="1" si="31"/>
        <v>0</v>
      </c>
      <c r="KB6" s="214">
        <f t="shared" ca="1" si="31"/>
        <v>0</v>
      </c>
      <c r="KC6" s="214">
        <f t="shared" ca="1" si="31"/>
        <v>0</v>
      </c>
      <c r="KD6" s="214">
        <f t="shared" ca="1" si="31"/>
        <v>0</v>
      </c>
      <c r="KE6" s="214">
        <f t="shared" ca="1" si="32"/>
        <v>0</v>
      </c>
      <c r="KF6" s="214">
        <f t="shared" ca="1" si="32"/>
        <v>0</v>
      </c>
      <c r="KG6" s="214">
        <f t="shared" ca="1" si="32"/>
        <v>0</v>
      </c>
      <c r="KH6" s="214">
        <f t="shared" ca="1" si="32"/>
        <v>0</v>
      </c>
      <c r="KI6" s="214">
        <f t="shared" ca="1" si="32"/>
        <v>0</v>
      </c>
      <c r="KJ6" s="214">
        <f t="shared" ca="1" si="32"/>
        <v>0</v>
      </c>
      <c r="KK6" s="214">
        <f t="shared" ca="1" si="32"/>
        <v>0</v>
      </c>
      <c r="KL6" s="214">
        <f t="shared" ca="1" si="32"/>
        <v>0</v>
      </c>
      <c r="KM6" s="214">
        <f t="shared" ca="1" si="32"/>
        <v>0</v>
      </c>
      <c r="KN6" s="214">
        <f t="shared" ca="1" si="32"/>
        <v>0</v>
      </c>
      <c r="KO6" s="214">
        <f t="shared" ca="1" si="32"/>
        <v>0</v>
      </c>
      <c r="KP6" s="214">
        <f t="shared" ca="1" si="32"/>
        <v>0</v>
      </c>
      <c r="KQ6" s="214">
        <f t="shared" ca="1" si="32"/>
        <v>0</v>
      </c>
      <c r="KR6" s="214">
        <f t="shared" ca="1" si="32"/>
        <v>0</v>
      </c>
      <c r="KS6" s="214">
        <f t="shared" ca="1" si="32"/>
        <v>0</v>
      </c>
      <c r="KT6" s="214">
        <f t="shared" ca="1" si="32"/>
        <v>0</v>
      </c>
      <c r="KU6" s="214">
        <f t="shared" ca="1" si="33"/>
        <v>0</v>
      </c>
      <c r="KV6" s="214">
        <f t="shared" ca="1" si="33"/>
        <v>0</v>
      </c>
      <c r="KW6" s="214">
        <f t="shared" ca="1" si="33"/>
        <v>0</v>
      </c>
      <c r="KX6" s="214">
        <f t="shared" ca="1" si="33"/>
        <v>0</v>
      </c>
      <c r="KY6" s="214">
        <f t="shared" ca="1" si="33"/>
        <v>0</v>
      </c>
      <c r="KZ6" s="214">
        <f t="shared" ca="1" si="33"/>
        <v>0</v>
      </c>
      <c r="LA6" s="214">
        <f t="shared" ca="1" si="33"/>
        <v>0</v>
      </c>
      <c r="LB6" s="214">
        <f t="shared" ca="1" si="33"/>
        <v>0</v>
      </c>
      <c r="LC6" s="214">
        <f t="shared" ca="1" si="33"/>
        <v>0</v>
      </c>
      <c r="LD6" s="214">
        <f t="shared" ca="1" si="33"/>
        <v>0</v>
      </c>
      <c r="LE6" s="214">
        <f t="shared" ca="1" si="33"/>
        <v>0</v>
      </c>
      <c r="LF6" s="214">
        <f t="shared" ca="1" si="33"/>
        <v>0</v>
      </c>
      <c r="LG6" s="214">
        <f t="shared" ca="1" si="33"/>
        <v>0</v>
      </c>
      <c r="LH6" s="214">
        <f t="shared" ca="1" si="33"/>
        <v>0</v>
      </c>
      <c r="LI6" s="214">
        <f t="shared" ca="1" si="33"/>
        <v>0</v>
      </c>
      <c r="LJ6" s="214">
        <f t="shared" ca="1" si="33"/>
        <v>0</v>
      </c>
      <c r="LK6" s="214">
        <f t="shared" ca="1" si="34"/>
        <v>0</v>
      </c>
      <c r="LL6" s="214">
        <f t="shared" ca="1" si="34"/>
        <v>0</v>
      </c>
      <c r="LM6" s="214">
        <f t="shared" ca="1" si="34"/>
        <v>0</v>
      </c>
      <c r="LN6" s="214">
        <f t="shared" ca="1" si="34"/>
        <v>0</v>
      </c>
      <c r="LO6" s="214">
        <f t="shared" ca="1" si="34"/>
        <v>0</v>
      </c>
      <c r="LP6" s="214">
        <f t="shared" ca="1" si="34"/>
        <v>0</v>
      </c>
      <c r="LQ6" s="214">
        <f t="shared" ca="1" si="34"/>
        <v>0</v>
      </c>
      <c r="LR6" s="214">
        <f t="shared" ca="1" si="34"/>
        <v>0</v>
      </c>
      <c r="LS6" s="214">
        <f t="shared" ca="1" si="34"/>
        <v>0</v>
      </c>
      <c r="LT6" s="214">
        <f t="shared" ca="1" si="34"/>
        <v>0</v>
      </c>
      <c r="LU6" s="214">
        <f t="shared" ca="1" si="34"/>
        <v>0</v>
      </c>
      <c r="LV6" s="214">
        <f t="shared" ca="1" si="34"/>
        <v>0</v>
      </c>
      <c r="LW6" s="214">
        <f t="shared" ca="1" si="34"/>
        <v>0</v>
      </c>
      <c r="LX6" s="214">
        <f t="shared" ca="1" si="34"/>
        <v>0</v>
      </c>
      <c r="LY6" s="214">
        <f t="shared" ca="1" si="34"/>
        <v>0</v>
      </c>
      <c r="LZ6" s="214">
        <f t="shared" ca="1" si="34"/>
        <v>0</v>
      </c>
      <c r="MA6" s="214">
        <f t="shared" ca="1" si="35"/>
        <v>0</v>
      </c>
      <c r="MB6" s="214">
        <f t="shared" ca="1" si="35"/>
        <v>0</v>
      </c>
      <c r="MC6" s="214">
        <f t="shared" ca="1" si="35"/>
        <v>0</v>
      </c>
      <c r="MD6" s="214">
        <f t="shared" ca="1" si="35"/>
        <v>0</v>
      </c>
      <c r="ME6" s="214">
        <f t="shared" ca="1" si="35"/>
        <v>0</v>
      </c>
      <c r="MF6" s="214">
        <f t="shared" ca="1" si="35"/>
        <v>0</v>
      </c>
      <c r="MG6" s="214">
        <f t="shared" ca="1" si="35"/>
        <v>0</v>
      </c>
      <c r="MH6" s="214">
        <f t="shared" ca="1" si="35"/>
        <v>0</v>
      </c>
      <c r="MI6" s="214">
        <f t="shared" ca="1" si="35"/>
        <v>0</v>
      </c>
      <c r="MJ6" s="214">
        <f t="shared" ca="1" si="35"/>
        <v>0</v>
      </c>
      <c r="MK6" s="214">
        <f t="shared" ca="1" si="35"/>
        <v>0</v>
      </c>
      <c r="ML6" s="214">
        <f t="shared" ca="1" si="35"/>
        <v>0</v>
      </c>
      <c r="MM6" s="214">
        <f t="shared" ca="1" si="35"/>
        <v>0</v>
      </c>
      <c r="MN6" s="214">
        <f t="shared" ca="1" si="35"/>
        <v>0</v>
      </c>
      <c r="MO6" s="214">
        <f t="shared" ca="1" si="35"/>
        <v>0</v>
      </c>
      <c r="MP6" s="214">
        <f t="shared" ca="1" si="35"/>
        <v>0</v>
      </c>
      <c r="MQ6" s="214">
        <f t="shared" ca="1" si="36"/>
        <v>0</v>
      </c>
      <c r="MR6" s="214">
        <f t="shared" ca="1" si="36"/>
        <v>0</v>
      </c>
      <c r="MS6" s="214">
        <f t="shared" ca="1" si="36"/>
        <v>0</v>
      </c>
      <c r="MT6" s="214">
        <f t="shared" ca="1" si="36"/>
        <v>0</v>
      </c>
      <c r="MU6" s="214">
        <f t="shared" ca="1" si="36"/>
        <v>0</v>
      </c>
      <c r="MV6" s="214">
        <f t="shared" ca="1" si="36"/>
        <v>0</v>
      </c>
      <c r="MW6" s="214">
        <f t="shared" ca="1" si="36"/>
        <v>0</v>
      </c>
      <c r="MX6" s="214">
        <f t="shared" ca="1" si="36"/>
        <v>0</v>
      </c>
      <c r="MY6" s="214">
        <f t="shared" ca="1" si="36"/>
        <v>0</v>
      </c>
      <c r="MZ6" s="214">
        <f t="shared" ca="1" si="36"/>
        <v>0</v>
      </c>
      <c r="NA6" s="214">
        <f t="shared" ca="1" si="36"/>
        <v>0</v>
      </c>
      <c r="NB6" s="214">
        <f t="shared" ca="1" si="36"/>
        <v>0</v>
      </c>
      <c r="NC6" s="214">
        <f t="shared" ca="1" si="36"/>
        <v>0</v>
      </c>
      <c r="ND6" s="214">
        <f t="shared" ca="1" si="36"/>
        <v>0</v>
      </c>
      <c r="NE6" s="214">
        <f t="shared" ca="1" si="36"/>
        <v>0</v>
      </c>
      <c r="NF6" s="214">
        <f t="shared" ca="1" si="36"/>
        <v>0</v>
      </c>
      <c r="NG6" s="214">
        <f t="shared" ca="1" si="37"/>
        <v>0</v>
      </c>
      <c r="NH6" s="214">
        <f t="shared" ca="1" si="37"/>
        <v>0</v>
      </c>
      <c r="NI6" s="214">
        <f t="shared" ca="1" si="37"/>
        <v>0</v>
      </c>
      <c r="NJ6" s="214">
        <f t="shared" ca="1" si="37"/>
        <v>0</v>
      </c>
      <c r="NK6" s="214">
        <f t="shared" ca="1" si="37"/>
        <v>0</v>
      </c>
      <c r="NL6" s="214">
        <f t="shared" ca="1" si="37"/>
        <v>0</v>
      </c>
      <c r="NM6" s="214">
        <f t="shared" ca="1" si="37"/>
        <v>0</v>
      </c>
      <c r="NN6" s="214">
        <f t="shared" ca="1" si="37"/>
        <v>0</v>
      </c>
      <c r="NO6" s="214">
        <f t="shared" ca="1" si="37"/>
        <v>0</v>
      </c>
      <c r="NP6" s="214">
        <f t="shared" ca="1" si="37"/>
        <v>0</v>
      </c>
      <c r="NQ6" s="214">
        <f t="shared" ca="1" si="37"/>
        <v>0</v>
      </c>
      <c r="NR6" s="214">
        <f t="shared" ca="1" si="37"/>
        <v>0</v>
      </c>
      <c r="NS6" s="214">
        <f t="shared" ca="1" si="37"/>
        <v>0</v>
      </c>
      <c r="NT6" s="214">
        <f t="shared" ca="1" si="37"/>
        <v>0</v>
      </c>
      <c r="NU6" s="214">
        <f t="shared" ca="1" si="37"/>
        <v>0</v>
      </c>
      <c r="NV6" s="214">
        <f t="shared" ca="1" si="37"/>
        <v>0</v>
      </c>
      <c r="NW6" s="214">
        <f t="shared" ca="1" si="38"/>
        <v>0</v>
      </c>
      <c r="NX6" s="214">
        <f t="shared" ca="1" si="38"/>
        <v>0</v>
      </c>
      <c r="NY6" s="214">
        <f t="shared" ca="1" si="38"/>
        <v>0</v>
      </c>
      <c r="NZ6" s="214">
        <f t="shared" ca="1" si="38"/>
        <v>0</v>
      </c>
      <c r="OA6" s="214">
        <f t="shared" ca="1" si="38"/>
        <v>0</v>
      </c>
      <c r="OB6" s="214">
        <f t="shared" ca="1" si="38"/>
        <v>0</v>
      </c>
      <c r="OC6" s="214">
        <f t="shared" ca="1" si="38"/>
        <v>0</v>
      </c>
      <c r="OD6" s="214">
        <f t="shared" ca="1" si="38"/>
        <v>0</v>
      </c>
      <c r="OE6" s="214">
        <f t="shared" ca="1" si="38"/>
        <v>0</v>
      </c>
      <c r="OF6" s="214">
        <f t="shared" ca="1" si="38"/>
        <v>0</v>
      </c>
      <c r="OG6" s="214">
        <f t="shared" ca="1" si="38"/>
        <v>0</v>
      </c>
      <c r="OH6" s="214">
        <f t="shared" ca="1" si="38"/>
        <v>0</v>
      </c>
      <c r="OI6" s="214">
        <f t="shared" ca="1" si="38"/>
        <v>0</v>
      </c>
      <c r="OJ6" s="214">
        <f t="shared" ca="1" si="38"/>
        <v>0</v>
      </c>
      <c r="OK6" s="214">
        <f t="shared" ca="1" si="38"/>
        <v>0</v>
      </c>
      <c r="OL6" s="214">
        <f t="shared" ca="1" si="38"/>
        <v>0</v>
      </c>
      <c r="OM6" s="214">
        <f t="shared" ca="1" si="39"/>
        <v>0</v>
      </c>
      <c r="ON6" s="214">
        <f t="shared" ca="1" si="39"/>
        <v>0</v>
      </c>
      <c r="OO6" s="214">
        <f t="shared" ca="1" si="39"/>
        <v>0</v>
      </c>
      <c r="OP6" s="214">
        <f t="shared" ca="1" si="39"/>
        <v>0</v>
      </c>
      <c r="OQ6" s="214">
        <f t="shared" ca="1" si="39"/>
        <v>0</v>
      </c>
      <c r="OR6" s="214">
        <f t="shared" ca="1" si="39"/>
        <v>0</v>
      </c>
      <c r="OS6" s="214">
        <f t="shared" ca="1" si="39"/>
        <v>0</v>
      </c>
      <c r="OT6" s="214">
        <f t="shared" ca="1" si="39"/>
        <v>0</v>
      </c>
      <c r="OU6" s="214">
        <f t="shared" ca="1" si="39"/>
        <v>0</v>
      </c>
      <c r="OV6" s="214">
        <f t="shared" ca="1" si="39"/>
        <v>0</v>
      </c>
      <c r="OW6" s="214">
        <f t="shared" ca="1" si="39"/>
        <v>0</v>
      </c>
      <c r="OX6" s="214">
        <f t="shared" ca="1" si="39"/>
        <v>0</v>
      </c>
      <c r="OY6" s="214">
        <f t="shared" ca="1" si="39"/>
        <v>0</v>
      </c>
      <c r="OZ6" s="214">
        <f t="shared" ca="1" si="39"/>
        <v>0</v>
      </c>
      <c r="PA6" s="214">
        <f t="shared" ca="1" si="39"/>
        <v>0</v>
      </c>
      <c r="PB6" s="214">
        <f t="shared" ca="1" si="39"/>
        <v>0</v>
      </c>
      <c r="PC6" s="214">
        <f t="shared" ca="1" si="40"/>
        <v>0</v>
      </c>
      <c r="PD6" s="214">
        <f t="shared" ca="1" si="40"/>
        <v>0</v>
      </c>
      <c r="PE6" s="214">
        <f t="shared" ca="1" si="40"/>
        <v>0</v>
      </c>
      <c r="PF6" s="214">
        <f t="shared" ca="1" si="40"/>
        <v>0</v>
      </c>
      <c r="PG6" s="214">
        <f t="shared" ca="1" si="40"/>
        <v>0</v>
      </c>
      <c r="PH6" s="214">
        <f t="shared" ca="1" si="40"/>
        <v>0</v>
      </c>
      <c r="PI6" s="214">
        <f t="shared" ca="1" si="40"/>
        <v>0</v>
      </c>
      <c r="PJ6" s="214">
        <f t="shared" ca="1" si="40"/>
        <v>0</v>
      </c>
      <c r="PK6" s="214">
        <f t="shared" ca="1" si="40"/>
        <v>0</v>
      </c>
      <c r="PL6" s="214">
        <f t="shared" ca="1" si="40"/>
        <v>0</v>
      </c>
      <c r="PM6" s="214">
        <f t="shared" ca="1" si="40"/>
        <v>0</v>
      </c>
      <c r="PN6" s="214">
        <f t="shared" ca="1" si="40"/>
        <v>0</v>
      </c>
      <c r="PO6" s="214">
        <f t="shared" ca="1" si="40"/>
        <v>0</v>
      </c>
      <c r="PP6" s="214">
        <f t="shared" ca="1" si="40"/>
        <v>0</v>
      </c>
      <c r="PQ6" s="214">
        <f t="shared" ca="1" si="40"/>
        <v>0</v>
      </c>
      <c r="PR6" s="214">
        <f t="shared" ca="1" si="40"/>
        <v>0</v>
      </c>
      <c r="PS6" s="214">
        <f t="shared" ca="1" si="41"/>
        <v>0</v>
      </c>
      <c r="PT6" s="214">
        <f t="shared" ca="1" si="41"/>
        <v>0</v>
      </c>
      <c r="PU6" s="214">
        <f t="shared" ca="1" si="41"/>
        <v>0</v>
      </c>
      <c r="PV6" s="214">
        <f t="shared" ca="1" si="41"/>
        <v>0</v>
      </c>
      <c r="PW6" s="214">
        <f t="shared" ca="1" si="41"/>
        <v>0</v>
      </c>
      <c r="PX6" s="214">
        <f t="shared" ca="1" si="41"/>
        <v>0</v>
      </c>
      <c r="PY6" s="214">
        <f t="shared" ca="1" si="41"/>
        <v>0</v>
      </c>
      <c r="PZ6" s="214">
        <f t="shared" ca="1" si="41"/>
        <v>0</v>
      </c>
      <c r="QA6" s="214">
        <f t="shared" ca="1" si="41"/>
        <v>0</v>
      </c>
      <c r="QB6" s="214">
        <f t="shared" ca="1" si="41"/>
        <v>0</v>
      </c>
      <c r="QC6" s="214">
        <f t="shared" ca="1" si="41"/>
        <v>0</v>
      </c>
      <c r="QD6" s="214">
        <f t="shared" ca="1" si="41"/>
        <v>0</v>
      </c>
      <c r="QE6" s="214">
        <f t="shared" ca="1" si="41"/>
        <v>0</v>
      </c>
      <c r="QF6" s="214">
        <f t="shared" ca="1" si="41"/>
        <v>0</v>
      </c>
      <c r="QG6" s="214">
        <f t="shared" ca="1" si="41"/>
        <v>0</v>
      </c>
      <c r="QH6" s="214">
        <f t="shared" ca="1" si="41"/>
        <v>0</v>
      </c>
      <c r="QI6" s="214">
        <f t="shared" ca="1" si="42"/>
        <v>0</v>
      </c>
      <c r="QJ6" s="214">
        <f t="shared" ca="1" si="42"/>
        <v>0</v>
      </c>
      <c r="QK6" s="214">
        <f t="shared" ca="1" si="42"/>
        <v>0</v>
      </c>
      <c r="QL6" s="214">
        <f t="shared" ca="1" si="42"/>
        <v>0</v>
      </c>
      <c r="QM6" s="214">
        <f t="shared" ca="1" si="42"/>
        <v>0</v>
      </c>
      <c r="QN6" s="214">
        <f t="shared" ca="1" si="42"/>
        <v>0</v>
      </c>
      <c r="QO6" s="214">
        <f t="shared" ca="1" si="42"/>
        <v>0</v>
      </c>
      <c r="QP6" s="214">
        <f t="shared" ca="1" si="42"/>
        <v>0</v>
      </c>
      <c r="QQ6" s="214">
        <f t="shared" ca="1" si="42"/>
        <v>0</v>
      </c>
      <c r="QR6" s="214">
        <f t="shared" ca="1" si="42"/>
        <v>0</v>
      </c>
      <c r="QS6" s="214">
        <f t="shared" ca="1" si="42"/>
        <v>0</v>
      </c>
      <c r="QT6" s="214">
        <f t="shared" ca="1" si="42"/>
        <v>0</v>
      </c>
      <c r="QU6" s="214">
        <f t="shared" ca="1" si="42"/>
        <v>0</v>
      </c>
      <c r="QV6" s="214">
        <f t="shared" ca="1" si="42"/>
        <v>0</v>
      </c>
      <c r="QW6" s="214">
        <f t="shared" ca="1" si="42"/>
        <v>0</v>
      </c>
      <c r="QX6" s="214">
        <f t="shared" ca="1" si="42"/>
        <v>0</v>
      </c>
      <c r="QY6" s="214">
        <f t="shared" ca="1" si="43"/>
        <v>0</v>
      </c>
      <c r="QZ6" s="214">
        <f t="shared" ca="1" si="43"/>
        <v>0</v>
      </c>
      <c r="RA6" s="214">
        <f t="shared" ca="1" si="43"/>
        <v>0</v>
      </c>
      <c r="RB6" s="214">
        <f t="shared" ca="1" si="43"/>
        <v>0</v>
      </c>
      <c r="RC6" s="214">
        <f t="shared" ca="1" si="43"/>
        <v>0</v>
      </c>
      <c r="RD6" s="214">
        <f t="shared" ca="1" si="43"/>
        <v>0</v>
      </c>
      <c r="RE6" s="214">
        <f t="shared" ca="1" si="43"/>
        <v>0</v>
      </c>
      <c r="RF6" s="214">
        <f t="shared" ca="1" si="43"/>
        <v>0</v>
      </c>
      <c r="RG6" s="214">
        <f t="shared" ca="1" si="43"/>
        <v>0</v>
      </c>
      <c r="RH6" s="214">
        <f t="shared" ca="1" si="43"/>
        <v>0</v>
      </c>
      <c r="RI6" s="214">
        <f t="shared" ca="1" si="43"/>
        <v>0</v>
      </c>
      <c r="RJ6" s="214">
        <f t="shared" ca="1" si="43"/>
        <v>0</v>
      </c>
      <c r="RK6" s="214">
        <f t="shared" ca="1" si="43"/>
        <v>0</v>
      </c>
      <c r="RL6" s="214">
        <f t="shared" ca="1" si="43"/>
        <v>0</v>
      </c>
      <c r="RM6" s="214">
        <f t="shared" ca="1" si="43"/>
        <v>0</v>
      </c>
      <c r="RN6" s="214">
        <f t="shared" ca="1" si="43"/>
        <v>0</v>
      </c>
      <c r="RO6" s="214">
        <f t="shared" ca="1" si="44"/>
        <v>0</v>
      </c>
      <c r="RP6" s="214">
        <f t="shared" ca="1" si="44"/>
        <v>0</v>
      </c>
      <c r="RQ6" s="214">
        <f t="shared" ca="1" si="44"/>
        <v>0</v>
      </c>
      <c r="RR6" s="214">
        <f t="shared" ca="1" si="44"/>
        <v>0</v>
      </c>
      <c r="RS6" s="214">
        <f t="shared" ca="1" si="44"/>
        <v>0</v>
      </c>
      <c r="RT6" s="214">
        <f t="shared" ca="1" si="44"/>
        <v>0</v>
      </c>
      <c r="RU6" s="214">
        <f t="shared" ca="1" si="44"/>
        <v>0</v>
      </c>
      <c r="RV6" s="214">
        <f t="shared" ca="1" si="44"/>
        <v>0</v>
      </c>
      <c r="RW6" s="214">
        <f t="shared" ca="1" si="44"/>
        <v>0</v>
      </c>
      <c r="RX6" s="214">
        <f t="shared" ca="1" si="44"/>
        <v>0</v>
      </c>
      <c r="RY6" s="214">
        <f t="shared" ca="1" si="44"/>
        <v>0</v>
      </c>
      <c r="RZ6" s="214">
        <f t="shared" ca="1" si="44"/>
        <v>0</v>
      </c>
      <c r="SA6" s="214">
        <f t="shared" ca="1" si="44"/>
        <v>0</v>
      </c>
      <c r="SB6" s="214">
        <f t="shared" ca="1" si="44"/>
        <v>0</v>
      </c>
      <c r="SC6" s="214">
        <f t="shared" ca="1" si="44"/>
        <v>0</v>
      </c>
      <c r="SD6" s="214">
        <f t="shared" ca="1" si="44"/>
        <v>0</v>
      </c>
      <c r="SE6" s="214">
        <f t="shared" ca="1" si="45"/>
        <v>0</v>
      </c>
      <c r="SF6" s="214">
        <f t="shared" ca="1" si="45"/>
        <v>0</v>
      </c>
      <c r="SG6" s="214">
        <f t="shared" ca="1" si="45"/>
        <v>0</v>
      </c>
      <c r="SH6" s="214">
        <f t="shared" ca="1" si="45"/>
        <v>0</v>
      </c>
      <c r="SI6" s="214">
        <f t="shared" ca="1" si="45"/>
        <v>0</v>
      </c>
      <c r="SJ6" s="214">
        <f t="shared" ca="1" si="45"/>
        <v>0</v>
      </c>
      <c r="SK6" s="214">
        <f t="shared" ca="1" si="45"/>
        <v>0</v>
      </c>
      <c r="SL6" s="214">
        <f t="shared" ca="1" si="45"/>
        <v>0</v>
      </c>
      <c r="SM6" s="214">
        <f t="shared" ca="1" si="45"/>
        <v>0</v>
      </c>
      <c r="SN6" s="214">
        <f t="shared" ca="1" si="45"/>
        <v>0</v>
      </c>
      <c r="SO6" s="214">
        <f t="shared" ca="1" si="45"/>
        <v>0</v>
      </c>
      <c r="SP6" s="214">
        <f t="shared" ca="1" si="45"/>
        <v>0</v>
      </c>
      <c r="SQ6" s="214">
        <f t="shared" ca="1" si="45"/>
        <v>0</v>
      </c>
      <c r="SR6" s="214">
        <f t="shared" ca="1" si="45"/>
        <v>0</v>
      </c>
      <c r="SS6" s="214">
        <f t="shared" ca="1" si="45"/>
        <v>0</v>
      </c>
      <c r="ST6" s="214">
        <f t="shared" ca="1" si="45"/>
        <v>0</v>
      </c>
      <c r="SU6" s="214">
        <f t="shared" ca="1" si="46"/>
        <v>0</v>
      </c>
      <c r="SV6" s="214">
        <f t="shared" ca="1" si="46"/>
        <v>0</v>
      </c>
      <c r="SW6" s="214">
        <f t="shared" ca="1" si="46"/>
        <v>0</v>
      </c>
      <c r="SX6" s="214">
        <f t="shared" ca="1" si="46"/>
        <v>0</v>
      </c>
      <c r="SY6" s="214">
        <f t="shared" ca="1" si="46"/>
        <v>0</v>
      </c>
      <c r="SZ6" s="214">
        <f t="shared" ca="1" si="46"/>
        <v>0</v>
      </c>
      <c r="TA6" s="214">
        <f t="shared" ca="1" si="46"/>
        <v>0</v>
      </c>
      <c r="TB6" s="214">
        <f t="shared" ca="1" si="46"/>
        <v>0</v>
      </c>
      <c r="TC6" s="300" t="e">
        <f ca="1">NPV($AX6/12,TF6:AHA6)+IF($BM6,0,$TE6)</f>
        <v>#REF!</v>
      </c>
      <c r="TD6" s="214">
        <f ca="1">IF(IFERROR(SEARCH("L",AU6),0),MATCH(IF(ISBLANK($C6),TODAY(),$C6),#REF!,1),0)</f>
        <v>0</v>
      </c>
      <c r="TE6" s="214" t="e">
        <f ca="1">(-$N6-$BK6-$Q6)+IF(IFERROR(SEARCH("refi",F6),0),BP6,0)+IF($BM6,0,FF6*(1+$BH6))</f>
        <v>#REF!</v>
      </c>
      <c r="TF6" s="214" t="e">
        <f ca="1">IF(TF$2&lt;=$BM6,IF($X6="IO",$W6/12*FF6,-IPMT($W6/12,TF$2,$X6,$S6)+$BT6/$BS6)+IFERROR((FF6-FG6+PPMT($W6/12,TF$2,$X6,-$TE6)),0)-((IF($TD6&gt;0,N(OFFSET(#REF!,$TD6+TF$2-2,0))/12,0)+$AW6/12)*$BF6+$AX6/12*(1-$BF6))*FF6-$BJ6/12,0)+IF(TF$2=$BM6,FG6*$BH6+IF($X6="IO",$S6+$TE6,-CUMPRINC($W6/12,$X6,$S6,$BM6,$X6,0)+CUMPRINC($W6/12,$X6,-$TE6,$BM6,$X6,0)))</f>
        <v>#REF!</v>
      </c>
      <c r="TG6" s="214" t="e">
        <f ca="1">IF(TG$2&lt;=$BM6,IF($X6="IO",$W6/12*FG6,-IPMT($W6/12,TG$2,$X6,$S6)+$BT6/$BS6)+IFERROR((FG6-FH6+PPMT($W6/12,TG$2,$X6,-$TE6)),0)-((IF($TD6&gt;0,N(OFFSET(#REF!,$TD6+TG$2-2,0))/12,0)+$AW6/12)*$BF6+$AX6/12*(1-$BF6))*FG6-$BJ6/12,0)+IF(TG$2=$BM6,FH6*$BH6+IF($X6="IO",$S6+$TE6,-CUMPRINC($W6/12,$X6,$S6,$BM6,$X6,0)+CUMPRINC($W6/12,$X6,-$TE6,$BM6,$X6,0)))</f>
        <v>#REF!</v>
      </c>
      <c r="TH6" s="214" t="e">
        <f ca="1">IF(TH$2&lt;=$BM6,IF($X6="IO",$W6/12*FH6,-IPMT($W6/12,TH$2,$X6,$S6)+$BT6/$BS6)+IFERROR((FH6-FI6+PPMT($W6/12,TH$2,$X6,-$TE6)),0)-((IF($TD6&gt;0,N(OFFSET(#REF!,$TD6+TH$2-2,0))/12,0)+$AW6/12)*$BF6+$AX6/12*(1-$BF6))*FH6-$BJ6/12,0)+IF(TH$2=$BM6,FI6*$BH6+IF($X6="IO",$S6+$TE6,-CUMPRINC($W6/12,$X6,$S6,$BM6,$X6,0)+CUMPRINC($W6/12,$X6,-$TE6,$BM6,$X6,0)))</f>
        <v>#REF!</v>
      </c>
      <c r="TI6" s="214" t="e">
        <f ca="1">IF(TI$2&lt;=$BM6,IF($X6="IO",$W6/12*FI6,-IPMT($W6/12,TI$2,$X6,$S6)+$BT6/$BS6)+IFERROR((FI6-FJ6+PPMT($W6/12,TI$2,$X6,-$TE6)),0)-((IF($TD6&gt;0,N(OFFSET(#REF!,$TD6+TI$2-2,0))/12,0)+$AW6/12)*$BF6+$AX6/12*(1-$BF6))*FI6-$BJ6/12,0)+IF(TI$2=$BM6,FJ6*$BH6+IF($X6="IO",$S6+$TE6,-CUMPRINC($W6/12,$X6,$S6,$BM6,$X6,0)+CUMPRINC($W6/12,$X6,-$TE6,$BM6,$X6,0)))</f>
        <v>#REF!</v>
      </c>
      <c r="TJ6" s="214" t="e">
        <f ca="1">IF(TJ$2&lt;=$BM6,IF($X6="IO",$W6/12*FJ6,-IPMT($W6/12,TJ$2,$X6,$S6)+$BT6/$BS6)+IFERROR((FJ6-FK6+PPMT($W6/12,TJ$2,$X6,-$TE6)),0)-((IF($TD6&gt;0,N(OFFSET(#REF!,$TD6+TJ$2-2,0))/12,0)+$AW6/12)*$BF6+$AX6/12*(1-$BF6))*FJ6-$BJ6/12,0)+IF(TJ$2=$BM6,FK6*$BH6+IF($X6="IO",$S6+$TE6,-CUMPRINC($W6/12,$X6,$S6,$BM6,$X6,0)+CUMPRINC($W6/12,$X6,-$TE6,$BM6,$X6,0)))</f>
        <v>#REF!</v>
      </c>
      <c r="TK6" s="214" t="e">
        <f ca="1">IF(TK$2&lt;=$BM6,IF($X6="IO",$W6/12*FK6,-IPMT($W6/12,TK$2,$X6,$S6)+$BT6/$BS6)+IFERROR((FK6-FL6+PPMT($W6/12,TK$2,$X6,-$TE6)),0)-((IF($TD6&gt;0,N(OFFSET(#REF!,$TD6+TK$2-2,0))/12,0)+$AW6/12)*$BF6+$AX6/12*(1-$BF6))*FK6-$BJ6/12,0)+IF(TK$2=$BM6,FL6*$BH6+IF($X6="IO",$S6+$TE6,-CUMPRINC($W6/12,$X6,$S6,$BM6,$X6,0)+CUMPRINC($W6/12,$X6,-$TE6,$BM6,$X6,0)))</f>
        <v>#REF!</v>
      </c>
      <c r="TL6" s="214" t="e">
        <f ca="1">IF(TL$2&lt;=$BM6,IF($X6="IO",$W6/12*FL6,-IPMT($W6/12,TL$2,$X6,$S6)+$BT6/$BS6)+IFERROR((FL6-FM6+PPMT($W6/12,TL$2,$X6,-$TE6)),0)-((IF($TD6&gt;0,N(OFFSET(#REF!,$TD6+TL$2-2,0))/12,0)+$AW6/12)*$BF6+$AX6/12*(1-$BF6))*FL6-$BJ6/12,0)+IF(TL$2=$BM6,FM6*$BH6+IF($X6="IO",$S6+$TE6,-CUMPRINC($W6/12,$X6,$S6,$BM6,$X6,0)+CUMPRINC($W6/12,$X6,-$TE6,$BM6,$X6,0)))</f>
        <v>#REF!</v>
      </c>
      <c r="TM6" s="214" t="e">
        <f ca="1">IF(TM$2&lt;=$BM6,IF($X6="IO",$W6/12*FM6,-IPMT($W6/12,TM$2,$X6,$S6)+$BT6/$BS6)+IFERROR((FM6-FN6+PPMT($W6/12,TM$2,$X6,-$TE6)),0)-((IF($TD6&gt;0,N(OFFSET(#REF!,$TD6+TM$2-2,0))/12,0)+$AW6/12)*$BF6+$AX6/12*(1-$BF6))*FM6-$BJ6/12,0)+IF(TM$2=$BM6,FN6*$BH6+IF($X6="IO",$S6+$TE6,-CUMPRINC($W6/12,$X6,$S6,$BM6,$X6,0)+CUMPRINC($W6/12,$X6,-$TE6,$BM6,$X6,0)))</f>
        <v>#REF!</v>
      </c>
      <c r="TN6" s="214" t="e">
        <f ca="1">IF(TN$2&lt;=$BM6,IF($X6="IO",$W6/12*FN6,-IPMT($W6/12,TN$2,$X6,$S6)+$BT6/$BS6)+IFERROR((FN6-FO6+PPMT($W6/12,TN$2,$X6,-$TE6)),0)-((IF($TD6&gt;0,N(OFFSET(#REF!,$TD6+TN$2-2,0))/12,0)+$AW6/12)*$BF6+$AX6/12*(1-$BF6))*FN6-$BJ6/12,0)+IF(TN$2=$BM6,FO6*$BH6+IF($X6="IO",$S6+$TE6,-CUMPRINC($W6/12,$X6,$S6,$BM6,$X6,0)+CUMPRINC($W6/12,$X6,-$TE6,$BM6,$X6,0)))</f>
        <v>#REF!</v>
      </c>
      <c r="TO6" s="214" t="e">
        <f ca="1">IF(TO$2&lt;=$BM6,IF($X6="IO",$W6/12*FO6,-IPMT($W6/12,TO$2,$X6,$S6)+$BT6/$BS6)+IFERROR((FO6-FP6+PPMT($W6/12,TO$2,$X6,-$TE6)),0)-((IF($TD6&gt;0,N(OFFSET(#REF!,$TD6+TO$2-2,0))/12,0)+$AW6/12)*$BF6+$AX6/12*(1-$BF6))*FO6-$BJ6/12,0)+IF(TO$2=$BM6,FP6*$BH6+IF($X6="IO",$S6+$TE6,-CUMPRINC($W6/12,$X6,$S6,$BM6,$X6,0)+CUMPRINC($W6/12,$X6,-$TE6,$BM6,$X6,0)))</f>
        <v>#REF!</v>
      </c>
      <c r="TP6" s="214" t="e">
        <f ca="1">IF(TP$2&lt;=$BM6,IF($X6="IO",$W6/12*FP6,-IPMT($W6/12,TP$2,$X6,$S6)+$BT6/$BS6)+IFERROR((FP6-FQ6+PPMT($W6/12,TP$2,$X6,-$TE6)),0)-((IF($TD6&gt;0,N(OFFSET(#REF!,$TD6+TP$2-2,0))/12,0)+$AW6/12)*$BF6+$AX6/12*(1-$BF6))*FP6-$BJ6/12,0)+IF(TP$2=$BM6,FQ6*$BH6+IF($X6="IO",$S6+$TE6,-CUMPRINC($W6/12,$X6,$S6,$BM6,$X6,0)+CUMPRINC($W6/12,$X6,-$TE6,$BM6,$X6,0)))</f>
        <v>#REF!</v>
      </c>
      <c r="TQ6" s="214" t="e">
        <f ca="1">IF(TQ$2&lt;=$BM6,IF($X6="IO",$W6/12*FQ6,-IPMT($W6/12,TQ$2,$X6,$S6)+$BT6/$BS6)+IFERROR((FQ6-FR6+PPMT($W6/12,TQ$2,$X6,-$TE6)),0)-((IF($TD6&gt;0,N(OFFSET(#REF!,$TD6+TQ$2-2,0))/12,0)+$AW6/12)*$BF6+$AX6/12*(1-$BF6))*FQ6-$BJ6/12,0)+IF(TQ$2=$BM6,FR6*$BH6+IF($X6="IO",$S6+$TE6,-CUMPRINC($W6/12,$X6,$S6,$BM6,$X6,0)+CUMPRINC($W6/12,$X6,-$TE6,$BM6,$X6,0)))</f>
        <v>#REF!</v>
      </c>
      <c r="TR6" s="214" t="e">
        <f ca="1">IF(TR$2&lt;=$BM6,IF($X6="IO",$W6/12*FR6,-IPMT($W6/12,TR$2,$X6,$S6)+$BT6/$BS6)+IFERROR((FR6-FS6+PPMT($W6/12,TR$2,$X6,-$TE6)),0)-((IF($TD6&gt;0,N(OFFSET(#REF!,$TD6+TR$2-2,0))/12,0)+$AW6/12)*$BF6+$AX6/12*(1-$BF6))*FR6-$BJ6/12,0)+IF(TR$2=$BM6,FS6*$BH6+IF($X6="IO",$S6+$TE6,-CUMPRINC($W6/12,$X6,$S6,$BM6,$X6,0)+CUMPRINC($W6/12,$X6,-$TE6,$BM6,$X6,0)))</f>
        <v>#REF!</v>
      </c>
      <c r="TS6" s="214" t="e">
        <f ca="1">IF(TS$2&lt;=$BM6,IF($X6="IO",$W6/12*FS6,-IPMT($W6/12,TS$2,$X6,$S6)+$BT6/$BS6)+IFERROR((FS6-FT6+PPMT($W6/12,TS$2,$X6,-$TE6)),0)-((IF($TD6&gt;0,N(OFFSET(#REF!,$TD6+TS$2-2,0))/12,0)+$AW6/12)*$BF6+$AX6/12*(1-$BF6))*FS6-$BJ6/12,0)+IF(TS$2=$BM6,FT6*$BH6+IF($X6="IO",$S6+$TE6,-CUMPRINC($W6/12,$X6,$S6,$BM6,$X6,0)+CUMPRINC($W6/12,$X6,-$TE6,$BM6,$X6,0)))</f>
        <v>#REF!</v>
      </c>
      <c r="TT6" s="214" t="e">
        <f ca="1">IF(TT$2&lt;=$BM6,IF($X6="IO",$W6/12*FT6,-IPMT($W6/12,TT$2,$X6,$S6)+$BT6/$BS6)+IFERROR((FT6-FU6+PPMT($W6/12,TT$2,$X6,-$TE6)),0)-((IF($TD6&gt;0,N(OFFSET(#REF!,$TD6+TT$2-2,0))/12,0)+$AW6/12)*$BF6+$AX6/12*(1-$BF6))*FT6-$BJ6/12,0)+IF(TT$2=$BM6,FU6*$BH6+IF($X6="IO",$S6+$TE6,-CUMPRINC($W6/12,$X6,$S6,$BM6,$X6,0)+CUMPRINC($W6/12,$X6,-$TE6,$BM6,$X6,0)))</f>
        <v>#REF!</v>
      </c>
      <c r="TU6" s="214" t="e">
        <f ca="1">IF(TU$2&lt;=$BM6,IF($X6="IO",$W6/12*FU6,-IPMT($W6/12,TU$2,$X6,$S6)+$BT6/$BS6)+IFERROR((FU6-FV6+PPMT($W6/12,TU$2,$X6,-$TE6)),0)-((IF($TD6&gt;0,N(OFFSET(#REF!,$TD6+TU$2-2,0))/12,0)+$AW6/12)*$BF6+$AX6/12*(1-$BF6))*FU6-$BJ6/12,0)+IF(TU$2=$BM6,FV6*$BH6+IF($X6="IO",$S6+$TE6,-CUMPRINC($W6/12,$X6,$S6,$BM6,$X6,0)+CUMPRINC($W6/12,$X6,-$TE6,$BM6,$X6,0)))</f>
        <v>#REF!</v>
      </c>
      <c r="TV6" s="214" t="e">
        <f ca="1">IF(TV$2&lt;=$BM6,IF($X6="IO",$W6/12*FV6,-IPMT($W6/12,TV$2,$X6,$S6)+$BT6/$BS6)+IFERROR((FV6-FW6+PPMT($W6/12,TV$2,$X6,-$TE6)),0)-((IF($TD6&gt;0,N(OFFSET(#REF!,$TD6+TV$2-2,0))/12,0)+$AW6/12)*$BF6+$AX6/12*(1-$BF6))*FV6-$BJ6/12,0)+IF(TV$2=$BM6,FW6*$BH6+IF($X6="IO",$S6+$TE6,-CUMPRINC($W6/12,$X6,$S6,$BM6,$X6,0)+CUMPRINC($W6/12,$X6,-$TE6,$BM6,$X6,0)))</f>
        <v>#REF!</v>
      </c>
      <c r="TW6" s="214" t="e">
        <f ca="1">IF(TW$2&lt;=$BM6,IF($X6="IO",$W6/12*FW6,-IPMT($W6/12,TW$2,$X6,$S6)+$BT6/$BS6)+IFERROR((FW6-FX6+PPMT($W6/12,TW$2,$X6,-$TE6)),0)-((IF($TD6&gt;0,N(OFFSET(#REF!,$TD6+TW$2-2,0))/12,0)+$AW6/12)*$BF6+$AX6/12*(1-$BF6))*FW6-$BJ6/12,0)+IF(TW$2=$BM6,FX6*$BH6+IF($X6="IO",$S6+$TE6,-CUMPRINC($W6/12,$X6,$S6,$BM6,$X6,0)+CUMPRINC($W6/12,$X6,-$TE6,$BM6,$X6,0)))</f>
        <v>#REF!</v>
      </c>
      <c r="TX6" s="214" t="e">
        <f ca="1">IF(TX$2&lt;=$BM6,IF($X6="IO",$W6/12*FX6,-IPMT($W6/12,TX$2,$X6,$S6)+$BT6/$BS6)+IFERROR((FX6-FY6+PPMT($W6/12,TX$2,$X6,-$TE6)),0)-((IF($TD6&gt;0,N(OFFSET(#REF!,$TD6+TX$2-2,0))/12,0)+$AW6/12)*$BF6+$AX6/12*(1-$BF6))*FX6-$BJ6/12,0)+IF(TX$2=$BM6,FY6*$BH6+IF($X6="IO",$S6+$TE6,-CUMPRINC($W6/12,$X6,$S6,$BM6,$X6,0)+CUMPRINC($W6/12,$X6,-$TE6,$BM6,$X6,0)))</f>
        <v>#REF!</v>
      </c>
      <c r="TY6" s="214" t="e">
        <f ca="1">IF(TY$2&lt;=$BM6,IF($X6="IO",$W6/12*FY6,-IPMT($W6/12,TY$2,$X6,$S6)+$BT6/$BS6)+IFERROR((FY6-FZ6+PPMT($W6/12,TY$2,$X6,-$TE6)),0)-((IF($TD6&gt;0,N(OFFSET(#REF!,$TD6+TY$2-2,0))/12,0)+$AW6/12)*$BF6+$AX6/12*(1-$BF6))*FY6-$BJ6/12,0)+IF(TY$2=$BM6,FZ6*$BH6+IF($X6="IO",$S6+$TE6,-CUMPRINC($W6/12,$X6,$S6,$BM6,$X6,0)+CUMPRINC($W6/12,$X6,-$TE6,$BM6,$X6,0)))</f>
        <v>#REF!</v>
      </c>
      <c r="TZ6" s="214" t="e">
        <f ca="1">IF(TZ$2&lt;=$BM6,IF($X6="IO",$W6/12*FZ6,-IPMT($W6/12,TZ$2,$X6,$S6)+$BT6/$BS6)+IFERROR((FZ6-GA6+PPMT($W6/12,TZ$2,$X6,-$TE6)),0)-((IF($TD6&gt;0,N(OFFSET(#REF!,$TD6+TZ$2-2,0))/12,0)+$AW6/12)*$BF6+$AX6/12*(1-$BF6))*FZ6-$BJ6/12,0)+IF(TZ$2=$BM6,GA6*$BH6+IF($X6="IO",$S6+$TE6,-CUMPRINC($W6/12,$X6,$S6,$BM6,$X6,0)+CUMPRINC($W6/12,$X6,-$TE6,$BM6,$X6,0)))</f>
        <v>#REF!</v>
      </c>
      <c r="UA6" s="214" t="e">
        <f ca="1">IF(UA$2&lt;=$BM6,IF($X6="IO",$W6/12*GA6,-IPMT($W6/12,UA$2,$X6,$S6)+$BT6/$BS6)+IFERROR((GA6-GB6+PPMT($W6/12,UA$2,$X6,-$TE6)),0)-((IF($TD6&gt;0,N(OFFSET(#REF!,$TD6+UA$2-2,0))/12,0)+$AW6/12)*$BF6+$AX6/12*(1-$BF6))*GA6-$BJ6/12,0)+IF(UA$2=$BM6,GB6*$BH6+IF($X6="IO",$S6+$TE6,-CUMPRINC($W6/12,$X6,$S6,$BM6,$X6,0)+CUMPRINC($W6/12,$X6,-$TE6,$BM6,$X6,0)))</f>
        <v>#REF!</v>
      </c>
      <c r="UB6" s="214" t="e">
        <f ca="1">IF(UB$2&lt;=$BM6,IF($X6="IO",$W6/12*GB6,-IPMT($W6/12,UB$2,$X6,$S6)+$BT6/$BS6)+IFERROR((GB6-GC6+PPMT($W6/12,UB$2,$X6,-$TE6)),0)-((IF($TD6&gt;0,N(OFFSET(#REF!,$TD6+UB$2-2,0))/12,0)+$AW6/12)*$BF6+$AX6/12*(1-$BF6))*GB6-$BJ6/12,0)+IF(UB$2=$BM6,GC6*$BH6+IF($X6="IO",$S6+$TE6,-CUMPRINC($W6/12,$X6,$S6,$BM6,$X6,0)+CUMPRINC($W6/12,$X6,-$TE6,$BM6,$X6,0)))</f>
        <v>#REF!</v>
      </c>
      <c r="UC6" s="214" t="e">
        <f ca="1">IF(UC$2&lt;=$BM6,IF($X6="IO",$W6/12*GC6,-IPMT($W6/12,UC$2,$X6,$S6)+$BT6/$BS6)+IFERROR((GC6-GD6+PPMT($W6/12,UC$2,$X6,-$TE6)),0)-((IF($TD6&gt;0,N(OFFSET(#REF!,$TD6+UC$2-2,0))/12,0)+$AW6/12)*$BF6+$AX6/12*(1-$BF6))*GC6-$BJ6/12,0)+IF(UC$2=$BM6,GD6*$BH6+IF($X6="IO",$S6+$TE6,-CUMPRINC($W6/12,$X6,$S6,$BM6,$X6,0)+CUMPRINC($W6/12,$X6,-$TE6,$BM6,$X6,0)))</f>
        <v>#REF!</v>
      </c>
      <c r="UD6" s="214" t="e">
        <f ca="1">IF(UD$2&lt;=$BM6,IF($X6="IO",$W6/12*GD6,-IPMT($W6/12,UD$2,$X6,$S6)+$BT6/$BS6)+IFERROR((GD6-GE6+PPMT($W6/12,UD$2,$X6,-$TE6)),0)-((IF($TD6&gt;0,N(OFFSET(#REF!,$TD6+UD$2-2,0))/12,0)+$AW6/12)*$BF6+$AX6/12*(1-$BF6))*GD6-$BJ6/12,0)+IF(UD$2=$BM6,GE6*$BH6+IF($X6="IO",$S6+$TE6,-CUMPRINC($W6/12,$X6,$S6,$BM6,$X6,0)+CUMPRINC($W6/12,$X6,-$TE6,$BM6,$X6,0)))</f>
        <v>#REF!</v>
      </c>
      <c r="UE6" s="214" t="e">
        <f ca="1">IF(UE$2&lt;=$BM6,IF($X6="IO",$W6/12*GE6,-IPMT($W6/12,UE$2,$X6,$S6)+$BT6/$BS6)+IFERROR((GE6-GF6+PPMT($W6/12,UE$2,$X6,-$TE6)),0)-((IF($TD6&gt;0,N(OFFSET(#REF!,$TD6+UE$2-2,0))/12,0)+$AW6/12)*$BF6+$AX6/12*(1-$BF6))*GE6-$BJ6/12,0)+IF(UE$2=$BM6,GF6*$BH6+IF($X6="IO",$S6+$TE6,-CUMPRINC($W6/12,$X6,$S6,$BM6,$X6,0)+CUMPRINC($W6/12,$X6,-$TE6,$BM6,$X6,0)))</f>
        <v>#REF!</v>
      </c>
      <c r="UF6" s="214" t="e">
        <f ca="1">IF(UF$2&lt;=$BM6,IF($X6="IO",$W6/12*GF6,-IPMT($W6/12,UF$2,$X6,$S6)+$BT6/$BS6)+IFERROR((GF6-GG6+PPMT($W6/12,UF$2,$X6,-$TE6)),0)-((IF($TD6&gt;0,N(OFFSET(#REF!,$TD6+UF$2-2,0))/12,0)+$AW6/12)*$BF6+$AX6/12*(1-$BF6))*GF6-$BJ6/12,0)+IF(UF$2=$BM6,GG6*$BH6+IF($X6="IO",$S6+$TE6,-CUMPRINC($W6/12,$X6,$S6,$BM6,$X6,0)+CUMPRINC($W6/12,$X6,-$TE6,$BM6,$X6,0)))</f>
        <v>#REF!</v>
      </c>
      <c r="UG6" s="214" t="e">
        <f ca="1">IF(UG$2&lt;=$BM6,IF($X6="IO",$W6/12*GG6,-IPMT($W6/12,UG$2,$X6,$S6)+$BT6/$BS6)+IFERROR((GG6-GH6+PPMT($W6/12,UG$2,$X6,-$TE6)),0)-((IF($TD6&gt;0,N(OFFSET(#REF!,$TD6+UG$2-2,0))/12,0)+$AW6/12)*$BF6+$AX6/12*(1-$BF6))*GG6-$BJ6/12,0)+IF(UG$2=$BM6,GH6*$BH6+IF($X6="IO",$S6+$TE6,-CUMPRINC($W6/12,$X6,$S6,$BM6,$X6,0)+CUMPRINC($W6/12,$X6,-$TE6,$BM6,$X6,0)))</f>
        <v>#REF!</v>
      </c>
      <c r="UH6" s="214" t="e">
        <f ca="1">IF(UH$2&lt;=$BM6,IF($X6="IO",$W6/12*GH6,-IPMT($W6/12,UH$2,$X6,$S6)+$BT6/$BS6)+IFERROR((GH6-GI6+PPMT($W6/12,UH$2,$X6,-$TE6)),0)-((IF($TD6&gt;0,N(OFFSET(#REF!,$TD6+UH$2-2,0))/12,0)+$AW6/12)*$BF6+$AX6/12*(1-$BF6))*GH6-$BJ6/12,0)+IF(UH$2=$BM6,GI6*$BH6+IF($X6="IO",$S6+$TE6,-CUMPRINC($W6/12,$X6,$S6,$BM6,$X6,0)+CUMPRINC($W6/12,$X6,-$TE6,$BM6,$X6,0)))</f>
        <v>#REF!</v>
      </c>
      <c r="UI6" s="214" t="e">
        <f ca="1">IF(UI$2&lt;=$BM6,IF($X6="IO",$W6/12*GI6,-IPMT($W6/12,UI$2,$X6,$S6)+$BT6/$BS6)+IFERROR((GI6-GJ6+PPMT($W6/12,UI$2,$X6,-$TE6)),0)-((IF($TD6&gt;0,N(OFFSET(#REF!,$TD6+UI$2-2,0))/12,0)+$AW6/12)*$BF6+$AX6/12*(1-$BF6))*GI6-$BJ6/12,0)+IF(UI$2=$BM6,GJ6*$BH6+IF($X6="IO",$S6+$TE6,-CUMPRINC($W6/12,$X6,$S6,$BM6,$X6,0)+CUMPRINC($W6/12,$X6,-$TE6,$BM6,$X6,0)))</f>
        <v>#REF!</v>
      </c>
      <c r="UJ6" s="214" t="e">
        <f ca="1">IF(UJ$2&lt;=$BM6,IF($X6="IO",$W6/12*GJ6,-IPMT($W6/12,UJ$2,$X6,$S6)+$BT6/$BS6)+IFERROR((GJ6-GK6+PPMT($W6/12,UJ$2,$X6,-$TE6)),0)-((IF($TD6&gt;0,N(OFFSET(#REF!,$TD6+UJ$2-2,0))/12,0)+$AW6/12)*$BF6+$AX6/12*(1-$BF6))*GJ6-$BJ6/12,0)+IF(UJ$2=$BM6,GK6*$BH6+IF($X6="IO",$S6+$TE6,-CUMPRINC($W6/12,$X6,$S6,$BM6,$X6,0)+CUMPRINC($W6/12,$X6,-$TE6,$BM6,$X6,0)))</f>
        <v>#REF!</v>
      </c>
      <c r="UK6" s="214" t="e">
        <f ca="1">IF(UK$2&lt;=$BM6,IF($X6="IO",$W6/12*GK6,-IPMT($W6/12,UK$2,$X6,$S6)+$BT6/$BS6)+IFERROR((GK6-GL6+PPMT($W6/12,UK$2,$X6,-$TE6)),0)-((IF($TD6&gt;0,N(OFFSET(#REF!,$TD6+UK$2-2,0))/12,0)+$AW6/12)*$BF6+$AX6/12*(1-$BF6))*GK6-$BJ6/12,0)+IF(UK$2=$BM6,GL6*$BH6+IF($X6="IO",$S6+$TE6,-CUMPRINC($W6/12,$X6,$S6,$BM6,$X6,0)+CUMPRINC($W6/12,$X6,-$TE6,$BM6,$X6,0)))</f>
        <v>#REF!</v>
      </c>
      <c r="UL6" s="214" t="e">
        <f ca="1">IF(UL$2&lt;=$BM6,IF($X6="IO",$W6/12*GL6,-IPMT($W6/12,UL$2,$X6,$S6)+$BT6/$BS6)+IFERROR((GL6-GM6+PPMT($W6/12,UL$2,$X6,-$TE6)),0)-((IF($TD6&gt;0,N(OFFSET(#REF!,$TD6+UL$2-2,0))/12,0)+$AW6/12)*$BF6+$AX6/12*(1-$BF6))*GL6-$BJ6/12,0)+IF(UL$2=$BM6,GM6*$BH6+IF($X6="IO",$S6+$TE6,-CUMPRINC($W6/12,$X6,$S6,$BM6,$X6,0)+CUMPRINC($W6/12,$X6,-$TE6,$BM6,$X6,0)))</f>
        <v>#REF!</v>
      </c>
      <c r="UM6" s="214" t="e">
        <f ca="1">IF(UM$2&lt;=$BM6,IF($X6="IO",$W6/12*GM6,-IPMT($W6/12,UM$2,$X6,$S6)+$BT6/$BS6)+IFERROR((GM6-GN6+PPMT($W6/12,UM$2,$X6,-$TE6)),0)-((IF($TD6&gt;0,N(OFFSET(#REF!,$TD6+UM$2-2,0))/12,0)+$AW6/12)*$BF6+$AX6/12*(1-$BF6))*GM6-$BJ6/12,0)+IF(UM$2=$BM6,GN6*$BH6+IF($X6="IO",$S6+$TE6,-CUMPRINC($W6/12,$X6,$S6,$BM6,$X6,0)+CUMPRINC($W6/12,$X6,-$TE6,$BM6,$X6,0)))</f>
        <v>#REF!</v>
      </c>
      <c r="UN6" s="214" t="e">
        <f ca="1">IF(UN$2&lt;=$BM6,IF($X6="IO",$W6/12*GN6,-IPMT($W6/12,UN$2,$X6,$S6)+$BT6/$BS6)+IFERROR((GN6-GO6+PPMT($W6/12,UN$2,$X6,-$TE6)),0)-((IF($TD6&gt;0,N(OFFSET(#REF!,$TD6+UN$2-2,0))/12,0)+$AW6/12)*$BF6+$AX6/12*(1-$BF6))*GN6-$BJ6/12,0)+IF(UN$2=$BM6,GO6*$BH6+IF($X6="IO",$S6+$TE6,-CUMPRINC($W6/12,$X6,$S6,$BM6,$X6,0)+CUMPRINC($W6/12,$X6,-$TE6,$BM6,$X6,0)))</f>
        <v>#REF!</v>
      </c>
      <c r="UO6" s="214" t="e">
        <f ca="1">IF(UO$2&lt;=$BM6,IF($X6="IO",$W6/12*GO6,-IPMT($W6/12,UO$2,$X6,$S6)+$BT6/$BS6)+IFERROR((GO6-GP6+PPMT($W6/12,UO$2,$X6,-$TE6)),0)-((IF($TD6&gt;0,N(OFFSET(#REF!,$TD6+UO$2-2,0))/12,0)+$AW6/12)*$BF6+$AX6/12*(1-$BF6))*GO6-$BJ6/12,0)+IF(UO$2=$BM6,GP6*$BH6+IF($X6="IO",$S6+$TE6,-CUMPRINC($W6/12,$X6,$S6,$BM6,$X6,0)+CUMPRINC($W6/12,$X6,-$TE6,$BM6,$X6,0)))</f>
        <v>#REF!</v>
      </c>
      <c r="UP6" s="214" t="e">
        <f ca="1">IF(UP$2&lt;=$BM6,IF($X6="IO",$W6/12*GP6,-IPMT($W6/12,UP$2,$X6,$S6)+$BT6/$BS6)+IFERROR((GP6-GQ6+PPMT($W6/12,UP$2,$X6,-$TE6)),0)-((IF($TD6&gt;0,N(OFFSET(#REF!,$TD6+UP$2-2,0))/12,0)+$AW6/12)*$BF6+$AX6/12*(1-$BF6))*GP6-$BJ6/12,0)+IF(UP$2=$BM6,GQ6*$BH6+IF($X6="IO",$S6+$TE6,-CUMPRINC($W6/12,$X6,$S6,$BM6,$X6,0)+CUMPRINC($W6/12,$X6,-$TE6,$BM6,$X6,0)))</f>
        <v>#REF!</v>
      </c>
      <c r="UQ6" s="214" t="e">
        <f ca="1">IF(UQ$2&lt;=$BM6,IF($X6="IO",$W6/12*GQ6,-IPMT($W6/12,UQ$2,$X6,$S6)+$BT6/$BS6)+IFERROR((GQ6-GR6+PPMT($W6/12,UQ$2,$X6,-$TE6)),0)-((IF($TD6&gt;0,N(OFFSET(#REF!,$TD6+UQ$2-2,0))/12,0)+$AW6/12)*$BF6+$AX6/12*(1-$BF6))*GQ6-$BJ6/12,0)+IF(UQ$2=$BM6,GR6*$BH6+IF($X6="IO",$S6+$TE6,-CUMPRINC($W6/12,$X6,$S6,$BM6,$X6,0)+CUMPRINC($W6/12,$X6,-$TE6,$BM6,$X6,0)))</f>
        <v>#REF!</v>
      </c>
      <c r="UR6" s="214" t="e">
        <f ca="1">IF(UR$2&lt;=$BM6,IF($X6="IO",$W6/12*GR6,-IPMT($W6/12,UR$2,$X6,$S6)+$BT6/$BS6)+IFERROR((GR6-GS6+PPMT($W6/12,UR$2,$X6,-$TE6)),0)-((IF($TD6&gt;0,N(OFFSET(#REF!,$TD6+UR$2-2,0))/12,0)+$AW6/12)*$BF6+$AX6/12*(1-$BF6))*GR6-$BJ6/12,0)+IF(UR$2=$BM6,GS6*$BH6+IF($X6="IO",$S6+$TE6,-CUMPRINC($W6/12,$X6,$S6,$BM6,$X6,0)+CUMPRINC($W6/12,$X6,-$TE6,$BM6,$X6,0)))</f>
        <v>#REF!</v>
      </c>
      <c r="US6" s="214" t="e">
        <f ca="1">IF(US$2&lt;=$BM6,IF($X6="IO",$W6/12*GS6,-IPMT($W6/12,US$2,$X6,$S6)+$BT6/$BS6)+IFERROR((GS6-GT6+PPMT($W6/12,US$2,$X6,-$TE6)),0)-((IF($TD6&gt;0,N(OFFSET(#REF!,$TD6+US$2-2,0))/12,0)+$AW6/12)*$BF6+$AX6/12*(1-$BF6))*GS6-$BJ6/12,0)+IF(US$2=$BM6,GT6*$BH6+IF($X6="IO",$S6+$TE6,-CUMPRINC($W6/12,$X6,$S6,$BM6,$X6,0)+CUMPRINC($W6/12,$X6,-$TE6,$BM6,$X6,0)))</f>
        <v>#REF!</v>
      </c>
      <c r="UT6" s="214" t="e">
        <f ca="1">IF(UT$2&lt;=$BM6,IF($X6="IO",$W6/12*GT6,-IPMT($W6/12,UT$2,$X6,$S6)+$BT6/$BS6)+IFERROR((GT6-GU6+PPMT($W6/12,UT$2,$X6,-$TE6)),0)-((IF($TD6&gt;0,N(OFFSET(#REF!,$TD6+UT$2-2,0))/12,0)+$AW6/12)*$BF6+$AX6/12*(1-$BF6))*GT6-$BJ6/12,0)+IF(UT$2=$BM6,GU6*$BH6+IF($X6="IO",$S6+$TE6,-CUMPRINC($W6/12,$X6,$S6,$BM6,$X6,0)+CUMPRINC($W6/12,$X6,-$TE6,$BM6,$X6,0)))</f>
        <v>#REF!</v>
      </c>
      <c r="UU6" s="214" t="e">
        <f ca="1">IF(UU$2&lt;=$BM6,IF($X6="IO",$W6/12*GU6,-IPMT($W6/12,UU$2,$X6,$S6)+$BT6/$BS6)+IFERROR((GU6-GV6+PPMT($W6/12,UU$2,$X6,-$TE6)),0)-((IF($TD6&gt;0,N(OFFSET(#REF!,$TD6+UU$2-2,0))/12,0)+$AW6/12)*$BF6+$AX6/12*(1-$BF6))*GU6-$BJ6/12,0)+IF(UU$2=$BM6,GV6*$BH6+IF($X6="IO",$S6+$TE6,-CUMPRINC($W6/12,$X6,$S6,$BM6,$X6,0)+CUMPRINC($W6/12,$X6,-$TE6,$BM6,$X6,0)))</f>
        <v>#REF!</v>
      </c>
      <c r="UV6" s="214" t="e">
        <f ca="1">IF(UV$2&lt;=$BM6,IF($X6="IO",$W6/12*GV6,-IPMT($W6/12,UV$2,$X6,$S6)+$BT6/$BS6)+IFERROR((GV6-GW6+PPMT($W6/12,UV$2,$X6,-$TE6)),0)-((IF($TD6&gt;0,N(OFFSET(#REF!,$TD6+UV$2-2,0))/12,0)+$AW6/12)*$BF6+$AX6/12*(1-$BF6))*GV6-$BJ6/12,0)+IF(UV$2=$BM6,GW6*$BH6+IF($X6="IO",$S6+$TE6,-CUMPRINC($W6/12,$X6,$S6,$BM6,$X6,0)+CUMPRINC($W6/12,$X6,-$TE6,$BM6,$X6,0)))</f>
        <v>#REF!</v>
      </c>
      <c r="UW6" s="214" t="e">
        <f ca="1">IF(UW$2&lt;=$BM6,IF($X6="IO",$W6/12*GW6,-IPMT($W6/12,UW$2,$X6,$S6)+$BT6/$BS6)+IFERROR((GW6-GX6+PPMT($W6/12,UW$2,$X6,-$TE6)),0)-((IF($TD6&gt;0,N(OFFSET(#REF!,$TD6+UW$2-2,0))/12,0)+$AW6/12)*$BF6+$AX6/12*(1-$BF6))*GW6-$BJ6/12,0)+IF(UW$2=$BM6,GX6*$BH6+IF($X6="IO",$S6+$TE6,-CUMPRINC($W6/12,$X6,$S6,$BM6,$X6,0)+CUMPRINC($W6/12,$X6,-$TE6,$BM6,$X6,0)))</f>
        <v>#REF!</v>
      </c>
      <c r="UX6" s="214" t="e">
        <f ca="1">IF(UX$2&lt;=$BM6,IF($X6="IO",$W6/12*GX6,-IPMT($W6/12,UX$2,$X6,$S6)+$BT6/$BS6)+IFERROR((GX6-GY6+PPMT($W6/12,UX$2,$X6,-$TE6)),0)-((IF($TD6&gt;0,N(OFFSET(#REF!,$TD6+UX$2-2,0))/12,0)+$AW6/12)*$BF6+$AX6/12*(1-$BF6))*GX6-$BJ6/12,0)+IF(UX$2=$BM6,GY6*$BH6+IF($X6="IO",$S6+$TE6,-CUMPRINC($W6/12,$X6,$S6,$BM6,$X6,0)+CUMPRINC($W6/12,$X6,-$TE6,$BM6,$X6,0)))</f>
        <v>#REF!</v>
      </c>
      <c r="UY6" s="214" t="e">
        <f ca="1">IF(UY$2&lt;=$BM6,IF($X6="IO",$W6/12*GY6,-IPMT($W6/12,UY$2,$X6,$S6)+$BT6/$BS6)+IFERROR((GY6-GZ6+PPMT($W6/12,UY$2,$X6,-$TE6)),0)-((IF($TD6&gt;0,N(OFFSET(#REF!,$TD6+UY$2-2,0))/12,0)+$AW6/12)*$BF6+$AX6/12*(1-$BF6))*GY6-$BJ6/12,0)+IF(UY$2=$BM6,GZ6*$BH6+IF($X6="IO",$S6+$TE6,-CUMPRINC($W6/12,$X6,$S6,$BM6,$X6,0)+CUMPRINC($W6/12,$X6,-$TE6,$BM6,$X6,0)))</f>
        <v>#REF!</v>
      </c>
      <c r="UZ6" s="214" t="e">
        <f ca="1">IF(UZ$2&lt;=$BM6,IF($X6="IO",$W6/12*GZ6,-IPMT($W6/12,UZ$2,$X6,$S6)+$BT6/$BS6)+IFERROR((GZ6-HA6+PPMT($W6/12,UZ$2,$X6,-$TE6)),0)-((IF($TD6&gt;0,N(OFFSET(#REF!,$TD6+UZ$2-2,0))/12,0)+$AW6/12)*$BF6+$AX6/12*(1-$BF6))*GZ6-$BJ6/12,0)+IF(UZ$2=$BM6,HA6*$BH6+IF($X6="IO",$S6+$TE6,-CUMPRINC($W6/12,$X6,$S6,$BM6,$X6,0)+CUMPRINC($W6/12,$X6,-$TE6,$BM6,$X6,0)))</f>
        <v>#REF!</v>
      </c>
      <c r="VA6" s="214" t="e">
        <f ca="1">IF(VA$2&lt;=$BM6,IF($X6="IO",$W6/12*HA6,-IPMT($W6/12,VA$2,$X6,$S6)+$BT6/$BS6)+IFERROR((HA6-HB6+PPMT($W6/12,VA$2,$X6,-$TE6)),0)-((IF($TD6&gt;0,N(OFFSET(#REF!,$TD6+VA$2-2,0))/12,0)+$AW6/12)*$BF6+$AX6/12*(1-$BF6))*HA6-$BJ6/12,0)+IF(VA$2=$BM6,HB6*$BH6+IF($X6="IO",$S6+$TE6,-CUMPRINC($W6/12,$X6,$S6,$BM6,$X6,0)+CUMPRINC($W6/12,$X6,-$TE6,$BM6,$X6,0)))</f>
        <v>#REF!</v>
      </c>
      <c r="VB6" s="214" t="e">
        <f ca="1">IF(VB$2&lt;=$BM6,IF($X6="IO",$W6/12*HB6,-IPMT($W6/12,VB$2,$X6,$S6)+$BT6/$BS6)+IFERROR((HB6-HC6+PPMT($W6/12,VB$2,$X6,-$TE6)),0)-((IF($TD6&gt;0,N(OFFSET(#REF!,$TD6+VB$2-2,0))/12,0)+$AW6/12)*$BF6+$AX6/12*(1-$BF6))*HB6-$BJ6/12,0)+IF(VB$2=$BM6,HC6*$BH6+IF($X6="IO",$S6+$TE6,-CUMPRINC($W6/12,$X6,$S6,$BM6,$X6,0)+CUMPRINC($W6/12,$X6,-$TE6,$BM6,$X6,0)))</f>
        <v>#REF!</v>
      </c>
      <c r="VC6" s="214" t="e">
        <f ca="1">IF(VC$2&lt;=$BM6,IF($X6="IO",$W6/12*HC6,-IPMT($W6/12,VC$2,$X6,$S6)+$BT6/$BS6)+IFERROR((HC6-HD6+PPMT($W6/12,VC$2,$X6,-$TE6)),0)-((IF($TD6&gt;0,N(OFFSET(#REF!,$TD6+VC$2-2,0))/12,0)+$AW6/12)*$BF6+$AX6/12*(1-$BF6))*HC6-$BJ6/12,0)+IF(VC$2=$BM6,HD6*$BH6+IF($X6="IO",$S6+$TE6,-CUMPRINC($W6/12,$X6,$S6,$BM6,$X6,0)+CUMPRINC($W6/12,$X6,-$TE6,$BM6,$X6,0)))</f>
        <v>#REF!</v>
      </c>
      <c r="VD6" s="214" t="e">
        <f ca="1">IF(VD$2&lt;=$BM6,IF($X6="IO",$W6/12*HD6,-IPMT($W6/12,VD$2,$X6,$S6)+$BT6/$BS6)+IFERROR((HD6-HE6+PPMT($W6/12,VD$2,$X6,-$TE6)),0)-((IF($TD6&gt;0,N(OFFSET(#REF!,$TD6+VD$2-2,0))/12,0)+$AW6/12)*$BF6+$AX6/12*(1-$BF6))*HD6-$BJ6/12,0)+IF(VD$2=$BM6,HE6*$BH6+IF($X6="IO",$S6+$TE6,-CUMPRINC($W6/12,$X6,$S6,$BM6,$X6,0)+CUMPRINC($W6/12,$X6,-$TE6,$BM6,$X6,0)))</f>
        <v>#REF!</v>
      </c>
      <c r="VE6" s="214" t="e">
        <f ca="1">IF(VE$2&lt;=$BM6,IF($X6="IO",$W6/12*HE6,-IPMT($W6/12,VE$2,$X6,$S6)+$BT6/$BS6)+IFERROR((HE6-HF6+PPMT($W6/12,VE$2,$X6,-$TE6)),0)-((IF($TD6&gt;0,N(OFFSET(#REF!,$TD6+VE$2-2,0))/12,0)+$AW6/12)*$BF6+$AX6/12*(1-$BF6))*HE6-$BJ6/12,0)+IF(VE$2=$BM6,HF6*$BH6+IF($X6="IO",$S6+$TE6,-CUMPRINC($W6/12,$X6,$S6,$BM6,$X6,0)+CUMPRINC($W6/12,$X6,-$TE6,$BM6,$X6,0)))</f>
        <v>#REF!</v>
      </c>
      <c r="VF6" s="214" t="e">
        <f ca="1">IF(VF$2&lt;=$BM6,IF($X6="IO",$W6/12*HF6,-IPMT($W6/12,VF$2,$X6,$S6)+$BT6/$BS6)+IFERROR((HF6-HG6+PPMT($W6/12,VF$2,$X6,-$TE6)),0)-((IF($TD6&gt;0,N(OFFSET(#REF!,$TD6+VF$2-2,0))/12,0)+$AW6/12)*$BF6+$AX6/12*(1-$BF6))*HF6-$BJ6/12,0)+IF(VF$2=$BM6,HG6*$BH6+IF($X6="IO",$S6+$TE6,-CUMPRINC($W6/12,$X6,$S6,$BM6,$X6,0)+CUMPRINC($W6/12,$X6,-$TE6,$BM6,$X6,0)))</f>
        <v>#REF!</v>
      </c>
      <c r="VG6" s="214" t="e">
        <f ca="1">IF(VG$2&lt;=$BM6,IF($X6="IO",$W6/12*HG6,-IPMT($W6/12,VG$2,$X6,$S6)+$BT6/$BS6)+IFERROR((HG6-HH6+PPMT($W6/12,VG$2,$X6,-$TE6)),0)-((IF($TD6&gt;0,N(OFFSET(#REF!,$TD6+VG$2-2,0))/12,0)+$AW6/12)*$BF6+$AX6/12*(1-$BF6))*HG6-$BJ6/12,0)+IF(VG$2=$BM6,HH6*$BH6+IF($X6="IO",$S6+$TE6,-CUMPRINC($W6/12,$X6,$S6,$BM6,$X6,0)+CUMPRINC($W6/12,$X6,-$TE6,$BM6,$X6,0)))</f>
        <v>#REF!</v>
      </c>
      <c r="VH6" s="214" t="e">
        <f ca="1">IF(VH$2&lt;=$BM6,IF($X6="IO",$W6/12*HH6,-IPMT($W6/12,VH$2,$X6,$S6)+$BT6/$BS6)+IFERROR((HH6-HI6+PPMT($W6/12,VH$2,$X6,-$TE6)),0)-((IF($TD6&gt;0,N(OFFSET(#REF!,$TD6+VH$2-2,0))/12,0)+$AW6/12)*$BF6+$AX6/12*(1-$BF6))*HH6-$BJ6/12,0)+IF(VH$2=$BM6,HI6*$BH6+IF($X6="IO",$S6+$TE6,-CUMPRINC($W6/12,$X6,$S6,$BM6,$X6,0)+CUMPRINC($W6/12,$X6,-$TE6,$BM6,$X6,0)))</f>
        <v>#REF!</v>
      </c>
      <c r="VI6" s="214" t="e">
        <f ca="1">IF(VI$2&lt;=$BM6,IF($X6="IO",$W6/12*HI6,-IPMT($W6/12,VI$2,$X6,$S6)+$BT6/$BS6)+IFERROR((HI6-HJ6+PPMT($W6/12,VI$2,$X6,-$TE6)),0)-((IF($TD6&gt;0,N(OFFSET(#REF!,$TD6+VI$2-2,0))/12,0)+$AW6/12)*$BF6+$AX6/12*(1-$BF6))*HI6-$BJ6/12,0)+IF(VI$2=$BM6,HJ6*$BH6+IF($X6="IO",$S6+$TE6,-CUMPRINC($W6/12,$X6,$S6,$BM6,$X6,0)+CUMPRINC($W6/12,$X6,-$TE6,$BM6,$X6,0)))</f>
        <v>#REF!</v>
      </c>
      <c r="VJ6" s="214" t="e">
        <f ca="1">IF(VJ$2&lt;=$BM6,IF($X6="IO",$W6/12*HJ6,-IPMT($W6/12,VJ$2,$X6,$S6)+$BT6/$BS6)+IFERROR((HJ6-HK6+PPMT($W6/12,VJ$2,$X6,-$TE6)),0)-((IF($TD6&gt;0,N(OFFSET(#REF!,$TD6+VJ$2-2,0))/12,0)+$AW6/12)*$BF6+$AX6/12*(1-$BF6))*HJ6-$BJ6/12,0)+IF(VJ$2=$BM6,HK6*$BH6+IF($X6="IO",$S6+$TE6,-CUMPRINC($W6/12,$X6,$S6,$BM6,$X6,0)+CUMPRINC($W6/12,$X6,-$TE6,$BM6,$X6,0)))</f>
        <v>#REF!</v>
      </c>
      <c r="VK6" s="214" t="e">
        <f ca="1">IF(VK$2&lt;=$BM6,IF($X6="IO",$W6/12*HK6,-IPMT($W6/12,VK$2,$X6,$S6)+$BT6/$BS6)+IFERROR((HK6-HL6+PPMT($W6/12,VK$2,$X6,-$TE6)),0)-((IF($TD6&gt;0,N(OFFSET(#REF!,$TD6+VK$2-2,0))/12,0)+$AW6/12)*$BF6+$AX6/12*(1-$BF6))*HK6-$BJ6/12,0)+IF(VK$2=$BM6,HL6*$BH6+IF($X6="IO",$S6+$TE6,-CUMPRINC($W6/12,$X6,$S6,$BM6,$X6,0)+CUMPRINC($W6/12,$X6,-$TE6,$BM6,$X6,0)))</f>
        <v>#REF!</v>
      </c>
      <c r="VL6" s="214" t="e">
        <f ca="1">IF(VL$2&lt;=$BM6,IF($X6="IO",$W6/12*HL6,-IPMT($W6/12,VL$2,$X6,$S6)+$BT6/$BS6)+IFERROR((HL6-HM6+PPMT($W6/12,VL$2,$X6,-$TE6)),0)-((IF($TD6&gt;0,N(OFFSET(#REF!,$TD6+VL$2-2,0))/12,0)+$AW6/12)*$BF6+$AX6/12*(1-$BF6))*HL6-$BJ6/12,0)+IF(VL$2=$BM6,HM6*$BH6+IF($X6="IO",$S6+$TE6,-CUMPRINC($W6/12,$X6,$S6,$BM6,$X6,0)+CUMPRINC($W6/12,$X6,-$TE6,$BM6,$X6,0)))</f>
        <v>#REF!</v>
      </c>
      <c r="VM6" s="214" t="e">
        <f ca="1">IF(VM$2&lt;=$BM6,IF($X6="IO",$W6/12*HM6,-IPMT($W6/12,VM$2,$X6,$S6)+$BT6/$BS6)+IFERROR((HM6-HN6+PPMT($W6/12,VM$2,$X6,-$TE6)),0)-((IF($TD6&gt;0,N(OFFSET(#REF!,$TD6+VM$2-2,0))/12,0)+$AW6/12)*$BF6+$AX6/12*(1-$BF6))*HM6-$BJ6/12,0)+IF(VM$2=$BM6,HN6*$BH6+IF($X6="IO",$S6+$TE6,-CUMPRINC($W6/12,$X6,$S6,$BM6,$X6,0)+CUMPRINC($W6/12,$X6,-$TE6,$BM6,$X6,0)))</f>
        <v>#REF!</v>
      </c>
      <c r="VN6" s="214" t="e">
        <f ca="1">IF(VN$2&lt;=$BM6,IF($X6="IO",$W6/12*HN6,-IPMT($W6/12,VN$2,$X6,$S6)+$BT6/$BS6)+IFERROR((HN6-HO6+PPMT($W6/12,VN$2,$X6,-$TE6)),0)-((IF($TD6&gt;0,N(OFFSET(#REF!,$TD6+VN$2-2,0))/12,0)+$AW6/12)*$BF6+$AX6/12*(1-$BF6))*HN6-$BJ6/12,0)+IF(VN$2=$BM6,HO6*$BH6+IF($X6="IO",$S6+$TE6,-CUMPRINC($W6/12,$X6,$S6,$BM6,$X6,0)+CUMPRINC($W6/12,$X6,-$TE6,$BM6,$X6,0)))</f>
        <v>#REF!</v>
      </c>
      <c r="VO6" s="214" t="e">
        <f ca="1">IF(VO$2&lt;=$BM6,IF($X6="IO",$W6/12*HO6,-IPMT($W6/12,VO$2,$X6,$S6)+$BT6/$BS6)+IFERROR((HO6-HP6+PPMT($W6/12,VO$2,$X6,-$TE6)),0)-((IF($TD6&gt;0,N(OFFSET(#REF!,$TD6+VO$2-2,0))/12,0)+$AW6/12)*$BF6+$AX6/12*(1-$BF6))*HO6-$BJ6/12,0)+IF(VO$2=$BM6,HP6*$BH6+IF($X6="IO",$S6+$TE6,-CUMPRINC($W6/12,$X6,$S6,$BM6,$X6,0)+CUMPRINC($W6/12,$X6,-$TE6,$BM6,$X6,0)))</f>
        <v>#REF!</v>
      </c>
      <c r="VP6" s="214" t="e">
        <f ca="1">IF(VP$2&lt;=$BM6,IF($X6="IO",$W6/12*HP6,-IPMT($W6/12,VP$2,$X6,$S6)+$BT6/$BS6)+IFERROR((HP6-HQ6+PPMT($W6/12,VP$2,$X6,-$TE6)),0)-((IF($TD6&gt;0,N(OFFSET(#REF!,$TD6+VP$2-2,0))/12,0)+$AW6/12)*$BF6+$AX6/12*(1-$BF6))*HP6-$BJ6/12,0)+IF(VP$2=$BM6,HQ6*$BH6+IF($X6="IO",$S6+$TE6,-CUMPRINC($W6/12,$X6,$S6,$BM6,$X6,0)+CUMPRINC($W6/12,$X6,-$TE6,$BM6,$X6,0)))</f>
        <v>#REF!</v>
      </c>
      <c r="VQ6" s="214" t="e">
        <f ca="1">IF(VQ$2&lt;=$BM6,IF($X6="IO",$W6/12*HQ6,-IPMT($W6/12,VQ$2,$X6,$S6)+$BT6/$BS6)+IFERROR((HQ6-HR6+PPMT($W6/12,VQ$2,$X6,-$TE6)),0)-((IF($TD6&gt;0,N(OFFSET(#REF!,$TD6+VQ$2-2,0))/12,0)+$AW6/12)*$BF6+$AX6/12*(1-$BF6))*HQ6-$BJ6/12,0)+IF(VQ$2=$BM6,HR6*$BH6+IF($X6="IO",$S6+$TE6,-CUMPRINC($W6/12,$X6,$S6,$BM6,$X6,0)+CUMPRINC($W6/12,$X6,-$TE6,$BM6,$X6,0)))</f>
        <v>#REF!</v>
      </c>
      <c r="VR6" s="214" t="e">
        <f ca="1">IF(VR$2&lt;=$BM6,IF($X6="IO",$W6/12*HR6,-IPMT($W6/12,VR$2,$X6,$S6)+$BT6/$BS6)+IFERROR((HR6-HS6+PPMT($W6/12,VR$2,$X6,-$TE6)),0)-((IF($TD6&gt;0,N(OFFSET(#REF!,$TD6+VR$2-2,0))/12,0)+$AW6/12)*$BF6+$AX6/12*(1-$BF6))*HR6-$BJ6/12,0)+IF(VR$2=$BM6,HS6*$BH6+IF($X6="IO",$S6+$TE6,-CUMPRINC($W6/12,$X6,$S6,$BM6,$X6,0)+CUMPRINC($W6/12,$X6,-$TE6,$BM6,$X6,0)))</f>
        <v>#REF!</v>
      </c>
      <c r="VS6" s="214" t="e">
        <f ca="1">IF(VS$2&lt;=$BM6,IF($X6="IO",$W6/12*HS6,-IPMT($W6/12,VS$2,$X6,$S6)+$BT6/$BS6)+IFERROR((HS6-HT6+PPMT($W6/12,VS$2,$X6,-$TE6)),0)-((IF($TD6&gt;0,N(OFFSET(#REF!,$TD6+VS$2-2,0))/12,0)+$AW6/12)*$BF6+$AX6/12*(1-$BF6))*HS6-$BJ6/12,0)+IF(VS$2=$BM6,HT6*$BH6+IF($X6="IO",$S6+$TE6,-CUMPRINC($W6/12,$X6,$S6,$BM6,$X6,0)+CUMPRINC($W6/12,$X6,-$TE6,$BM6,$X6,0)))</f>
        <v>#REF!</v>
      </c>
      <c r="VT6" s="214" t="e">
        <f ca="1">IF(VT$2&lt;=$BM6,IF($X6="IO",$W6/12*HT6,-IPMT($W6/12,VT$2,$X6,$S6)+$BT6/$BS6)+IFERROR((HT6-HU6+PPMT($W6/12,VT$2,$X6,-$TE6)),0)-((IF($TD6&gt;0,N(OFFSET(#REF!,$TD6+VT$2-2,0))/12,0)+$AW6/12)*$BF6+$AX6/12*(1-$BF6))*HT6-$BJ6/12,0)+IF(VT$2=$BM6,HU6*$BH6+IF($X6="IO",$S6+$TE6,-CUMPRINC($W6/12,$X6,$S6,$BM6,$X6,0)+CUMPRINC($W6/12,$X6,-$TE6,$BM6,$X6,0)))</f>
        <v>#REF!</v>
      </c>
      <c r="VU6" s="214" t="e">
        <f ca="1">IF(VU$2&lt;=$BM6,IF($X6="IO",$W6/12*HU6,-IPMT($W6/12,VU$2,$X6,$S6)+$BT6/$BS6)+IFERROR((HU6-HV6+PPMT($W6/12,VU$2,$X6,-$TE6)),0)-((IF($TD6&gt;0,N(OFFSET(#REF!,$TD6+VU$2-2,0))/12,0)+$AW6/12)*$BF6+$AX6/12*(1-$BF6))*HU6-$BJ6/12,0)+IF(VU$2=$BM6,HV6*$BH6+IF($X6="IO",$S6+$TE6,-CUMPRINC($W6/12,$X6,$S6,$BM6,$X6,0)+CUMPRINC($W6/12,$X6,-$TE6,$BM6,$X6,0)))</f>
        <v>#REF!</v>
      </c>
      <c r="VV6" s="214" t="e">
        <f ca="1">IF(VV$2&lt;=$BM6,IF($X6="IO",$W6/12*HV6,-IPMT($W6/12,VV$2,$X6,$S6)+$BT6/$BS6)+IFERROR((HV6-HW6+PPMT($W6/12,VV$2,$X6,-$TE6)),0)-((IF($TD6&gt;0,N(OFFSET(#REF!,$TD6+VV$2-2,0))/12,0)+$AW6/12)*$BF6+$AX6/12*(1-$BF6))*HV6-$BJ6/12,0)+IF(VV$2=$BM6,HW6*$BH6+IF($X6="IO",$S6+$TE6,-CUMPRINC($W6/12,$X6,$S6,$BM6,$X6,0)+CUMPRINC($W6/12,$X6,-$TE6,$BM6,$X6,0)))</f>
        <v>#REF!</v>
      </c>
      <c r="VW6" s="214" t="e">
        <f ca="1">IF(VW$2&lt;=$BM6,IF($X6="IO",$W6/12*HW6,-IPMT($W6/12,VW$2,$X6,$S6)+$BT6/$BS6)+IFERROR((HW6-HX6+PPMT($W6/12,VW$2,$X6,-$TE6)),0)-((IF($TD6&gt;0,N(OFFSET(#REF!,$TD6+VW$2-2,0))/12,0)+$AW6/12)*$BF6+$AX6/12*(1-$BF6))*HW6-$BJ6/12,0)+IF(VW$2=$BM6,HX6*$BH6+IF($X6="IO",$S6+$TE6,-CUMPRINC($W6/12,$X6,$S6,$BM6,$X6,0)+CUMPRINC($W6/12,$X6,-$TE6,$BM6,$X6,0)))</f>
        <v>#REF!</v>
      </c>
      <c r="VX6" s="214" t="e">
        <f ca="1">IF(VX$2&lt;=$BM6,IF($X6="IO",$W6/12*HX6,-IPMT($W6/12,VX$2,$X6,$S6)+$BT6/$BS6)+IFERROR((HX6-HY6+PPMT($W6/12,VX$2,$X6,-$TE6)),0)-((IF($TD6&gt;0,N(OFFSET(#REF!,$TD6+VX$2-2,0))/12,0)+$AW6/12)*$BF6+$AX6/12*(1-$BF6))*HX6-$BJ6/12,0)+IF(VX$2=$BM6,HY6*$BH6+IF($X6="IO",$S6+$TE6,-CUMPRINC($W6/12,$X6,$S6,$BM6,$X6,0)+CUMPRINC($W6/12,$X6,-$TE6,$BM6,$X6,0)))</f>
        <v>#REF!</v>
      </c>
      <c r="VY6" s="214" t="e">
        <f ca="1">IF(VY$2&lt;=$BM6,IF($X6="IO",$W6/12*HY6,-IPMT($W6/12,VY$2,$X6,$S6)+$BT6/$BS6)+IFERROR((HY6-HZ6+PPMT($W6/12,VY$2,$X6,-$TE6)),0)-((IF($TD6&gt;0,N(OFFSET(#REF!,$TD6+VY$2-2,0))/12,0)+$AW6/12)*$BF6+$AX6/12*(1-$BF6))*HY6-$BJ6/12,0)+IF(VY$2=$BM6,HZ6*$BH6+IF($X6="IO",$S6+$TE6,-CUMPRINC($W6/12,$X6,$S6,$BM6,$X6,0)+CUMPRINC($W6/12,$X6,-$TE6,$BM6,$X6,0)))</f>
        <v>#REF!</v>
      </c>
      <c r="VZ6" s="214" t="e">
        <f ca="1">IF(VZ$2&lt;=$BM6,IF($X6="IO",$W6/12*HZ6,-IPMT($W6/12,VZ$2,$X6,$S6)+$BT6/$BS6)+IFERROR((HZ6-IA6+PPMT($W6/12,VZ$2,$X6,-$TE6)),0)-((IF($TD6&gt;0,N(OFFSET(#REF!,$TD6+VZ$2-2,0))/12,0)+$AW6/12)*$BF6+$AX6/12*(1-$BF6))*HZ6-$BJ6/12,0)+IF(VZ$2=$BM6,IA6*$BH6+IF($X6="IO",$S6+$TE6,-CUMPRINC($W6/12,$X6,$S6,$BM6,$X6,0)+CUMPRINC($W6/12,$X6,-$TE6,$BM6,$X6,0)))</f>
        <v>#REF!</v>
      </c>
      <c r="WA6" s="214" t="e">
        <f ca="1">IF(WA$2&lt;=$BM6,IF($X6="IO",$W6/12*IA6,-IPMT($W6/12,WA$2,$X6,$S6)+$BT6/$BS6)+IFERROR((IA6-IB6+PPMT($W6/12,WA$2,$X6,-$TE6)),0)-((IF($TD6&gt;0,N(OFFSET(#REF!,$TD6+WA$2-2,0))/12,0)+$AW6/12)*$BF6+$AX6/12*(1-$BF6))*IA6-$BJ6/12,0)+IF(WA$2=$BM6,IB6*$BH6+IF($X6="IO",$S6+$TE6,-CUMPRINC($W6/12,$X6,$S6,$BM6,$X6,0)+CUMPRINC($W6/12,$X6,-$TE6,$BM6,$X6,0)))</f>
        <v>#REF!</v>
      </c>
      <c r="WB6" s="214" t="e">
        <f ca="1">IF(WB$2&lt;=$BM6,IF($X6="IO",$W6/12*IB6,-IPMT($W6/12,WB$2,$X6,$S6)+$BT6/$BS6)+IFERROR((IB6-IC6+PPMT($W6/12,WB$2,$X6,-$TE6)),0)-((IF($TD6&gt;0,N(OFFSET(#REF!,$TD6+WB$2-2,0))/12,0)+$AW6/12)*$BF6+$AX6/12*(1-$BF6))*IB6-$BJ6/12,0)+IF(WB$2=$BM6,IC6*$BH6+IF($X6="IO",$S6+$TE6,-CUMPRINC($W6/12,$X6,$S6,$BM6,$X6,0)+CUMPRINC($W6/12,$X6,-$TE6,$BM6,$X6,0)))</f>
        <v>#REF!</v>
      </c>
      <c r="WC6" s="214" t="e">
        <f ca="1">IF(WC$2&lt;=$BM6,IF($X6="IO",$W6/12*IC6,-IPMT($W6/12,WC$2,$X6,$S6)+$BT6/$BS6)+IFERROR((IC6-ID6+PPMT($W6/12,WC$2,$X6,-$TE6)),0)-((IF($TD6&gt;0,N(OFFSET(#REF!,$TD6+WC$2-2,0))/12,0)+$AW6/12)*$BF6+$AX6/12*(1-$BF6))*IC6-$BJ6/12,0)+IF(WC$2=$BM6,ID6*$BH6+IF($X6="IO",$S6+$TE6,-CUMPRINC($W6/12,$X6,$S6,$BM6,$X6,0)+CUMPRINC($W6/12,$X6,-$TE6,$BM6,$X6,0)))</f>
        <v>#REF!</v>
      </c>
      <c r="WD6" s="214" t="e">
        <f ca="1">IF(WD$2&lt;=$BM6,IF($X6="IO",$W6/12*ID6,-IPMT($W6/12,WD$2,$X6,$S6)+$BT6/$BS6)+IFERROR((ID6-IE6+PPMT($W6/12,WD$2,$X6,-$TE6)),0)-((IF($TD6&gt;0,N(OFFSET(#REF!,$TD6+WD$2-2,0))/12,0)+$AW6/12)*$BF6+$AX6/12*(1-$BF6))*ID6-$BJ6/12,0)+IF(WD$2=$BM6,IE6*$BH6+IF($X6="IO",$S6+$TE6,-CUMPRINC($W6/12,$X6,$S6,$BM6,$X6,0)+CUMPRINC($W6/12,$X6,-$TE6,$BM6,$X6,0)))</f>
        <v>#REF!</v>
      </c>
      <c r="WE6" s="214" t="e">
        <f ca="1">IF(WE$2&lt;=$BM6,IF($X6="IO",$W6/12*IE6,-IPMT($W6/12,WE$2,$X6,$S6)+$BT6/$BS6)+IFERROR((IE6-IF6+PPMT($W6/12,WE$2,$X6,-$TE6)),0)-((IF($TD6&gt;0,N(OFFSET(#REF!,$TD6+WE$2-2,0))/12,0)+$AW6/12)*$BF6+$AX6/12*(1-$BF6))*IE6-$BJ6/12,0)+IF(WE$2=$BM6,IF6*$BH6+IF($X6="IO",$S6+$TE6,-CUMPRINC($W6/12,$X6,$S6,$BM6,$X6,0)+CUMPRINC($W6/12,$X6,-$TE6,$BM6,$X6,0)))</f>
        <v>#REF!</v>
      </c>
      <c r="WF6" s="214" t="e">
        <f ca="1">IF(WF$2&lt;=$BM6,IF($X6="IO",$W6/12*IF6,-IPMT($W6/12,WF$2,$X6,$S6)+$BT6/$BS6)+IFERROR((IF6-IG6+PPMT($W6/12,WF$2,$X6,-$TE6)),0)-((IF($TD6&gt;0,N(OFFSET(#REF!,$TD6+WF$2-2,0))/12,0)+$AW6/12)*$BF6+$AX6/12*(1-$BF6))*IF6-$BJ6/12,0)+IF(WF$2=$BM6,IG6*$BH6+IF($X6="IO",$S6+$TE6,-CUMPRINC($W6/12,$X6,$S6,$BM6,$X6,0)+CUMPRINC($W6/12,$X6,-$TE6,$BM6,$X6,0)))</f>
        <v>#REF!</v>
      </c>
      <c r="WG6" s="214" t="e">
        <f ca="1">IF(WG$2&lt;=$BM6,IF($X6="IO",$W6/12*IG6,-IPMT($W6/12,WG$2,$X6,$S6)+$BT6/$BS6)+IFERROR((IG6-IH6+PPMT($W6/12,WG$2,$X6,-$TE6)),0)-((IF($TD6&gt;0,N(OFFSET(#REF!,$TD6+WG$2-2,0))/12,0)+$AW6/12)*$BF6+$AX6/12*(1-$BF6))*IG6-$BJ6/12,0)+IF(WG$2=$BM6,IH6*$BH6+IF($X6="IO",$S6+$TE6,-CUMPRINC($W6/12,$X6,$S6,$BM6,$X6,0)+CUMPRINC($W6/12,$X6,-$TE6,$BM6,$X6,0)))</f>
        <v>#REF!</v>
      </c>
      <c r="WH6" s="214" t="e">
        <f ca="1">IF(WH$2&lt;=$BM6,IF($X6="IO",$W6/12*IH6,-IPMT($W6/12,WH$2,$X6,$S6)+$BT6/$BS6)+IFERROR((IH6-II6+PPMT($W6/12,WH$2,$X6,-$TE6)),0)-((IF($TD6&gt;0,N(OFFSET(#REF!,$TD6+WH$2-2,0))/12,0)+$AW6/12)*$BF6+$AX6/12*(1-$BF6))*IH6-$BJ6/12,0)+IF(WH$2=$BM6,II6*$BH6+IF($X6="IO",$S6+$TE6,-CUMPRINC($W6/12,$X6,$S6,$BM6,$X6,0)+CUMPRINC($W6/12,$X6,-$TE6,$BM6,$X6,0)))</f>
        <v>#REF!</v>
      </c>
      <c r="WI6" s="214" t="e">
        <f ca="1">IF(WI$2&lt;=$BM6,IF($X6="IO",$W6/12*II6,-IPMT($W6/12,WI$2,$X6,$S6)+$BT6/$BS6)+IFERROR((II6-IJ6+PPMT($W6/12,WI$2,$X6,-$TE6)),0)-((IF($TD6&gt;0,N(OFFSET(#REF!,$TD6+WI$2-2,0))/12,0)+$AW6/12)*$BF6+$AX6/12*(1-$BF6))*II6-$BJ6/12,0)+IF(WI$2=$BM6,IJ6*$BH6+IF($X6="IO",$S6+$TE6,-CUMPRINC($W6/12,$X6,$S6,$BM6,$X6,0)+CUMPRINC($W6/12,$X6,-$TE6,$BM6,$X6,0)))</f>
        <v>#REF!</v>
      </c>
      <c r="WJ6" s="214" t="e">
        <f ca="1">IF(WJ$2&lt;=$BM6,IF($X6="IO",$W6/12*IJ6,-IPMT($W6/12,WJ$2,$X6,$S6)+$BT6/$BS6)+IFERROR((IJ6-IK6+PPMT($W6/12,WJ$2,$X6,-$TE6)),0)-((IF($TD6&gt;0,N(OFFSET(#REF!,$TD6+WJ$2-2,0))/12,0)+$AW6/12)*$BF6+$AX6/12*(1-$BF6))*IJ6-$BJ6/12,0)+IF(WJ$2=$BM6,IK6*$BH6+IF($X6="IO",$S6+$TE6,-CUMPRINC($W6/12,$X6,$S6,$BM6,$X6,0)+CUMPRINC($W6/12,$X6,-$TE6,$BM6,$X6,0)))</f>
        <v>#REF!</v>
      </c>
      <c r="WK6" s="214" t="e">
        <f ca="1">IF(WK$2&lt;=$BM6,IF($X6="IO",$W6/12*IK6,-IPMT($W6/12,WK$2,$X6,$S6)+$BT6/$BS6)+IFERROR((IK6-IL6+PPMT($W6/12,WK$2,$X6,-$TE6)),0)-((IF($TD6&gt;0,N(OFFSET(#REF!,$TD6+WK$2-2,0))/12,0)+$AW6/12)*$BF6+$AX6/12*(1-$BF6))*IK6-$BJ6/12,0)+IF(WK$2=$BM6,IL6*$BH6+IF($X6="IO",$S6+$TE6,-CUMPRINC($W6/12,$X6,$S6,$BM6,$X6,0)+CUMPRINC($W6/12,$X6,-$TE6,$BM6,$X6,0)))</f>
        <v>#REF!</v>
      </c>
      <c r="WL6" s="214" t="e">
        <f ca="1">IF(WL$2&lt;=$BM6,IF($X6="IO",$W6/12*IL6,-IPMT($W6/12,WL$2,$X6,$S6)+$BT6/$BS6)+IFERROR((IL6-IM6+PPMT($W6/12,WL$2,$X6,-$TE6)),0)-((IF($TD6&gt;0,N(OFFSET(#REF!,$TD6+WL$2-2,0))/12,0)+$AW6/12)*$BF6+$AX6/12*(1-$BF6))*IL6-$BJ6/12,0)+IF(WL$2=$BM6,IM6*$BH6+IF($X6="IO",$S6+$TE6,-CUMPRINC($W6/12,$X6,$S6,$BM6,$X6,0)+CUMPRINC($W6/12,$X6,-$TE6,$BM6,$X6,0)))</f>
        <v>#REF!</v>
      </c>
      <c r="WM6" s="214" t="e">
        <f ca="1">IF(WM$2&lt;=$BM6,IF($X6="IO",$W6/12*IM6,-IPMT($W6/12,WM$2,$X6,$S6)+$BT6/$BS6)+IFERROR((IM6-IN6+PPMT($W6/12,WM$2,$X6,-$TE6)),0)-((IF($TD6&gt;0,N(OFFSET(#REF!,$TD6+WM$2-2,0))/12,0)+$AW6/12)*$BF6+$AX6/12*(1-$BF6))*IM6-$BJ6/12,0)+IF(WM$2=$BM6,IN6*$BH6+IF($X6="IO",$S6+$TE6,-CUMPRINC($W6/12,$X6,$S6,$BM6,$X6,0)+CUMPRINC($W6/12,$X6,-$TE6,$BM6,$X6,0)))</f>
        <v>#REF!</v>
      </c>
      <c r="WN6" s="214" t="e">
        <f ca="1">IF(WN$2&lt;=$BM6,IF($X6="IO",$W6/12*IN6,-IPMT($W6/12,WN$2,$X6,$S6)+$BT6/$BS6)+IFERROR((IN6-IO6+PPMT($W6/12,WN$2,$X6,-$TE6)),0)-((IF($TD6&gt;0,N(OFFSET(#REF!,$TD6+WN$2-2,0))/12,0)+$AW6/12)*$BF6+$AX6/12*(1-$BF6))*IN6-$BJ6/12,0)+IF(WN$2=$BM6,IO6*$BH6+IF($X6="IO",$S6+$TE6,-CUMPRINC($W6/12,$X6,$S6,$BM6,$X6,0)+CUMPRINC($W6/12,$X6,-$TE6,$BM6,$X6,0)))</f>
        <v>#REF!</v>
      </c>
      <c r="WO6" s="214" t="e">
        <f ca="1">IF(WO$2&lt;=$BM6,IF($X6="IO",$W6/12*IO6,-IPMT($W6/12,WO$2,$X6,$S6)+$BT6/$BS6)+IFERROR((IO6-IP6+PPMT($W6/12,WO$2,$X6,-$TE6)),0)-((IF($TD6&gt;0,N(OFFSET(#REF!,$TD6+WO$2-2,0))/12,0)+$AW6/12)*$BF6+$AX6/12*(1-$BF6))*IO6-$BJ6/12,0)+IF(WO$2=$BM6,IP6*$BH6+IF($X6="IO",$S6+$TE6,-CUMPRINC($W6/12,$X6,$S6,$BM6,$X6,0)+CUMPRINC($W6/12,$X6,-$TE6,$BM6,$X6,0)))</f>
        <v>#REF!</v>
      </c>
      <c r="WP6" s="214" t="e">
        <f ca="1">IF(WP$2&lt;=$BM6,IF($X6="IO",$W6/12*IP6,-IPMT($W6/12,WP$2,$X6,$S6)+$BT6/$BS6)+IFERROR((IP6-IQ6+PPMT($W6/12,WP$2,$X6,-$TE6)),0)-((IF($TD6&gt;0,N(OFFSET(#REF!,$TD6+WP$2-2,0))/12,0)+$AW6/12)*$BF6+$AX6/12*(1-$BF6))*IP6-$BJ6/12,0)+IF(WP$2=$BM6,IQ6*$BH6+IF($X6="IO",$S6+$TE6,-CUMPRINC($W6/12,$X6,$S6,$BM6,$X6,0)+CUMPRINC($W6/12,$X6,-$TE6,$BM6,$X6,0)))</f>
        <v>#REF!</v>
      </c>
      <c r="WQ6" s="214" t="e">
        <f ca="1">IF(WQ$2&lt;=$BM6,IF($X6="IO",$W6/12*IQ6,-IPMT($W6/12,WQ$2,$X6,$S6)+$BT6/$BS6)+IFERROR((IQ6-IR6+PPMT($W6/12,WQ$2,$X6,-$TE6)),0)-((IF($TD6&gt;0,N(OFFSET(#REF!,$TD6+WQ$2-2,0))/12,0)+$AW6/12)*$BF6+$AX6/12*(1-$BF6))*IQ6-$BJ6/12,0)+IF(WQ$2=$BM6,IR6*$BH6+IF($X6="IO",$S6+$TE6,-CUMPRINC($W6/12,$X6,$S6,$BM6,$X6,0)+CUMPRINC($W6/12,$X6,-$TE6,$BM6,$X6,0)))</f>
        <v>#REF!</v>
      </c>
      <c r="WR6" s="214" t="e">
        <f ca="1">IF(WR$2&lt;=$BM6,IF($X6="IO",$W6/12*IR6,-IPMT($W6/12,WR$2,$X6,$S6)+$BT6/$BS6)+IFERROR((IR6-IS6+PPMT($W6/12,WR$2,$X6,-$TE6)),0)-((IF($TD6&gt;0,N(OFFSET(#REF!,$TD6+WR$2-2,0))/12,0)+$AW6/12)*$BF6+$AX6/12*(1-$BF6))*IR6-$BJ6/12,0)+IF(WR$2=$BM6,IS6*$BH6+IF($X6="IO",$S6+$TE6,-CUMPRINC($W6/12,$X6,$S6,$BM6,$X6,0)+CUMPRINC($W6/12,$X6,-$TE6,$BM6,$X6,0)))</f>
        <v>#REF!</v>
      </c>
      <c r="WS6" s="214" t="e">
        <f ca="1">IF(WS$2&lt;=$BM6,IF($X6="IO",$W6/12*IS6,-IPMT($W6/12,WS$2,$X6,$S6)+$BT6/$BS6)+IFERROR((IS6-IT6+PPMT($W6/12,WS$2,$X6,-$TE6)),0)-((IF($TD6&gt;0,N(OFFSET(#REF!,$TD6+WS$2-2,0))/12,0)+$AW6/12)*$BF6+$AX6/12*(1-$BF6))*IS6-$BJ6/12,0)+IF(WS$2=$BM6,IT6*$BH6+IF($X6="IO",$S6+$TE6,-CUMPRINC($W6/12,$X6,$S6,$BM6,$X6,0)+CUMPRINC($W6/12,$X6,-$TE6,$BM6,$X6,0)))</f>
        <v>#REF!</v>
      </c>
      <c r="WT6" s="214" t="e">
        <f ca="1">IF(WT$2&lt;=$BM6,IF($X6="IO",$W6/12*IT6,-IPMT($W6/12,WT$2,$X6,$S6)+$BT6/$BS6)+IFERROR((IT6-IU6+PPMT($W6/12,WT$2,$X6,-$TE6)),0)-((IF($TD6&gt;0,N(OFFSET(#REF!,$TD6+WT$2-2,0))/12,0)+$AW6/12)*$BF6+$AX6/12*(1-$BF6))*IT6-$BJ6/12,0)+IF(WT$2=$BM6,IU6*$BH6+IF($X6="IO",$S6+$TE6,-CUMPRINC($W6/12,$X6,$S6,$BM6,$X6,0)+CUMPRINC($W6/12,$X6,-$TE6,$BM6,$X6,0)))</f>
        <v>#REF!</v>
      </c>
      <c r="WU6" s="214" t="e">
        <f ca="1">IF(WU$2&lt;=$BM6,IF($X6="IO",$W6/12*IU6,-IPMT($W6/12,WU$2,$X6,$S6)+$BT6/$BS6)+IFERROR((IU6-IV6+PPMT($W6/12,WU$2,$X6,-$TE6)),0)-((IF($TD6&gt;0,N(OFFSET(#REF!,$TD6+WU$2-2,0))/12,0)+$AW6/12)*$BF6+$AX6/12*(1-$BF6))*IU6-$BJ6/12,0)+IF(WU$2=$BM6,IV6*$BH6+IF($X6="IO",$S6+$TE6,-CUMPRINC($W6/12,$X6,$S6,$BM6,$X6,0)+CUMPRINC($W6/12,$X6,-$TE6,$BM6,$X6,0)))</f>
        <v>#REF!</v>
      </c>
      <c r="WV6" s="214" t="e">
        <f ca="1">IF(WV$2&lt;=$BM6,IF($X6="IO",$W6/12*IV6,-IPMT($W6/12,WV$2,$X6,$S6)+$BT6/$BS6)+IFERROR((IV6-IW6+PPMT($W6/12,WV$2,$X6,-$TE6)),0)-((IF($TD6&gt;0,N(OFFSET(#REF!,$TD6+WV$2-2,0))/12,0)+$AW6/12)*$BF6+$AX6/12*(1-$BF6))*IV6-$BJ6/12,0)+IF(WV$2=$BM6,IW6*$BH6+IF($X6="IO",$S6+$TE6,-CUMPRINC($W6/12,$X6,$S6,$BM6,$X6,0)+CUMPRINC($W6/12,$X6,-$TE6,$BM6,$X6,0)))</f>
        <v>#REF!</v>
      </c>
      <c r="WW6" s="214" t="e">
        <f ca="1">IF(WW$2&lt;=$BM6,IF($X6="IO",$W6/12*IW6,-IPMT($W6/12,WW$2,$X6,$S6)+$BT6/$BS6)+IFERROR((IW6-IX6+PPMT($W6/12,WW$2,$X6,-$TE6)),0)-((IF($TD6&gt;0,N(OFFSET(#REF!,$TD6+WW$2-2,0))/12,0)+$AW6/12)*$BF6+$AX6/12*(1-$BF6))*IW6-$BJ6/12,0)+IF(WW$2=$BM6,IX6*$BH6+IF($X6="IO",$S6+$TE6,-CUMPRINC($W6/12,$X6,$S6,$BM6,$X6,0)+CUMPRINC($W6/12,$X6,-$TE6,$BM6,$X6,0)))</f>
        <v>#REF!</v>
      </c>
      <c r="WX6" s="214" t="e">
        <f ca="1">IF(WX$2&lt;=$BM6,IF($X6="IO",$W6/12*IX6,-IPMT($W6/12,WX$2,$X6,$S6)+$BT6/$BS6)+IFERROR((IX6-IY6+PPMT($W6/12,WX$2,$X6,-$TE6)),0)-((IF($TD6&gt;0,N(OFFSET(#REF!,$TD6+WX$2-2,0))/12,0)+$AW6/12)*$BF6+$AX6/12*(1-$BF6))*IX6-$BJ6/12,0)+IF(WX$2=$BM6,IY6*$BH6+IF($X6="IO",$S6+$TE6,-CUMPRINC($W6/12,$X6,$S6,$BM6,$X6,0)+CUMPRINC($W6/12,$X6,-$TE6,$BM6,$X6,0)))</f>
        <v>#REF!</v>
      </c>
      <c r="WY6" s="214" t="e">
        <f ca="1">IF(WY$2&lt;=$BM6,IF($X6="IO",$W6/12*IY6,-IPMT($W6/12,WY$2,$X6,$S6)+$BT6/$BS6)+IFERROR((IY6-IZ6+PPMT($W6/12,WY$2,$X6,-$TE6)),0)-((IF($TD6&gt;0,N(OFFSET(#REF!,$TD6+WY$2-2,0))/12,0)+$AW6/12)*$BF6+$AX6/12*(1-$BF6))*IY6-$BJ6/12,0)+IF(WY$2=$BM6,IZ6*$BH6+IF($X6="IO",$S6+$TE6,-CUMPRINC($W6/12,$X6,$S6,$BM6,$X6,0)+CUMPRINC($W6/12,$X6,-$TE6,$BM6,$X6,0)))</f>
        <v>#REF!</v>
      </c>
      <c r="WZ6" s="214" t="e">
        <f ca="1">IF(WZ$2&lt;=$BM6,IF($X6="IO",$W6/12*IZ6,-IPMT($W6/12,WZ$2,$X6,$S6)+$BT6/$BS6)+IFERROR((IZ6-JA6+PPMT($W6/12,WZ$2,$X6,-$TE6)),0)-((IF($TD6&gt;0,N(OFFSET(#REF!,$TD6+WZ$2-2,0))/12,0)+$AW6/12)*$BF6+$AX6/12*(1-$BF6))*IZ6-$BJ6/12,0)+IF(WZ$2=$BM6,JA6*$BH6+IF($X6="IO",$S6+$TE6,-CUMPRINC($W6/12,$X6,$S6,$BM6,$X6,0)+CUMPRINC($W6/12,$X6,-$TE6,$BM6,$X6,0)))</f>
        <v>#REF!</v>
      </c>
      <c r="XA6" s="214" t="e">
        <f ca="1">IF(XA$2&lt;=$BM6,IF($X6="IO",$W6/12*JA6,-IPMT($W6/12,XA$2,$X6,$S6)+$BT6/$BS6)+IFERROR((JA6-JB6+PPMT($W6/12,XA$2,$X6,-$TE6)),0)-((IF($TD6&gt;0,N(OFFSET(#REF!,$TD6+XA$2-2,0))/12,0)+$AW6/12)*$BF6+$AX6/12*(1-$BF6))*JA6-$BJ6/12,0)+IF(XA$2=$BM6,JB6*$BH6+IF($X6="IO",$S6+$TE6,-CUMPRINC($W6/12,$X6,$S6,$BM6,$X6,0)+CUMPRINC($W6/12,$X6,-$TE6,$BM6,$X6,0)))</f>
        <v>#REF!</v>
      </c>
      <c r="XB6" s="214" t="e">
        <f ca="1">IF(XB$2&lt;=$BM6,IF($X6="IO",$W6/12*JB6,-IPMT($W6/12,XB$2,$X6,$S6)+$BT6/$BS6)+IFERROR((JB6-JC6+PPMT($W6/12,XB$2,$X6,-$TE6)),0)-((IF($TD6&gt;0,N(OFFSET(#REF!,$TD6+XB$2-2,0))/12,0)+$AW6/12)*$BF6+$AX6/12*(1-$BF6))*JB6-$BJ6/12,0)+IF(XB$2=$BM6,JC6*$BH6+IF($X6="IO",$S6+$TE6,-CUMPRINC($W6/12,$X6,$S6,$BM6,$X6,0)+CUMPRINC($W6/12,$X6,-$TE6,$BM6,$X6,0)))</f>
        <v>#REF!</v>
      </c>
      <c r="XC6" s="214" t="e">
        <f ca="1">IF(XC$2&lt;=$BM6,IF($X6="IO",$W6/12*JC6,-IPMT($W6/12,XC$2,$X6,$S6)+$BT6/$BS6)+IFERROR((JC6-JD6+PPMT($W6/12,XC$2,$X6,-$TE6)),0)-((IF($TD6&gt;0,N(OFFSET(#REF!,$TD6+XC$2-2,0))/12,0)+$AW6/12)*$BF6+$AX6/12*(1-$BF6))*JC6-$BJ6/12,0)+IF(XC$2=$BM6,JD6*$BH6+IF($X6="IO",$S6+$TE6,-CUMPRINC($W6/12,$X6,$S6,$BM6,$X6,0)+CUMPRINC($W6/12,$X6,-$TE6,$BM6,$X6,0)))</f>
        <v>#REF!</v>
      </c>
      <c r="XD6" s="214" t="e">
        <f ca="1">IF(XD$2&lt;=$BM6,IF($X6="IO",$W6/12*JD6,-IPMT($W6/12,XD$2,$X6,$S6)+$BT6/$BS6)+IFERROR((JD6-JE6+PPMT($W6/12,XD$2,$X6,-$TE6)),0)-((IF($TD6&gt;0,N(OFFSET(#REF!,$TD6+XD$2-2,0))/12,0)+$AW6/12)*$BF6+$AX6/12*(1-$BF6))*JD6-$BJ6/12,0)+IF(XD$2=$BM6,JE6*$BH6+IF($X6="IO",$S6+$TE6,-CUMPRINC($W6/12,$X6,$S6,$BM6,$X6,0)+CUMPRINC($W6/12,$X6,-$TE6,$BM6,$X6,0)))</f>
        <v>#REF!</v>
      </c>
      <c r="XE6" s="214" t="e">
        <f ca="1">IF(XE$2&lt;=$BM6,IF($X6="IO",$W6/12*JE6,-IPMT($W6/12,XE$2,$X6,$S6)+$BT6/$BS6)+IFERROR((JE6-JF6+PPMT($W6/12,XE$2,$X6,-$TE6)),0)-((IF($TD6&gt;0,N(OFFSET(#REF!,$TD6+XE$2-2,0))/12,0)+$AW6/12)*$BF6+$AX6/12*(1-$BF6))*JE6-$BJ6/12,0)+IF(XE$2=$BM6,JF6*$BH6+IF($X6="IO",$S6+$TE6,-CUMPRINC($W6/12,$X6,$S6,$BM6,$X6,0)+CUMPRINC($W6/12,$X6,-$TE6,$BM6,$X6,0)))</f>
        <v>#REF!</v>
      </c>
      <c r="XF6" s="214" t="e">
        <f ca="1">IF(XF$2&lt;=$BM6,IF($X6="IO",$W6/12*JF6,-IPMT($W6/12,XF$2,$X6,$S6)+$BT6/$BS6)+IFERROR((JF6-JG6+PPMT($W6/12,XF$2,$X6,-$TE6)),0)-((IF($TD6&gt;0,N(OFFSET(#REF!,$TD6+XF$2-2,0))/12,0)+$AW6/12)*$BF6+$AX6/12*(1-$BF6))*JF6-$BJ6/12,0)+IF(XF$2=$BM6,JG6*$BH6+IF($X6="IO",$S6+$TE6,-CUMPRINC($W6/12,$X6,$S6,$BM6,$X6,0)+CUMPRINC($W6/12,$X6,-$TE6,$BM6,$X6,0)))</f>
        <v>#REF!</v>
      </c>
      <c r="XG6" s="214" t="e">
        <f ca="1">IF(XG$2&lt;=$BM6,IF($X6="IO",$W6/12*JG6,-IPMT($W6/12,XG$2,$X6,$S6)+$BT6/$BS6)+IFERROR((JG6-JH6+PPMT($W6/12,XG$2,$X6,-$TE6)),0)-((IF($TD6&gt;0,N(OFFSET(#REF!,$TD6+XG$2-2,0))/12,0)+$AW6/12)*$BF6+$AX6/12*(1-$BF6))*JG6-$BJ6/12,0)+IF(XG$2=$BM6,JH6*$BH6+IF($X6="IO",$S6+$TE6,-CUMPRINC($W6/12,$X6,$S6,$BM6,$X6,0)+CUMPRINC($W6/12,$X6,-$TE6,$BM6,$X6,0)))</f>
        <v>#REF!</v>
      </c>
      <c r="XH6" s="214" t="e">
        <f ca="1">IF(XH$2&lt;=$BM6,IF($X6="IO",$W6/12*JH6,-IPMT($W6/12,XH$2,$X6,$S6)+$BT6/$BS6)+IFERROR((JH6-JI6+PPMT($W6/12,XH$2,$X6,-$TE6)),0)-((IF($TD6&gt;0,N(OFFSET(#REF!,$TD6+XH$2-2,0))/12,0)+$AW6/12)*$BF6+$AX6/12*(1-$BF6))*JH6-$BJ6/12,0)+IF(XH$2=$BM6,JI6*$BH6+IF($X6="IO",$S6+$TE6,-CUMPRINC($W6/12,$X6,$S6,$BM6,$X6,0)+CUMPRINC($W6/12,$X6,-$TE6,$BM6,$X6,0)))</f>
        <v>#REF!</v>
      </c>
      <c r="XI6" s="214" t="e">
        <f ca="1">IF(XI$2&lt;=$BM6,IF($X6="IO",$W6/12*JI6,-IPMT($W6/12,XI$2,$X6,$S6)+$BT6/$BS6)+IFERROR((JI6-JJ6+PPMT($W6/12,XI$2,$X6,-$TE6)),0)-((IF($TD6&gt;0,N(OFFSET(#REF!,$TD6+XI$2-2,0))/12,0)+$AW6/12)*$BF6+$AX6/12*(1-$BF6))*JI6-$BJ6/12,0)+IF(XI$2=$BM6,JJ6*$BH6+IF($X6="IO",$S6+$TE6,-CUMPRINC($W6/12,$X6,$S6,$BM6,$X6,0)+CUMPRINC($W6/12,$X6,-$TE6,$BM6,$X6,0)))</f>
        <v>#REF!</v>
      </c>
      <c r="XJ6" s="214" t="e">
        <f ca="1">IF(XJ$2&lt;=$BM6,IF($X6="IO",$W6/12*JJ6,-IPMT($W6/12,XJ$2,$X6,$S6)+$BT6/$BS6)+IFERROR((JJ6-JK6+PPMT($W6/12,XJ$2,$X6,-$TE6)),0)-((IF($TD6&gt;0,N(OFFSET(#REF!,$TD6+XJ$2-2,0))/12,0)+$AW6/12)*$BF6+$AX6/12*(1-$BF6))*JJ6-$BJ6/12,0)+IF(XJ$2=$BM6,JK6*$BH6+IF($X6="IO",$S6+$TE6,-CUMPRINC($W6/12,$X6,$S6,$BM6,$X6,0)+CUMPRINC($W6/12,$X6,-$TE6,$BM6,$X6,0)))</f>
        <v>#REF!</v>
      </c>
      <c r="XK6" s="214" t="e">
        <f ca="1">IF(XK$2&lt;=$BM6,IF($X6="IO",$W6/12*JK6,-IPMT($W6/12,XK$2,$X6,$S6)+$BT6/$BS6)+IFERROR((JK6-JL6+PPMT($W6/12,XK$2,$X6,-$TE6)),0)-((IF($TD6&gt;0,N(OFFSET(#REF!,$TD6+XK$2-2,0))/12,0)+$AW6/12)*$BF6+$AX6/12*(1-$BF6))*JK6-$BJ6/12,0)+IF(XK$2=$BM6,JL6*$BH6+IF($X6="IO",$S6+$TE6,-CUMPRINC($W6/12,$X6,$S6,$BM6,$X6,0)+CUMPRINC($W6/12,$X6,-$TE6,$BM6,$X6,0)))</f>
        <v>#REF!</v>
      </c>
      <c r="XL6" s="214" t="e">
        <f ca="1">IF(XL$2&lt;=$BM6,IF($X6="IO",$W6/12*JL6,-IPMT($W6/12,XL$2,$X6,$S6)+$BT6/$BS6)+IFERROR((JL6-JM6+PPMT($W6/12,XL$2,$X6,-$TE6)),0)-((IF($TD6&gt;0,N(OFFSET(#REF!,$TD6+XL$2-2,0))/12,0)+$AW6/12)*$BF6+$AX6/12*(1-$BF6))*JL6-$BJ6/12,0)+IF(XL$2=$BM6,JM6*$BH6+IF($X6="IO",$S6+$TE6,-CUMPRINC($W6/12,$X6,$S6,$BM6,$X6,0)+CUMPRINC($W6/12,$X6,-$TE6,$BM6,$X6,0)))</f>
        <v>#REF!</v>
      </c>
      <c r="XM6" s="214" t="e">
        <f ca="1">IF(XM$2&lt;=$BM6,IF($X6="IO",$W6/12*JM6,-IPMT($W6/12,XM$2,$X6,$S6)+$BT6/$BS6)+IFERROR((JM6-JN6+PPMT($W6/12,XM$2,$X6,-$TE6)),0)-((IF($TD6&gt;0,N(OFFSET(#REF!,$TD6+XM$2-2,0))/12,0)+$AW6/12)*$BF6+$AX6/12*(1-$BF6))*JM6-$BJ6/12,0)+IF(XM$2=$BM6,JN6*$BH6+IF($X6="IO",$S6+$TE6,-CUMPRINC($W6/12,$X6,$S6,$BM6,$X6,0)+CUMPRINC($W6/12,$X6,-$TE6,$BM6,$X6,0)))</f>
        <v>#REF!</v>
      </c>
      <c r="XN6" s="214" t="e">
        <f ca="1">IF(XN$2&lt;=$BM6,IF($X6="IO",$W6/12*JN6,-IPMT($W6/12,XN$2,$X6,$S6)+$BT6/$BS6)+IFERROR((JN6-JO6+PPMT($W6/12,XN$2,$X6,-$TE6)),0)-((IF($TD6&gt;0,N(OFFSET(#REF!,$TD6+XN$2-2,0))/12,0)+$AW6/12)*$BF6+$AX6/12*(1-$BF6))*JN6-$BJ6/12,0)+IF(XN$2=$BM6,JO6*$BH6+IF($X6="IO",$S6+$TE6,-CUMPRINC($W6/12,$X6,$S6,$BM6,$X6,0)+CUMPRINC($W6/12,$X6,-$TE6,$BM6,$X6,0)))</f>
        <v>#REF!</v>
      </c>
      <c r="XO6" s="214" t="e">
        <f ca="1">IF(XO$2&lt;=$BM6,IF($X6="IO",$W6/12*JO6,-IPMT($W6/12,XO$2,$X6,$S6)+$BT6/$BS6)+IFERROR((JO6-JP6+PPMT($W6/12,XO$2,$X6,-$TE6)),0)-((IF($TD6&gt;0,N(OFFSET(#REF!,$TD6+XO$2-2,0))/12,0)+$AW6/12)*$BF6+$AX6/12*(1-$BF6))*JO6-$BJ6/12,0)+IF(XO$2=$BM6,JP6*$BH6+IF($X6="IO",$S6+$TE6,-CUMPRINC($W6/12,$X6,$S6,$BM6,$X6,0)+CUMPRINC($W6/12,$X6,-$TE6,$BM6,$X6,0)))</f>
        <v>#REF!</v>
      </c>
      <c r="XP6" s="214" t="e">
        <f ca="1">IF(XP$2&lt;=$BM6,IF($X6="IO",$W6/12*JP6,-IPMT($W6/12,XP$2,$X6,$S6)+$BT6/$BS6)+IFERROR((JP6-JQ6+PPMT($W6/12,XP$2,$X6,-$TE6)),0)-((IF($TD6&gt;0,N(OFFSET(#REF!,$TD6+XP$2-2,0))/12,0)+$AW6/12)*$BF6+$AX6/12*(1-$BF6))*JP6-$BJ6/12,0)+IF(XP$2=$BM6,JQ6*$BH6+IF($X6="IO",$S6+$TE6,-CUMPRINC($W6/12,$X6,$S6,$BM6,$X6,0)+CUMPRINC($W6/12,$X6,-$TE6,$BM6,$X6,0)))</f>
        <v>#REF!</v>
      </c>
      <c r="XQ6" s="214" t="e">
        <f ca="1">IF(XQ$2&lt;=$BM6,IF($X6="IO",$W6/12*JQ6,-IPMT($W6/12,XQ$2,$X6,$S6)+$BT6/$BS6)+IFERROR((JQ6-JR6+PPMT($W6/12,XQ$2,$X6,-$TE6)),0)-((IF($TD6&gt;0,N(OFFSET(#REF!,$TD6+XQ$2-2,0))/12,0)+$AW6/12)*$BF6+$AX6/12*(1-$BF6))*JQ6-$BJ6/12,0)+IF(XQ$2=$BM6,JR6*$BH6+IF($X6="IO",$S6+$TE6,-CUMPRINC($W6/12,$X6,$S6,$BM6,$X6,0)+CUMPRINC($W6/12,$X6,-$TE6,$BM6,$X6,0)))</f>
        <v>#REF!</v>
      </c>
      <c r="XR6" s="214" t="e">
        <f ca="1">IF(XR$2&lt;=$BM6,IF($X6="IO",$W6/12*JR6,-IPMT($W6/12,XR$2,$X6,$S6)+$BT6/$BS6)+IFERROR((JR6-JS6+PPMT($W6/12,XR$2,$X6,-$TE6)),0)-((IF($TD6&gt;0,N(OFFSET(#REF!,$TD6+XR$2-2,0))/12,0)+$AW6/12)*$BF6+$AX6/12*(1-$BF6))*JR6-$BJ6/12,0)+IF(XR$2=$BM6,JS6*$BH6+IF($X6="IO",$S6+$TE6,-CUMPRINC($W6/12,$X6,$S6,$BM6,$X6,0)+CUMPRINC($W6/12,$X6,-$TE6,$BM6,$X6,0)))</f>
        <v>#REF!</v>
      </c>
      <c r="XS6" s="214" t="e">
        <f ca="1">IF(XS$2&lt;=$BM6,IF($X6="IO",$W6/12*JS6,-IPMT($W6/12,XS$2,$X6,$S6)+$BT6/$BS6)+IFERROR((JS6-JT6+PPMT($W6/12,XS$2,$X6,-$TE6)),0)-((IF($TD6&gt;0,N(OFFSET(#REF!,$TD6+XS$2-2,0))/12,0)+$AW6/12)*$BF6+$AX6/12*(1-$BF6))*JS6-$BJ6/12,0)+IF(XS$2=$BM6,JT6*$BH6+IF($X6="IO",$S6+$TE6,-CUMPRINC($W6/12,$X6,$S6,$BM6,$X6,0)+CUMPRINC($W6/12,$X6,-$TE6,$BM6,$X6,0)))</f>
        <v>#REF!</v>
      </c>
      <c r="XT6" s="214" t="e">
        <f ca="1">IF(XT$2&lt;=$BM6,IF($X6="IO",$W6/12*JT6,-IPMT($W6/12,XT$2,$X6,$S6)+$BT6/$BS6)+IFERROR((JT6-JU6+PPMT($W6/12,XT$2,$X6,-$TE6)),0)-((IF($TD6&gt;0,N(OFFSET(#REF!,$TD6+XT$2-2,0))/12,0)+$AW6/12)*$BF6+$AX6/12*(1-$BF6))*JT6-$BJ6/12,0)+IF(XT$2=$BM6,JU6*$BH6+IF($X6="IO",$S6+$TE6,-CUMPRINC($W6/12,$X6,$S6,$BM6,$X6,0)+CUMPRINC($W6/12,$X6,-$TE6,$BM6,$X6,0)))</f>
        <v>#REF!</v>
      </c>
      <c r="XU6" s="214" t="e">
        <f ca="1">IF(XU$2&lt;=$BM6,IF($X6="IO",$W6/12*JU6,-IPMT($W6/12,XU$2,$X6,$S6)+$BT6/$BS6)+IFERROR((JU6-JV6+PPMT($W6/12,XU$2,$X6,-$TE6)),0)-((IF($TD6&gt;0,N(OFFSET(#REF!,$TD6+XU$2-2,0))/12,0)+$AW6/12)*$BF6+$AX6/12*(1-$BF6))*JU6-$BJ6/12,0)+IF(XU$2=$BM6,JV6*$BH6+IF($X6="IO",$S6+$TE6,-CUMPRINC($W6/12,$X6,$S6,$BM6,$X6,0)+CUMPRINC($W6/12,$X6,-$TE6,$BM6,$X6,0)))</f>
        <v>#REF!</v>
      </c>
      <c r="XV6" s="214" t="e">
        <f ca="1">IF(XV$2&lt;=$BM6,IF($X6="IO",$W6/12*JV6,-IPMT($W6/12,XV$2,$X6,$S6)+$BT6/$BS6)+IFERROR((JV6-JW6+PPMT($W6/12,XV$2,$X6,-$TE6)),0)-((IF($TD6&gt;0,N(OFFSET(#REF!,$TD6+XV$2-2,0))/12,0)+$AW6/12)*$BF6+$AX6/12*(1-$BF6))*JV6-$BJ6/12,0)+IF(XV$2=$BM6,JW6*$BH6+IF($X6="IO",$S6+$TE6,-CUMPRINC($W6/12,$X6,$S6,$BM6,$X6,0)+CUMPRINC($W6/12,$X6,-$TE6,$BM6,$X6,0)))</f>
        <v>#REF!</v>
      </c>
      <c r="XW6" s="214" t="e">
        <f ca="1">IF(XW$2&lt;=$BM6,IF($X6="IO",$W6/12*JW6,-IPMT($W6/12,XW$2,$X6,$S6)+$BT6/$BS6)+IFERROR((JW6-JX6+PPMT($W6/12,XW$2,$X6,-$TE6)),0)-((IF($TD6&gt;0,N(OFFSET(#REF!,$TD6+XW$2-2,0))/12,0)+$AW6/12)*$BF6+$AX6/12*(1-$BF6))*JW6-$BJ6/12,0)+IF(XW$2=$BM6,JX6*$BH6+IF($X6="IO",$S6+$TE6,-CUMPRINC($W6/12,$X6,$S6,$BM6,$X6,0)+CUMPRINC($W6/12,$X6,-$TE6,$BM6,$X6,0)))</f>
        <v>#REF!</v>
      </c>
      <c r="XX6" s="214" t="e">
        <f ca="1">IF(XX$2&lt;=$BM6,IF($X6="IO",$W6/12*JX6,-IPMT($W6/12,XX$2,$X6,$S6)+$BT6/$BS6)+IFERROR((JX6-JY6+PPMT($W6/12,XX$2,$X6,-$TE6)),0)-((IF($TD6&gt;0,N(OFFSET(#REF!,$TD6+XX$2-2,0))/12,0)+$AW6/12)*$BF6+$AX6/12*(1-$BF6))*JX6-$BJ6/12,0)+IF(XX$2=$BM6,JY6*$BH6+IF($X6="IO",$S6+$TE6,-CUMPRINC($W6/12,$X6,$S6,$BM6,$X6,0)+CUMPRINC($W6/12,$X6,-$TE6,$BM6,$X6,0)))</f>
        <v>#REF!</v>
      </c>
      <c r="XY6" s="214" t="e">
        <f ca="1">IF(XY$2&lt;=$BM6,IF($X6="IO",$W6/12*JY6,-IPMT($W6/12,XY$2,$X6,$S6)+$BT6/$BS6)+IFERROR((JY6-JZ6+PPMT($W6/12,XY$2,$X6,-$TE6)),0)-((IF($TD6&gt;0,N(OFFSET(#REF!,$TD6+XY$2-2,0))/12,0)+$AW6/12)*$BF6+$AX6/12*(1-$BF6))*JY6-$BJ6/12,0)+IF(XY$2=$BM6,JZ6*$BH6+IF($X6="IO",$S6+$TE6,-CUMPRINC($W6/12,$X6,$S6,$BM6,$X6,0)+CUMPRINC($W6/12,$X6,-$TE6,$BM6,$X6,0)))</f>
        <v>#REF!</v>
      </c>
      <c r="XZ6" s="214" t="e">
        <f ca="1">IF(XZ$2&lt;=$BM6,IF($X6="IO",$W6/12*JZ6,-IPMT($W6/12,XZ$2,$X6,$S6)+$BT6/$BS6)+IFERROR((JZ6-KA6+PPMT($W6/12,XZ$2,$X6,-$TE6)),0)-((IF($TD6&gt;0,N(OFFSET(#REF!,$TD6+XZ$2-2,0))/12,0)+$AW6/12)*$BF6+$AX6/12*(1-$BF6))*JZ6-$BJ6/12,0)+IF(XZ$2=$BM6,KA6*$BH6+IF($X6="IO",$S6+$TE6,-CUMPRINC($W6/12,$X6,$S6,$BM6,$X6,0)+CUMPRINC($W6/12,$X6,-$TE6,$BM6,$X6,0)))</f>
        <v>#REF!</v>
      </c>
      <c r="YA6" s="214" t="e">
        <f ca="1">IF(YA$2&lt;=$BM6,IF($X6="IO",$W6/12*KA6,-IPMT($W6/12,YA$2,$X6,$S6)+$BT6/$BS6)+IFERROR((KA6-KB6+PPMT($W6/12,YA$2,$X6,-$TE6)),0)-((IF($TD6&gt;0,N(OFFSET(#REF!,$TD6+YA$2-2,0))/12,0)+$AW6/12)*$BF6+$AX6/12*(1-$BF6))*KA6-$BJ6/12,0)+IF(YA$2=$BM6,KB6*$BH6+IF($X6="IO",$S6+$TE6,-CUMPRINC($W6/12,$X6,$S6,$BM6,$X6,0)+CUMPRINC($W6/12,$X6,-$TE6,$BM6,$X6,0)))</f>
        <v>#REF!</v>
      </c>
      <c r="YB6" s="214" t="e">
        <f ca="1">IF(YB$2&lt;=$BM6,IF($X6="IO",$W6/12*KB6,-IPMT($W6/12,YB$2,$X6,$S6)+$BT6/$BS6)+IFERROR((KB6-KC6+PPMT($W6/12,YB$2,$X6,-$TE6)),0)-((IF($TD6&gt;0,N(OFFSET(#REF!,$TD6+YB$2-2,0))/12,0)+$AW6/12)*$BF6+$AX6/12*(1-$BF6))*KB6-$BJ6/12,0)+IF(YB$2=$BM6,KC6*$BH6+IF($X6="IO",$S6+$TE6,-CUMPRINC($W6/12,$X6,$S6,$BM6,$X6,0)+CUMPRINC($W6/12,$X6,-$TE6,$BM6,$X6,0)))</f>
        <v>#REF!</v>
      </c>
      <c r="YC6" s="214" t="e">
        <f ca="1">IF(YC$2&lt;=$BM6,IF($X6="IO",$W6/12*KC6,-IPMT($W6/12,YC$2,$X6,$S6)+$BT6/$BS6)+IFERROR((KC6-KD6+PPMT($W6/12,YC$2,$X6,-$TE6)),0)-((IF($TD6&gt;0,N(OFFSET(#REF!,$TD6+YC$2-2,0))/12,0)+$AW6/12)*$BF6+$AX6/12*(1-$BF6))*KC6-$BJ6/12,0)+IF(YC$2=$BM6,KD6*$BH6+IF($X6="IO",$S6+$TE6,-CUMPRINC($W6/12,$X6,$S6,$BM6,$X6,0)+CUMPRINC($W6/12,$X6,-$TE6,$BM6,$X6,0)))</f>
        <v>#REF!</v>
      </c>
      <c r="YD6" s="214" t="e">
        <f ca="1">IF(YD$2&lt;=$BM6,IF($X6="IO",$W6/12*KD6,-IPMT($W6/12,YD$2,$X6,$S6)+$BT6/$BS6)+IFERROR((KD6-KE6+PPMT($W6/12,YD$2,$X6,-$TE6)),0)-((IF($TD6&gt;0,N(OFFSET(#REF!,$TD6+YD$2-2,0))/12,0)+$AW6/12)*$BF6+$AX6/12*(1-$BF6))*KD6-$BJ6/12,0)+IF(YD$2=$BM6,KE6*$BH6+IF($X6="IO",$S6+$TE6,-CUMPRINC($W6/12,$X6,$S6,$BM6,$X6,0)+CUMPRINC($W6/12,$X6,-$TE6,$BM6,$X6,0)))</f>
        <v>#REF!</v>
      </c>
      <c r="YE6" s="214" t="e">
        <f ca="1">IF(YE$2&lt;=$BM6,IF($X6="IO",$W6/12*KE6,-IPMT($W6/12,YE$2,$X6,$S6)+$BT6/$BS6)+IFERROR((KE6-KF6+PPMT($W6/12,YE$2,$X6,-$TE6)),0)-((IF($TD6&gt;0,N(OFFSET(#REF!,$TD6+YE$2-2,0))/12,0)+$AW6/12)*$BF6+$AX6/12*(1-$BF6))*KE6-$BJ6/12,0)+IF(YE$2=$BM6,KF6*$BH6+IF($X6="IO",$S6+$TE6,-CUMPRINC($W6/12,$X6,$S6,$BM6,$X6,0)+CUMPRINC($W6/12,$X6,-$TE6,$BM6,$X6,0)))</f>
        <v>#REF!</v>
      </c>
      <c r="YF6" s="214" t="e">
        <f ca="1">IF(YF$2&lt;=$BM6,IF($X6="IO",$W6/12*KF6,-IPMT($W6/12,YF$2,$X6,$S6)+$BT6/$BS6)+IFERROR((KF6-KG6+PPMT($W6/12,YF$2,$X6,-$TE6)),0)-((IF($TD6&gt;0,N(OFFSET(#REF!,$TD6+YF$2-2,0))/12,0)+$AW6/12)*$BF6+$AX6/12*(1-$BF6))*KF6-$BJ6/12,0)+IF(YF$2=$BM6,KG6*$BH6+IF($X6="IO",$S6+$TE6,-CUMPRINC($W6/12,$X6,$S6,$BM6,$X6,0)+CUMPRINC($W6/12,$X6,-$TE6,$BM6,$X6,0)))</f>
        <v>#REF!</v>
      </c>
      <c r="YG6" s="214" t="e">
        <f ca="1">IF(YG$2&lt;=$BM6,IF($X6="IO",$W6/12*KG6,-IPMT($W6/12,YG$2,$X6,$S6)+$BT6/$BS6)+IFERROR((KG6-KH6+PPMT($W6/12,YG$2,$X6,-$TE6)),0)-((IF($TD6&gt;0,N(OFFSET(#REF!,$TD6+YG$2-2,0))/12,0)+$AW6/12)*$BF6+$AX6/12*(1-$BF6))*KG6-$BJ6/12,0)+IF(YG$2=$BM6,KH6*$BH6+IF($X6="IO",$S6+$TE6,-CUMPRINC($W6/12,$X6,$S6,$BM6,$X6,0)+CUMPRINC($W6/12,$X6,-$TE6,$BM6,$X6,0)))</f>
        <v>#REF!</v>
      </c>
      <c r="YH6" s="214" t="e">
        <f ca="1">IF(YH$2&lt;=$BM6,IF($X6="IO",$W6/12*KH6,-IPMT($W6/12,YH$2,$X6,$S6)+$BT6/$BS6)+IFERROR((KH6-KI6+PPMT($W6/12,YH$2,$X6,-$TE6)),0)-((IF($TD6&gt;0,N(OFFSET(#REF!,$TD6+YH$2-2,0))/12,0)+$AW6/12)*$BF6+$AX6/12*(1-$BF6))*KH6-$BJ6/12,0)+IF(YH$2=$BM6,KI6*$BH6+IF($X6="IO",$S6+$TE6,-CUMPRINC($W6/12,$X6,$S6,$BM6,$X6,0)+CUMPRINC($W6/12,$X6,-$TE6,$BM6,$X6,0)))</f>
        <v>#REF!</v>
      </c>
      <c r="YI6" s="214" t="e">
        <f ca="1">IF(YI$2&lt;=$BM6,IF($X6="IO",$W6/12*KI6,-IPMT($W6/12,YI$2,$X6,$S6)+$BT6/$BS6)+IFERROR((KI6-KJ6+PPMT($W6/12,YI$2,$X6,-$TE6)),0)-((IF($TD6&gt;0,N(OFFSET(#REF!,$TD6+YI$2-2,0))/12,0)+$AW6/12)*$BF6+$AX6/12*(1-$BF6))*KI6-$BJ6/12,0)+IF(YI$2=$BM6,KJ6*$BH6+IF($X6="IO",$S6+$TE6,-CUMPRINC($W6/12,$X6,$S6,$BM6,$X6,0)+CUMPRINC($W6/12,$X6,-$TE6,$BM6,$X6,0)))</f>
        <v>#REF!</v>
      </c>
      <c r="YJ6" s="214" t="e">
        <f ca="1">IF(YJ$2&lt;=$BM6,IF($X6="IO",$W6/12*KJ6,-IPMT($W6/12,YJ$2,$X6,$S6)+$BT6/$BS6)+IFERROR((KJ6-KK6+PPMT($W6/12,YJ$2,$X6,-$TE6)),0)-((IF($TD6&gt;0,N(OFFSET(#REF!,$TD6+YJ$2-2,0))/12,0)+$AW6/12)*$BF6+$AX6/12*(1-$BF6))*KJ6-$BJ6/12,0)+IF(YJ$2=$BM6,KK6*$BH6+IF($X6="IO",$S6+$TE6,-CUMPRINC($W6/12,$X6,$S6,$BM6,$X6,0)+CUMPRINC($W6/12,$X6,-$TE6,$BM6,$X6,0)))</f>
        <v>#REF!</v>
      </c>
      <c r="YK6" s="214" t="e">
        <f ca="1">IF(YK$2&lt;=$BM6,IF($X6="IO",$W6/12*KK6,-IPMT($W6/12,YK$2,$X6,$S6)+$BT6/$BS6)+IFERROR((KK6-KL6+PPMT($W6/12,YK$2,$X6,-$TE6)),0)-((IF($TD6&gt;0,N(OFFSET(#REF!,$TD6+YK$2-2,0))/12,0)+$AW6/12)*$BF6+$AX6/12*(1-$BF6))*KK6-$BJ6/12,0)+IF(YK$2=$BM6,KL6*$BH6+IF($X6="IO",$S6+$TE6,-CUMPRINC($W6/12,$X6,$S6,$BM6,$X6,0)+CUMPRINC($W6/12,$X6,-$TE6,$BM6,$X6,0)))</f>
        <v>#REF!</v>
      </c>
      <c r="YL6" s="214" t="e">
        <f ca="1">IF(YL$2&lt;=$BM6,IF($X6="IO",$W6/12*KL6,-IPMT($W6/12,YL$2,$X6,$S6)+$BT6/$BS6)+IFERROR((KL6-KM6+PPMT($W6/12,YL$2,$X6,-$TE6)),0)-((IF($TD6&gt;0,N(OFFSET(#REF!,$TD6+YL$2-2,0))/12,0)+$AW6/12)*$BF6+$AX6/12*(1-$BF6))*KL6-$BJ6/12,0)+IF(YL$2=$BM6,KM6*$BH6+IF($X6="IO",$S6+$TE6,-CUMPRINC($W6/12,$X6,$S6,$BM6,$X6,0)+CUMPRINC($W6/12,$X6,-$TE6,$BM6,$X6,0)))</f>
        <v>#REF!</v>
      </c>
      <c r="YM6" s="214" t="e">
        <f ca="1">IF(YM$2&lt;=$BM6,IF($X6="IO",$W6/12*KM6,-IPMT($W6/12,YM$2,$X6,$S6)+$BT6/$BS6)+IFERROR((KM6-KN6+PPMT($W6/12,YM$2,$X6,-$TE6)),0)-((IF($TD6&gt;0,N(OFFSET(#REF!,$TD6+YM$2-2,0))/12,0)+$AW6/12)*$BF6+$AX6/12*(1-$BF6))*KM6-$BJ6/12,0)+IF(YM$2=$BM6,KN6*$BH6+IF($X6="IO",$S6+$TE6,-CUMPRINC($W6/12,$X6,$S6,$BM6,$X6,0)+CUMPRINC($W6/12,$X6,-$TE6,$BM6,$X6,0)))</f>
        <v>#REF!</v>
      </c>
      <c r="YN6" s="214" t="e">
        <f ca="1">IF(YN$2&lt;=$BM6,IF($X6="IO",$W6/12*KN6,-IPMT($W6/12,YN$2,$X6,$S6)+$BT6/$BS6)+IFERROR((KN6-KO6+PPMT($W6/12,YN$2,$X6,-$TE6)),0)-((IF($TD6&gt;0,N(OFFSET(#REF!,$TD6+YN$2-2,0))/12,0)+$AW6/12)*$BF6+$AX6/12*(1-$BF6))*KN6-$BJ6/12,0)+IF(YN$2=$BM6,KO6*$BH6+IF($X6="IO",$S6+$TE6,-CUMPRINC($W6/12,$X6,$S6,$BM6,$X6,0)+CUMPRINC($W6/12,$X6,-$TE6,$BM6,$X6,0)))</f>
        <v>#REF!</v>
      </c>
      <c r="YO6" s="214" t="e">
        <f ca="1">IF(YO$2&lt;=$BM6,IF($X6="IO",$W6/12*KO6,-IPMT($W6/12,YO$2,$X6,$S6)+$BT6/$BS6)+IFERROR((KO6-KP6+PPMT($W6/12,YO$2,$X6,-$TE6)),0)-((IF($TD6&gt;0,N(OFFSET(#REF!,$TD6+YO$2-2,0))/12,0)+$AW6/12)*$BF6+$AX6/12*(1-$BF6))*KO6-$BJ6/12,0)+IF(YO$2=$BM6,KP6*$BH6+IF($X6="IO",$S6+$TE6,-CUMPRINC($W6/12,$X6,$S6,$BM6,$X6,0)+CUMPRINC($W6/12,$X6,-$TE6,$BM6,$X6,0)))</f>
        <v>#REF!</v>
      </c>
      <c r="YP6" s="214" t="e">
        <f ca="1">IF(YP$2&lt;=$BM6,IF($X6="IO",$W6/12*KP6,-IPMT($W6/12,YP$2,$X6,$S6)+$BT6/$BS6)+IFERROR((KP6-KQ6+PPMT($W6/12,YP$2,$X6,-$TE6)),0)-((IF($TD6&gt;0,N(OFFSET(#REF!,$TD6+YP$2-2,0))/12,0)+$AW6/12)*$BF6+$AX6/12*(1-$BF6))*KP6-$BJ6/12,0)+IF(YP$2=$BM6,KQ6*$BH6+IF($X6="IO",$S6+$TE6,-CUMPRINC($W6/12,$X6,$S6,$BM6,$X6,0)+CUMPRINC($W6/12,$X6,-$TE6,$BM6,$X6,0)))</f>
        <v>#REF!</v>
      </c>
      <c r="YQ6" s="214" t="e">
        <f ca="1">IF(YQ$2&lt;=$BM6,IF($X6="IO",$W6/12*KQ6,-IPMT($W6/12,YQ$2,$X6,$S6)+$BT6/$BS6)+IFERROR((KQ6-KR6+PPMT($W6/12,YQ$2,$X6,-$TE6)),0)-((IF($TD6&gt;0,N(OFFSET(#REF!,$TD6+YQ$2-2,0))/12,0)+$AW6/12)*$BF6+$AX6/12*(1-$BF6))*KQ6-$BJ6/12,0)+IF(YQ$2=$BM6,KR6*$BH6+IF($X6="IO",$S6+$TE6,-CUMPRINC($W6/12,$X6,$S6,$BM6,$X6,0)+CUMPRINC($W6/12,$X6,-$TE6,$BM6,$X6,0)))</f>
        <v>#REF!</v>
      </c>
      <c r="YR6" s="214" t="e">
        <f ca="1">IF(YR$2&lt;=$BM6,IF($X6="IO",$W6/12*KR6,-IPMT($W6/12,YR$2,$X6,$S6)+$BT6/$BS6)+IFERROR((KR6-KS6+PPMT($W6/12,YR$2,$X6,-$TE6)),0)-((IF($TD6&gt;0,N(OFFSET(#REF!,$TD6+YR$2-2,0))/12,0)+$AW6/12)*$BF6+$AX6/12*(1-$BF6))*KR6-$BJ6/12,0)+IF(YR$2=$BM6,KS6*$BH6+IF($X6="IO",$S6+$TE6,-CUMPRINC($W6/12,$X6,$S6,$BM6,$X6,0)+CUMPRINC($W6/12,$X6,-$TE6,$BM6,$X6,0)))</f>
        <v>#REF!</v>
      </c>
      <c r="YS6" s="214" t="e">
        <f ca="1">IF(YS$2&lt;=$BM6,IF($X6="IO",$W6/12*KS6,-IPMT($W6/12,YS$2,$X6,$S6)+$BT6/$BS6)+IFERROR((KS6-KT6+PPMT($W6/12,YS$2,$X6,-$TE6)),0)-((IF($TD6&gt;0,N(OFFSET(#REF!,$TD6+YS$2-2,0))/12,0)+$AW6/12)*$BF6+$AX6/12*(1-$BF6))*KS6-$BJ6/12,0)+IF(YS$2=$BM6,KT6*$BH6+IF($X6="IO",$S6+$TE6,-CUMPRINC($W6/12,$X6,$S6,$BM6,$X6,0)+CUMPRINC($W6/12,$X6,-$TE6,$BM6,$X6,0)))</f>
        <v>#REF!</v>
      </c>
      <c r="YT6" s="214" t="e">
        <f ca="1">IF(YT$2&lt;=$BM6,IF($X6="IO",$W6/12*KT6,-IPMT($W6/12,YT$2,$X6,$S6)+$BT6/$BS6)+IFERROR((KT6-KU6+PPMT($W6/12,YT$2,$X6,-$TE6)),0)-((IF($TD6&gt;0,N(OFFSET(#REF!,$TD6+YT$2-2,0))/12,0)+$AW6/12)*$BF6+$AX6/12*(1-$BF6))*KT6-$BJ6/12,0)+IF(YT$2=$BM6,KU6*$BH6+IF($X6="IO",$S6+$TE6,-CUMPRINC($W6/12,$X6,$S6,$BM6,$X6,0)+CUMPRINC($W6/12,$X6,-$TE6,$BM6,$X6,0)))</f>
        <v>#REF!</v>
      </c>
      <c r="YU6" s="214" t="e">
        <f ca="1">IF(YU$2&lt;=$BM6,IF($X6="IO",$W6/12*KU6,-IPMT($W6/12,YU$2,$X6,$S6)+$BT6/$BS6)+IFERROR((KU6-KV6+PPMT($W6/12,YU$2,$X6,-$TE6)),0)-((IF($TD6&gt;0,N(OFFSET(#REF!,$TD6+YU$2-2,0))/12,0)+$AW6/12)*$BF6+$AX6/12*(1-$BF6))*KU6-$BJ6/12,0)+IF(YU$2=$BM6,KV6*$BH6+IF($X6="IO",$S6+$TE6,-CUMPRINC($W6/12,$X6,$S6,$BM6,$X6,0)+CUMPRINC($W6/12,$X6,-$TE6,$BM6,$X6,0)))</f>
        <v>#REF!</v>
      </c>
      <c r="YV6" s="214" t="e">
        <f ca="1">IF(YV$2&lt;=$BM6,IF($X6="IO",$W6/12*KV6,-IPMT($W6/12,YV$2,$X6,$S6)+$BT6/$BS6)+IFERROR((KV6-KW6+PPMT($W6/12,YV$2,$X6,-$TE6)),0)-((IF($TD6&gt;0,N(OFFSET(#REF!,$TD6+YV$2-2,0))/12,0)+$AW6/12)*$BF6+$AX6/12*(1-$BF6))*KV6-$BJ6/12,0)+IF(YV$2=$BM6,KW6*$BH6+IF($X6="IO",$S6+$TE6,-CUMPRINC($W6/12,$X6,$S6,$BM6,$X6,0)+CUMPRINC($W6/12,$X6,-$TE6,$BM6,$X6,0)))</f>
        <v>#REF!</v>
      </c>
      <c r="YW6" s="214" t="e">
        <f ca="1">IF(YW$2&lt;=$BM6,IF($X6="IO",$W6/12*KW6,-IPMT($W6/12,YW$2,$X6,$S6)+$BT6/$BS6)+IFERROR((KW6-KX6+PPMT($W6/12,YW$2,$X6,-$TE6)),0)-((IF($TD6&gt;0,N(OFFSET(#REF!,$TD6+YW$2-2,0))/12,0)+$AW6/12)*$BF6+$AX6/12*(1-$BF6))*KW6-$BJ6/12,0)+IF(YW$2=$BM6,KX6*$BH6+IF($X6="IO",$S6+$TE6,-CUMPRINC($W6/12,$X6,$S6,$BM6,$X6,0)+CUMPRINC($W6/12,$X6,-$TE6,$BM6,$X6,0)))</f>
        <v>#REF!</v>
      </c>
      <c r="YX6" s="214" t="e">
        <f ca="1">IF(YX$2&lt;=$BM6,IF($X6="IO",$W6/12*KX6,-IPMT($W6/12,YX$2,$X6,$S6)+$BT6/$BS6)+IFERROR((KX6-KY6+PPMT($W6/12,YX$2,$X6,-$TE6)),0)-((IF($TD6&gt;0,N(OFFSET(#REF!,$TD6+YX$2-2,0))/12,0)+$AW6/12)*$BF6+$AX6/12*(1-$BF6))*KX6-$BJ6/12,0)+IF(YX$2=$BM6,KY6*$BH6+IF($X6="IO",$S6+$TE6,-CUMPRINC($W6/12,$X6,$S6,$BM6,$X6,0)+CUMPRINC($W6/12,$X6,-$TE6,$BM6,$X6,0)))</f>
        <v>#REF!</v>
      </c>
      <c r="YY6" s="214" t="e">
        <f ca="1">IF(YY$2&lt;=$BM6,IF($X6="IO",$W6/12*KY6,-IPMT($W6/12,YY$2,$X6,$S6)+$BT6/$BS6)+IFERROR((KY6-KZ6+PPMT($W6/12,YY$2,$X6,-$TE6)),0)-((IF($TD6&gt;0,N(OFFSET(#REF!,$TD6+YY$2-2,0))/12,0)+$AW6/12)*$BF6+$AX6/12*(1-$BF6))*KY6-$BJ6/12,0)+IF(YY$2=$BM6,KZ6*$BH6+IF($X6="IO",$S6+$TE6,-CUMPRINC($W6/12,$X6,$S6,$BM6,$X6,0)+CUMPRINC($W6/12,$X6,-$TE6,$BM6,$X6,0)))</f>
        <v>#REF!</v>
      </c>
      <c r="YZ6" s="214" t="e">
        <f ca="1">IF(YZ$2&lt;=$BM6,IF($X6="IO",$W6/12*KZ6,-IPMT($W6/12,YZ$2,$X6,$S6)+$BT6/$BS6)+IFERROR((KZ6-LA6+PPMT($W6/12,YZ$2,$X6,-$TE6)),0)-((IF($TD6&gt;0,N(OFFSET(#REF!,$TD6+YZ$2-2,0))/12,0)+$AW6/12)*$BF6+$AX6/12*(1-$BF6))*KZ6-$BJ6/12,0)+IF(YZ$2=$BM6,LA6*$BH6+IF($X6="IO",$S6+$TE6,-CUMPRINC($W6/12,$X6,$S6,$BM6,$X6,0)+CUMPRINC($W6/12,$X6,-$TE6,$BM6,$X6,0)))</f>
        <v>#REF!</v>
      </c>
      <c r="ZA6" s="214" t="e">
        <f ca="1">IF(ZA$2&lt;=$BM6,IF($X6="IO",$W6/12*LA6,-IPMT($W6/12,ZA$2,$X6,$S6)+$BT6/$BS6)+IFERROR((LA6-LB6+PPMT($W6/12,ZA$2,$X6,-$TE6)),0)-((IF($TD6&gt;0,N(OFFSET(#REF!,$TD6+ZA$2-2,0))/12,0)+$AW6/12)*$BF6+$AX6/12*(1-$BF6))*LA6-$BJ6/12,0)+IF(ZA$2=$BM6,LB6*$BH6+IF($X6="IO",$S6+$TE6,-CUMPRINC($W6/12,$X6,$S6,$BM6,$X6,0)+CUMPRINC($W6/12,$X6,-$TE6,$BM6,$X6,0)))</f>
        <v>#REF!</v>
      </c>
      <c r="ZB6" s="214" t="e">
        <f ca="1">IF(ZB$2&lt;=$BM6,IF($X6="IO",$W6/12*LB6,-IPMT($W6/12,ZB$2,$X6,$S6)+$BT6/$BS6)+IFERROR((LB6-LC6+PPMT($W6/12,ZB$2,$X6,-$TE6)),0)-((IF($TD6&gt;0,N(OFFSET(#REF!,$TD6+ZB$2-2,0))/12,0)+$AW6/12)*$BF6+$AX6/12*(1-$BF6))*LB6-$BJ6/12,0)+IF(ZB$2=$BM6,LC6*$BH6+IF($X6="IO",$S6+$TE6,-CUMPRINC($W6/12,$X6,$S6,$BM6,$X6,0)+CUMPRINC($W6/12,$X6,-$TE6,$BM6,$X6,0)))</f>
        <v>#REF!</v>
      </c>
      <c r="ZC6" s="214" t="e">
        <f ca="1">IF(ZC$2&lt;=$BM6,IF($X6="IO",$W6/12*LC6,-IPMT($W6/12,ZC$2,$X6,$S6)+$BT6/$BS6)+IFERROR((LC6-LD6+PPMT($W6/12,ZC$2,$X6,-$TE6)),0)-((IF($TD6&gt;0,N(OFFSET(#REF!,$TD6+ZC$2-2,0))/12,0)+$AW6/12)*$BF6+$AX6/12*(1-$BF6))*LC6-$BJ6/12,0)+IF(ZC$2=$BM6,LD6*$BH6+IF($X6="IO",$S6+$TE6,-CUMPRINC($W6/12,$X6,$S6,$BM6,$X6,0)+CUMPRINC($W6/12,$X6,-$TE6,$BM6,$X6,0)))</f>
        <v>#REF!</v>
      </c>
      <c r="ZD6" s="214" t="e">
        <f ca="1">IF(ZD$2&lt;=$BM6,IF($X6="IO",$W6/12*LD6,-IPMT($W6/12,ZD$2,$X6,$S6)+$BT6/$BS6)+IFERROR((LD6-LE6+PPMT($W6/12,ZD$2,$X6,-$TE6)),0)-((IF($TD6&gt;0,N(OFFSET(#REF!,$TD6+ZD$2-2,0))/12,0)+$AW6/12)*$BF6+$AX6/12*(1-$BF6))*LD6-$BJ6/12,0)+IF(ZD$2=$BM6,LE6*$BH6+IF($X6="IO",$S6+$TE6,-CUMPRINC($W6/12,$X6,$S6,$BM6,$X6,0)+CUMPRINC($W6/12,$X6,-$TE6,$BM6,$X6,0)))</f>
        <v>#REF!</v>
      </c>
      <c r="ZE6" s="214" t="e">
        <f ca="1">IF(ZE$2&lt;=$BM6,IF($X6="IO",$W6/12*LE6,-IPMT($W6/12,ZE$2,$X6,$S6)+$BT6/$BS6)+IFERROR((LE6-LF6+PPMT($W6/12,ZE$2,$X6,-$TE6)),0)-((IF($TD6&gt;0,N(OFFSET(#REF!,$TD6+ZE$2-2,0))/12,0)+$AW6/12)*$BF6+$AX6/12*(1-$BF6))*LE6-$BJ6/12,0)+IF(ZE$2=$BM6,LF6*$BH6+IF($X6="IO",$S6+$TE6,-CUMPRINC($W6/12,$X6,$S6,$BM6,$X6,0)+CUMPRINC($W6/12,$X6,-$TE6,$BM6,$X6,0)))</f>
        <v>#REF!</v>
      </c>
      <c r="ZF6" s="214" t="e">
        <f ca="1">IF(ZF$2&lt;=$BM6,IF($X6="IO",$W6/12*LF6,-IPMT($W6/12,ZF$2,$X6,$S6)+$BT6/$BS6)+IFERROR((LF6-LG6+PPMT($W6/12,ZF$2,$X6,-$TE6)),0)-((IF($TD6&gt;0,N(OFFSET(#REF!,$TD6+ZF$2-2,0))/12,0)+$AW6/12)*$BF6+$AX6/12*(1-$BF6))*LF6-$BJ6/12,0)+IF(ZF$2=$BM6,LG6*$BH6+IF($X6="IO",$S6+$TE6,-CUMPRINC($W6/12,$X6,$S6,$BM6,$X6,0)+CUMPRINC($W6/12,$X6,-$TE6,$BM6,$X6,0)))</f>
        <v>#REF!</v>
      </c>
      <c r="ZG6" s="214" t="e">
        <f ca="1">IF(ZG$2&lt;=$BM6,IF($X6="IO",$W6/12*LG6,-IPMT($W6/12,ZG$2,$X6,$S6)+$BT6/$BS6)+IFERROR((LG6-LH6+PPMT($W6/12,ZG$2,$X6,-$TE6)),0)-((IF($TD6&gt;0,N(OFFSET(#REF!,$TD6+ZG$2-2,0))/12,0)+$AW6/12)*$BF6+$AX6/12*(1-$BF6))*LG6-$BJ6/12,0)+IF(ZG$2=$BM6,LH6*$BH6+IF($X6="IO",$S6+$TE6,-CUMPRINC($W6/12,$X6,$S6,$BM6,$X6,0)+CUMPRINC($W6/12,$X6,-$TE6,$BM6,$X6,0)))</f>
        <v>#REF!</v>
      </c>
      <c r="ZH6" s="214" t="e">
        <f ca="1">IF(ZH$2&lt;=$BM6,IF($X6="IO",$W6/12*LH6,-IPMT($W6/12,ZH$2,$X6,$S6)+$BT6/$BS6)+IFERROR((LH6-LI6+PPMT($W6/12,ZH$2,$X6,-$TE6)),0)-((IF($TD6&gt;0,N(OFFSET(#REF!,$TD6+ZH$2-2,0))/12,0)+$AW6/12)*$BF6+$AX6/12*(1-$BF6))*LH6-$BJ6/12,0)+IF(ZH$2=$BM6,LI6*$BH6+IF($X6="IO",$S6+$TE6,-CUMPRINC($W6/12,$X6,$S6,$BM6,$X6,0)+CUMPRINC($W6/12,$X6,-$TE6,$BM6,$X6,0)))</f>
        <v>#REF!</v>
      </c>
      <c r="ZI6" s="214" t="e">
        <f ca="1">IF(ZI$2&lt;=$BM6,IF($X6="IO",$W6/12*LI6,-IPMT($W6/12,ZI$2,$X6,$S6)+$BT6/$BS6)+IFERROR((LI6-LJ6+PPMT($W6/12,ZI$2,$X6,-$TE6)),0)-((IF($TD6&gt;0,N(OFFSET(#REF!,$TD6+ZI$2-2,0))/12,0)+$AW6/12)*$BF6+$AX6/12*(1-$BF6))*LI6-$BJ6/12,0)+IF(ZI$2=$BM6,LJ6*$BH6+IF($X6="IO",$S6+$TE6,-CUMPRINC($W6/12,$X6,$S6,$BM6,$X6,0)+CUMPRINC($W6/12,$X6,-$TE6,$BM6,$X6,0)))</f>
        <v>#REF!</v>
      </c>
      <c r="ZJ6" s="214" t="e">
        <f ca="1">IF(ZJ$2&lt;=$BM6,IF($X6="IO",$W6/12*LJ6,-IPMT($W6/12,ZJ$2,$X6,$S6)+$BT6/$BS6)+IFERROR((LJ6-LK6+PPMT($W6/12,ZJ$2,$X6,-$TE6)),0)-((IF($TD6&gt;0,N(OFFSET(#REF!,$TD6+ZJ$2-2,0))/12,0)+$AW6/12)*$BF6+$AX6/12*(1-$BF6))*LJ6-$BJ6/12,0)+IF(ZJ$2=$BM6,LK6*$BH6+IF($X6="IO",$S6+$TE6,-CUMPRINC($W6/12,$X6,$S6,$BM6,$X6,0)+CUMPRINC($W6/12,$X6,-$TE6,$BM6,$X6,0)))</f>
        <v>#REF!</v>
      </c>
      <c r="ZK6" s="214" t="e">
        <f ca="1">IF(ZK$2&lt;=$BM6,IF($X6="IO",$W6/12*LK6,-IPMT($W6/12,ZK$2,$X6,$S6)+$BT6/$BS6)+IFERROR((LK6-LL6+PPMT($W6/12,ZK$2,$X6,-$TE6)),0)-((IF($TD6&gt;0,N(OFFSET(#REF!,$TD6+ZK$2-2,0))/12,0)+$AW6/12)*$BF6+$AX6/12*(1-$BF6))*LK6-$BJ6/12,0)+IF(ZK$2=$BM6,LL6*$BH6+IF($X6="IO",$S6+$TE6,-CUMPRINC($W6/12,$X6,$S6,$BM6,$X6,0)+CUMPRINC($W6/12,$X6,-$TE6,$BM6,$X6,0)))</f>
        <v>#REF!</v>
      </c>
      <c r="ZL6" s="214" t="e">
        <f ca="1">IF(ZL$2&lt;=$BM6,IF($X6="IO",$W6/12*LL6,-IPMT($W6/12,ZL$2,$X6,$S6)+$BT6/$BS6)+IFERROR((LL6-LM6+PPMT($W6/12,ZL$2,$X6,-$TE6)),0)-((IF($TD6&gt;0,N(OFFSET(#REF!,$TD6+ZL$2-2,0))/12,0)+$AW6/12)*$BF6+$AX6/12*(1-$BF6))*LL6-$BJ6/12,0)+IF(ZL$2=$BM6,LM6*$BH6+IF($X6="IO",$S6+$TE6,-CUMPRINC($W6/12,$X6,$S6,$BM6,$X6,0)+CUMPRINC($W6/12,$X6,-$TE6,$BM6,$X6,0)))</f>
        <v>#REF!</v>
      </c>
      <c r="ZM6" s="214" t="e">
        <f ca="1">IF(ZM$2&lt;=$BM6,IF($X6="IO",$W6/12*LM6,-IPMT($W6/12,ZM$2,$X6,$S6)+$BT6/$BS6)+IFERROR((LM6-LN6+PPMT($W6/12,ZM$2,$X6,-$TE6)),0)-((IF($TD6&gt;0,N(OFFSET(#REF!,$TD6+ZM$2-2,0))/12,0)+$AW6/12)*$BF6+$AX6/12*(1-$BF6))*LM6-$BJ6/12,0)+IF(ZM$2=$BM6,LN6*$BH6+IF($X6="IO",$S6+$TE6,-CUMPRINC($W6/12,$X6,$S6,$BM6,$X6,0)+CUMPRINC($W6/12,$X6,-$TE6,$BM6,$X6,0)))</f>
        <v>#REF!</v>
      </c>
      <c r="ZN6" s="214" t="e">
        <f ca="1">IF(ZN$2&lt;=$BM6,IF($X6="IO",$W6/12*LN6,-IPMT($W6/12,ZN$2,$X6,$S6)+$BT6/$BS6)+IFERROR((LN6-LO6+PPMT($W6/12,ZN$2,$X6,-$TE6)),0)-((IF($TD6&gt;0,N(OFFSET(#REF!,$TD6+ZN$2-2,0))/12,0)+$AW6/12)*$BF6+$AX6/12*(1-$BF6))*LN6-$BJ6/12,0)+IF(ZN$2=$BM6,LO6*$BH6+IF($X6="IO",$S6+$TE6,-CUMPRINC($W6/12,$X6,$S6,$BM6,$X6,0)+CUMPRINC($W6/12,$X6,-$TE6,$BM6,$X6,0)))</f>
        <v>#REF!</v>
      </c>
      <c r="ZO6" s="214" t="e">
        <f ca="1">IF(ZO$2&lt;=$BM6,IF($X6="IO",$W6/12*LO6,-IPMT($W6/12,ZO$2,$X6,$S6)+$BT6/$BS6)+IFERROR((LO6-LP6+PPMT($W6/12,ZO$2,$X6,-$TE6)),0)-((IF($TD6&gt;0,N(OFFSET(#REF!,$TD6+ZO$2-2,0))/12,0)+$AW6/12)*$BF6+$AX6/12*(1-$BF6))*LO6-$BJ6/12,0)+IF(ZO$2=$BM6,LP6*$BH6+IF($X6="IO",$S6+$TE6,-CUMPRINC($W6/12,$X6,$S6,$BM6,$X6,0)+CUMPRINC($W6/12,$X6,-$TE6,$BM6,$X6,0)))</f>
        <v>#REF!</v>
      </c>
      <c r="ZP6" s="214" t="e">
        <f ca="1">IF(ZP$2&lt;=$BM6,IF($X6="IO",$W6/12*LP6,-IPMT($W6/12,ZP$2,$X6,$S6)+$BT6/$BS6)+IFERROR((LP6-LQ6+PPMT($W6/12,ZP$2,$X6,-$TE6)),0)-((IF($TD6&gt;0,N(OFFSET(#REF!,$TD6+ZP$2-2,0))/12,0)+$AW6/12)*$BF6+$AX6/12*(1-$BF6))*LP6-$BJ6/12,0)+IF(ZP$2=$BM6,LQ6*$BH6+IF($X6="IO",$S6+$TE6,-CUMPRINC($W6/12,$X6,$S6,$BM6,$X6,0)+CUMPRINC($W6/12,$X6,-$TE6,$BM6,$X6,0)))</f>
        <v>#REF!</v>
      </c>
      <c r="ZQ6" s="214" t="e">
        <f ca="1">IF(ZQ$2&lt;=$BM6,IF($X6="IO",$W6/12*LQ6,-IPMT($W6/12,ZQ$2,$X6,$S6)+$BT6/$BS6)+IFERROR((LQ6-LR6+PPMT($W6/12,ZQ$2,$X6,-$TE6)),0)-((IF($TD6&gt;0,N(OFFSET(#REF!,$TD6+ZQ$2-2,0))/12,0)+$AW6/12)*$BF6+$AX6/12*(1-$BF6))*LQ6-$BJ6/12,0)+IF(ZQ$2=$BM6,LR6*$BH6+IF($X6="IO",$S6+$TE6,-CUMPRINC($W6/12,$X6,$S6,$BM6,$X6,0)+CUMPRINC($W6/12,$X6,-$TE6,$BM6,$X6,0)))</f>
        <v>#REF!</v>
      </c>
      <c r="ZR6" s="214" t="e">
        <f ca="1">IF(ZR$2&lt;=$BM6,IF($X6="IO",$W6/12*LR6,-IPMT($W6/12,ZR$2,$X6,$S6)+$BT6/$BS6)+IFERROR((LR6-LS6+PPMT($W6/12,ZR$2,$X6,-$TE6)),0)-((IF($TD6&gt;0,N(OFFSET(#REF!,$TD6+ZR$2-2,0))/12,0)+$AW6/12)*$BF6+$AX6/12*(1-$BF6))*LR6-$BJ6/12,0)+IF(ZR$2=$BM6,LS6*$BH6+IF($X6="IO",$S6+$TE6,-CUMPRINC($W6/12,$X6,$S6,$BM6,$X6,0)+CUMPRINC($W6/12,$X6,-$TE6,$BM6,$X6,0)))</f>
        <v>#REF!</v>
      </c>
      <c r="ZS6" s="214" t="e">
        <f ca="1">IF(ZS$2&lt;=$BM6,IF($X6="IO",$W6/12*LS6,-IPMT($W6/12,ZS$2,$X6,$S6)+$BT6/$BS6)+IFERROR((LS6-LT6+PPMT($W6/12,ZS$2,$X6,-$TE6)),0)-((IF($TD6&gt;0,N(OFFSET(#REF!,$TD6+ZS$2-2,0))/12,0)+$AW6/12)*$BF6+$AX6/12*(1-$BF6))*LS6-$BJ6/12,0)+IF(ZS$2=$BM6,LT6*$BH6+IF($X6="IO",$S6+$TE6,-CUMPRINC($W6/12,$X6,$S6,$BM6,$X6,0)+CUMPRINC($W6/12,$X6,-$TE6,$BM6,$X6,0)))</f>
        <v>#REF!</v>
      </c>
      <c r="ZT6" s="214" t="e">
        <f ca="1">IF(ZT$2&lt;=$BM6,IF($X6="IO",$W6/12*LT6,-IPMT($W6/12,ZT$2,$X6,$S6)+$BT6/$BS6)+IFERROR((LT6-LU6+PPMT($W6/12,ZT$2,$X6,-$TE6)),0)-((IF($TD6&gt;0,N(OFFSET(#REF!,$TD6+ZT$2-2,0))/12,0)+$AW6/12)*$BF6+$AX6/12*(1-$BF6))*LT6-$BJ6/12,0)+IF(ZT$2=$BM6,LU6*$BH6+IF($X6="IO",$S6+$TE6,-CUMPRINC($W6/12,$X6,$S6,$BM6,$X6,0)+CUMPRINC($W6/12,$X6,-$TE6,$BM6,$X6,0)))</f>
        <v>#REF!</v>
      </c>
      <c r="ZU6" s="214" t="e">
        <f ca="1">IF(ZU$2&lt;=$BM6,IF($X6="IO",$W6/12*LU6,-IPMT($W6/12,ZU$2,$X6,$S6)+$BT6/$BS6)+IFERROR((LU6-LV6+PPMT($W6/12,ZU$2,$X6,-$TE6)),0)-((IF($TD6&gt;0,N(OFFSET(#REF!,$TD6+ZU$2-2,0))/12,0)+$AW6/12)*$BF6+$AX6/12*(1-$BF6))*LU6-$BJ6/12,0)+IF(ZU$2=$BM6,LV6*$BH6+IF($X6="IO",$S6+$TE6,-CUMPRINC($W6/12,$X6,$S6,$BM6,$X6,0)+CUMPRINC($W6/12,$X6,-$TE6,$BM6,$X6,0)))</f>
        <v>#REF!</v>
      </c>
      <c r="ZV6" s="214" t="e">
        <f ca="1">IF(ZV$2&lt;=$BM6,IF($X6="IO",$W6/12*LV6,-IPMT($W6/12,ZV$2,$X6,$S6)+$BT6/$BS6)+IFERROR((LV6-LW6+PPMT($W6/12,ZV$2,$X6,-$TE6)),0)-((IF($TD6&gt;0,N(OFFSET(#REF!,$TD6+ZV$2-2,0))/12,0)+$AW6/12)*$BF6+$AX6/12*(1-$BF6))*LV6-$BJ6/12,0)+IF(ZV$2=$BM6,LW6*$BH6+IF($X6="IO",$S6+$TE6,-CUMPRINC($W6/12,$X6,$S6,$BM6,$X6,0)+CUMPRINC($W6/12,$X6,-$TE6,$BM6,$X6,0)))</f>
        <v>#REF!</v>
      </c>
      <c r="ZW6" s="214" t="e">
        <f ca="1">IF(ZW$2&lt;=$BM6,IF($X6="IO",$W6/12*LW6,-IPMT($W6/12,ZW$2,$X6,$S6)+$BT6/$BS6)+IFERROR((LW6-LX6+PPMT($W6/12,ZW$2,$X6,-$TE6)),0)-((IF($TD6&gt;0,N(OFFSET(#REF!,$TD6+ZW$2-2,0))/12,0)+$AW6/12)*$BF6+$AX6/12*(1-$BF6))*LW6-$BJ6/12,0)+IF(ZW$2=$BM6,LX6*$BH6+IF($X6="IO",$S6+$TE6,-CUMPRINC($W6/12,$X6,$S6,$BM6,$X6,0)+CUMPRINC($W6/12,$X6,-$TE6,$BM6,$X6,0)))</f>
        <v>#REF!</v>
      </c>
      <c r="ZX6" s="214" t="e">
        <f ca="1">IF(ZX$2&lt;=$BM6,IF($X6="IO",$W6/12*LX6,-IPMT($W6/12,ZX$2,$X6,$S6)+$BT6/$BS6)+IFERROR((LX6-LY6+PPMT($W6/12,ZX$2,$X6,-$TE6)),0)-((IF($TD6&gt;0,N(OFFSET(#REF!,$TD6+ZX$2-2,0))/12,0)+$AW6/12)*$BF6+$AX6/12*(1-$BF6))*LX6-$BJ6/12,0)+IF(ZX$2=$BM6,LY6*$BH6+IF($X6="IO",$S6+$TE6,-CUMPRINC($W6/12,$X6,$S6,$BM6,$X6,0)+CUMPRINC($W6/12,$X6,-$TE6,$BM6,$X6,0)))</f>
        <v>#REF!</v>
      </c>
      <c r="ZY6" s="214" t="e">
        <f ca="1">IF(ZY$2&lt;=$BM6,IF($X6="IO",$W6/12*LY6,-IPMT($W6/12,ZY$2,$X6,$S6)+$BT6/$BS6)+IFERROR((LY6-LZ6+PPMT($W6/12,ZY$2,$X6,-$TE6)),0)-((IF($TD6&gt;0,N(OFFSET(#REF!,$TD6+ZY$2-2,0))/12,0)+$AW6/12)*$BF6+$AX6/12*(1-$BF6))*LY6-$BJ6/12,0)+IF(ZY$2=$BM6,LZ6*$BH6+IF($X6="IO",$S6+$TE6,-CUMPRINC($W6/12,$X6,$S6,$BM6,$X6,0)+CUMPRINC($W6/12,$X6,-$TE6,$BM6,$X6,0)))</f>
        <v>#REF!</v>
      </c>
      <c r="ZZ6" s="214" t="e">
        <f ca="1">IF(ZZ$2&lt;=$BM6,IF($X6="IO",$W6/12*LZ6,-IPMT($W6/12,ZZ$2,$X6,$S6)+$BT6/$BS6)+IFERROR((LZ6-MA6+PPMT($W6/12,ZZ$2,$X6,-$TE6)),0)-((IF($TD6&gt;0,N(OFFSET(#REF!,$TD6+ZZ$2-2,0))/12,0)+$AW6/12)*$BF6+$AX6/12*(1-$BF6))*LZ6-$BJ6/12,0)+IF(ZZ$2=$BM6,MA6*$BH6+IF($X6="IO",$S6+$TE6,-CUMPRINC($W6/12,$X6,$S6,$BM6,$X6,0)+CUMPRINC($W6/12,$X6,-$TE6,$BM6,$X6,0)))</f>
        <v>#REF!</v>
      </c>
      <c r="AAA6" s="214" t="e">
        <f ca="1">IF(AAA$2&lt;=$BM6,IF($X6="IO",$W6/12*MA6,-IPMT($W6/12,AAA$2,$X6,$S6)+$BT6/$BS6)+IFERROR((MA6-MB6+PPMT($W6/12,AAA$2,$X6,-$TE6)),0)-((IF($TD6&gt;0,N(OFFSET(#REF!,$TD6+AAA$2-2,0))/12,0)+$AW6/12)*$BF6+$AX6/12*(1-$BF6))*MA6-$BJ6/12,0)+IF(AAA$2=$BM6,MB6*$BH6+IF($X6="IO",$S6+$TE6,-CUMPRINC($W6/12,$X6,$S6,$BM6,$X6,0)+CUMPRINC($W6/12,$X6,-$TE6,$BM6,$X6,0)))</f>
        <v>#REF!</v>
      </c>
      <c r="AAB6" s="214" t="e">
        <f ca="1">IF(AAB$2&lt;=$BM6,IF($X6="IO",$W6/12*MB6,-IPMT($W6/12,AAB$2,$X6,$S6)+$BT6/$BS6)+IFERROR((MB6-MC6+PPMT($W6/12,AAB$2,$X6,-$TE6)),0)-((IF($TD6&gt;0,N(OFFSET(#REF!,$TD6+AAB$2-2,0))/12,0)+$AW6/12)*$BF6+$AX6/12*(1-$BF6))*MB6-$BJ6/12,0)+IF(AAB$2=$BM6,MC6*$BH6+IF($X6="IO",$S6+$TE6,-CUMPRINC($W6/12,$X6,$S6,$BM6,$X6,0)+CUMPRINC($W6/12,$X6,-$TE6,$BM6,$X6,0)))</f>
        <v>#REF!</v>
      </c>
      <c r="AAC6" s="214" t="e">
        <f ca="1">IF(AAC$2&lt;=$BM6,IF($X6="IO",$W6/12*MC6,-IPMT($W6/12,AAC$2,$X6,$S6)+$BT6/$BS6)+IFERROR((MC6-MD6+PPMT($W6/12,AAC$2,$X6,-$TE6)),0)-((IF($TD6&gt;0,N(OFFSET(#REF!,$TD6+AAC$2-2,0))/12,0)+$AW6/12)*$BF6+$AX6/12*(1-$BF6))*MC6-$BJ6/12,0)+IF(AAC$2=$BM6,MD6*$BH6+IF($X6="IO",$S6+$TE6,-CUMPRINC($W6/12,$X6,$S6,$BM6,$X6,0)+CUMPRINC($W6/12,$X6,-$TE6,$BM6,$X6,0)))</f>
        <v>#REF!</v>
      </c>
      <c r="AAD6" s="214" t="e">
        <f ca="1">IF(AAD$2&lt;=$BM6,IF($X6="IO",$W6/12*MD6,-IPMT($W6/12,AAD$2,$X6,$S6)+$BT6/$BS6)+IFERROR((MD6-ME6+PPMT($W6/12,AAD$2,$X6,-$TE6)),0)-((IF($TD6&gt;0,N(OFFSET(#REF!,$TD6+AAD$2-2,0))/12,0)+$AW6/12)*$BF6+$AX6/12*(1-$BF6))*MD6-$BJ6/12,0)+IF(AAD$2=$BM6,ME6*$BH6+IF($X6="IO",$S6+$TE6,-CUMPRINC($W6/12,$X6,$S6,$BM6,$X6,0)+CUMPRINC($W6/12,$X6,-$TE6,$BM6,$X6,0)))</f>
        <v>#REF!</v>
      </c>
      <c r="AAE6" s="214" t="e">
        <f ca="1">IF(AAE$2&lt;=$BM6,IF($X6="IO",$W6/12*ME6,-IPMT($W6/12,AAE$2,$X6,$S6)+$BT6/$BS6)+IFERROR((ME6-MF6+PPMT($W6/12,AAE$2,$X6,-$TE6)),0)-((IF($TD6&gt;0,N(OFFSET(#REF!,$TD6+AAE$2-2,0))/12,0)+$AW6/12)*$BF6+$AX6/12*(1-$BF6))*ME6-$BJ6/12,0)+IF(AAE$2=$BM6,MF6*$BH6+IF($X6="IO",$S6+$TE6,-CUMPRINC($W6/12,$X6,$S6,$BM6,$X6,0)+CUMPRINC($W6/12,$X6,-$TE6,$BM6,$X6,0)))</f>
        <v>#REF!</v>
      </c>
      <c r="AAF6" s="214" t="e">
        <f ca="1">IF(AAF$2&lt;=$BM6,IF($X6="IO",$W6/12*MF6,-IPMT($W6/12,AAF$2,$X6,$S6)+$BT6/$BS6)+IFERROR((MF6-MG6+PPMT($W6/12,AAF$2,$X6,-$TE6)),0)-((IF($TD6&gt;0,N(OFFSET(#REF!,$TD6+AAF$2-2,0))/12,0)+$AW6/12)*$BF6+$AX6/12*(1-$BF6))*MF6-$BJ6/12,0)+IF(AAF$2=$BM6,MG6*$BH6+IF($X6="IO",$S6+$TE6,-CUMPRINC($W6/12,$X6,$S6,$BM6,$X6,0)+CUMPRINC($W6/12,$X6,-$TE6,$BM6,$X6,0)))</f>
        <v>#REF!</v>
      </c>
      <c r="AAG6" s="214" t="e">
        <f ca="1">IF(AAG$2&lt;=$BM6,IF($X6="IO",$W6/12*MG6,-IPMT($W6/12,AAG$2,$X6,$S6)+$BT6/$BS6)+IFERROR((MG6-MH6+PPMT($W6/12,AAG$2,$X6,-$TE6)),0)-((IF($TD6&gt;0,N(OFFSET(#REF!,$TD6+AAG$2-2,0))/12,0)+$AW6/12)*$BF6+$AX6/12*(1-$BF6))*MG6-$BJ6/12,0)+IF(AAG$2=$BM6,MH6*$BH6+IF($X6="IO",$S6+$TE6,-CUMPRINC($W6/12,$X6,$S6,$BM6,$X6,0)+CUMPRINC($W6/12,$X6,-$TE6,$BM6,$X6,0)))</f>
        <v>#REF!</v>
      </c>
      <c r="AAH6" s="214" t="e">
        <f ca="1">IF(AAH$2&lt;=$BM6,IF($X6="IO",$W6/12*MH6,-IPMT($W6/12,AAH$2,$X6,$S6)+$BT6/$BS6)+IFERROR((MH6-MI6+PPMT($W6/12,AAH$2,$X6,-$TE6)),0)-((IF($TD6&gt;0,N(OFFSET(#REF!,$TD6+AAH$2-2,0))/12,0)+$AW6/12)*$BF6+$AX6/12*(1-$BF6))*MH6-$BJ6/12,0)+IF(AAH$2=$BM6,MI6*$BH6+IF($X6="IO",$S6+$TE6,-CUMPRINC($W6/12,$X6,$S6,$BM6,$X6,0)+CUMPRINC($W6/12,$X6,-$TE6,$BM6,$X6,0)))</f>
        <v>#REF!</v>
      </c>
      <c r="AAI6" s="214" t="e">
        <f ca="1">IF(AAI$2&lt;=$BM6,IF($X6="IO",$W6/12*MI6,-IPMT($W6/12,AAI$2,$X6,$S6)+$BT6/$BS6)+IFERROR((MI6-MJ6+PPMT($W6/12,AAI$2,$X6,-$TE6)),0)-((IF($TD6&gt;0,N(OFFSET(#REF!,$TD6+AAI$2-2,0))/12,0)+$AW6/12)*$BF6+$AX6/12*(1-$BF6))*MI6-$BJ6/12,0)+IF(AAI$2=$BM6,MJ6*$BH6+IF($X6="IO",$S6+$TE6,-CUMPRINC($W6/12,$X6,$S6,$BM6,$X6,0)+CUMPRINC($W6/12,$X6,-$TE6,$BM6,$X6,0)))</f>
        <v>#REF!</v>
      </c>
      <c r="AAJ6" s="214" t="e">
        <f ca="1">IF(AAJ$2&lt;=$BM6,IF($X6="IO",$W6/12*MJ6,-IPMT($W6/12,AAJ$2,$X6,$S6)+$BT6/$BS6)+IFERROR((MJ6-MK6+PPMT($W6/12,AAJ$2,$X6,-$TE6)),0)-((IF($TD6&gt;0,N(OFFSET(#REF!,$TD6+AAJ$2-2,0))/12,0)+$AW6/12)*$BF6+$AX6/12*(1-$BF6))*MJ6-$BJ6/12,0)+IF(AAJ$2=$BM6,MK6*$BH6+IF($X6="IO",$S6+$TE6,-CUMPRINC($W6/12,$X6,$S6,$BM6,$X6,0)+CUMPRINC($W6/12,$X6,-$TE6,$BM6,$X6,0)))</f>
        <v>#REF!</v>
      </c>
      <c r="AAK6" s="214" t="e">
        <f ca="1">IF(AAK$2&lt;=$BM6,IF($X6="IO",$W6/12*MK6,-IPMT($W6/12,AAK$2,$X6,$S6)+$BT6/$BS6)+IFERROR((MK6-ML6+PPMT($W6/12,AAK$2,$X6,-$TE6)),0)-((IF($TD6&gt;0,N(OFFSET(#REF!,$TD6+AAK$2-2,0))/12,0)+$AW6/12)*$BF6+$AX6/12*(1-$BF6))*MK6-$BJ6/12,0)+IF(AAK$2=$BM6,ML6*$BH6+IF($X6="IO",$S6+$TE6,-CUMPRINC($W6/12,$X6,$S6,$BM6,$X6,0)+CUMPRINC($W6/12,$X6,-$TE6,$BM6,$X6,0)))</f>
        <v>#REF!</v>
      </c>
      <c r="AAL6" s="214" t="e">
        <f ca="1">IF(AAL$2&lt;=$BM6,IF($X6="IO",$W6/12*ML6,-IPMT($W6/12,AAL$2,$X6,$S6)+$BT6/$BS6)+IFERROR((ML6-MM6+PPMT($W6/12,AAL$2,$X6,-$TE6)),0)-((IF($TD6&gt;0,N(OFFSET(#REF!,$TD6+AAL$2-2,0))/12,0)+$AW6/12)*$BF6+$AX6/12*(1-$BF6))*ML6-$BJ6/12,0)+IF(AAL$2=$BM6,MM6*$BH6+IF($X6="IO",$S6+$TE6,-CUMPRINC($W6/12,$X6,$S6,$BM6,$X6,0)+CUMPRINC($W6/12,$X6,-$TE6,$BM6,$X6,0)))</f>
        <v>#REF!</v>
      </c>
      <c r="AAM6" s="214" t="e">
        <f ca="1">IF(AAM$2&lt;=$BM6,IF($X6="IO",$W6/12*MM6,-IPMT($W6/12,AAM$2,$X6,$S6)+$BT6/$BS6)+IFERROR((MM6-MN6+PPMT($W6/12,AAM$2,$X6,-$TE6)),0)-((IF($TD6&gt;0,N(OFFSET(#REF!,$TD6+AAM$2-2,0))/12,0)+$AW6/12)*$BF6+$AX6/12*(1-$BF6))*MM6-$BJ6/12,0)+IF(AAM$2=$BM6,MN6*$BH6+IF($X6="IO",$S6+$TE6,-CUMPRINC($W6/12,$X6,$S6,$BM6,$X6,0)+CUMPRINC($W6/12,$X6,-$TE6,$BM6,$X6,0)))</f>
        <v>#REF!</v>
      </c>
      <c r="AAN6" s="214" t="e">
        <f ca="1">IF(AAN$2&lt;=$BM6,IF($X6="IO",$W6/12*MN6,-IPMT($W6/12,AAN$2,$X6,$S6)+$BT6/$BS6)+IFERROR((MN6-MO6+PPMT($W6/12,AAN$2,$X6,-$TE6)),0)-((IF($TD6&gt;0,N(OFFSET(#REF!,$TD6+AAN$2-2,0))/12,0)+$AW6/12)*$BF6+$AX6/12*(1-$BF6))*MN6-$BJ6/12,0)+IF(AAN$2=$BM6,MO6*$BH6+IF($X6="IO",$S6+$TE6,-CUMPRINC($W6/12,$X6,$S6,$BM6,$X6,0)+CUMPRINC($W6/12,$X6,-$TE6,$BM6,$X6,0)))</f>
        <v>#REF!</v>
      </c>
      <c r="AAO6" s="214" t="e">
        <f ca="1">IF(AAO$2&lt;=$BM6,IF($X6="IO",$W6/12*MO6,-IPMT($W6/12,AAO$2,$X6,$S6)+$BT6/$BS6)+IFERROR((MO6-MP6+PPMT($W6/12,AAO$2,$X6,-$TE6)),0)-((IF($TD6&gt;0,N(OFFSET(#REF!,$TD6+AAO$2-2,0))/12,0)+$AW6/12)*$BF6+$AX6/12*(1-$BF6))*MO6-$BJ6/12,0)+IF(AAO$2=$BM6,MP6*$BH6+IF($X6="IO",$S6+$TE6,-CUMPRINC($W6/12,$X6,$S6,$BM6,$X6,0)+CUMPRINC($W6/12,$X6,-$TE6,$BM6,$X6,0)))</f>
        <v>#REF!</v>
      </c>
      <c r="AAP6" s="214" t="e">
        <f ca="1">IF(AAP$2&lt;=$BM6,IF($X6="IO",$W6/12*MP6,-IPMT($W6/12,AAP$2,$X6,$S6)+$BT6/$BS6)+IFERROR((MP6-MQ6+PPMT($W6/12,AAP$2,$X6,-$TE6)),0)-((IF($TD6&gt;0,N(OFFSET(#REF!,$TD6+AAP$2-2,0))/12,0)+$AW6/12)*$BF6+$AX6/12*(1-$BF6))*MP6-$BJ6/12,0)+IF(AAP$2=$BM6,MQ6*$BH6+IF($X6="IO",$S6+$TE6,-CUMPRINC($W6/12,$X6,$S6,$BM6,$X6,0)+CUMPRINC($W6/12,$X6,-$TE6,$BM6,$X6,0)))</f>
        <v>#REF!</v>
      </c>
      <c r="AAQ6" s="214" t="e">
        <f ca="1">IF(AAQ$2&lt;=$BM6,IF($X6="IO",$W6/12*MQ6,-IPMT($W6/12,AAQ$2,$X6,$S6)+$BT6/$BS6)+IFERROR((MQ6-MR6+PPMT($W6/12,AAQ$2,$X6,-$TE6)),0)-((IF($TD6&gt;0,N(OFFSET(#REF!,$TD6+AAQ$2-2,0))/12,0)+$AW6/12)*$BF6+$AX6/12*(1-$BF6))*MQ6-$BJ6/12,0)+IF(AAQ$2=$BM6,MR6*$BH6+IF($X6="IO",$S6+$TE6,-CUMPRINC($W6/12,$X6,$S6,$BM6,$X6,0)+CUMPRINC($W6/12,$X6,-$TE6,$BM6,$X6,0)))</f>
        <v>#REF!</v>
      </c>
      <c r="AAR6" s="214" t="e">
        <f ca="1">IF(AAR$2&lt;=$BM6,IF($X6="IO",$W6/12*MR6,-IPMT($W6/12,AAR$2,$X6,$S6)+$BT6/$BS6)+IFERROR((MR6-MS6+PPMT($W6/12,AAR$2,$X6,-$TE6)),0)-((IF($TD6&gt;0,N(OFFSET(#REF!,$TD6+AAR$2-2,0))/12,0)+$AW6/12)*$BF6+$AX6/12*(1-$BF6))*MR6-$BJ6/12,0)+IF(AAR$2=$BM6,MS6*$BH6+IF($X6="IO",$S6+$TE6,-CUMPRINC($W6/12,$X6,$S6,$BM6,$X6,0)+CUMPRINC($W6/12,$X6,-$TE6,$BM6,$X6,0)))</f>
        <v>#REF!</v>
      </c>
      <c r="AAS6" s="214" t="e">
        <f ca="1">IF(AAS$2&lt;=$BM6,IF($X6="IO",$W6/12*MS6,-IPMT($W6/12,AAS$2,$X6,$S6)+$BT6/$BS6)+IFERROR((MS6-MT6+PPMT($W6/12,AAS$2,$X6,-$TE6)),0)-((IF($TD6&gt;0,N(OFFSET(#REF!,$TD6+AAS$2-2,0))/12,0)+$AW6/12)*$BF6+$AX6/12*(1-$BF6))*MS6-$BJ6/12,0)+IF(AAS$2=$BM6,MT6*$BH6+IF($X6="IO",$S6+$TE6,-CUMPRINC($W6/12,$X6,$S6,$BM6,$X6,0)+CUMPRINC($W6/12,$X6,-$TE6,$BM6,$X6,0)))</f>
        <v>#REF!</v>
      </c>
      <c r="AAT6" s="214" t="e">
        <f ca="1">IF(AAT$2&lt;=$BM6,IF($X6="IO",$W6/12*MT6,-IPMT($W6/12,AAT$2,$X6,$S6)+$BT6/$BS6)+IFERROR((MT6-MU6+PPMT($W6/12,AAT$2,$X6,-$TE6)),0)-((IF($TD6&gt;0,N(OFFSET(#REF!,$TD6+AAT$2-2,0))/12,0)+$AW6/12)*$BF6+$AX6/12*(1-$BF6))*MT6-$BJ6/12,0)+IF(AAT$2=$BM6,MU6*$BH6+IF($X6="IO",$S6+$TE6,-CUMPRINC($W6/12,$X6,$S6,$BM6,$X6,0)+CUMPRINC($W6/12,$X6,-$TE6,$BM6,$X6,0)))</f>
        <v>#REF!</v>
      </c>
      <c r="AAU6" s="214" t="e">
        <f ca="1">IF(AAU$2&lt;=$BM6,IF($X6="IO",$W6/12*MU6,-IPMT($W6/12,AAU$2,$X6,$S6)+$BT6/$BS6)+IFERROR((MU6-MV6+PPMT($W6/12,AAU$2,$X6,-$TE6)),0)-((IF($TD6&gt;0,N(OFFSET(#REF!,$TD6+AAU$2-2,0))/12,0)+$AW6/12)*$BF6+$AX6/12*(1-$BF6))*MU6-$BJ6/12,0)+IF(AAU$2=$BM6,MV6*$BH6+IF($X6="IO",$S6+$TE6,-CUMPRINC($W6/12,$X6,$S6,$BM6,$X6,0)+CUMPRINC($W6/12,$X6,-$TE6,$BM6,$X6,0)))</f>
        <v>#REF!</v>
      </c>
      <c r="AAV6" s="214" t="e">
        <f ca="1">IF(AAV$2&lt;=$BM6,IF($X6="IO",$W6/12*MV6,-IPMT($W6/12,AAV$2,$X6,$S6)+$BT6/$BS6)+IFERROR((MV6-MW6+PPMT($W6/12,AAV$2,$X6,-$TE6)),0)-((IF($TD6&gt;0,N(OFFSET(#REF!,$TD6+AAV$2-2,0))/12,0)+$AW6/12)*$BF6+$AX6/12*(1-$BF6))*MV6-$BJ6/12,0)+IF(AAV$2=$BM6,MW6*$BH6+IF($X6="IO",$S6+$TE6,-CUMPRINC($W6/12,$X6,$S6,$BM6,$X6,0)+CUMPRINC($W6/12,$X6,-$TE6,$BM6,$X6,0)))</f>
        <v>#REF!</v>
      </c>
      <c r="AAW6" s="214" t="e">
        <f ca="1">IF(AAW$2&lt;=$BM6,IF($X6="IO",$W6/12*MW6,-IPMT($W6/12,AAW$2,$X6,$S6)+$BT6/$BS6)+IFERROR((MW6-MX6+PPMT($W6/12,AAW$2,$X6,-$TE6)),0)-((IF($TD6&gt;0,N(OFFSET(#REF!,$TD6+AAW$2-2,0))/12,0)+$AW6/12)*$BF6+$AX6/12*(1-$BF6))*MW6-$BJ6/12,0)+IF(AAW$2=$BM6,MX6*$BH6+IF($X6="IO",$S6+$TE6,-CUMPRINC($W6/12,$X6,$S6,$BM6,$X6,0)+CUMPRINC($W6/12,$X6,-$TE6,$BM6,$X6,0)))</f>
        <v>#REF!</v>
      </c>
      <c r="AAX6" s="214" t="e">
        <f ca="1">IF(AAX$2&lt;=$BM6,IF($X6="IO",$W6/12*MX6,-IPMT($W6/12,AAX$2,$X6,$S6)+$BT6/$BS6)+IFERROR((MX6-MY6+PPMT($W6/12,AAX$2,$X6,-$TE6)),0)-((IF($TD6&gt;0,N(OFFSET(#REF!,$TD6+AAX$2-2,0))/12,0)+$AW6/12)*$BF6+$AX6/12*(1-$BF6))*MX6-$BJ6/12,0)+IF(AAX$2=$BM6,MY6*$BH6+IF($X6="IO",$S6+$TE6,-CUMPRINC($W6/12,$X6,$S6,$BM6,$X6,0)+CUMPRINC($W6/12,$X6,-$TE6,$BM6,$X6,0)))</f>
        <v>#REF!</v>
      </c>
      <c r="AAY6" s="214" t="e">
        <f ca="1">IF(AAY$2&lt;=$BM6,IF($X6="IO",$W6/12*MY6,-IPMT($W6/12,AAY$2,$X6,$S6)+$BT6/$BS6)+IFERROR((MY6-MZ6+PPMT($W6/12,AAY$2,$X6,-$TE6)),0)-((IF($TD6&gt;0,N(OFFSET(#REF!,$TD6+AAY$2-2,0))/12,0)+$AW6/12)*$BF6+$AX6/12*(1-$BF6))*MY6-$BJ6/12,0)+IF(AAY$2=$BM6,MZ6*$BH6+IF($X6="IO",$S6+$TE6,-CUMPRINC($W6/12,$X6,$S6,$BM6,$X6,0)+CUMPRINC($W6/12,$X6,-$TE6,$BM6,$X6,0)))</f>
        <v>#REF!</v>
      </c>
      <c r="AAZ6" s="214" t="e">
        <f ca="1">IF(AAZ$2&lt;=$BM6,IF($X6="IO",$W6/12*MZ6,-IPMT($W6/12,AAZ$2,$X6,$S6)+$BT6/$BS6)+IFERROR((MZ6-NA6+PPMT($W6/12,AAZ$2,$X6,-$TE6)),0)-((IF($TD6&gt;0,N(OFFSET(#REF!,$TD6+AAZ$2-2,0))/12,0)+$AW6/12)*$BF6+$AX6/12*(1-$BF6))*MZ6-$BJ6/12,0)+IF(AAZ$2=$BM6,NA6*$BH6+IF($X6="IO",$S6+$TE6,-CUMPRINC($W6/12,$X6,$S6,$BM6,$X6,0)+CUMPRINC($W6/12,$X6,-$TE6,$BM6,$X6,0)))</f>
        <v>#REF!</v>
      </c>
      <c r="ABA6" s="214" t="e">
        <f ca="1">IF(ABA$2&lt;=$BM6,IF($X6="IO",$W6/12*NA6,-IPMT($W6/12,ABA$2,$X6,$S6)+$BT6/$BS6)+IFERROR((NA6-NB6+PPMT($W6/12,ABA$2,$X6,-$TE6)),0)-((IF($TD6&gt;0,N(OFFSET(#REF!,$TD6+ABA$2-2,0))/12,0)+$AW6/12)*$BF6+$AX6/12*(1-$BF6))*NA6-$BJ6/12,0)+IF(ABA$2=$BM6,NB6*$BH6+IF($X6="IO",$S6+$TE6,-CUMPRINC($W6/12,$X6,$S6,$BM6,$X6,0)+CUMPRINC($W6/12,$X6,-$TE6,$BM6,$X6,0)))</f>
        <v>#REF!</v>
      </c>
      <c r="ABB6" s="214" t="e">
        <f ca="1">IF(ABB$2&lt;=$BM6,IF($X6="IO",$W6/12*NB6,-IPMT($W6/12,ABB$2,$X6,$S6)+$BT6/$BS6)+IFERROR((NB6-NC6+PPMT($W6/12,ABB$2,$X6,-$TE6)),0)-((IF($TD6&gt;0,N(OFFSET(#REF!,$TD6+ABB$2-2,0))/12,0)+$AW6/12)*$BF6+$AX6/12*(1-$BF6))*NB6-$BJ6/12,0)+IF(ABB$2=$BM6,NC6*$BH6+IF($X6="IO",$S6+$TE6,-CUMPRINC($W6/12,$X6,$S6,$BM6,$X6,0)+CUMPRINC($W6/12,$X6,-$TE6,$BM6,$X6,0)))</f>
        <v>#REF!</v>
      </c>
      <c r="ABC6" s="214" t="e">
        <f ca="1">IF(ABC$2&lt;=$BM6,IF($X6="IO",$W6/12*NC6,-IPMT($W6/12,ABC$2,$X6,$S6)+$BT6/$BS6)+IFERROR((NC6-ND6+PPMT($W6/12,ABC$2,$X6,-$TE6)),0)-((IF($TD6&gt;0,N(OFFSET(#REF!,$TD6+ABC$2-2,0))/12,0)+$AW6/12)*$BF6+$AX6/12*(1-$BF6))*NC6-$BJ6/12,0)+IF(ABC$2=$BM6,ND6*$BH6+IF($X6="IO",$S6+$TE6,-CUMPRINC($W6/12,$X6,$S6,$BM6,$X6,0)+CUMPRINC($W6/12,$X6,-$TE6,$BM6,$X6,0)))</f>
        <v>#REF!</v>
      </c>
      <c r="ABD6" s="214" t="e">
        <f ca="1">IF(ABD$2&lt;=$BM6,IF($X6="IO",$W6/12*ND6,-IPMT($W6/12,ABD$2,$X6,$S6)+$BT6/$BS6)+IFERROR((ND6-NE6+PPMT($W6/12,ABD$2,$X6,-$TE6)),0)-((IF($TD6&gt;0,N(OFFSET(#REF!,$TD6+ABD$2-2,0))/12,0)+$AW6/12)*$BF6+$AX6/12*(1-$BF6))*ND6-$BJ6/12,0)+IF(ABD$2=$BM6,NE6*$BH6+IF($X6="IO",$S6+$TE6,-CUMPRINC($W6/12,$X6,$S6,$BM6,$X6,0)+CUMPRINC($W6/12,$X6,-$TE6,$BM6,$X6,0)))</f>
        <v>#REF!</v>
      </c>
      <c r="ABE6" s="214" t="e">
        <f ca="1">IF(ABE$2&lt;=$BM6,IF($X6="IO",$W6/12*NE6,-IPMT($W6/12,ABE$2,$X6,$S6)+$BT6/$BS6)+IFERROR((NE6-NF6+PPMT($W6/12,ABE$2,$X6,-$TE6)),0)-((IF($TD6&gt;0,N(OFFSET(#REF!,$TD6+ABE$2-2,0))/12,0)+$AW6/12)*$BF6+$AX6/12*(1-$BF6))*NE6-$BJ6/12,0)+IF(ABE$2=$BM6,NF6*$BH6+IF($X6="IO",$S6+$TE6,-CUMPRINC($W6/12,$X6,$S6,$BM6,$X6,0)+CUMPRINC($W6/12,$X6,-$TE6,$BM6,$X6,0)))</f>
        <v>#REF!</v>
      </c>
      <c r="ABF6" s="214" t="e">
        <f ca="1">IF(ABF$2&lt;=$BM6,IF($X6="IO",$W6/12*NF6,-IPMT($W6/12,ABF$2,$X6,$S6)+$BT6/$BS6)+IFERROR((NF6-NG6+PPMT($W6/12,ABF$2,$X6,-$TE6)),0)-((IF($TD6&gt;0,N(OFFSET(#REF!,$TD6+ABF$2-2,0))/12,0)+$AW6/12)*$BF6+$AX6/12*(1-$BF6))*NF6-$BJ6/12,0)+IF(ABF$2=$BM6,NG6*$BH6+IF($X6="IO",$S6+$TE6,-CUMPRINC($W6/12,$X6,$S6,$BM6,$X6,0)+CUMPRINC($W6/12,$X6,-$TE6,$BM6,$X6,0)))</f>
        <v>#REF!</v>
      </c>
      <c r="ABG6" s="214" t="e">
        <f ca="1">IF(ABG$2&lt;=$BM6,IF($X6="IO",$W6/12*NG6,-IPMT($W6/12,ABG$2,$X6,$S6)+$BT6/$BS6)+IFERROR((NG6-NH6+PPMT($W6/12,ABG$2,$X6,-$TE6)),0)-((IF($TD6&gt;0,N(OFFSET(#REF!,$TD6+ABG$2-2,0))/12,0)+$AW6/12)*$BF6+$AX6/12*(1-$BF6))*NG6-$BJ6/12,0)+IF(ABG$2=$BM6,NH6*$BH6+IF($X6="IO",$S6+$TE6,-CUMPRINC($W6/12,$X6,$S6,$BM6,$X6,0)+CUMPRINC($W6/12,$X6,-$TE6,$BM6,$X6,0)))</f>
        <v>#REF!</v>
      </c>
      <c r="ABH6" s="214" t="e">
        <f ca="1">IF(ABH$2&lt;=$BM6,IF($X6="IO",$W6/12*NH6,-IPMT($W6/12,ABH$2,$X6,$S6)+$BT6/$BS6)+IFERROR((NH6-NI6+PPMT($W6/12,ABH$2,$X6,-$TE6)),0)-((IF($TD6&gt;0,N(OFFSET(#REF!,$TD6+ABH$2-2,0))/12,0)+$AW6/12)*$BF6+$AX6/12*(1-$BF6))*NH6-$BJ6/12,0)+IF(ABH$2=$BM6,NI6*$BH6+IF($X6="IO",$S6+$TE6,-CUMPRINC($W6/12,$X6,$S6,$BM6,$X6,0)+CUMPRINC($W6/12,$X6,-$TE6,$BM6,$X6,0)))</f>
        <v>#REF!</v>
      </c>
      <c r="ABI6" s="214" t="e">
        <f ca="1">IF(ABI$2&lt;=$BM6,IF($X6="IO",$W6/12*NI6,-IPMT($W6/12,ABI$2,$X6,$S6)+$BT6/$BS6)+IFERROR((NI6-NJ6+PPMT($W6/12,ABI$2,$X6,-$TE6)),0)-((IF($TD6&gt;0,N(OFFSET(#REF!,$TD6+ABI$2-2,0))/12,0)+$AW6/12)*$BF6+$AX6/12*(1-$BF6))*NI6-$BJ6/12,0)+IF(ABI$2=$BM6,NJ6*$BH6+IF($X6="IO",$S6+$TE6,-CUMPRINC($W6/12,$X6,$S6,$BM6,$X6,0)+CUMPRINC($W6/12,$X6,-$TE6,$BM6,$X6,0)))</f>
        <v>#REF!</v>
      </c>
      <c r="ABJ6" s="214" t="e">
        <f ca="1">IF(ABJ$2&lt;=$BM6,IF($X6="IO",$W6/12*NJ6,-IPMT($W6/12,ABJ$2,$X6,$S6)+$BT6/$BS6)+IFERROR((NJ6-NK6+PPMT($W6/12,ABJ$2,$X6,-$TE6)),0)-((IF($TD6&gt;0,N(OFFSET(#REF!,$TD6+ABJ$2-2,0))/12,0)+$AW6/12)*$BF6+$AX6/12*(1-$BF6))*NJ6-$BJ6/12,0)+IF(ABJ$2=$BM6,NK6*$BH6+IF($X6="IO",$S6+$TE6,-CUMPRINC($W6/12,$X6,$S6,$BM6,$X6,0)+CUMPRINC($W6/12,$X6,-$TE6,$BM6,$X6,0)))</f>
        <v>#REF!</v>
      </c>
      <c r="ABK6" s="214" t="e">
        <f ca="1">IF(ABK$2&lt;=$BM6,IF($X6="IO",$W6/12*NK6,-IPMT($W6/12,ABK$2,$X6,$S6)+$BT6/$BS6)+IFERROR((NK6-NL6+PPMT($W6/12,ABK$2,$X6,-$TE6)),0)-((IF($TD6&gt;0,N(OFFSET(#REF!,$TD6+ABK$2-2,0))/12,0)+$AW6/12)*$BF6+$AX6/12*(1-$BF6))*NK6-$BJ6/12,0)+IF(ABK$2=$BM6,NL6*$BH6+IF($X6="IO",$S6+$TE6,-CUMPRINC($W6/12,$X6,$S6,$BM6,$X6,0)+CUMPRINC($W6/12,$X6,-$TE6,$BM6,$X6,0)))</f>
        <v>#REF!</v>
      </c>
      <c r="ABL6" s="214" t="e">
        <f ca="1">IF(ABL$2&lt;=$BM6,IF($X6="IO",$W6/12*NL6,-IPMT($W6/12,ABL$2,$X6,$S6)+$BT6/$BS6)+IFERROR((NL6-NM6+PPMT($W6/12,ABL$2,$X6,-$TE6)),0)-((IF($TD6&gt;0,N(OFFSET(#REF!,$TD6+ABL$2-2,0))/12,0)+$AW6/12)*$BF6+$AX6/12*(1-$BF6))*NL6-$BJ6/12,0)+IF(ABL$2=$BM6,NM6*$BH6+IF($X6="IO",$S6+$TE6,-CUMPRINC($W6/12,$X6,$S6,$BM6,$X6,0)+CUMPRINC($W6/12,$X6,-$TE6,$BM6,$X6,0)))</f>
        <v>#REF!</v>
      </c>
      <c r="ABM6" s="214" t="e">
        <f ca="1">IF(ABM$2&lt;=$BM6,IF($X6="IO",$W6/12*NM6,-IPMT($W6/12,ABM$2,$X6,$S6)+$BT6/$BS6)+IFERROR((NM6-NN6+PPMT($W6/12,ABM$2,$X6,-$TE6)),0)-((IF($TD6&gt;0,N(OFFSET(#REF!,$TD6+ABM$2-2,0))/12,0)+$AW6/12)*$BF6+$AX6/12*(1-$BF6))*NM6-$BJ6/12,0)+IF(ABM$2=$BM6,NN6*$BH6+IF($X6="IO",$S6+$TE6,-CUMPRINC($W6/12,$X6,$S6,$BM6,$X6,0)+CUMPRINC($W6/12,$X6,-$TE6,$BM6,$X6,0)))</f>
        <v>#REF!</v>
      </c>
      <c r="ABN6" s="214" t="e">
        <f ca="1">IF(ABN$2&lt;=$BM6,IF($X6="IO",$W6/12*NN6,-IPMT($W6/12,ABN$2,$X6,$S6)+$BT6/$BS6)+IFERROR((NN6-NO6+PPMT($W6/12,ABN$2,$X6,-$TE6)),0)-((IF($TD6&gt;0,N(OFFSET(#REF!,$TD6+ABN$2-2,0))/12,0)+$AW6/12)*$BF6+$AX6/12*(1-$BF6))*NN6-$BJ6/12,0)+IF(ABN$2=$BM6,NO6*$BH6+IF($X6="IO",$S6+$TE6,-CUMPRINC($W6/12,$X6,$S6,$BM6,$X6,0)+CUMPRINC($W6/12,$X6,-$TE6,$BM6,$X6,0)))</f>
        <v>#REF!</v>
      </c>
      <c r="ABO6" s="214" t="e">
        <f ca="1">IF(ABO$2&lt;=$BM6,IF($X6="IO",$W6/12*NO6,-IPMT($W6/12,ABO$2,$X6,$S6)+$BT6/$BS6)+IFERROR((NO6-NP6+PPMT($W6/12,ABO$2,$X6,-$TE6)),0)-((IF($TD6&gt;0,N(OFFSET(#REF!,$TD6+ABO$2-2,0))/12,0)+$AW6/12)*$BF6+$AX6/12*(1-$BF6))*NO6-$BJ6/12,0)+IF(ABO$2=$BM6,NP6*$BH6+IF($X6="IO",$S6+$TE6,-CUMPRINC($W6/12,$X6,$S6,$BM6,$X6,0)+CUMPRINC($W6/12,$X6,-$TE6,$BM6,$X6,0)))</f>
        <v>#REF!</v>
      </c>
      <c r="ABP6" s="214" t="e">
        <f ca="1">IF(ABP$2&lt;=$BM6,IF($X6="IO",$W6/12*NP6,-IPMT($W6/12,ABP$2,$X6,$S6)+$BT6/$BS6)+IFERROR((NP6-NQ6+PPMT($W6/12,ABP$2,$X6,-$TE6)),0)-((IF($TD6&gt;0,N(OFFSET(#REF!,$TD6+ABP$2-2,0))/12,0)+$AW6/12)*$BF6+$AX6/12*(1-$BF6))*NP6-$BJ6/12,0)+IF(ABP$2=$BM6,NQ6*$BH6+IF($X6="IO",$S6+$TE6,-CUMPRINC($W6/12,$X6,$S6,$BM6,$X6,0)+CUMPRINC($W6/12,$X6,-$TE6,$BM6,$X6,0)))</f>
        <v>#REF!</v>
      </c>
      <c r="ABQ6" s="214" t="e">
        <f ca="1">IF(ABQ$2&lt;=$BM6,IF($X6="IO",$W6/12*NQ6,-IPMT($W6/12,ABQ$2,$X6,$S6)+$BT6/$BS6)+IFERROR((NQ6-NR6+PPMT($W6/12,ABQ$2,$X6,-$TE6)),0)-((IF($TD6&gt;0,N(OFFSET(#REF!,$TD6+ABQ$2-2,0))/12,0)+$AW6/12)*$BF6+$AX6/12*(1-$BF6))*NQ6-$BJ6/12,0)+IF(ABQ$2=$BM6,NR6*$BH6+IF($X6="IO",$S6+$TE6,-CUMPRINC($W6/12,$X6,$S6,$BM6,$X6,0)+CUMPRINC($W6/12,$X6,-$TE6,$BM6,$X6,0)))</f>
        <v>#REF!</v>
      </c>
      <c r="ABR6" s="214" t="e">
        <f ca="1">IF(ABR$2&lt;=$BM6,IF($X6="IO",$W6/12*NR6,-IPMT($W6/12,ABR$2,$X6,$S6)+$BT6/$BS6)+IFERROR((NR6-NS6+PPMT($W6/12,ABR$2,$X6,-$TE6)),0)-((IF($TD6&gt;0,N(OFFSET(#REF!,$TD6+ABR$2-2,0))/12,0)+$AW6/12)*$BF6+$AX6/12*(1-$BF6))*NR6-$BJ6/12,0)+IF(ABR$2=$BM6,NS6*$BH6+IF($X6="IO",$S6+$TE6,-CUMPRINC($W6/12,$X6,$S6,$BM6,$X6,0)+CUMPRINC($W6/12,$X6,-$TE6,$BM6,$X6,0)))</f>
        <v>#REF!</v>
      </c>
      <c r="ABS6" s="214" t="e">
        <f ca="1">IF(ABS$2&lt;=$BM6,IF($X6="IO",$W6/12*NS6,-IPMT($W6/12,ABS$2,$X6,$S6)+$BT6/$BS6)+IFERROR((NS6-NT6+PPMT($W6/12,ABS$2,$X6,-$TE6)),0)-((IF($TD6&gt;0,N(OFFSET(#REF!,$TD6+ABS$2-2,0))/12,0)+$AW6/12)*$BF6+$AX6/12*(1-$BF6))*NS6-$BJ6/12,0)+IF(ABS$2=$BM6,NT6*$BH6+IF($X6="IO",$S6+$TE6,-CUMPRINC($W6/12,$X6,$S6,$BM6,$X6,0)+CUMPRINC($W6/12,$X6,-$TE6,$BM6,$X6,0)))</f>
        <v>#REF!</v>
      </c>
      <c r="ABT6" s="214" t="e">
        <f ca="1">IF(ABT$2&lt;=$BM6,IF($X6="IO",$W6/12*NT6,-IPMT($W6/12,ABT$2,$X6,$S6)+$BT6/$BS6)+IFERROR((NT6-NU6+PPMT($W6/12,ABT$2,$X6,-$TE6)),0)-((IF($TD6&gt;0,N(OFFSET(#REF!,$TD6+ABT$2-2,0))/12,0)+$AW6/12)*$BF6+$AX6/12*(1-$BF6))*NT6-$BJ6/12,0)+IF(ABT$2=$BM6,NU6*$BH6+IF($X6="IO",$S6+$TE6,-CUMPRINC($W6/12,$X6,$S6,$BM6,$X6,0)+CUMPRINC($W6/12,$X6,-$TE6,$BM6,$X6,0)))</f>
        <v>#REF!</v>
      </c>
      <c r="ABU6" s="214" t="e">
        <f ca="1">IF(ABU$2&lt;=$BM6,IF($X6="IO",$W6/12*NU6,-IPMT($W6/12,ABU$2,$X6,$S6)+$BT6/$BS6)+IFERROR((NU6-NV6+PPMT($W6/12,ABU$2,$X6,-$TE6)),0)-((IF($TD6&gt;0,N(OFFSET(#REF!,$TD6+ABU$2-2,0))/12,0)+$AW6/12)*$BF6+$AX6/12*(1-$BF6))*NU6-$BJ6/12,0)+IF(ABU$2=$BM6,NV6*$BH6+IF($X6="IO",$S6+$TE6,-CUMPRINC($W6/12,$X6,$S6,$BM6,$X6,0)+CUMPRINC($W6/12,$X6,-$TE6,$BM6,$X6,0)))</f>
        <v>#REF!</v>
      </c>
      <c r="ABV6" s="214" t="e">
        <f ca="1">IF(ABV$2&lt;=$BM6,IF($X6="IO",$W6/12*NV6,-IPMT($W6/12,ABV$2,$X6,$S6)+$BT6/$BS6)+IFERROR((NV6-NW6+PPMT($W6/12,ABV$2,$X6,-$TE6)),0)-((IF($TD6&gt;0,N(OFFSET(#REF!,$TD6+ABV$2-2,0))/12,0)+$AW6/12)*$BF6+$AX6/12*(1-$BF6))*NV6-$BJ6/12,0)+IF(ABV$2=$BM6,NW6*$BH6+IF($X6="IO",$S6+$TE6,-CUMPRINC($W6/12,$X6,$S6,$BM6,$X6,0)+CUMPRINC($W6/12,$X6,-$TE6,$BM6,$X6,0)))</f>
        <v>#REF!</v>
      </c>
      <c r="ABW6" s="214" t="e">
        <f ca="1">IF(ABW$2&lt;=$BM6,IF($X6="IO",$W6/12*NW6,-IPMT($W6/12,ABW$2,$X6,$S6)+$BT6/$BS6)+IFERROR((NW6-NX6+PPMT($W6/12,ABW$2,$X6,-$TE6)),0)-((IF($TD6&gt;0,N(OFFSET(#REF!,$TD6+ABW$2-2,0))/12,0)+$AW6/12)*$BF6+$AX6/12*(1-$BF6))*NW6-$BJ6/12,0)+IF(ABW$2=$BM6,NX6*$BH6+IF($X6="IO",$S6+$TE6,-CUMPRINC($W6/12,$X6,$S6,$BM6,$X6,0)+CUMPRINC($W6/12,$X6,-$TE6,$BM6,$X6,0)))</f>
        <v>#REF!</v>
      </c>
      <c r="ABX6" s="214" t="e">
        <f ca="1">IF(ABX$2&lt;=$BM6,IF($X6="IO",$W6/12*NX6,-IPMT($W6/12,ABX$2,$X6,$S6)+$BT6/$BS6)+IFERROR((NX6-NY6+PPMT($W6/12,ABX$2,$X6,-$TE6)),0)-((IF($TD6&gt;0,N(OFFSET(#REF!,$TD6+ABX$2-2,0))/12,0)+$AW6/12)*$BF6+$AX6/12*(1-$BF6))*NX6-$BJ6/12,0)+IF(ABX$2=$BM6,NY6*$BH6+IF($X6="IO",$S6+$TE6,-CUMPRINC($W6/12,$X6,$S6,$BM6,$X6,0)+CUMPRINC($W6/12,$X6,-$TE6,$BM6,$X6,0)))</f>
        <v>#REF!</v>
      </c>
      <c r="ABY6" s="214" t="e">
        <f ca="1">IF(ABY$2&lt;=$BM6,IF($X6="IO",$W6/12*NY6,-IPMT($W6/12,ABY$2,$X6,$S6)+$BT6/$BS6)+IFERROR((NY6-NZ6+PPMT($W6/12,ABY$2,$X6,-$TE6)),0)-((IF($TD6&gt;0,N(OFFSET(#REF!,$TD6+ABY$2-2,0))/12,0)+$AW6/12)*$BF6+$AX6/12*(1-$BF6))*NY6-$BJ6/12,0)+IF(ABY$2=$BM6,NZ6*$BH6+IF($X6="IO",$S6+$TE6,-CUMPRINC($W6/12,$X6,$S6,$BM6,$X6,0)+CUMPRINC($W6/12,$X6,-$TE6,$BM6,$X6,0)))</f>
        <v>#REF!</v>
      </c>
      <c r="ABZ6" s="214" t="e">
        <f ca="1">IF(ABZ$2&lt;=$BM6,IF($X6="IO",$W6/12*NZ6,-IPMT($W6/12,ABZ$2,$X6,$S6)+$BT6/$BS6)+IFERROR((NZ6-OA6+PPMT($W6/12,ABZ$2,$X6,-$TE6)),0)-((IF($TD6&gt;0,N(OFFSET(#REF!,$TD6+ABZ$2-2,0))/12,0)+$AW6/12)*$BF6+$AX6/12*(1-$BF6))*NZ6-$BJ6/12,0)+IF(ABZ$2=$BM6,OA6*$BH6+IF($X6="IO",$S6+$TE6,-CUMPRINC($W6/12,$X6,$S6,$BM6,$X6,0)+CUMPRINC($W6/12,$X6,-$TE6,$BM6,$X6,0)))</f>
        <v>#REF!</v>
      </c>
      <c r="ACA6" s="214" t="e">
        <f ca="1">IF(ACA$2&lt;=$BM6,IF($X6="IO",$W6/12*OA6,-IPMT($W6/12,ACA$2,$X6,$S6)+$BT6/$BS6)+IFERROR((OA6-OB6+PPMT($W6/12,ACA$2,$X6,-$TE6)),0)-((IF($TD6&gt;0,N(OFFSET(#REF!,$TD6+ACA$2-2,0))/12,0)+$AW6/12)*$BF6+$AX6/12*(1-$BF6))*OA6-$BJ6/12,0)+IF(ACA$2=$BM6,OB6*$BH6+IF($X6="IO",$S6+$TE6,-CUMPRINC($W6/12,$X6,$S6,$BM6,$X6,0)+CUMPRINC($W6/12,$X6,-$TE6,$BM6,$X6,0)))</f>
        <v>#REF!</v>
      </c>
      <c r="ACB6" s="214" t="e">
        <f ca="1">IF(ACB$2&lt;=$BM6,IF($X6="IO",$W6/12*OB6,-IPMT($W6/12,ACB$2,$X6,$S6)+$BT6/$BS6)+IFERROR((OB6-OC6+PPMT($W6/12,ACB$2,$X6,-$TE6)),0)-((IF($TD6&gt;0,N(OFFSET(#REF!,$TD6+ACB$2-2,0))/12,0)+$AW6/12)*$BF6+$AX6/12*(1-$BF6))*OB6-$BJ6/12,0)+IF(ACB$2=$BM6,OC6*$BH6+IF($X6="IO",$S6+$TE6,-CUMPRINC($W6/12,$X6,$S6,$BM6,$X6,0)+CUMPRINC($W6/12,$X6,-$TE6,$BM6,$X6,0)))</f>
        <v>#REF!</v>
      </c>
      <c r="ACC6" s="214" t="e">
        <f ca="1">IF(ACC$2&lt;=$BM6,IF($X6="IO",$W6/12*OC6,-IPMT($W6/12,ACC$2,$X6,$S6)+$BT6/$BS6)+IFERROR((OC6-OD6+PPMT($W6/12,ACC$2,$X6,-$TE6)),0)-((IF($TD6&gt;0,N(OFFSET(#REF!,$TD6+ACC$2-2,0))/12,0)+$AW6/12)*$BF6+$AX6/12*(1-$BF6))*OC6-$BJ6/12,0)+IF(ACC$2=$BM6,OD6*$BH6+IF($X6="IO",$S6+$TE6,-CUMPRINC($W6/12,$X6,$S6,$BM6,$X6,0)+CUMPRINC($W6/12,$X6,-$TE6,$BM6,$X6,0)))</f>
        <v>#REF!</v>
      </c>
      <c r="ACD6" s="214" t="e">
        <f ca="1">IF(ACD$2&lt;=$BM6,IF($X6="IO",$W6/12*OD6,-IPMT($W6/12,ACD$2,$X6,$S6)+$BT6/$BS6)+IFERROR((OD6-OE6+PPMT($W6/12,ACD$2,$X6,-$TE6)),0)-((IF($TD6&gt;0,N(OFFSET(#REF!,$TD6+ACD$2-2,0))/12,0)+$AW6/12)*$BF6+$AX6/12*(1-$BF6))*OD6-$BJ6/12,0)+IF(ACD$2=$BM6,OE6*$BH6+IF($X6="IO",$S6+$TE6,-CUMPRINC($W6/12,$X6,$S6,$BM6,$X6,0)+CUMPRINC($W6/12,$X6,-$TE6,$BM6,$X6,0)))</f>
        <v>#REF!</v>
      </c>
      <c r="ACE6" s="214" t="e">
        <f ca="1">IF(ACE$2&lt;=$BM6,IF($X6="IO",$W6/12*OE6,-IPMT($W6/12,ACE$2,$X6,$S6)+$BT6/$BS6)+IFERROR((OE6-OF6+PPMT($W6/12,ACE$2,$X6,-$TE6)),0)-((IF($TD6&gt;0,N(OFFSET(#REF!,$TD6+ACE$2-2,0))/12,0)+$AW6/12)*$BF6+$AX6/12*(1-$BF6))*OE6-$BJ6/12,0)+IF(ACE$2=$BM6,OF6*$BH6+IF($X6="IO",$S6+$TE6,-CUMPRINC($W6/12,$X6,$S6,$BM6,$X6,0)+CUMPRINC($W6/12,$X6,-$TE6,$BM6,$X6,0)))</f>
        <v>#REF!</v>
      </c>
      <c r="ACF6" s="214" t="e">
        <f ca="1">IF(ACF$2&lt;=$BM6,IF($X6="IO",$W6/12*OF6,-IPMT($W6/12,ACF$2,$X6,$S6)+$BT6/$BS6)+IFERROR((OF6-OG6+PPMT($W6/12,ACF$2,$X6,-$TE6)),0)-((IF($TD6&gt;0,N(OFFSET(#REF!,$TD6+ACF$2-2,0))/12,0)+$AW6/12)*$BF6+$AX6/12*(1-$BF6))*OF6-$BJ6/12,0)+IF(ACF$2=$BM6,OG6*$BH6+IF($X6="IO",$S6+$TE6,-CUMPRINC($W6/12,$X6,$S6,$BM6,$X6,0)+CUMPRINC($W6/12,$X6,-$TE6,$BM6,$X6,0)))</f>
        <v>#REF!</v>
      </c>
      <c r="ACG6" s="214" t="e">
        <f ca="1">IF(ACG$2&lt;=$BM6,IF($X6="IO",$W6/12*OG6,-IPMT($W6/12,ACG$2,$X6,$S6)+$BT6/$BS6)+IFERROR((OG6-OH6+PPMT($W6/12,ACG$2,$X6,-$TE6)),0)-((IF($TD6&gt;0,N(OFFSET(#REF!,$TD6+ACG$2-2,0))/12,0)+$AW6/12)*$BF6+$AX6/12*(1-$BF6))*OG6-$BJ6/12,0)+IF(ACG$2=$BM6,OH6*$BH6+IF($X6="IO",$S6+$TE6,-CUMPRINC($W6/12,$X6,$S6,$BM6,$X6,0)+CUMPRINC($W6/12,$X6,-$TE6,$BM6,$X6,0)))</f>
        <v>#REF!</v>
      </c>
      <c r="ACH6" s="214" t="e">
        <f ca="1">IF(ACH$2&lt;=$BM6,IF($X6="IO",$W6/12*OH6,-IPMT($W6/12,ACH$2,$X6,$S6)+$BT6/$BS6)+IFERROR((OH6-OI6+PPMT($W6/12,ACH$2,$X6,-$TE6)),0)-((IF($TD6&gt;0,N(OFFSET(#REF!,$TD6+ACH$2-2,0))/12,0)+$AW6/12)*$BF6+$AX6/12*(1-$BF6))*OH6-$BJ6/12,0)+IF(ACH$2=$BM6,OI6*$BH6+IF($X6="IO",$S6+$TE6,-CUMPRINC($W6/12,$X6,$S6,$BM6,$X6,0)+CUMPRINC($W6/12,$X6,-$TE6,$BM6,$X6,0)))</f>
        <v>#REF!</v>
      </c>
      <c r="ACI6" s="214" t="e">
        <f ca="1">IF(ACI$2&lt;=$BM6,IF($X6="IO",$W6/12*OI6,-IPMT($W6/12,ACI$2,$X6,$S6)+$BT6/$BS6)+IFERROR((OI6-OJ6+PPMT($W6/12,ACI$2,$X6,-$TE6)),0)-((IF($TD6&gt;0,N(OFFSET(#REF!,$TD6+ACI$2-2,0))/12,0)+$AW6/12)*$BF6+$AX6/12*(1-$BF6))*OI6-$BJ6/12,0)+IF(ACI$2=$BM6,OJ6*$BH6+IF($X6="IO",$S6+$TE6,-CUMPRINC($W6/12,$X6,$S6,$BM6,$X6,0)+CUMPRINC($W6/12,$X6,-$TE6,$BM6,$X6,0)))</f>
        <v>#REF!</v>
      </c>
      <c r="ACJ6" s="214" t="e">
        <f ca="1">IF(ACJ$2&lt;=$BM6,IF($X6="IO",$W6/12*OJ6,-IPMT($W6/12,ACJ$2,$X6,$S6)+$BT6/$BS6)+IFERROR((OJ6-OK6+PPMT($W6/12,ACJ$2,$X6,-$TE6)),0)-((IF($TD6&gt;0,N(OFFSET(#REF!,$TD6+ACJ$2-2,0))/12,0)+$AW6/12)*$BF6+$AX6/12*(1-$BF6))*OJ6-$BJ6/12,0)+IF(ACJ$2=$BM6,OK6*$BH6+IF($X6="IO",$S6+$TE6,-CUMPRINC($W6/12,$X6,$S6,$BM6,$X6,0)+CUMPRINC($W6/12,$X6,-$TE6,$BM6,$X6,0)))</f>
        <v>#REF!</v>
      </c>
      <c r="ACK6" s="214" t="e">
        <f ca="1">IF(ACK$2&lt;=$BM6,IF($X6="IO",$W6/12*OK6,-IPMT($W6/12,ACK$2,$X6,$S6)+$BT6/$BS6)+IFERROR((OK6-OL6+PPMT($W6/12,ACK$2,$X6,-$TE6)),0)-((IF($TD6&gt;0,N(OFFSET(#REF!,$TD6+ACK$2-2,0))/12,0)+$AW6/12)*$BF6+$AX6/12*(1-$BF6))*OK6-$BJ6/12,0)+IF(ACK$2=$BM6,OL6*$BH6+IF($X6="IO",$S6+$TE6,-CUMPRINC($W6/12,$X6,$S6,$BM6,$X6,0)+CUMPRINC($W6/12,$X6,-$TE6,$BM6,$X6,0)))</f>
        <v>#REF!</v>
      </c>
      <c r="ACL6" s="214" t="e">
        <f ca="1">IF(ACL$2&lt;=$BM6,IF($X6="IO",$W6/12*OL6,-IPMT($W6/12,ACL$2,$X6,$S6)+$BT6/$BS6)+IFERROR((OL6-OM6+PPMT($W6/12,ACL$2,$X6,-$TE6)),0)-((IF($TD6&gt;0,N(OFFSET(#REF!,$TD6+ACL$2-2,0))/12,0)+$AW6/12)*$BF6+$AX6/12*(1-$BF6))*OL6-$BJ6/12,0)+IF(ACL$2=$BM6,OM6*$BH6+IF($X6="IO",$S6+$TE6,-CUMPRINC($W6/12,$X6,$S6,$BM6,$X6,0)+CUMPRINC($W6/12,$X6,-$TE6,$BM6,$X6,0)))</f>
        <v>#REF!</v>
      </c>
      <c r="ACM6" s="214" t="e">
        <f ca="1">IF(ACM$2&lt;=$BM6,IF($X6="IO",$W6/12*OM6,-IPMT($W6/12,ACM$2,$X6,$S6)+$BT6/$BS6)+IFERROR((OM6-ON6+PPMT($W6/12,ACM$2,$X6,-$TE6)),0)-((IF($TD6&gt;0,N(OFFSET(#REF!,$TD6+ACM$2-2,0))/12,0)+$AW6/12)*$BF6+$AX6/12*(1-$BF6))*OM6-$BJ6/12,0)+IF(ACM$2=$BM6,ON6*$BH6+IF($X6="IO",$S6+$TE6,-CUMPRINC($W6/12,$X6,$S6,$BM6,$X6,0)+CUMPRINC($W6/12,$X6,-$TE6,$BM6,$X6,0)))</f>
        <v>#REF!</v>
      </c>
      <c r="ACN6" s="214" t="e">
        <f ca="1">IF(ACN$2&lt;=$BM6,IF($X6="IO",$W6/12*ON6,-IPMT($W6/12,ACN$2,$X6,$S6)+$BT6/$BS6)+IFERROR((ON6-OO6+PPMT($W6/12,ACN$2,$X6,-$TE6)),0)-((IF($TD6&gt;0,N(OFFSET(#REF!,$TD6+ACN$2-2,0))/12,0)+$AW6/12)*$BF6+$AX6/12*(1-$BF6))*ON6-$BJ6/12,0)+IF(ACN$2=$BM6,OO6*$BH6+IF($X6="IO",$S6+$TE6,-CUMPRINC($W6/12,$X6,$S6,$BM6,$X6,0)+CUMPRINC($W6/12,$X6,-$TE6,$BM6,$X6,0)))</f>
        <v>#REF!</v>
      </c>
      <c r="ACO6" s="214" t="e">
        <f ca="1">IF(ACO$2&lt;=$BM6,IF($X6="IO",$W6/12*OO6,-IPMT($W6/12,ACO$2,$X6,$S6)+$BT6/$BS6)+IFERROR((OO6-OP6+PPMT($W6/12,ACO$2,$X6,-$TE6)),0)-((IF($TD6&gt;0,N(OFFSET(#REF!,$TD6+ACO$2-2,0))/12,0)+$AW6/12)*$BF6+$AX6/12*(1-$BF6))*OO6-$BJ6/12,0)+IF(ACO$2=$BM6,OP6*$BH6+IF($X6="IO",$S6+$TE6,-CUMPRINC($W6/12,$X6,$S6,$BM6,$X6,0)+CUMPRINC($W6/12,$X6,-$TE6,$BM6,$X6,0)))</f>
        <v>#REF!</v>
      </c>
      <c r="ACP6" s="214" t="e">
        <f ca="1">IF(ACP$2&lt;=$BM6,IF($X6="IO",$W6/12*OP6,-IPMT($W6/12,ACP$2,$X6,$S6)+$BT6/$BS6)+IFERROR((OP6-OQ6+PPMT($W6/12,ACP$2,$X6,-$TE6)),0)-((IF($TD6&gt;0,N(OFFSET(#REF!,$TD6+ACP$2-2,0))/12,0)+$AW6/12)*$BF6+$AX6/12*(1-$BF6))*OP6-$BJ6/12,0)+IF(ACP$2=$BM6,OQ6*$BH6+IF($X6="IO",$S6+$TE6,-CUMPRINC($W6/12,$X6,$S6,$BM6,$X6,0)+CUMPRINC($W6/12,$X6,-$TE6,$BM6,$X6,0)))</f>
        <v>#REF!</v>
      </c>
      <c r="ACQ6" s="214" t="e">
        <f ca="1">IF(ACQ$2&lt;=$BM6,IF($X6="IO",$W6/12*OQ6,-IPMT($W6/12,ACQ$2,$X6,$S6)+$BT6/$BS6)+IFERROR((OQ6-OR6+PPMT($W6/12,ACQ$2,$X6,-$TE6)),0)-((IF($TD6&gt;0,N(OFFSET(#REF!,$TD6+ACQ$2-2,0))/12,0)+$AW6/12)*$BF6+$AX6/12*(1-$BF6))*OQ6-$BJ6/12,0)+IF(ACQ$2=$BM6,OR6*$BH6+IF($X6="IO",$S6+$TE6,-CUMPRINC($W6/12,$X6,$S6,$BM6,$X6,0)+CUMPRINC($W6/12,$X6,-$TE6,$BM6,$X6,0)))</f>
        <v>#REF!</v>
      </c>
      <c r="ACR6" s="214" t="e">
        <f ca="1">IF(ACR$2&lt;=$BM6,IF($X6="IO",$W6/12*OR6,-IPMT($W6/12,ACR$2,$X6,$S6)+$BT6/$BS6)+IFERROR((OR6-OS6+PPMT($W6/12,ACR$2,$X6,-$TE6)),0)-((IF($TD6&gt;0,N(OFFSET(#REF!,$TD6+ACR$2-2,0))/12,0)+$AW6/12)*$BF6+$AX6/12*(1-$BF6))*OR6-$BJ6/12,0)+IF(ACR$2=$BM6,OS6*$BH6+IF($X6="IO",$S6+$TE6,-CUMPRINC($W6/12,$X6,$S6,$BM6,$X6,0)+CUMPRINC($W6/12,$X6,-$TE6,$BM6,$X6,0)))</f>
        <v>#REF!</v>
      </c>
      <c r="ACS6" s="214" t="e">
        <f ca="1">IF(ACS$2&lt;=$BM6,IF($X6="IO",$W6/12*OS6,-IPMT($W6/12,ACS$2,$X6,$S6)+$BT6/$BS6)+IFERROR((OS6-OT6+PPMT($W6/12,ACS$2,$X6,-$TE6)),0)-((IF($TD6&gt;0,N(OFFSET(#REF!,$TD6+ACS$2-2,0))/12,0)+$AW6/12)*$BF6+$AX6/12*(1-$BF6))*OS6-$BJ6/12,0)+IF(ACS$2=$BM6,OT6*$BH6+IF($X6="IO",$S6+$TE6,-CUMPRINC($W6/12,$X6,$S6,$BM6,$X6,0)+CUMPRINC($W6/12,$X6,-$TE6,$BM6,$X6,0)))</f>
        <v>#REF!</v>
      </c>
      <c r="ACT6" s="214" t="e">
        <f ca="1">IF(ACT$2&lt;=$BM6,IF($X6="IO",$W6/12*OT6,-IPMT($W6/12,ACT$2,$X6,$S6)+$BT6/$BS6)+IFERROR((OT6-OU6+PPMT($W6/12,ACT$2,$X6,-$TE6)),0)-((IF($TD6&gt;0,N(OFFSET(#REF!,$TD6+ACT$2-2,0))/12,0)+$AW6/12)*$BF6+$AX6/12*(1-$BF6))*OT6-$BJ6/12,0)+IF(ACT$2=$BM6,OU6*$BH6+IF($X6="IO",$S6+$TE6,-CUMPRINC($W6/12,$X6,$S6,$BM6,$X6,0)+CUMPRINC($W6/12,$X6,-$TE6,$BM6,$X6,0)))</f>
        <v>#REF!</v>
      </c>
      <c r="ACU6" s="214" t="e">
        <f ca="1">IF(ACU$2&lt;=$BM6,IF($X6="IO",$W6/12*OU6,-IPMT($W6/12,ACU$2,$X6,$S6)+$BT6/$BS6)+IFERROR((OU6-OV6+PPMT($W6/12,ACU$2,$X6,-$TE6)),0)-((IF($TD6&gt;0,N(OFFSET(#REF!,$TD6+ACU$2-2,0))/12,0)+$AW6/12)*$BF6+$AX6/12*(1-$BF6))*OU6-$BJ6/12,0)+IF(ACU$2=$BM6,OV6*$BH6+IF($X6="IO",$S6+$TE6,-CUMPRINC($W6/12,$X6,$S6,$BM6,$X6,0)+CUMPRINC($W6/12,$X6,-$TE6,$BM6,$X6,0)))</f>
        <v>#REF!</v>
      </c>
      <c r="ACV6" s="214" t="e">
        <f ca="1">IF(ACV$2&lt;=$BM6,IF($X6="IO",$W6/12*OV6,-IPMT($W6/12,ACV$2,$X6,$S6)+$BT6/$BS6)+IFERROR((OV6-OW6+PPMT($W6/12,ACV$2,$X6,-$TE6)),0)-((IF($TD6&gt;0,N(OFFSET(#REF!,$TD6+ACV$2-2,0))/12,0)+$AW6/12)*$BF6+$AX6/12*(1-$BF6))*OV6-$BJ6/12,0)+IF(ACV$2=$BM6,OW6*$BH6+IF($X6="IO",$S6+$TE6,-CUMPRINC($W6/12,$X6,$S6,$BM6,$X6,0)+CUMPRINC($W6/12,$X6,-$TE6,$BM6,$X6,0)))</f>
        <v>#REF!</v>
      </c>
      <c r="ACW6" s="214" t="e">
        <f ca="1">IF(ACW$2&lt;=$BM6,IF($X6="IO",$W6/12*OW6,-IPMT($W6/12,ACW$2,$X6,$S6)+$BT6/$BS6)+IFERROR((OW6-OX6+PPMT($W6/12,ACW$2,$X6,-$TE6)),0)-((IF($TD6&gt;0,N(OFFSET(#REF!,$TD6+ACW$2-2,0))/12,0)+$AW6/12)*$BF6+$AX6/12*(1-$BF6))*OW6-$BJ6/12,0)+IF(ACW$2=$BM6,OX6*$BH6+IF($X6="IO",$S6+$TE6,-CUMPRINC($W6/12,$X6,$S6,$BM6,$X6,0)+CUMPRINC($W6/12,$X6,-$TE6,$BM6,$X6,0)))</f>
        <v>#REF!</v>
      </c>
      <c r="ACX6" s="214" t="e">
        <f ca="1">IF(ACX$2&lt;=$BM6,IF($X6="IO",$W6/12*OX6,-IPMT($W6/12,ACX$2,$X6,$S6)+$BT6/$BS6)+IFERROR((OX6-OY6+PPMT($W6/12,ACX$2,$X6,-$TE6)),0)-((IF($TD6&gt;0,N(OFFSET(#REF!,$TD6+ACX$2-2,0))/12,0)+$AW6/12)*$BF6+$AX6/12*(1-$BF6))*OX6-$BJ6/12,0)+IF(ACX$2=$BM6,OY6*$BH6+IF($X6="IO",$S6+$TE6,-CUMPRINC($W6/12,$X6,$S6,$BM6,$X6,0)+CUMPRINC($W6/12,$X6,-$TE6,$BM6,$X6,0)))</f>
        <v>#REF!</v>
      </c>
      <c r="ACY6" s="214" t="e">
        <f ca="1">IF(ACY$2&lt;=$BM6,IF($X6="IO",$W6/12*OY6,-IPMT($W6/12,ACY$2,$X6,$S6)+$BT6/$BS6)+IFERROR((OY6-OZ6+PPMT($W6/12,ACY$2,$X6,-$TE6)),0)-((IF($TD6&gt;0,N(OFFSET(#REF!,$TD6+ACY$2-2,0))/12,0)+$AW6/12)*$BF6+$AX6/12*(1-$BF6))*OY6-$BJ6/12,0)+IF(ACY$2=$BM6,OZ6*$BH6+IF($X6="IO",$S6+$TE6,-CUMPRINC($W6/12,$X6,$S6,$BM6,$X6,0)+CUMPRINC($W6/12,$X6,-$TE6,$BM6,$X6,0)))</f>
        <v>#REF!</v>
      </c>
      <c r="ACZ6" s="214" t="e">
        <f ca="1">IF(ACZ$2&lt;=$BM6,IF($X6="IO",$W6/12*OZ6,-IPMT($W6/12,ACZ$2,$X6,$S6)+$BT6/$BS6)+IFERROR((OZ6-PA6+PPMT($W6/12,ACZ$2,$X6,-$TE6)),0)-((IF($TD6&gt;0,N(OFFSET(#REF!,$TD6+ACZ$2-2,0))/12,0)+$AW6/12)*$BF6+$AX6/12*(1-$BF6))*OZ6-$BJ6/12,0)+IF(ACZ$2=$BM6,PA6*$BH6+IF($X6="IO",$S6+$TE6,-CUMPRINC($W6/12,$X6,$S6,$BM6,$X6,0)+CUMPRINC($W6/12,$X6,-$TE6,$BM6,$X6,0)))</f>
        <v>#REF!</v>
      </c>
      <c r="ADA6" s="214" t="e">
        <f ca="1">IF(ADA$2&lt;=$BM6,IF($X6="IO",$W6/12*PA6,-IPMT($W6/12,ADA$2,$X6,$S6)+$BT6/$BS6)+IFERROR((PA6-PB6+PPMT($W6/12,ADA$2,$X6,-$TE6)),0)-((IF($TD6&gt;0,N(OFFSET(#REF!,$TD6+ADA$2-2,0))/12,0)+$AW6/12)*$BF6+$AX6/12*(1-$BF6))*PA6-$BJ6/12,0)+IF(ADA$2=$BM6,PB6*$BH6+IF($X6="IO",$S6+$TE6,-CUMPRINC($W6/12,$X6,$S6,$BM6,$X6,0)+CUMPRINC($W6/12,$X6,-$TE6,$BM6,$X6,0)))</f>
        <v>#REF!</v>
      </c>
      <c r="ADB6" s="214" t="e">
        <f ca="1">IF(ADB$2&lt;=$BM6,IF($X6="IO",$W6/12*PB6,-IPMT($W6/12,ADB$2,$X6,$S6)+$BT6/$BS6)+IFERROR((PB6-PC6+PPMT($W6/12,ADB$2,$X6,-$TE6)),0)-((IF($TD6&gt;0,N(OFFSET(#REF!,$TD6+ADB$2-2,0))/12,0)+$AW6/12)*$BF6+$AX6/12*(1-$BF6))*PB6-$BJ6/12,0)+IF(ADB$2=$BM6,PC6*$BH6+IF($X6="IO",$S6+$TE6,-CUMPRINC($W6/12,$X6,$S6,$BM6,$X6,0)+CUMPRINC($W6/12,$X6,-$TE6,$BM6,$X6,0)))</f>
        <v>#REF!</v>
      </c>
      <c r="ADC6" s="214" t="e">
        <f ca="1">IF(ADC$2&lt;=$BM6,IF($X6="IO",$W6/12*PC6,-IPMT($W6/12,ADC$2,$X6,$S6)+$BT6/$BS6)+IFERROR((PC6-PD6+PPMT($W6/12,ADC$2,$X6,-$TE6)),0)-((IF($TD6&gt;0,N(OFFSET(#REF!,$TD6+ADC$2-2,0))/12,0)+$AW6/12)*$BF6+$AX6/12*(1-$BF6))*PC6-$BJ6/12,0)+IF(ADC$2=$BM6,PD6*$BH6+IF($X6="IO",$S6+$TE6,-CUMPRINC($W6/12,$X6,$S6,$BM6,$X6,0)+CUMPRINC($W6/12,$X6,-$TE6,$BM6,$X6,0)))</f>
        <v>#REF!</v>
      </c>
      <c r="ADD6" s="214" t="e">
        <f ca="1">IF(ADD$2&lt;=$BM6,IF($X6="IO",$W6/12*PD6,-IPMT($W6/12,ADD$2,$X6,$S6)+$BT6/$BS6)+IFERROR((PD6-PE6+PPMT($W6/12,ADD$2,$X6,-$TE6)),0)-((IF($TD6&gt;0,N(OFFSET(#REF!,$TD6+ADD$2-2,0))/12,0)+$AW6/12)*$BF6+$AX6/12*(1-$BF6))*PD6-$BJ6/12,0)+IF(ADD$2=$BM6,PE6*$BH6+IF($X6="IO",$S6+$TE6,-CUMPRINC($W6/12,$X6,$S6,$BM6,$X6,0)+CUMPRINC($W6/12,$X6,-$TE6,$BM6,$X6,0)))</f>
        <v>#REF!</v>
      </c>
      <c r="ADE6" s="214" t="e">
        <f ca="1">IF(ADE$2&lt;=$BM6,IF($X6="IO",$W6/12*PE6,-IPMT($W6/12,ADE$2,$X6,$S6)+$BT6/$BS6)+IFERROR((PE6-PF6+PPMT($W6/12,ADE$2,$X6,-$TE6)),0)-((IF($TD6&gt;0,N(OFFSET(#REF!,$TD6+ADE$2-2,0))/12,0)+$AW6/12)*$BF6+$AX6/12*(1-$BF6))*PE6-$BJ6/12,0)+IF(ADE$2=$BM6,PF6*$BH6+IF($X6="IO",$S6+$TE6,-CUMPRINC($W6/12,$X6,$S6,$BM6,$X6,0)+CUMPRINC($W6/12,$X6,-$TE6,$BM6,$X6,0)))</f>
        <v>#REF!</v>
      </c>
      <c r="ADF6" s="214" t="e">
        <f ca="1">IF(ADF$2&lt;=$BM6,IF($X6="IO",$W6/12*PF6,-IPMT($W6/12,ADF$2,$X6,$S6)+$BT6/$BS6)+IFERROR((PF6-PG6+PPMT($W6/12,ADF$2,$X6,-$TE6)),0)-((IF($TD6&gt;0,N(OFFSET(#REF!,$TD6+ADF$2-2,0))/12,0)+$AW6/12)*$BF6+$AX6/12*(1-$BF6))*PF6-$BJ6/12,0)+IF(ADF$2=$BM6,PG6*$BH6+IF($X6="IO",$S6+$TE6,-CUMPRINC($W6/12,$X6,$S6,$BM6,$X6,0)+CUMPRINC($W6/12,$X6,-$TE6,$BM6,$X6,0)))</f>
        <v>#REF!</v>
      </c>
      <c r="ADG6" s="214" t="e">
        <f ca="1">IF(ADG$2&lt;=$BM6,IF($X6="IO",$W6/12*PG6,-IPMT($W6/12,ADG$2,$X6,$S6)+$BT6/$BS6)+IFERROR((PG6-PH6+PPMT($W6/12,ADG$2,$X6,-$TE6)),0)-((IF($TD6&gt;0,N(OFFSET(#REF!,$TD6+ADG$2-2,0))/12,0)+$AW6/12)*$BF6+$AX6/12*(1-$BF6))*PG6-$BJ6/12,0)+IF(ADG$2=$BM6,PH6*$BH6+IF($X6="IO",$S6+$TE6,-CUMPRINC($W6/12,$X6,$S6,$BM6,$X6,0)+CUMPRINC($W6/12,$X6,-$TE6,$BM6,$X6,0)))</f>
        <v>#REF!</v>
      </c>
      <c r="ADH6" s="214" t="e">
        <f ca="1">IF(ADH$2&lt;=$BM6,IF($X6="IO",$W6/12*PH6,-IPMT($W6/12,ADH$2,$X6,$S6)+$BT6/$BS6)+IFERROR((PH6-PI6+PPMT($W6/12,ADH$2,$X6,-$TE6)),0)-((IF($TD6&gt;0,N(OFFSET(#REF!,$TD6+ADH$2-2,0))/12,0)+$AW6/12)*$BF6+$AX6/12*(1-$BF6))*PH6-$BJ6/12,0)+IF(ADH$2=$BM6,PI6*$BH6+IF($X6="IO",$S6+$TE6,-CUMPRINC($W6/12,$X6,$S6,$BM6,$X6,0)+CUMPRINC($W6/12,$X6,-$TE6,$BM6,$X6,0)))</f>
        <v>#REF!</v>
      </c>
      <c r="ADI6" s="214" t="e">
        <f ca="1">IF(ADI$2&lt;=$BM6,IF($X6="IO",$W6/12*PI6,-IPMT($W6/12,ADI$2,$X6,$S6)+$BT6/$BS6)+IFERROR((PI6-PJ6+PPMT($W6/12,ADI$2,$X6,-$TE6)),0)-((IF($TD6&gt;0,N(OFFSET(#REF!,$TD6+ADI$2-2,0))/12,0)+$AW6/12)*$BF6+$AX6/12*(1-$BF6))*PI6-$BJ6/12,0)+IF(ADI$2=$BM6,PJ6*$BH6+IF($X6="IO",$S6+$TE6,-CUMPRINC($W6/12,$X6,$S6,$BM6,$X6,0)+CUMPRINC($W6/12,$X6,-$TE6,$BM6,$X6,0)))</f>
        <v>#REF!</v>
      </c>
      <c r="ADJ6" s="214" t="e">
        <f ca="1">IF(ADJ$2&lt;=$BM6,IF($X6="IO",$W6/12*PJ6,-IPMT($W6/12,ADJ$2,$X6,$S6)+$BT6/$BS6)+IFERROR((PJ6-PK6+PPMT($W6/12,ADJ$2,$X6,-$TE6)),0)-((IF($TD6&gt;0,N(OFFSET(#REF!,$TD6+ADJ$2-2,0))/12,0)+$AW6/12)*$BF6+$AX6/12*(1-$BF6))*PJ6-$BJ6/12,0)+IF(ADJ$2=$BM6,PK6*$BH6+IF($X6="IO",$S6+$TE6,-CUMPRINC($W6/12,$X6,$S6,$BM6,$X6,0)+CUMPRINC($W6/12,$X6,-$TE6,$BM6,$X6,0)))</f>
        <v>#REF!</v>
      </c>
      <c r="ADK6" s="214" t="e">
        <f ca="1">IF(ADK$2&lt;=$BM6,IF($X6="IO",$W6/12*PK6,-IPMT($W6/12,ADK$2,$X6,$S6)+$BT6/$BS6)+IFERROR((PK6-PL6+PPMT($W6/12,ADK$2,$X6,-$TE6)),0)-((IF($TD6&gt;0,N(OFFSET(#REF!,$TD6+ADK$2-2,0))/12,0)+$AW6/12)*$BF6+$AX6/12*(1-$BF6))*PK6-$BJ6/12,0)+IF(ADK$2=$BM6,PL6*$BH6+IF($X6="IO",$S6+$TE6,-CUMPRINC($W6/12,$X6,$S6,$BM6,$X6,0)+CUMPRINC($W6/12,$X6,-$TE6,$BM6,$X6,0)))</f>
        <v>#REF!</v>
      </c>
      <c r="ADL6" s="214" t="e">
        <f ca="1">IF(ADL$2&lt;=$BM6,IF($X6="IO",$W6/12*PL6,-IPMT($W6/12,ADL$2,$X6,$S6)+$BT6/$BS6)+IFERROR((PL6-PM6+PPMT($W6/12,ADL$2,$X6,-$TE6)),0)-((IF($TD6&gt;0,N(OFFSET(#REF!,$TD6+ADL$2-2,0))/12,0)+$AW6/12)*$BF6+$AX6/12*(1-$BF6))*PL6-$BJ6/12,0)+IF(ADL$2=$BM6,PM6*$BH6+IF($X6="IO",$S6+$TE6,-CUMPRINC($W6/12,$X6,$S6,$BM6,$X6,0)+CUMPRINC($W6/12,$X6,-$TE6,$BM6,$X6,0)))</f>
        <v>#REF!</v>
      </c>
      <c r="ADM6" s="214" t="e">
        <f ca="1">IF(ADM$2&lt;=$BM6,IF($X6="IO",$W6/12*PM6,-IPMT($W6/12,ADM$2,$X6,$S6)+$BT6/$BS6)+IFERROR((PM6-PN6+PPMT($W6/12,ADM$2,$X6,-$TE6)),0)-((IF($TD6&gt;0,N(OFFSET(#REF!,$TD6+ADM$2-2,0))/12,0)+$AW6/12)*$BF6+$AX6/12*(1-$BF6))*PM6-$BJ6/12,0)+IF(ADM$2=$BM6,PN6*$BH6+IF($X6="IO",$S6+$TE6,-CUMPRINC($W6/12,$X6,$S6,$BM6,$X6,0)+CUMPRINC($W6/12,$X6,-$TE6,$BM6,$X6,0)))</f>
        <v>#REF!</v>
      </c>
      <c r="ADN6" s="214" t="e">
        <f ca="1">IF(ADN$2&lt;=$BM6,IF($X6="IO",$W6/12*PN6,-IPMT($W6/12,ADN$2,$X6,$S6)+$BT6/$BS6)+IFERROR((PN6-PO6+PPMT($W6/12,ADN$2,$X6,-$TE6)),0)-((IF($TD6&gt;0,N(OFFSET(#REF!,$TD6+ADN$2-2,0))/12,0)+$AW6/12)*$BF6+$AX6/12*(1-$BF6))*PN6-$BJ6/12,0)+IF(ADN$2=$BM6,PO6*$BH6+IF($X6="IO",$S6+$TE6,-CUMPRINC($W6/12,$X6,$S6,$BM6,$X6,0)+CUMPRINC($W6/12,$X6,-$TE6,$BM6,$X6,0)))</f>
        <v>#REF!</v>
      </c>
      <c r="ADO6" s="214" t="e">
        <f ca="1">IF(ADO$2&lt;=$BM6,IF($X6="IO",$W6/12*PO6,-IPMT($W6/12,ADO$2,$X6,$S6)+$BT6/$BS6)+IFERROR((PO6-PP6+PPMT($W6/12,ADO$2,$X6,-$TE6)),0)-((IF($TD6&gt;0,N(OFFSET(#REF!,$TD6+ADO$2-2,0))/12,0)+$AW6/12)*$BF6+$AX6/12*(1-$BF6))*PO6-$BJ6/12,0)+IF(ADO$2=$BM6,PP6*$BH6+IF($X6="IO",$S6+$TE6,-CUMPRINC($W6/12,$X6,$S6,$BM6,$X6,0)+CUMPRINC($W6/12,$X6,-$TE6,$BM6,$X6,0)))</f>
        <v>#REF!</v>
      </c>
      <c r="ADP6" s="214" t="e">
        <f ca="1">IF(ADP$2&lt;=$BM6,IF($X6="IO",$W6/12*PP6,-IPMT($W6/12,ADP$2,$X6,$S6)+$BT6/$BS6)+IFERROR((PP6-PQ6+PPMT($W6/12,ADP$2,$X6,-$TE6)),0)-((IF($TD6&gt;0,N(OFFSET(#REF!,$TD6+ADP$2-2,0))/12,0)+$AW6/12)*$BF6+$AX6/12*(1-$BF6))*PP6-$BJ6/12,0)+IF(ADP$2=$BM6,PQ6*$BH6+IF($X6="IO",$S6+$TE6,-CUMPRINC($W6/12,$X6,$S6,$BM6,$X6,0)+CUMPRINC($W6/12,$X6,-$TE6,$BM6,$X6,0)))</f>
        <v>#REF!</v>
      </c>
      <c r="ADQ6" s="214" t="e">
        <f ca="1">IF(ADQ$2&lt;=$BM6,IF($X6="IO",$W6/12*PQ6,-IPMT($W6/12,ADQ$2,$X6,$S6)+$BT6/$BS6)+IFERROR((PQ6-PR6+PPMT($W6/12,ADQ$2,$X6,-$TE6)),0)-((IF($TD6&gt;0,N(OFFSET(#REF!,$TD6+ADQ$2-2,0))/12,0)+$AW6/12)*$BF6+$AX6/12*(1-$BF6))*PQ6-$BJ6/12,0)+IF(ADQ$2=$BM6,PR6*$BH6+IF($X6="IO",$S6+$TE6,-CUMPRINC($W6/12,$X6,$S6,$BM6,$X6,0)+CUMPRINC($W6/12,$X6,-$TE6,$BM6,$X6,0)))</f>
        <v>#REF!</v>
      </c>
      <c r="ADR6" s="214" t="e">
        <f ca="1">IF(ADR$2&lt;=$BM6,IF($X6="IO",$W6/12*PR6,-IPMT($W6/12,ADR$2,$X6,$S6)+$BT6/$BS6)+IFERROR((PR6-PS6+PPMT($W6/12,ADR$2,$X6,-$TE6)),0)-((IF($TD6&gt;0,N(OFFSET(#REF!,$TD6+ADR$2-2,0))/12,0)+$AW6/12)*$BF6+$AX6/12*(1-$BF6))*PR6-$BJ6/12,0)+IF(ADR$2=$BM6,PS6*$BH6+IF($X6="IO",$S6+$TE6,-CUMPRINC($W6/12,$X6,$S6,$BM6,$X6,0)+CUMPRINC($W6/12,$X6,-$TE6,$BM6,$X6,0)))</f>
        <v>#REF!</v>
      </c>
      <c r="ADS6" s="214" t="e">
        <f ca="1">IF(ADS$2&lt;=$BM6,IF($X6="IO",$W6/12*PS6,-IPMT($W6/12,ADS$2,$X6,$S6)+$BT6/$BS6)+IFERROR((PS6-PT6+PPMT($W6/12,ADS$2,$X6,-$TE6)),0)-((IF($TD6&gt;0,N(OFFSET(#REF!,$TD6+ADS$2-2,0))/12,0)+$AW6/12)*$BF6+$AX6/12*(1-$BF6))*PS6-$BJ6/12,0)+IF(ADS$2=$BM6,PT6*$BH6+IF($X6="IO",$S6+$TE6,-CUMPRINC($W6/12,$X6,$S6,$BM6,$X6,0)+CUMPRINC($W6/12,$X6,-$TE6,$BM6,$X6,0)))</f>
        <v>#REF!</v>
      </c>
      <c r="ADT6" s="214" t="e">
        <f ca="1">IF(ADT$2&lt;=$BM6,IF($X6="IO",$W6/12*PT6,-IPMT($W6/12,ADT$2,$X6,$S6)+$BT6/$BS6)+IFERROR((PT6-PU6+PPMT($W6/12,ADT$2,$X6,-$TE6)),0)-((IF($TD6&gt;0,N(OFFSET(#REF!,$TD6+ADT$2-2,0))/12,0)+$AW6/12)*$BF6+$AX6/12*(1-$BF6))*PT6-$BJ6/12,0)+IF(ADT$2=$BM6,PU6*$BH6+IF($X6="IO",$S6+$TE6,-CUMPRINC($W6/12,$X6,$S6,$BM6,$X6,0)+CUMPRINC($W6/12,$X6,-$TE6,$BM6,$X6,0)))</f>
        <v>#REF!</v>
      </c>
      <c r="ADU6" s="214" t="e">
        <f ca="1">IF(ADU$2&lt;=$BM6,IF($X6="IO",$W6/12*PU6,-IPMT($W6/12,ADU$2,$X6,$S6)+$BT6/$BS6)+IFERROR((PU6-PV6+PPMT($W6/12,ADU$2,$X6,-$TE6)),0)-((IF($TD6&gt;0,N(OFFSET(#REF!,$TD6+ADU$2-2,0))/12,0)+$AW6/12)*$BF6+$AX6/12*(1-$BF6))*PU6-$BJ6/12,0)+IF(ADU$2=$BM6,PV6*$BH6+IF($X6="IO",$S6+$TE6,-CUMPRINC($W6/12,$X6,$S6,$BM6,$X6,0)+CUMPRINC($W6/12,$X6,-$TE6,$BM6,$X6,0)))</f>
        <v>#REF!</v>
      </c>
      <c r="ADV6" s="214" t="e">
        <f ca="1">IF(ADV$2&lt;=$BM6,IF($X6="IO",$W6/12*PV6,-IPMT($W6/12,ADV$2,$X6,$S6)+$BT6/$BS6)+IFERROR((PV6-PW6+PPMT($W6/12,ADV$2,$X6,-$TE6)),0)-((IF($TD6&gt;0,N(OFFSET(#REF!,$TD6+ADV$2-2,0))/12,0)+$AW6/12)*$BF6+$AX6/12*(1-$BF6))*PV6-$BJ6/12,0)+IF(ADV$2=$BM6,PW6*$BH6+IF($X6="IO",$S6+$TE6,-CUMPRINC($W6/12,$X6,$S6,$BM6,$X6,0)+CUMPRINC($W6/12,$X6,-$TE6,$BM6,$X6,0)))</f>
        <v>#REF!</v>
      </c>
      <c r="ADW6" s="214" t="e">
        <f ca="1">IF(ADW$2&lt;=$BM6,IF($X6="IO",$W6/12*PW6,-IPMT($W6/12,ADW$2,$X6,$S6)+$BT6/$BS6)+IFERROR((PW6-PX6+PPMT($W6/12,ADW$2,$X6,-$TE6)),0)-((IF($TD6&gt;0,N(OFFSET(#REF!,$TD6+ADW$2-2,0))/12,0)+$AW6/12)*$BF6+$AX6/12*(1-$BF6))*PW6-$BJ6/12,0)+IF(ADW$2=$BM6,PX6*$BH6+IF($X6="IO",$S6+$TE6,-CUMPRINC($W6/12,$X6,$S6,$BM6,$X6,0)+CUMPRINC($W6/12,$X6,-$TE6,$BM6,$X6,0)))</f>
        <v>#REF!</v>
      </c>
      <c r="ADX6" s="214" t="e">
        <f ca="1">IF(ADX$2&lt;=$BM6,IF($X6="IO",$W6/12*PX6,-IPMT($W6/12,ADX$2,$X6,$S6)+$BT6/$BS6)+IFERROR((PX6-PY6+PPMT($W6/12,ADX$2,$X6,-$TE6)),0)-((IF($TD6&gt;0,N(OFFSET(#REF!,$TD6+ADX$2-2,0))/12,0)+$AW6/12)*$BF6+$AX6/12*(1-$BF6))*PX6-$BJ6/12,0)+IF(ADX$2=$BM6,PY6*$BH6+IF($X6="IO",$S6+$TE6,-CUMPRINC($W6/12,$X6,$S6,$BM6,$X6,0)+CUMPRINC($W6/12,$X6,-$TE6,$BM6,$X6,0)))</f>
        <v>#REF!</v>
      </c>
      <c r="ADY6" s="214" t="e">
        <f ca="1">IF(ADY$2&lt;=$BM6,IF($X6="IO",$W6/12*PY6,-IPMT($W6/12,ADY$2,$X6,$S6)+$BT6/$BS6)+IFERROR((PY6-PZ6+PPMT($W6/12,ADY$2,$X6,-$TE6)),0)-((IF($TD6&gt;0,N(OFFSET(#REF!,$TD6+ADY$2-2,0))/12,0)+$AW6/12)*$BF6+$AX6/12*(1-$BF6))*PY6-$BJ6/12,0)+IF(ADY$2=$BM6,PZ6*$BH6+IF($X6="IO",$S6+$TE6,-CUMPRINC($W6/12,$X6,$S6,$BM6,$X6,0)+CUMPRINC($W6/12,$X6,-$TE6,$BM6,$X6,0)))</f>
        <v>#REF!</v>
      </c>
      <c r="ADZ6" s="214" t="e">
        <f ca="1">IF(ADZ$2&lt;=$BM6,IF($X6="IO",$W6/12*PZ6,-IPMT($W6/12,ADZ$2,$X6,$S6)+$BT6/$BS6)+IFERROR((PZ6-QA6+PPMT($W6/12,ADZ$2,$X6,-$TE6)),0)-((IF($TD6&gt;0,N(OFFSET(#REF!,$TD6+ADZ$2-2,0))/12,0)+$AW6/12)*$BF6+$AX6/12*(1-$BF6))*PZ6-$BJ6/12,0)+IF(ADZ$2=$BM6,QA6*$BH6+IF($X6="IO",$S6+$TE6,-CUMPRINC($W6/12,$X6,$S6,$BM6,$X6,0)+CUMPRINC($W6/12,$X6,-$TE6,$BM6,$X6,0)))</f>
        <v>#REF!</v>
      </c>
      <c r="AEA6" s="214" t="e">
        <f ca="1">IF(AEA$2&lt;=$BM6,IF($X6="IO",$W6/12*QA6,-IPMT($W6/12,AEA$2,$X6,$S6)+$BT6/$BS6)+IFERROR((QA6-QB6+PPMT($W6/12,AEA$2,$X6,-$TE6)),0)-((IF($TD6&gt;0,N(OFFSET(#REF!,$TD6+AEA$2-2,0))/12,0)+$AW6/12)*$BF6+$AX6/12*(1-$BF6))*QA6-$BJ6/12,0)+IF(AEA$2=$BM6,QB6*$BH6+IF($X6="IO",$S6+$TE6,-CUMPRINC($W6/12,$X6,$S6,$BM6,$X6,0)+CUMPRINC($W6/12,$X6,-$TE6,$BM6,$X6,0)))</f>
        <v>#REF!</v>
      </c>
      <c r="AEB6" s="214" t="e">
        <f ca="1">IF(AEB$2&lt;=$BM6,IF($X6="IO",$W6/12*QB6,-IPMT($W6/12,AEB$2,$X6,$S6)+$BT6/$BS6)+IFERROR((QB6-QC6+PPMT($W6/12,AEB$2,$X6,-$TE6)),0)-((IF($TD6&gt;0,N(OFFSET(#REF!,$TD6+AEB$2-2,0))/12,0)+$AW6/12)*$BF6+$AX6/12*(1-$BF6))*QB6-$BJ6/12,0)+IF(AEB$2=$BM6,QC6*$BH6+IF($X6="IO",$S6+$TE6,-CUMPRINC($W6/12,$X6,$S6,$BM6,$X6,0)+CUMPRINC($W6/12,$X6,-$TE6,$BM6,$X6,0)))</f>
        <v>#REF!</v>
      </c>
      <c r="AEC6" s="214" t="e">
        <f ca="1">IF(AEC$2&lt;=$BM6,IF($X6="IO",$W6/12*QC6,-IPMT($W6/12,AEC$2,$X6,$S6)+$BT6/$BS6)+IFERROR((QC6-QD6+PPMT($W6/12,AEC$2,$X6,-$TE6)),0)-((IF($TD6&gt;0,N(OFFSET(#REF!,$TD6+AEC$2-2,0))/12,0)+$AW6/12)*$BF6+$AX6/12*(1-$BF6))*QC6-$BJ6/12,0)+IF(AEC$2=$BM6,QD6*$BH6+IF($X6="IO",$S6+$TE6,-CUMPRINC($W6/12,$X6,$S6,$BM6,$X6,0)+CUMPRINC($W6/12,$X6,-$TE6,$BM6,$X6,0)))</f>
        <v>#REF!</v>
      </c>
      <c r="AED6" s="214" t="e">
        <f ca="1">IF(AED$2&lt;=$BM6,IF($X6="IO",$W6/12*QD6,-IPMT($W6/12,AED$2,$X6,$S6)+$BT6/$BS6)+IFERROR((QD6-QE6+PPMT($W6/12,AED$2,$X6,-$TE6)),0)-((IF($TD6&gt;0,N(OFFSET(#REF!,$TD6+AED$2-2,0))/12,0)+$AW6/12)*$BF6+$AX6/12*(1-$BF6))*QD6-$BJ6/12,0)+IF(AED$2=$BM6,QE6*$BH6+IF($X6="IO",$S6+$TE6,-CUMPRINC($W6/12,$X6,$S6,$BM6,$X6,0)+CUMPRINC($W6/12,$X6,-$TE6,$BM6,$X6,0)))</f>
        <v>#REF!</v>
      </c>
      <c r="AEE6" s="214" t="e">
        <f ca="1">IF(AEE$2&lt;=$BM6,IF($X6="IO",$W6/12*QE6,-IPMT($W6/12,AEE$2,$X6,$S6)+$BT6/$BS6)+IFERROR((QE6-QF6+PPMT($W6/12,AEE$2,$X6,-$TE6)),0)-((IF($TD6&gt;0,N(OFFSET(#REF!,$TD6+AEE$2-2,0))/12,0)+$AW6/12)*$BF6+$AX6/12*(1-$BF6))*QE6-$BJ6/12,0)+IF(AEE$2=$BM6,QF6*$BH6+IF($X6="IO",$S6+$TE6,-CUMPRINC($W6/12,$X6,$S6,$BM6,$X6,0)+CUMPRINC($W6/12,$X6,-$TE6,$BM6,$X6,0)))</f>
        <v>#REF!</v>
      </c>
      <c r="AEF6" s="214" t="e">
        <f ca="1">IF(AEF$2&lt;=$BM6,IF($X6="IO",$W6/12*QF6,-IPMT($W6/12,AEF$2,$X6,$S6)+$BT6/$BS6)+IFERROR((QF6-QG6+PPMT($W6/12,AEF$2,$X6,-$TE6)),0)-((IF($TD6&gt;0,N(OFFSET(#REF!,$TD6+AEF$2-2,0))/12,0)+$AW6/12)*$BF6+$AX6/12*(1-$BF6))*QF6-$BJ6/12,0)+IF(AEF$2=$BM6,QG6*$BH6+IF($X6="IO",$S6+$TE6,-CUMPRINC($W6/12,$X6,$S6,$BM6,$X6,0)+CUMPRINC($W6/12,$X6,-$TE6,$BM6,$X6,0)))</f>
        <v>#REF!</v>
      </c>
      <c r="AEG6" s="214" t="e">
        <f ca="1">IF(AEG$2&lt;=$BM6,IF($X6="IO",$W6/12*QG6,-IPMT($W6/12,AEG$2,$X6,$S6)+$BT6/$BS6)+IFERROR((QG6-QH6+PPMT($W6/12,AEG$2,$X6,-$TE6)),0)-((IF($TD6&gt;0,N(OFFSET(#REF!,$TD6+AEG$2-2,0))/12,0)+$AW6/12)*$BF6+$AX6/12*(1-$BF6))*QG6-$BJ6/12,0)+IF(AEG$2=$BM6,QH6*$BH6+IF($X6="IO",$S6+$TE6,-CUMPRINC($W6/12,$X6,$S6,$BM6,$X6,0)+CUMPRINC($W6/12,$X6,-$TE6,$BM6,$X6,0)))</f>
        <v>#REF!</v>
      </c>
      <c r="AEH6" s="214" t="e">
        <f ca="1">IF(AEH$2&lt;=$BM6,IF($X6="IO",$W6/12*QH6,-IPMT($W6/12,AEH$2,$X6,$S6)+$BT6/$BS6)+IFERROR((QH6-QI6+PPMT($W6/12,AEH$2,$X6,-$TE6)),0)-((IF($TD6&gt;0,N(OFFSET(#REF!,$TD6+AEH$2-2,0))/12,0)+$AW6/12)*$BF6+$AX6/12*(1-$BF6))*QH6-$BJ6/12,0)+IF(AEH$2=$BM6,QI6*$BH6+IF($X6="IO",$S6+$TE6,-CUMPRINC($W6/12,$X6,$S6,$BM6,$X6,0)+CUMPRINC($W6/12,$X6,-$TE6,$BM6,$X6,0)))</f>
        <v>#REF!</v>
      </c>
      <c r="AEI6" s="214" t="e">
        <f ca="1">IF(AEI$2&lt;=$BM6,IF($X6="IO",$W6/12*QI6,-IPMT($W6/12,AEI$2,$X6,$S6)+$BT6/$BS6)+IFERROR((QI6-QJ6+PPMT($W6/12,AEI$2,$X6,-$TE6)),0)-((IF($TD6&gt;0,N(OFFSET(#REF!,$TD6+AEI$2-2,0))/12,0)+$AW6/12)*$BF6+$AX6/12*(1-$BF6))*QI6-$BJ6/12,0)+IF(AEI$2=$BM6,QJ6*$BH6+IF($X6="IO",$S6+$TE6,-CUMPRINC($W6/12,$X6,$S6,$BM6,$X6,0)+CUMPRINC($W6/12,$X6,-$TE6,$BM6,$X6,0)))</f>
        <v>#REF!</v>
      </c>
      <c r="AEJ6" s="214" t="e">
        <f ca="1">IF(AEJ$2&lt;=$BM6,IF($X6="IO",$W6/12*QJ6,-IPMT($W6/12,AEJ$2,$X6,$S6)+$BT6/$BS6)+IFERROR((QJ6-QK6+PPMT($W6/12,AEJ$2,$X6,-$TE6)),0)-((IF($TD6&gt;0,N(OFFSET(#REF!,$TD6+AEJ$2-2,0))/12,0)+$AW6/12)*$BF6+$AX6/12*(1-$BF6))*QJ6-$BJ6/12,0)+IF(AEJ$2=$BM6,QK6*$BH6+IF($X6="IO",$S6+$TE6,-CUMPRINC($W6/12,$X6,$S6,$BM6,$X6,0)+CUMPRINC($W6/12,$X6,-$TE6,$BM6,$X6,0)))</f>
        <v>#REF!</v>
      </c>
      <c r="AEK6" s="214" t="e">
        <f ca="1">IF(AEK$2&lt;=$BM6,IF($X6="IO",$W6/12*QK6,-IPMT($W6/12,AEK$2,$X6,$S6)+$BT6/$BS6)+IFERROR((QK6-QL6+PPMT($W6/12,AEK$2,$X6,-$TE6)),0)-((IF($TD6&gt;0,N(OFFSET(#REF!,$TD6+AEK$2-2,0))/12,0)+$AW6/12)*$BF6+$AX6/12*(1-$BF6))*QK6-$BJ6/12,0)+IF(AEK$2=$BM6,QL6*$BH6+IF($X6="IO",$S6+$TE6,-CUMPRINC($W6/12,$X6,$S6,$BM6,$X6,0)+CUMPRINC($W6/12,$X6,-$TE6,$BM6,$X6,0)))</f>
        <v>#REF!</v>
      </c>
      <c r="AEL6" s="214" t="e">
        <f ca="1">IF(AEL$2&lt;=$BM6,IF($X6="IO",$W6/12*QL6,-IPMT($W6/12,AEL$2,$X6,$S6)+$BT6/$BS6)+IFERROR((QL6-QM6+PPMT($W6/12,AEL$2,$X6,-$TE6)),0)-((IF($TD6&gt;0,N(OFFSET(#REF!,$TD6+AEL$2-2,0))/12,0)+$AW6/12)*$BF6+$AX6/12*(1-$BF6))*QL6-$BJ6/12,0)+IF(AEL$2=$BM6,QM6*$BH6+IF($X6="IO",$S6+$TE6,-CUMPRINC($W6/12,$X6,$S6,$BM6,$X6,0)+CUMPRINC($W6/12,$X6,-$TE6,$BM6,$X6,0)))</f>
        <v>#REF!</v>
      </c>
      <c r="AEM6" s="214" t="e">
        <f ca="1">IF(AEM$2&lt;=$BM6,IF($X6="IO",$W6/12*QM6,-IPMT($W6/12,AEM$2,$X6,$S6)+$BT6/$BS6)+IFERROR((QM6-QN6+PPMT($W6/12,AEM$2,$X6,-$TE6)),0)-((IF($TD6&gt;0,N(OFFSET(#REF!,$TD6+AEM$2-2,0))/12,0)+$AW6/12)*$BF6+$AX6/12*(1-$BF6))*QM6-$BJ6/12,0)+IF(AEM$2=$BM6,QN6*$BH6+IF($X6="IO",$S6+$TE6,-CUMPRINC($W6/12,$X6,$S6,$BM6,$X6,0)+CUMPRINC($W6/12,$X6,-$TE6,$BM6,$X6,0)))</f>
        <v>#REF!</v>
      </c>
      <c r="AEN6" s="214" t="e">
        <f ca="1">IF(AEN$2&lt;=$BM6,IF($X6="IO",$W6/12*QN6,-IPMT($W6/12,AEN$2,$X6,$S6)+$BT6/$BS6)+IFERROR((QN6-QO6+PPMT($W6/12,AEN$2,$X6,-$TE6)),0)-((IF($TD6&gt;0,N(OFFSET(#REF!,$TD6+AEN$2-2,0))/12,0)+$AW6/12)*$BF6+$AX6/12*(1-$BF6))*QN6-$BJ6/12,0)+IF(AEN$2=$BM6,QO6*$BH6+IF($X6="IO",$S6+$TE6,-CUMPRINC($W6/12,$X6,$S6,$BM6,$X6,0)+CUMPRINC($W6/12,$X6,-$TE6,$BM6,$X6,0)))</f>
        <v>#REF!</v>
      </c>
      <c r="AEO6" s="214" t="e">
        <f ca="1">IF(AEO$2&lt;=$BM6,IF($X6="IO",$W6/12*QO6,-IPMT($W6/12,AEO$2,$X6,$S6)+$BT6/$BS6)+IFERROR((QO6-QP6+PPMT($W6/12,AEO$2,$X6,-$TE6)),0)-((IF($TD6&gt;0,N(OFFSET(#REF!,$TD6+AEO$2-2,0))/12,0)+$AW6/12)*$BF6+$AX6/12*(1-$BF6))*QO6-$BJ6/12,0)+IF(AEO$2=$BM6,QP6*$BH6+IF($X6="IO",$S6+$TE6,-CUMPRINC($W6/12,$X6,$S6,$BM6,$X6,0)+CUMPRINC($W6/12,$X6,-$TE6,$BM6,$X6,0)))</f>
        <v>#REF!</v>
      </c>
      <c r="AEP6" s="214" t="e">
        <f ca="1">IF(AEP$2&lt;=$BM6,IF($X6="IO",$W6/12*QP6,-IPMT($W6/12,AEP$2,$X6,$S6)+$BT6/$BS6)+IFERROR((QP6-QQ6+PPMT($W6/12,AEP$2,$X6,-$TE6)),0)-((IF($TD6&gt;0,N(OFFSET(#REF!,$TD6+AEP$2-2,0))/12,0)+$AW6/12)*$BF6+$AX6/12*(1-$BF6))*QP6-$BJ6/12,0)+IF(AEP$2=$BM6,QQ6*$BH6+IF($X6="IO",$S6+$TE6,-CUMPRINC($W6/12,$X6,$S6,$BM6,$X6,0)+CUMPRINC($W6/12,$X6,-$TE6,$BM6,$X6,0)))</f>
        <v>#REF!</v>
      </c>
      <c r="AEQ6" s="214" t="e">
        <f ca="1">IF(AEQ$2&lt;=$BM6,IF($X6="IO",$W6/12*QQ6,-IPMT($W6/12,AEQ$2,$X6,$S6)+$BT6/$BS6)+IFERROR((QQ6-QR6+PPMT($W6/12,AEQ$2,$X6,-$TE6)),0)-((IF($TD6&gt;0,N(OFFSET(#REF!,$TD6+AEQ$2-2,0))/12,0)+$AW6/12)*$BF6+$AX6/12*(1-$BF6))*QQ6-$BJ6/12,0)+IF(AEQ$2=$BM6,QR6*$BH6+IF($X6="IO",$S6+$TE6,-CUMPRINC($W6/12,$X6,$S6,$BM6,$X6,0)+CUMPRINC($W6/12,$X6,-$TE6,$BM6,$X6,0)))</f>
        <v>#REF!</v>
      </c>
      <c r="AER6" s="214" t="e">
        <f ca="1">IF(AER$2&lt;=$BM6,IF($X6="IO",$W6/12*QR6,-IPMT($W6/12,AER$2,$X6,$S6)+$BT6/$BS6)+IFERROR((QR6-QS6+PPMT($W6/12,AER$2,$X6,-$TE6)),0)-((IF($TD6&gt;0,N(OFFSET(#REF!,$TD6+AER$2-2,0))/12,0)+$AW6/12)*$BF6+$AX6/12*(1-$BF6))*QR6-$BJ6/12,0)+IF(AER$2=$BM6,QS6*$BH6+IF($X6="IO",$S6+$TE6,-CUMPRINC($W6/12,$X6,$S6,$BM6,$X6,0)+CUMPRINC($W6/12,$X6,-$TE6,$BM6,$X6,0)))</f>
        <v>#REF!</v>
      </c>
      <c r="AES6" s="214" t="e">
        <f ca="1">IF(AES$2&lt;=$BM6,IF($X6="IO",$W6/12*QS6,-IPMT($W6/12,AES$2,$X6,$S6)+$BT6/$BS6)+IFERROR((QS6-QT6+PPMT($W6/12,AES$2,$X6,-$TE6)),0)-((IF($TD6&gt;0,N(OFFSET(#REF!,$TD6+AES$2-2,0))/12,0)+$AW6/12)*$BF6+$AX6/12*(1-$BF6))*QS6-$BJ6/12,0)+IF(AES$2=$BM6,QT6*$BH6+IF($X6="IO",$S6+$TE6,-CUMPRINC($W6/12,$X6,$S6,$BM6,$X6,0)+CUMPRINC($W6/12,$X6,-$TE6,$BM6,$X6,0)))</f>
        <v>#REF!</v>
      </c>
      <c r="AET6" s="214" t="e">
        <f ca="1">IF(AET$2&lt;=$BM6,IF($X6="IO",$W6/12*QT6,-IPMT($W6/12,AET$2,$X6,$S6)+$BT6/$BS6)+IFERROR((QT6-QU6+PPMT($W6/12,AET$2,$X6,-$TE6)),0)-((IF($TD6&gt;0,N(OFFSET(#REF!,$TD6+AET$2-2,0))/12,0)+$AW6/12)*$BF6+$AX6/12*(1-$BF6))*QT6-$BJ6/12,0)+IF(AET$2=$BM6,QU6*$BH6+IF($X6="IO",$S6+$TE6,-CUMPRINC($W6/12,$X6,$S6,$BM6,$X6,0)+CUMPRINC($W6/12,$X6,-$TE6,$BM6,$X6,0)))</f>
        <v>#REF!</v>
      </c>
      <c r="AEU6" s="214" t="e">
        <f ca="1">IF(AEU$2&lt;=$BM6,IF($X6="IO",$W6/12*QU6,-IPMT($W6/12,AEU$2,$X6,$S6)+$BT6/$BS6)+IFERROR((QU6-QV6+PPMT($W6/12,AEU$2,$X6,-$TE6)),0)-((IF($TD6&gt;0,N(OFFSET(#REF!,$TD6+AEU$2-2,0))/12,0)+$AW6/12)*$BF6+$AX6/12*(1-$BF6))*QU6-$BJ6/12,0)+IF(AEU$2=$BM6,QV6*$BH6+IF($X6="IO",$S6+$TE6,-CUMPRINC($W6/12,$X6,$S6,$BM6,$X6,0)+CUMPRINC($W6/12,$X6,-$TE6,$BM6,$X6,0)))</f>
        <v>#REF!</v>
      </c>
      <c r="AEV6" s="214" t="e">
        <f ca="1">IF(AEV$2&lt;=$BM6,IF($X6="IO",$W6/12*QV6,-IPMT($W6/12,AEV$2,$X6,$S6)+$BT6/$BS6)+IFERROR((QV6-QW6+PPMT($W6/12,AEV$2,$X6,-$TE6)),0)-((IF($TD6&gt;0,N(OFFSET(#REF!,$TD6+AEV$2-2,0))/12,0)+$AW6/12)*$BF6+$AX6/12*(1-$BF6))*QV6-$BJ6/12,0)+IF(AEV$2=$BM6,QW6*$BH6+IF($X6="IO",$S6+$TE6,-CUMPRINC($W6/12,$X6,$S6,$BM6,$X6,0)+CUMPRINC($W6/12,$X6,-$TE6,$BM6,$X6,0)))</f>
        <v>#REF!</v>
      </c>
      <c r="AEW6" s="214" t="e">
        <f ca="1">IF(AEW$2&lt;=$BM6,IF($X6="IO",$W6/12*QW6,-IPMT($W6/12,AEW$2,$X6,$S6)+$BT6/$BS6)+IFERROR((QW6-QX6+PPMT($W6/12,AEW$2,$X6,-$TE6)),0)-((IF($TD6&gt;0,N(OFFSET(#REF!,$TD6+AEW$2-2,0))/12,0)+$AW6/12)*$BF6+$AX6/12*(1-$BF6))*QW6-$BJ6/12,0)+IF(AEW$2=$BM6,QX6*$BH6+IF($X6="IO",$S6+$TE6,-CUMPRINC($W6/12,$X6,$S6,$BM6,$X6,0)+CUMPRINC($W6/12,$X6,-$TE6,$BM6,$X6,0)))</f>
        <v>#REF!</v>
      </c>
      <c r="AEX6" s="214" t="e">
        <f ca="1">IF(AEX$2&lt;=$BM6,IF($X6="IO",$W6/12*QX6,-IPMT($W6/12,AEX$2,$X6,$S6)+$BT6/$BS6)+IFERROR((QX6-QY6+PPMT($W6/12,AEX$2,$X6,-$TE6)),0)-((IF($TD6&gt;0,N(OFFSET(#REF!,$TD6+AEX$2-2,0))/12,0)+$AW6/12)*$BF6+$AX6/12*(1-$BF6))*QX6-$BJ6/12,0)+IF(AEX$2=$BM6,QY6*$BH6+IF($X6="IO",$S6+$TE6,-CUMPRINC($W6/12,$X6,$S6,$BM6,$X6,0)+CUMPRINC($W6/12,$X6,-$TE6,$BM6,$X6,0)))</f>
        <v>#REF!</v>
      </c>
      <c r="AEY6" s="214" t="e">
        <f ca="1">IF(AEY$2&lt;=$BM6,IF($X6="IO",$W6/12*QY6,-IPMT($W6/12,AEY$2,$X6,$S6)+$BT6/$BS6)+IFERROR((QY6-QZ6+PPMT($W6/12,AEY$2,$X6,-$TE6)),0)-((IF($TD6&gt;0,N(OFFSET(#REF!,$TD6+AEY$2-2,0))/12,0)+$AW6/12)*$BF6+$AX6/12*(1-$BF6))*QY6-$BJ6/12,0)+IF(AEY$2=$BM6,QZ6*$BH6+IF($X6="IO",$S6+$TE6,-CUMPRINC($W6/12,$X6,$S6,$BM6,$X6,0)+CUMPRINC($W6/12,$X6,-$TE6,$BM6,$X6,0)))</f>
        <v>#REF!</v>
      </c>
      <c r="AEZ6" s="214" t="e">
        <f ca="1">IF(AEZ$2&lt;=$BM6,IF($X6="IO",$W6/12*QZ6,-IPMT($W6/12,AEZ$2,$X6,$S6)+$BT6/$BS6)+IFERROR((QZ6-RA6+PPMT($W6/12,AEZ$2,$X6,-$TE6)),0)-((IF($TD6&gt;0,N(OFFSET(#REF!,$TD6+AEZ$2-2,0))/12,0)+$AW6/12)*$BF6+$AX6/12*(1-$BF6))*QZ6-$BJ6/12,0)+IF(AEZ$2=$BM6,RA6*$BH6+IF($X6="IO",$S6+$TE6,-CUMPRINC($W6/12,$X6,$S6,$BM6,$X6,0)+CUMPRINC($W6/12,$X6,-$TE6,$BM6,$X6,0)))</f>
        <v>#REF!</v>
      </c>
      <c r="AFA6" s="214" t="e">
        <f ca="1">IF(AFA$2&lt;=$BM6,IF($X6="IO",$W6/12*RA6,-IPMT($W6/12,AFA$2,$X6,$S6)+$BT6/$BS6)+IFERROR((RA6-RB6+PPMT($W6/12,AFA$2,$X6,-$TE6)),0)-((IF($TD6&gt;0,N(OFFSET(#REF!,$TD6+AFA$2-2,0))/12,0)+$AW6/12)*$BF6+$AX6/12*(1-$BF6))*RA6-$BJ6/12,0)+IF(AFA$2=$BM6,RB6*$BH6+IF($X6="IO",$S6+$TE6,-CUMPRINC($W6/12,$X6,$S6,$BM6,$X6,0)+CUMPRINC($W6/12,$X6,-$TE6,$BM6,$X6,0)))</f>
        <v>#REF!</v>
      </c>
      <c r="AFB6" s="214" t="e">
        <f ca="1">IF(AFB$2&lt;=$BM6,IF($X6="IO",$W6/12*RB6,-IPMT($W6/12,AFB$2,$X6,$S6)+$BT6/$BS6)+IFERROR((RB6-RC6+PPMT($W6/12,AFB$2,$X6,-$TE6)),0)-((IF($TD6&gt;0,N(OFFSET(#REF!,$TD6+AFB$2-2,0))/12,0)+$AW6/12)*$BF6+$AX6/12*(1-$BF6))*RB6-$BJ6/12,0)+IF(AFB$2=$BM6,RC6*$BH6+IF($X6="IO",$S6+$TE6,-CUMPRINC($W6/12,$X6,$S6,$BM6,$X6,0)+CUMPRINC($W6/12,$X6,-$TE6,$BM6,$X6,0)))</f>
        <v>#REF!</v>
      </c>
      <c r="AFC6" s="214" t="e">
        <f ca="1">IF(AFC$2&lt;=$BM6,IF($X6="IO",$W6/12*RC6,-IPMT($W6/12,AFC$2,$X6,$S6)+$BT6/$BS6)+IFERROR((RC6-RD6+PPMT($W6/12,AFC$2,$X6,-$TE6)),0)-((IF($TD6&gt;0,N(OFFSET(#REF!,$TD6+AFC$2-2,0))/12,0)+$AW6/12)*$BF6+$AX6/12*(1-$BF6))*RC6-$BJ6/12,0)+IF(AFC$2=$BM6,RD6*$BH6+IF($X6="IO",$S6+$TE6,-CUMPRINC($W6/12,$X6,$S6,$BM6,$X6,0)+CUMPRINC($W6/12,$X6,-$TE6,$BM6,$X6,0)))</f>
        <v>#REF!</v>
      </c>
      <c r="AFD6" s="214" t="e">
        <f ca="1">IF(AFD$2&lt;=$BM6,IF($X6="IO",$W6/12*RD6,-IPMT($W6/12,AFD$2,$X6,$S6)+$BT6/$BS6)+IFERROR((RD6-RE6+PPMT($W6/12,AFD$2,$X6,-$TE6)),0)-((IF($TD6&gt;0,N(OFFSET(#REF!,$TD6+AFD$2-2,0))/12,0)+$AW6/12)*$BF6+$AX6/12*(1-$BF6))*RD6-$BJ6/12,0)+IF(AFD$2=$BM6,RE6*$BH6+IF($X6="IO",$S6+$TE6,-CUMPRINC($W6/12,$X6,$S6,$BM6,$X6,0)+CUMPRINC($W6/12,$X6,-$TE6,$BM6,$X6,0)))</f>
        <v>#REF!</v>
      </c>
      <c r="AFE6" s="214" t="e">
        <f ca="1">IF(AFE$2&lt;=$BM6,IF($X6="IO",$W6/12*RE6,-IPMT($W6/12,AFE$2,$X6,$S6)+$BT6/$BS6)+IFERROR((RE6-RF6+PPMT($W6/12,AFE$2,$X6,-$TE6)),0)-((IF($TD6&gt;0,N(OFFSET(#REF!,$TD6+AFE$2-2,0))/12,0)+$AW6/12)*$BF6+$AX6/12*(1-$BF6))*RE6-$BJ6/12,0)+IF(AFE$2=$BM6,RF6*$BH6+IF($X6="IO",$S6+$TE6,-CUMPRINC($W6/12,$X6,$S6,$BM6,$X6,0)+CUMPRINC($W6/12,$X6,-$TE6,$BM6,$X6,0)))</f>
        <v>#REF!</v>
      </c>
      <c r="AFF6" s="214" t="e">
        <f ca="1">IF(AFF$2&lt;=$BM6,IF($X6="IO",$W6/12*RF6,-IPMT($W6/12,AFF$2,$X6,$S6)+$BT6/$BS6)+IFERROR((RF6-RG6+PPMT($W6/12,AFF$2,$X6,-$TE6)),0)-((IF($TD6&gt;0,N(OFFSET(#REF!,$TD6+AFF$2-2,0))/12,0)+$AW6/12)*$BF6+$AX6/12*(1-$BF6))*RF6-$BJ6/12,0)+IF(AFF$2=$BM6,RG6*$BH6+IF($X6="IO",$S6+$TE6,-CUMPRINC($W6/12,$X6,$S6,$BM6,$X6,0)+CUMPRINC($W6/12,$X6,-$TE6,$BM6,$X6,0)))</f>
        <v>#REF!</v>
      </c>
      <c r="AFG6" s="214" t="e">
        <f ca="1">IF(AFG$2&lt;=$BM6,IF($X6="IO",$W6/12*RG6,-IPMT($W6/12,AFG$2,$X6,$S6)+$BT6/$BS6)+IFERROR((RG6-RH6+PPMT($W6/12,AFG$2,$X6,-$TE6)),0)-((IF($TD6&gt;0,N(OFFSET(#REF!,$TD6+AFG$2-2,0))/12,0)+$AW6/12)*$BF6+$AX6/12*(1-$BF6))*RG6-$BJ6/12,0)+IF(AFG$2=$BM6,RH6*$BH6+IF($X6="IO",$S6+$TE6,-CUMPRINC($W6/12,$X6,$S6,$BM6,$X6,0)+CUMPRINC($W6/12,$X6,-$TE6,$BM6,$X6,0)))</f>
        <v>#REF!</v>
      </c>
      <c r="AFH6" s="214" t="e">
        <f ca="1">IF(AFH$2&lt;=$BM6,IF($X6="IO",$W6/12*RH6,-IPMT($W6/12,AFH$2,$X6,$S6)+$BT6/$BS6)+IFERROR((RH6-RI6+PPMT($W6/12,AFH$2,$X6,-$TE6)),0)-((IF($TD6&gt;0,N(OFFSET(#REF!,$TD6+AFH$2-2,0))/12,0)+$AW6/12)*$BF6+$AX6/12*(1-$BF6))*RH6-$BJ6/12,0)+IF(AFH$2=$BM6,RI6*$BH6+IF($X6="IO",$S6+$TE6,-CUMPRINC($W6/12,$X6,$S6,$BM6,$X6,0)+CUMPRINC($W6/12,$X6,-$TE6,$BM6,$X6,0)))</f>
        <v>#REF!</v>
      </c>
      <c r="AFI6" s="214" t="e">
        <f ca="1">IF(AFI$2&lt;=$BM6,IF($X6="IO",$W6/12*RI6,-IPMT($W6/12,AFI$2,$X6,$S6)+$BT6/$BS6)+IFERROR((RI6-RJ6+PPMT($W6/12,AFI$2,$X6,-$TE6)),0)-((IF($TD6&gt;0,N(OFFSET(#REF!,$TD6+AFI$2-2,0))/12,0)+$AW6/12)*$BF6+$AX6/12*(1-$BF6))*RI6-$BJ6/12,0)+IF(AFI$2=$BM6,RJ6*$BH6+IF($X6="IO",$S6+$TE6,-CUMPRINC($W6/12,$X6,$S6,$BM6,$X6,0)+CUMPRINC($W6/12,$X6,-$TE6,$BM6,$X6,0)))</f>
        <v>#REF!</v>
      </c>
      <c r="AFJ6" s="214" t="e">
        <f ca="1">IF(AFJ$2&lt;=$BM6,IF($X6="IO",$W6/12*RJ6,-IPMT($W6/12,AFJ$2,$X6,$S6)+$BT6/$BS6)+IFERROR((RJ6-RK6+PPMT($W6/12,AFJ$2,$X6,-$TE6)),0)-((IF($TD6&gt;0,N(OFFSET(#REF!,$TD6+AFJ$2-2,0))/12,0)+$AW6/12)*$BF6+$AX6/12*(1-$BF6))*RJ6-$BJ6/12,0)+IF(AFJ$2=$BM6,RK6*$BH6+IF($X6="IO",$S6+$TE6,-CUMPRINC($W6/12,$X6,$S6,$BM6,$X6,0)+CUMPRINC($W6/12,$X6,-$TE6,$BM6,$X6,0)))</f>
        <v>#REF!</v>
      </c>
      <c r="AFK6" s="214" t="e">
        <f ca="1">IF(AFK$2&lt;=$BM6,IF($X6="IO",$W6/12*RK6,-IPMT($W6/12,AFK$2,$X6,$S6)+$BT6/$BS6)+IFERROR((RK6-RL6+PPMT($W6/12,AFK$2,$X6,-$TE6)),0)-((IF($TD6&gt;0,N(OFFSET(#REF!,$TD6+AFK$2-2,0))/12,0)+$AW6/12)*$BF6+$AX6/12*(1-$BF6))*RK6-$BJ6/12,0)+IF(AFK$2=$BM6,RL6*$BH6+IF($X6="IO",$S6+$TE6,-CUMPRINC($W6/12,$X6,$S6,$BM6,$X6,0)+CUMPRINC($W6/12,$X6,-$TE6,$BM6,$X6,0)))</f>
        <v>#REF!</v>
      </c>
      <c r="AFL6" s="214" t="e">
        <f ca="1">IF(AFL$2&lt;=$BM6,IF($X6="IO",$W6/12*RL6,-IPMT($W6/12,AFL$2,$X6,$S6)+$BT6/$BS6)+IFERROR((RL6-RM6+PPMT($W6/12,AFL$2,$X6,-$TE6)),0)-((IF($TD6&gt;0,N(OFFSET(#REF!,$TD6+AFL$2-2,0))/12,0)+$AW6/12)*$BF6+$AX6/12*(1-$BF6))*RL6-$BJ6/12,0)+IF(AFL$2=$BM6,RM6*$BH6+IF($X6="IO",$S6+$TE6,-CUMPRINC($W6/12,$X6,$S6,$BM6,$X6,0)+CUMPRINC($W6/12,$X6,-$TE6,$BM6,$X6,0)))</f>
        <v>#REF!</v>
      </c>
      <c r="AFM6" s="214" t="e">
        <f ca="1">IF(AFM$2&lt;=$BM6,IF($X6="IO",$W6/12*RM6,-IPMT($W6/12,AFM$2,$X6,$S6)+$BT6/$BS6)+IFERROR((RM6-RN6+PPMT($W6/12,AFM$2,$X6,-$TE6)),0)-((IF($TD6&gt;0,N(OFFSET(#REF!,$TD6+AFM$2-2,0))/12,0)+$AW6/12)*$BF6+$AX6/12*(1-$BF6))*RM6-$BJ6/12,0)+IF(AFM$2=$BM6,RN6*$BH6+IF($X6="IO",$S6+$TE6,-CUMPRINC($W6/12,$X6,$S6,$BM6,$X6,0)+CUMPRINC($W6/12,$X6,-$TE6,$BM6,$X6,0)))</f>
        <v>#REF!</v>
      </c>
      <c r="AFN6" s="214" t="e">
        <f ca="1">IF(AFN$2&lt;=$BM6,IF($X6="IO",$W6/12*RN6,-IPMT($W6/12,AFN$2,$X6,$S6)+$BT6/$BS6)+IFERROR((RN6-RO6+PPMT($W6/12,AFN$2,$X6,-$TE6)),0)-((IF($TD6&gt;0,N(OFFSET(#REF!,$TD6+AFN$2-2,0))/12,0)+$AW6/12)*$BF6+$AX6/12*(1-$BF6))*RN6-$BJ6/12,0)+IF(AFN$2=$BM6,RO6*$BH6+IF($X6="IO",$S6+$TE6,-CUMPRINC($W6/12,$X6,$S6,$BM6,$X6,0)+CUMPRINC($W6/12,$X6,-$TE6,$BM6,$X6,0)))</f>
        <v>#REF!</v>
      </c>
      <c r="AFO6" s="214" t="e">
        <f ca="1">IF(AFO$2&lt;=$BM6,IF($X6="IO",$W6/12*RO6,-IPMT($W6/12,AFO$2,$X6,$S6)+$BT6/$BS6)+IFERROR((RO6-RP6+PPMT($W6/12,AFO$2,$X6,-$TE6)),0)-((IF($TD6&gt;0,N(OFFSET(#REF!,$TD6+AFO$2-2,0))/12,0)+$AW6/12)*$BF6+$AX6/12*(1-$BF6))*RO6-$BJ6/12,0)+IF(AFO$2=$BM6,RP6*$BH6+IF($X6="IO",$S6+$TE6,-CUMPRINC($W6/12,$X6,$S6,$BM6,$X6,0)+CUMPRINC($W6/12,$X6,-$TE6,$BM6,$X6,0)))</f>
        <v>#REF!</v>
      </c>
      <c r="AFP6" s="214" t="e">
        <f ca="1">IF(AFP$2&lt;=$BM6,IF($X6="IO",$W6/12*RP6,-IPMT($W6/12,AFP$2,$X6,$S6)+$BT6/$BS6)+IFERROR((RP6-RQ6+PPMT($W6/12,AFP$2,$X6,-$TE6)),0)-((IF($TD6&gt;0,N(OFFSET(#REF!,$TD6+AFP$2-2,0))/12,0)+$AW6/12)*$BF6+$AX6/12*(1-$BF6))*RP6-$BJ6/12,0)+IF(AFP$2=$BM6,RQ6*$BH6+IF($X6="IO",$S6+$TE6,-CUMPRINC($W6/12,$X6,$S6,$BM6,$X6,0)+CUMPRINC($W6/12,$X6,-$TE6,$BM6,$X6,0)))</f>
        <v>#REF!</v>
      </c>
      <c r="AFQ6" s="214" t="e">
        <f ca="1">IF(AFQ$2&lt;=$BM6,IF($X6="IO",$W6/12*RQ6,-IPMT($W6/12,AFQ$2,$X6,$S6)+$BT6/$BS6)+IFERROR((RQ6-RR6+PPMT($W6/12,AFQ$2,$X6,-$TE6)),0)-((IF($TD6&gt;0,N(OFFSET(#REF!,$TD6+AFQ$2-2,0))/12,0)+$AW6/12)*$BF6+$AX6/12*(1-$BF6))*RQ6-$BJ6/12,0)+IF(AFQ$2=$BM6,RR6*$BH6+IF($X6="IO",$S6+$TE6,-CUMPRINC($W6/12,$X6,$S6,$BM6,$X6,0)+CUMPRINC($W6/12,$X6,-$TE6,$BM6,$X6,0)))</f>
        <v>#REF!</v>
      </c>
      <c r="AFR6" s="214" t="e">
        <f ca="1">IF(AFR$2&lt;=$BM6,IF($X6="IO",$W6/12*RR6,-IPMT($W6/12,AFR$2,$X6,$S6)+$BT6/$BS6)+IFERROR((RR6-RS6+PPMT($W6/12,AFR$2,$X6,-$TE6)),0)-((IF($TD6&gt;0,N(OFFSET(#REF!,$TD6+AFR$2-2,0))/12,0)+$AW6/12)*$BF6+$AX6/12*(1-$BF6))*RR6-$BJ6/12,0)+IF(AFR$2=$BM6,RS6*$BH6+IF($X6="IO",$S6+$TE6,-CUMPRINC($W6/12,$X6,$S6,$BM6,$X6,0)+CUMPRINC($W6/12,$X6,-$TE6,$BM6,$X6,0)))</f>
        <v>#REF!</v>
      </c>
      <c r="AFS6" s="214" t="e">
        <f ca="1">IF(AFS$2&lt;=$BM6,IF($X6="IO",$W6/12*RS6,-IPMT($W6/12,AFS$2,$X6,$S6)+$BT6/$BS6)+IFERROR((RS6-RT6+PPMT($W6/12,AFS$2,$X6,-$TE6)),0)-((IF($TD6&gt;0,N(OFFSET(#REF!,$TD6+AFS$2-2,0))/12,0)+$AW6/12)*$BF6+$AX6/12*(1-$BF6))*RS6-$BJ6/12,0)+IF(AFS$2=$BM6,RT6*$BH6+IF($X6="IO",$S6+$TE6,-CUMPRINC($W6/12,$X6,$S6,$BM6,$X6,0)+CUMPRINC($W6/12,$X6,-$TE6,$BM6,$X6,0)))</f>
        <v>#REF!</v>
      </c>
      <c r="AFT6" s="214" t="e">
        <f ca="1">IF(AFT$2&lt;=$BM6,IF($X6="IO",$W6/12*RT6,-IPMT($W6/12,AFT$2,$X6,$S6)+$BT6/$BS6)+IFERROR((RT6-RU6+PPMT($W6/12,AFT$2,$X6,-$TE6)),0)-((IF($TD6&gt;0,N(OFFSET(#REF!,$TD6+AFT$2-2,0))/12,0)+$AW6/12)*$BF6+$AX6/12*(1-$BF6))*RT6-$BJ6/12,0)+IF(AFT$2=$BM6,RU6*$BH6+IF($X6="IO",$S6+$TE6,-CUMPRINC($W6/12,$X6,$S6,$BM6,$X6,0)+CUMPRINC($W6/12,$X6,-$TE6,$BM6,$X6,0)))</f>
        <v>#REF!</v>
      </c>
      <c r="AFU6" s="214" t="e">
        <f ca="1">IF(AFU$2&lt;=$BM6,IF($X6="IO",$W6/12*RU6,-IPMT($W6/12,AFU$2,$X6,$S6)+$BT6/$BS6)+IFERROR((RU6-RV6+PPMT($W6/12,AFU$2,$X6,-$TE6)),0)-((IF($TD6&gt;0,N(OFFSET(#REF!,$TD6+AFU$2-2,0))/12,0)+$AW6/12)*$BF6+$AX6/12*(1-$BF6))*RU6-$BJ6/12,0)+IF(AFU$2=$BM6,RV6*$BH6+IF($X6="IO",$S6+$TE6,-CUMPRINC($W6/12,$X6,$S6,$BM6,$X6,0)+CUMPRINC($W6/12,$X6,-$TE6,$BM6,$X6,0)))</f>
        <v>#REF!</v>
      </c>
      <c r="AFV6" s="214" t="e">
        <f ca="1">IF(AFV$2&lt;=$BM6,IF($X6="IO",$W6/12*RV6,-IPMT($W6/12,AFV$2,$X6,$S6)+$BT6/$BS6)+IFERROR((RV6-RW6+PPMT($W6/12,AFV$2,$X6,-$TE6)),0)-((IF($TD6&gt;0,N(OFFSET(#REF!,$TD6+AFV$2-2,0))/12,0)+$AW6/12)*$BF6+$AX6/12*(1-$BF6))*RV6-$BJ6/12,0)+IF(AFV$2=$BM6,RW6*$BH6+IF($X6="IO",$S6+$TE6,-CUMPRINC($W6/12,$X6,$S6,$BM6,$X6,0)+CUMPRINC($W6/12,$X6,-$TE6,$BM6,$X6,0)))</f>
        <v>#REF!</v>
      </c>
      <c r="AFW6" s="214" t="e">
        <f ca="1">IF(AFW$2&lt;=$BM6,IF($X6="IO",$W6/12*RW6,-IPMT($W6/12,AFW$2,$X6,$S6)+$BT6/$BS6)+IFERROR((RW6-RX6+PPMT($W6/12,AFW$2,$X6,-$TE6)),0)-((IF($TD6&gt;0,N(OFFSET(#REF!,$TD6+AFW$2-2,0))/12,0)+$AW6/12)*$BF6+$AX6/12*(1-$BF6))*RW6-$BJ6/12,0)+IF(AFW$2=$BM6,RX6*$BH6+IF($X6="IO",$S6+$TE6,-CUMPRINC($W6/12,$X6,$S6,$BM6,$X6,0)+CUMPRINC($W6/12,$X6,-$TE6,$BM6,$X6,0)))</f>
        <v>#REF!</v>
      </c>
      <c r="AFX6" s="214" t="e">
        <f ca="1">IF(AFX$2&lt;=$BM6,IF($X6="IO",$W6/12*RX6,-IPMT($W6/12,AFX$2,$X6,$S6)+$BT6/$BS6)+IFERROR((RX6-RY6+PPMT($W6/12,AFX$2,$X6,-$TE6)),0)-((IF($TD6&gt;0,N(OFFSET(#REF!,$TD6+AFX$2-2,0))/12,0)+$AW6/12)*$BF6+$AX6/12*(1-$BF6))*RX6-$BJ6/12,0)+IF(AFX$2=$BM6,RY6*$BH6+IF($X6="IO",$S6+$TE6,-CUMPRINC($W6/12,$X6,$S6,$BM6,$X6,0)+CUMPRINC($W6/12,$X6,-$TE6,$BM6,$X6,0)))</f>
        <v>#REF!</v>
      </c>
      <c r="AFY6" s="214" t="e">
        <f ca="1">IF(AFY$2&lt;=$BM6,IF($X6="IO",$W6/12*RY6,-IPMT($W6/12,AFY$2,$X6,$S6)+$BT6/$BS6)+IFERROR((RY6-RZ6+PPMT($W6/12,AFY$2,$X6,-$TE6)),0)-((IF($TD6&gt;0,N(OFFSET(#REF!,$TD6+AFY$2-2,0))/12,0)+$AW6/12)*$BF6+$AX6/12*(1-$BF6))*RY6-$BJ6/12,0)+IF(AFY$2=$BM6,RZ6*$BH6+IF($X6="IO",$S6+$TE6,-CUMPRINC($W6/12,$X6,$S6,$BM6,$X6,0)+CUMPRINC($W6/12,$X6,-$TE6,$BM6,$X6,0)))</f>
        <v>#REF!</v>
      </c>
      <c r="AFZ6" s="214" t="e">
        <f ca="1">IF(AFZ$2&lt;=$BM6,IF($X6="IO",$W6/12*RZ6,-IPMT($W6/12,AFZ$2,$X6,$S6)+$BT6/$BS6)+IFERROR((RZ6-SA6+PPMT($W6/12,AFZ$2,$X6,-$TE6)),0)-((IF($TD6&gt;0,N(OFFSET(#REF!,$TD6+AFZ$2-2,0))/12,0)+$AW6/12)*$BF6+$AX6/12*(1-$BF6))*RZ6-$BJ6/12,0)+IF(AFZ$2=$BM6,SA6*$BH6+IF($X6="IO",$S6+$TE6,-CUMPRINC($W6/12,$X6,$S6,$BM6,$X6,0)+CUMPRINC($W6/12,$X6,-$TE6,$BM6,$X6,0)))</f>
        <v>#REF!</v>
      </c>
      <c r="AGA6" s="214" t="e">
        <f ca="1">IF(AGA$2&lt;=$BM6,IF($X6="IO",$W6/12*SA6,-IPMT($W6/12,AGA$2,$X6,$S6)+$BT6/$BS6)+IFERROR((SA6-SB6+PPMT($W6/12,AGA$2,$X6,-$TE6)),0)-((IF($TD6&gt;0,N(OFFSET(#REF!,$TD6+AGA$2-2,0))/12,0)+$AW6/12)*$BF6+$AX6/12*(1-$BF6))*SA6-$BJ6/12,0)+IF(AGA$2=$BM6,SB6*$BH6+IF($X6="IO",$S6+$TE6,-CUMPRINC($W6/12,$X6,$S6,$BM6,$X6,0)+CUMPRINC($W6/12,$X6,-$TE6,$BM6,$X6,0)))</f>
        <v>#REF!</v>
      </c>
      <c r="AGB6" s="214" t="e">
        <f ca="1">IF(AGB$2&lt;=$BM6,IF($X6="IO",$W6/12*SB6,-IPMT($W6/12,AGB$2,$X6,$S6)+$BT6/$BS6)+IFERROR((SB6-SC6+PPMT($W6/12,AGB$2,$X6,-$TE6)),0)-((IF($TD6&gt;0,N(OFFSET(#REF!,$TD6+AGB$2-2,0))/12,0)+$AW6/12)*$BF6+$AX6/12*(1-$BF6))*SB6-$BJ6/12,0)+IF(AGB$2=$BM6,SC6*$BH6+IF($X6="IO",$S6+$TE6,-CUMPRINC($W6/12,$X6,$S6,$BM6,$X6,0)+CUMPRINC($W6/12,$X6,-$TE6,$BM6,$X6,0)))</f>
        <v>#REF!</v>
      </c>
      <c r="AGC6" s="214" t="e">
        <f ca="1">IF(AGC$2&lt;=$BM6,IF($X6="IO",$W6/12*SC6,-IPMT($W6/12,AGC$2,$X6,$S6)+$BT6/$BS6)+IFERROR((SC6-SD6+PPMT($W6/12,AGC$2,$X6,-$TE6)),0)-((IF($TD6&gt;0,N(OFFSET(#REF!,$TD6+AGC$2-2,0))/12,0)+$AW6/12)*$BF6+$AX6/12*(1-$BF6))*SC6-$BJ6/12,0)+IF(AGC$2=$BM6,SD6*$BH6+IF($X6="IO",$S6+$TE6,-CUMPRINC($W6/12,$X6,$S6,$BM6,$X6,0)+CUMPRINC($W6/12,$X6,-$TE6,$BM6,$X6,0)))</f>
        <v>#REF!</v>
      </c>
      <c r="AGD6" s="214" t="e">
        <f ca="1">IF(AGD$2&lt;=$BM6,IF($X6="IO",$W6/12*SD6,-IPMT($W6/12,AGD$2,$X6,$S6)+$BT6/$BS6)+IFERROR((SD6-SE6+PPMT($W6/12,AGD$2,$X6,-$TE6)),0)-((IF($TD6&gt;0,N(OFFSET(#REF!,$TD6+AGD$2-2,0))/12,0)+$AW6/12)*$BF6+$AX6/12*(1-$BF6))*SD6-$BJ6/12,0)+IF(AGD$2=$BM6,SE6*$BH6+IF($X6="IO",$S6+$TE6,-CUMPRINC($W6/12,$X6,$S6,$BM6,$X6,0)+CUMPRINC($W6/12,$X6,-$TE6,$BM6,$X6,0)))</f>
        <v>#REF!</v>
      </c>
      <c r="AGE6" s="214" t="e">
        <f ca="1">IF(AGE$2&lt;=$BM6,IF($X6="IO",$W6/12*SE6,-IPMT($W6/12,AGE$2,$X6,$S6)+$BT6/$BS6)+IFERROR((SE6-SF6+PPMT($W6/12,AGE$2,$X6,-$TE6)),0)-((IF($TD6&gt;0,N(OFFSET(#REF!,$TD6+AGE$2-2,0))/12,0)+$AW6/12)*$BF6+$AX6/12*(1-$BF6))*SE6-$BJ6/12,0)+IF(AGE$2=$BM6,SF6*$BH6+IF($X6="IO",$S6+$TE6,-CUMPRINC($W6/12,$X6,$S6,$BM6,$X6,0)+CUMPRINC($W6/12,$X6,-$TE6,$BM6,$X6,0)))</f>
        <v>#REF!</v>
      </c>
      <c r="AGF6" s="214" t="e">
        <f ca="1">IF(AGF$2&lt;=$BM6,IF($X6="IO",$W6/12*SF6,-IPMT($W6/12,AGF$2,$X6,$S6)+$BT6/$BS6)+IFERROR((SF6-SG6+PPMT($W6/12,AGF$2,$X6,-$TE6)),0)-((IF($TD6&gt;0,N(OFFSET(#REF!,$TD6+AGF$2-2,0))/12,0)+$AW6/12)*$BF6+$AX6/12*(1-$BF6))*SF6-$BJ6/12,0)+IF(AGF$2=$BM6,SG6*$BH6+IF($X6="IO",$S6+$TE6,-CUMPRINC($W6/12,$X6,$S6,$BM6,$X6,0)+CUMPRINC($W6/12,$X6,-$TE6,$BM6,$X6,0)))</f>
        <v>#REF!</v>
      </c>
      <c r="AGG6" s="214" t="e">
        <f ca="1">IF(AGG$2&lt;=$BM6,IF($X6="IO",$W6/12*SG6,-IPMT($W6/12,AGG$2,$X6,$S6)+$BT6/$BS6)+IFERROR((SG6-SH6+PPMT($W6/12,AGG$2,$X6,-$TE6)),0)-((IF($TD6&gt;0,N(OFFSET(#REF!,$TD6+AGG$2-2,0))/12,0)+$AW6/12)*$BF6+$AX6/12*(1-$BF6))*SG6-$BJ6/12,0)+IF(AGG$2=$BM6,SH6*$BH6+IF($X6="IO",$S6+$TE6,-CUMPRINC($W6/12,$X6,$S6,$BM6,$X6,0)+CUMPRINC($W6/12,$X6,-$TE6,$BM6,$X6,0)))</f>
        <v>#REF!</v>
      </c>
      <c r="AGH6" s="214" t="e">
        <f ca="1">IF(AGH$2&lt;=$BM6,IF($X6="IO",$W6/12*SH6,-IPMT($W6/12,AGH$2,$X6,$S6)+$BT6/$BS6)+IFERROR((SH6-SI6+PPMT($W6/12,AGH$2,$X6,-$TE6)),0)-((IF($TD6&gt;0,N(OFFSET(#REF!,$TD6+AGH$2-2,0))/12,0)+$AW6/12)*$BF6+$AX6/12*(1-$BF6))*SH6-$BJ6/12,0)+IF(AGH$2=$BM6,SI6*$BH6+IF($X6="IO",$S6+$TE6,-CUMPRINC($W6/12,$X6,$S6,$BM6,$X6,0)+CUMPRINC($W6/12,$X6,-$TE6,$BM6,$X6,0)))</f>
        <v>#REF!</v>
      </c>
      <c r="AGI6" s="214" t="e">
        <f ca="1">IF(AGI$2&lt;=$BM6,IF($X6="IO",$W6/12*SI6,-IPMT($W6/12,AGI$2,$X6,$S6)+$BT6/$BS6)+IFERROR((SI6-SJ6+PPMT($W6/12,AGI$2,$X6,-$TE6)),0)-((IF($TD6&gt;0,N(OFFSET(#REF!,$TD6+AGI$2-2,0))/12,0)+$AW6/12)*$BF6+$AX6/12*(1-$BF6))*SI6-$BJ6/12,0)+IF(AGI$2=$BM6,SJ6*$BH6+IF($X6="IO",$S6+$TE6,-CUMPRINC($W6/12,$X6,$S6,$BM6,$X6,0)+CUMPRINC($W6/12,$X6,-$TE6,$BM6,$X6,0)))</f>
        <v>#REF!</v>
      </c>
      <c r="AGJ6" s="214" t="e">
        <f ca="1">IF(AGJ$2&lt;=$BM6,IF($X6="IO",$W6/12*SJ6,-IPMT($W6/12,AGJ$2,$X6,$S6)+$BT6/$BS6)+IFERROR((SJ6-SK6+PPMT($W6/12,AGJ$2,$X6,-$TE6)),0)-((IF($TD6&gt;0,N(OFFSET(#REF!,$TD6+AGJ$2-2,0))/12,0)+$AW6/12)*$BF6+$AX6/12*(1-$BF6))*SJ6-$BJ6/12,0)+IF(AGJ$2=$BM6,SK6*$BH6+IF($X6="IO",$S6+$TE6,-CUMPRINC($W6/12,$X6,$S6,$BM6,$X6,0)+CUMPRINC($W6/12,$X6,-$TE6,$BM6,$X6,0)))</f>
        <v>#REF!</v>
      </c>
      <c r="AGK6" s="214" t="e">
        <f ca="1">IF(AGK$2&lt;=$BM6,IF($X6="IO",$W6/12*SK6,-IPMT($W6/12,AGK$2,$X6,$S6)+$BT6/$BS6)+IFERROR((SK6-SL6+PPMT($W6/12,AGK$2,$X6,-$TE6)),0)-((IF($TD6&gt;0,N(OFFSET(#REF!,$TD6+AGK$2-2,0))/12,0)+$AW6/12)*$BF6+$AX6/12*(1-$BF6))*SK6-$BJ6/12,0)+IF(AGK$2=$BM6,SL6*$BH6+IF($X6="IO",$S6+$TE6,-CUMPRINC($W6/12,$X6,$S6,$BM6,$X6,0)+CUMPRINC($W6/12,$X6,-$TE6,$BM6,$X6,0)))</f>
        <v>#REF!</v>
      </c>
      <c r="AGL6" s="214" t="e">
        <f ca="1">IF(AGL$2&lt;=$BM6,IF($X6="IO",$W6/12*SL6,-IPMT($W6/12,AGL$2,$X6,$S6)+$BT6/$BS6)+IFERROR((SL6-SM6+PPMT($W6/12,AGL$2,$X6,-$TE6)),0)-((IF($TD6&gt;0,N(OFFSET(#REF!,$TD6+AGL$2-2,0))/12,0)+$AW6/12)*$BF6+$AX6/12*(1-$BF6))*SL6-$BJ6/12,0)+IF(AGL$2=$BM6,SM6*$BH6+IF($X6="IO",$S6+$TE6,-CUMPRINC($W6/12,$X6,$S6,$BM6,$X6,0)+CUMPRINC($W6/12,$X6,-$TE6,$BM6,$X6,0)))</f>
        <v>#REF!</v>
      </c>
      <c r="AGM6" s="214" t="e">
        <f ca="1">IF(AGM$2&lt;=$BM6,IF($X6="IO",$W6/12*SM6,-IPMT($W6/12,AGM$2,$X6,$S6)+$BT6/$BS6)+IFERROR((SM6-SN6+PPMT($W6/12,AGM$2,$X6,-$TE6)),0)-((IF($TD6&gt;0,N(OFFSET(#REF!,$TD6+AGM$2-2,0))/12,0)+$AW6/12)*$BF6+$AX6/12*(1-$BF6))*SM6-$BJ6/12,0)+IF(AGM$2=$BM6,SN6*$BH6+IF($X6="IO",$S6+$TE6,-CUMPRINC($W6/12,$X6,$S6,$BM6,$X6,0)+CUMPRINC($W6/12,$X6,-$TE6,$BM6,$X6,0)))</f>
        <v>#REF!</v>
      </c>
      <c r="AGN6" s="214" t="e">
        <f ca="1">IF(AGN$2&lt;=$BM6,IF($X6="IO",$W6/12*SN6,-IPMT($W6/12,AGN$2,$X6,$S6)+$BT6/$BS6)+IFERROR((SN6-SO6+PPMT($W6/12,AGN$2,$X6,-$TE6)),0)-((IF($TD6&gt;0,N(OFFSET(#REF!,$TD6+AGN$2-2,0))/12,0)+$AW6/12)*$BF6+$AX6/12*(1-$BF6))*SN6-$BJ6/12,0)+IF(AGN$2=$BM6,SO6*$BH6+IF($X6="IO",$S6+$TE6,-CUMPRINC($W6/12,$X6,$S6,$BM6,$X6,0)+CUMPRINC($W6/12,$X6,-$TE6,$BM6,$X6,0)))</f>
        <v>#REF!</v>
      </c>
      <c r="AGO6" s="214" t="e">
        <f ca="1">IF(AGO$2&lt;=$BM6,IF($X6="IO",$W6/12*SO6,-IPMT($W6/12,AGO$2,$X6,$S6)+$BT6/$BS6)+IFERROR((SO6-SP6+PPMT($W6/12,AGO$2,$X6,-$TE6)),0)-((IF($TD6&gt;0,N(OFFSET(#REF!,$TD6+AGO$2-2,0))/12,0)+$AW6/12)*$BF6+$AX6/12*(1-$BF6))*SO6-$BJ6/12,0)+IF(AGO$2=$BM6,SP6*$BH6+IF($X6="IO",$S6+$TE6,-CUMPRINC($W6/12,$X6,$S6,$BM6,$X6,0)+CUMPRINC($W6/12,$X6,-$TE6,$BM6,$X6,0)))</f>
        <v>#REF!</v>
      </c>
      <c r="AGP6" s="214" t="e">
        <f ca="1">IF(AGP$2&lt;=$BM6,IF($X6="IO",$W6/12*SP6,-IPMT($W6/12,AGP$2,$X6,$S6)+$BT6/$BS6)+IFERROR((SP6-SQ6+PPMT($W6/12,AGP$2,$X6,-$TE6)),0)-((IF($TD6&gt;0,N(OFFSET(#REF!,$TD6+AGP$2-2,0))/12,0)+$AW6/12)*$BF6+$AX6/12*(1-$BF6))*SP6-$BJ6/12,0)+IF(AGP$2=$BM6,SQ6*$BH6+IF($X6="IO",$S6+$TE6,-CUMPRINC($W6/12,$X6,$S6,$BM6,$X6,0)+CUMPRINC($W6/12,$X6,-$TE6,$BM6,$X6,0)))</f>
        <v>#REF!</v>
      </c>
      <c r="AGQ6" s="214" t="e">
        <f ca="1">IF(AGQ$2&lt;=$BM6,IF($X6="IO",$W6/12*SQ6,-IPMT($W6/12,AGQ$2,$X6,$S6)+$BT6/$BS6)+IFERROR((SQ6-SR6+PPMT($W6/12,AGQ$2,$X6,-$TE6)),0)-((IF($TD6&gt;0,N(OFFSET(#REF!,$TD6+AGQ$2-2,0))/12,0)+$AW6/12)*$BF6+$AX6/12*(1-$BF6))*SQ6-$BJ6/12,0)+IF(AGQ$2=$BM6,SR6*$BH6+IF($X6="IO",$S6+$TE6,-CUMPRINC($W6/12,$X6,$S6,$BM6,$X6,0)+CUMPRINC($W6/12,$X6,-$TE6,$BM6,$X6,0)))</f>
        <v>#REF!</v>
      </c>
      <c r="AGR6" s="214" t="e">
        <f ca="1">IF(AGR$2&lt;=$BM6,IF($X6="IO",$W6/12*SR6,-IPMT($W6/12,AGR$2,$X6,$S6)+$BT6/$BS6)+IFERROR((SR6-SS6+PPMT($W6/12,AGR$2,$X6,-$TE6)),0)-((IF($TD6&gt;0,N(OFFSET(#REF!,$TD6+AGR$2-2,0))/12,0)+$AW6/12)*$BF6+$AX6/12*(1-$BF6))*SR6-$BJ6/12,0)+IF(AGR$2=$BM6,SS6*$BH6+IF($X6="IO",$S6+$TE6,-CUMPRINC($W6/12,$X6,$S6,$BM6,$X6,0)+CUMPRINC($W6/12,$X6,-$TE6,$BM6,$X6,0)))</f>
        <v>#REF!</v>
      </c>
      <c r="AGS6" s="214" t="e">
        <f ca="1">IF(AGS$2&lt;=$BM6,IF($X6="IO",$W6/12*SS6,-IPMT($W6/12,AGS$2,$X6,$S6)+$BT6/$BS6)+IFERROR((SS6-ST6+PPMT($W6/12,AGS$2,$X6,-$TE6)),0)-((IF($TD6&gt;0,N(OFFSET(#REF!,$TD6+AGS$2-2,0))/12,0)+$AW6/12)*$BF6+$AX6/12*(1-$BF6))*SS6-$BJ6/12,0)+IF(AGS$2=$BM6,ST6*$BH6+IF($X6="IO",$S6+$TE6,-CUMPRINC($W6/12,$X6,$S6,$BM6,$X6,0)+CUMPRINC($W6/12,$X6,-$TE6,$BM6,$X6,0)))</f>
        <v>#REF!</v>
      </c>
      <c r="AGT6" s="214" t="e">
        <f ca="1">IF(AGT$2&lt;=$BM6,IF($X6="IO",$W6/12*ST6,-IPMT($W6/12,AGT$2,$X6,$S6)+$BT6/$BS6)+IFERROR((ST6-SU6+PPMT($W6/12,AGT$2,$X6,-$TE6)),0)-((IF($TD6&gt;0,N(OFFSET(#REF!,$TD6+AGT$2-2,0))/12,0)+$AW6/12)*$BF6+$AX6/12*(1-$BF6))*ST6-$BJ6/12,0)+IF(AGT$2=$BM6,SU6*$BH6+IF($X6="IO",$S6+$TE6,-CUMPRINC($W6/12,$X6,$S6,$BM6,$X6,0)+CUMPRINC($W6/12,$X6,-$TE6,$BM6,$X6,0)))</f>
        <v>#REF!</v>
      </c>
      <c r="AGU6" s="214" t="e">
        <f ca="1">IF(AGU$2&lt;=$BM6,IF($X6="IO",$W6/12*SU6,-IPMT($W6/12,AGU$2,$X6,$S6)+$BT6/$BS6)+IFERROR((SU6-SV6+PPMT($W6/12,AGU$2,$X6,-$TE6)),0)-((IF($TD6&gt;0,N(OFFSET(#REF!,$TD6+AGU$2-2,0))/12,0)+$AW6/12)*$BF6+$AX6/12*(1-$BF6))*SU6-$BJ6/12,0)+IF(AGU$2=$BM6,SV6*$BH6+IF($X6="IO",$S6+$TE6,-CUMPRINC($W6/12,$X6,$S6,$BM6,$X6,0)+CUMPRINC($W6/12,$X6,-$TE6,$BM6,$X6,0)))</f>
        <v>#REF!</v>
      </c>
      <c r="AGV6" s="214" t="e">
        <f ca="1">IF(AGV$2&lt;=$BM6,IF($X6="IO",$W6/12*SV6,-IPMT($W6/12,AGV$2,$X6,$S6)+$BT6/$BS6)+IFERROR((SV6-SW6+PPMT($W6/12,AGV$2,$X6,-$TE6)),0)-((IF($TD6&gt;0,N(OFFSET(#REF!,$TD6+AGV$2-2,0))/12,0)+$AW6/12)*$BF6+$AX6/12*(1-$BF6))*SV6-$BJ6/12,0)+IF(AGV$2=$BM6,SW6*$BH6+IF($X6="IO",$S6+$TE6,-CUMPRINC($W6/12,$X6,$S6,$BM6,$X6,0)+CUMPRINC($W6/12,$X6,-$TE6,$BM6,$X6,0)))</f>
        <v>#REF!</v>
      </c>
      <c r="AGW6" s="214" t="e">
        <f ca="1">IF(AGW$2&lt;=$BM6,IF($X6="IO",$W6/12*SW6,-IPMT($W6/12,AGW$2,$X6,$S6)+$BT6/$BS6)+IFERROR((SW6-SX6+PPMT($W6/12,AGW$2,$X6,-$TE6)),0)-((IF($TD6&gt;0,N(OFFSET(#REF!,$TD6+AGW$2-2,0))/12,0)+$AW6/12)*$BF6+$AX6/12*(1-$BF6))*SW6-$BJ6/12,0)+IF(AGW$2=$BM6,SX6*$BH6+IF($X6="IO",$S6+$TE6,-CUMPRINC($W6/12,$X6,$S6,$BM6,$X6,0)+CUMPRINC($W6/12,$X6,-$TE6,$BM6,$X6,0)))</f>
        <v>#REF!</v>
      </c>
      <c r="AGX6" s="214" t="e">
        <f ca="1">IF(AGX$2&lt;=$BM6,IF($X6="IO",$W6/12*SX6,-IPMT($W6/12,AGX$2,$X6,$S6)+$BT6/$BS6)+IFERROR((SX6-SY6+PPMT($W6/12,AGX$2,$X6,-$TE6)),0)-((IF($TD6&gt;0,N(OFFSET(#REF!,$TD6+AGX$2-2,0))/12,0)+$AW6/12)*$BF6+$AX6/12*(1-$BF6))*SX6-$BJ6/12,0)+IF(AGX$2=$BM6,SY6*$BH6+IF($X6="IO",$S6+$TE6,-CUMPRINC($W6/12,$X6,$S6,$BM6,$X6,0)+CUMPRINC($W6/12,$X6,-$TE6,$BM6,$X6,0)))</f>
        <v>#REF!</v>
      </c>
      <c r="AGY6" s="214" t="e">
        <f ca="1">IF(AGY$2&lt;=$BM6,IF($X6="IO",$W6/12*SY6,-IPMT($W6/12,AGY$2,$X6,$S6)+$BT6/$BS6)+IFERROR((SY6-SZ6+PPMT($W6/12,AGY$2,$X6,-$TE6)),0)-((IF($TD6&gt;0,N(OFFSET(#REF!,$TD6+AGY$2-2,0))/12,0)+$AW6/12)*$BF6+$AX6/12*(1-$BF6))*SY6-$BJ6/12,0)+IF(AGY$2=$BM6,SZ6*$BH6+IF($X6="IO",$S6+$TE6,-CUMPRINC($W6/12,$X6,$S6,$BM6,$X6,0)+CUMPRINC($W6/12,$X6,-$TE6,$BM6,$X6,0)))</f>
        <v>#REF!</v>
      </c>
      <c r="AGZ6" s="214" t="e">
        <f ca="1">IF(AGZ$2&lt;=$BM6,IF($X6="IO",$W6/12*SZ6,-IPMT($W6/12,AGZ$2,$X6,$S6)+$BT6/$BS6)+IFERROR((SZ6-TA6+PPMT($W6/12,AGZ$2,$X6,-$TE6)),0)-((IF($TD6&gt;0,N(OFFSET(#REF!,$TD6+AGZ$2-2,0))/12,0)+$AW6/12)*$BF6+$AX6/12*(1-$BF6))*SZ6-$BJ6/12,0)+IF(AGZ$2=$BM6,TA6*$BH6+IF($X6="IO",$S6+$TE6,-CUMPRINC($W6/12,$X6,$S6,$BM6,$X6,0)+CUMPRINC($W6/12,$X6,-$TE6,$BM6,$X6,0)))</f>
        <v>#REF!</v>
      </c>
      <c r="AHA6" s="214" t="e">
        <f ca="1">IF(AHA$2&lt;=$BM6,IF($X6="IO",$W6/12*TA6,-IPMT($W6/12,AHA$2,$X6,$S6)+$BT6/$BS6)+IFERROR((TA6-TB6+PPMT($W6/12,AHA$2,$X6,-$TE6)),0)-((IF($TD6&gt;0,N(OFFSET(#REF!,$TD6+AHA$2-2,0))/12,0)+$AW6/12)*$BF6+$AX6/12*(1-$BF6))*TA6-$BJ6/12,0)+IF(AHA$2=$BM6,TB6*$BH6+IF($X6="IO",$S6+$TE6,-CUMPRINC($W6/12,$X6,$S6,$BM6,$X6,0)+CUMPRINC($W6/12,$X6,-$TE6,$BM6,$X6,0)))</f>
        <v>#REF!</v>
      </c>
      <c r="AHB6"/>
    </row>
  </sheetData>
  <mergeCells count="4">
    <mergeCell ref="BV3:CO3"/>
    <mergeCell ref="CR3:DK3"/>
    <mergeCell ref="DN3:EG3"/>
    <mergeCell ref="EJ3:FC3"/>
  </mergeCells>
  <conditionalFormatting sqref="K5:K6">
    <cfRule type="expression" dxfId="6" priority="7">
      <formula>$L5&lt;120</formula>
    </cfRule>
  </conditionalFormatting>
  <conditionalFormatting sqref="Z5:Z6">
    <cfRule type="expression" dxfId="5" priority="8">
      <formula>AND($Z5="Y",OR($J5="Homestead",$J5="Resi (non-HS"))</formula>
    </cfRule>
  </conditionalFormatting>
  <conditionalFormatting sqref="Y5:Y6">
    <cfRule type="expression" dxfId="4" priority="9">
      <formula>AND(NOT(ISBLANK($Y5)),LEFT($F5,4)&lt;&gt;"CREL")</formula>
    </cfRule>
  </conditionalFormatting>
  <conditionalFormatting sqref="J5:J6">
    <cfRule type="expression" dxfId="3" priority="6">
      <formula>AND($J5="Homestead",FIND("CREL",$F5))</formula>
    </cfRule>
  </conditionalFormatting>
  <conditionalFormatting sqref="M5:M6">
    <cfRule type="cellIs" dxfId="2" priority="5" operator="lessThanOrEqual">
      <formula>0</formula>
    </cfRule>
  </conditionalFormatting>
  <conditionalFormatting sqref="Q5:Q6">
    <cfRule type="cellIs" dxfId="1" priority="4" operator="lessThan">
      <formula>$P5</formula>
    </cfRule>
  </conditionalFormatting>
  <conditionalFormatting sqref="R5:R6">
    <cfRule type="expression" dxfId="0" priority="3">
      <formula>AND(IFERROR(SEARCH("refi",F5),0)=0,R5&gt;0)</formula>
    </cfRule>
  </conditionalFormatting>
  <dataValidations count="7">
    <dataValidation type="list" allowBlank="1" showInputMessage="1" showErrorMessage="1" sqref="D5:D6" xr:uid="{B1DB9E67-805B-4378-921A-993936B90B74}">
      <formula1>Counties</formula1>
    </dataValidation>
    <dataValidation type="list" allowBlank="1" showInputMessage="1" showErrorMessage="1" sqref="EL5:EL6 CT5:CT6 J5:J6 DP5:DP6" xr:uid="{5B499072-B413-4A3E-AF29-FD7590E5B9AD}">
      <formula1>#REF!</formula1>
    </dataValidation>
    <dataValidation type="list" allowBlank="1" showInputMessage="1" showErrorMessage="1" sqref="BX5:BX6" xr:uid="{61990729-05DD-4BF6-890A-1E04CCE9AED0}">
      <formula1>Previous_Loan_Types</formula1>
    </dataValidation>
    <dataValidation type="list" operator="lessThanOrEqual" allowBlank="1" showInputMessage="1" showErrorMessage="1" errorTitle="Not Acceptable Value" error="Term is limited by birth date." sqref="Z5:Z6" xr:uid="{13FE8C22-457C-4650-A498-0C83E1DE43D5}">
      <formula1>"Y,N"</formula1>
    </dataValidation>
    <dataValidation type="list" allowBlank="1" showInputMessage="1" showErrorMessage="1" sqref="F5:F6" xr:uid="{276A059A-2206-46DB-B3D9-9B63ED87282B}">
      <formula1>Loan_Menu</formula1>
    </dataValidation>
    <dataValidation type="list" allowBlank="1" showInputMessage="1" showErrorMessage="1" sqref="B5:B6" xr:uid="{ADC4C46C-42EA-4B09-8613-D800EBFE29EC}">
      <formula1>"Prospect,Boarded,Funded,Canceled"</formula1>
    </dataValidation>
    <dataValidation type="custom" allowBlank="1" showInputMessage="1" showErrorMessage="1" errorTitle="Homestead term" error="Term too long for homestead." sqref="X5:X6" xr:uid="{8C45BD91-6062-4BD1-BBA8-B366667C9395}">
      <formula1>OR(X5="IO",MAX(Y5,X5&lt;=L5),ISBLANK(K5))</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ED43-2FD5-4C9B-A114-2E850FA176A3}">
  <sheetPr codeName="Sheet7"/>
  <dimension ref="B1:P422"/>
  <sheetViews>
    <sheetView topLeftCell="A139" workbookViewId="0"/>
  </sheetViews>
  <sheetFormatPr defaultRowHeight="15" x14ac:dyDescent="0.25"/>
  <cols>
    <col min="1" max="1" width="2.140625" style="135" customWidth="1"/>
    <col min="2" max="2" width="32.85546875" style="135" customWidth="1"/>
    <col min="3" max="3" width="20.5703125" style="136" customWidth="1"/>
    <col min="4" max="4" width="18.7109375" style="137" bestFit="1" customWidth="1"/>
    <col min="5" max="5" width="14.28515625" style="137" customWidth="1"/>
    <col min="6" max="6" width="21.140625" style="135" customWidth="1"/>
    <col min="7" max="7" width="17.7109375" style="135" customWidth="1"/>
    <col min="8" max="8" width="17.5703125" style="135" customWidth="1"/>
    <col min="9" max="9" width="25.5703125" style="135" customWidth="1"/>
    <col min="10" max="10" width="9.140625" style="135" customWidth="1"/>
    <col min="11" max="11" width="10.140625" style="135" bestFit="1" customWidth="1"/>
    <col min="12" max="14" width="9.140625" style="135"/>
    <col min="15" max="15" width="9.28515625" style="135" customWidth="1"/>
    <col min="16" max="16384" width="9.140625" style="135"/>
  </cols>
  <sheetData>
    <row r="1" spans="2:16" ht="15" customHeight="1" thickBot="1" x14ac:dyDescent="0.35">
      <c r="B1" s="178" t="s">
        <v>2542</v>
      </c>
      <c r="C1" s="179"/>
      <c r="F1" s="138" t="s">
        <v>2531</v>
      </c>
      <c r="G1" s="139" t="s">
        <v>2534</v>
      </c>
      <c r="H1" s="140" t="s">
        <v>2535</v>
      </c>
      <c r="I1" s="140" t="s">
        <v>2536</v>
      </c>
      <c r="J1" s="141"/>
      <c r="K1" s="141"/>
      <c r="N1" s="141"/>
      <c r="O1" s="141"/>
    </row>
    <row r="2" spans="2:16" ht="15" customHeight="1" thickBot="1" x14ac:dyDescent="0.3">
      <c r="B2" s="178" t="s">
        <v>2543</v>
      </c>
      <c r="C2" s="179"/>
      <c r="F2" s="142" t="s">
        <v>430</v>
      </c>
      <c r="G2" s="143">
        <v>16</v>
      </c>
      <c r="H2" s="143">
        <v>4</v>
      </c>
      <c r="I2" s="143">
        <v>4</v>
      </c>
    </row>
    <row r="3" spans="2:16" ht="15" customHeight="1" thickBot="1" x14ac:dyDescent="0.3">
      <c r="B3" s="180" t="s">
        <v>2555</v>
      </c>
      <c r="C3" s="179"/>
      <c r="F3" s="144" t="s">
        <v>431</v>
      </c>
      <c r="G3" s="145">
        <v>16</v>
      </c>
      <c r="H3" s="145">
        <v>4</v>
      </c>
      <c r="I3" s="145">
        <v>4</v>
      </c>
    </row>
    <row r="4" spans="2:16" ht="15" customHeight="1" thickBot="1" x14ac:dyDescent="0.3">
      <c r="B4" s="626" t="s">
        <v>2545</v>
      </c>
      <c r="C4" s="627"/>
      <c r="D4" s="135"/>
      <c r="E4" s="135"/>
      <c r="F4" s="146" t="s">
        <v>432</v>
      </c>
      <c r="G4" s="147">
        <v>26</v>
      </c>
      <c r="H4" s="147">
        <v>4</v>
      </c>
      <c r="I4" s="147">
        <v>0</v>
      </c>
    </row>
    <row r="5" spans="2:16" ht="15" customHeight="1" thickBot="1" x14ac:dyDescent="0.3">
      <c r="B5" s="171" t="s">
        <v>2546</v>
      </c>
      <c r="C5" s="148" t="s">
        <v>659</v>
      </c>
      <c r="D5" s="135"/>
      <c r="E5" s="135"/>
      <c r="F5" s="146" t="s">
        <v>433</v>
      </c>
      <c r="G5" s="147">
        <v>26</v>
      </c>
      <c r="H5" s="147">
        <v>4</v>
      </c>
      <c r="I5" s="147">
        <v>0</v>
      </c>
    </row>
    <row r="6" spans="2:16" ht="15" customHeight="1" thickBot="1" x14ac:dyDescent="0.3">
      <c r="B6" s="171" t="s">
        <v>2547</v>
      </c>
      <c r="C6" s="149">
        <v>1</v>
      </c>
      <c r="D6" s="135"/>
      <c r="E6" s="135"/>
      <c r="F6" s="146" t="s">
        <v>434</v>
      </c>
      <c r="G6" s="147">
        <v>21</v>
      </c>
      <c r="H6" s="147">
        <v>4</v>
      </c>
      <c r="I6" s="147">
        <v>0</v>
      </c>
      <c r="O6" s="150"/>
    </row>
    <row r="7" spans="2:16" ht="15" customHeight="1" thickBot="1" x14ac:dyDescent="0.3">
      <c r="B7" s="171" t="s">
        <v>2532</v>
      </c>
      <c r="C7" s="172">
        <f>INDEX(G2:I377,MATCH(C5,F2:F377, 0),1)</f>
        <v>26</v>
      </c>
      <c r="D7" s="135"/>
      <c r="E7" s="135"/>
      <c r="F7" s="146" t="s">
        <v>435</v>
      </c>
      <c r="G7" s="147">
        <v>26</v>
      </c>
      <c r="H7" s="147">
        <v>4</v>
      </c>
      <c r="I7" s="147">
        <v>0</v>
      </c>
      <c r="O7" s="150"/>
    </row>
    <row r="8" spans="2:16" ht="15" customHeight="1" thickBot="1" x14ac:dyDescent="0.3">
      <c r="B8" s="171" t="s">
        <v>2533</v>
      </c>
      <c r="C8" s="172">
        <f>INDEX(G2:I377, MATCH(C5,F2:F377, 0),2) * (C6 - 1)</f>
        <v>0</v>
      </c>
      <c r="D8" s="135"/>
      <c r="E8" s="135"/>
      <c r="F8" s="146" t="s">
        <v>436</v>
      </c>
      <c r="G8" s="147">
        <v>26</v>
      </c>
      <c r="H8" s="147">
        <v>4</v>
      </c>
      <c r="I8" s="147">
        <v>0</v>
      </c>
      <c r="O8" s="150"/>
    </row>
    <row r="9" spans="2:16" ht="15" customHeight="1" thickBot="1" x14ac:dyDescent="0.3">
      <c r="B9" s="171" t="s">
        <v>2549</v>
      </c>
      <c r="C9" s="172">
        <f>INDEX(G2:I377, MATCH(C5,F2:F377, 0),3)</f>
        <v>0</v>
      </c>
      <c r="D9" s="135"/>
      <c r="E9" s="135"/>
      <c r="F9" s="146" t="s">
        <v>437</v>
      </c>
      <c r="G9" s="147">
        <v>26</v>
      </c>
      <c r="H9" s="147">
        <v>4</v>
      </c>
      <c r="I9" s="147">
        <v>0</v>
      </c>
    </row>
    <row r="10" spans="2:16" ht="15" customHeight="1" thickBot="1" x14ac:dyDescent="0.3">
      <c r="B10" s="171" t="s">
        <v>2548</v>
      </c>
      <c r="C10" s="177">
        <f>C7+C8+C9</f>
        <v>26</v>
      </c>
      <c r="D10" s="135"/>
      <c r="E10" s="135"/>
      <c r="F10" s="146" t="s">
        <v>438</v>
      </c>
      <c r="G10" s="147">
        <v>26</v>
      </c>
      <c r="H10" s="147">
        <v>4</v>
      </c>
      <c r="I10" s="147">
        <v>0</v>
      </c>
      <c r="O10" s="150"/>
      <c r="P10" s="150"/>
    </row>
    <row r="11" spans="2:16" ht="15" customHeight="1" thickBot="1" x14ac:dyDescent="0.3">
      <c r="B11" s="171"/>
      <c r="C11" s="174"/>
      <c r="D11" s="135"/>
      <c r="E11" s="135"/>
      <c r="F11" s="146" t="s">
        <v>439</v>
      </c>
      <c r="G11" s="151"/>
      <c r="H11" s="152"/>
      <c r="I11" s="152"/>
      <c r="K11" s="150"/>
      <c r="L11" s="150"/>
    </row>
    <row r="12" spans="2:16" ht="15" customHeight="1" thickBot="1" x14ac:dyDescent="0.3">
      <c r="B12" s="171" t="s">
        <v>2551</v>
      </c>
      <c r="C12" s="153">
        <v>1</v>
      </c>
      <c r="D12" s="135"/>
      <c r="E12" s="135"/>
      <c r="F12" s="144" t="s">
        <v>440</v>
      </c>
      <c r="G12" s="145">
        <v>26</v>
      </c>
      <c r="H12" s="145">
        <v>4</v>
      </c>
      <c r="I12" s="145">
        <v>4</v>
      </c>
      <c r="K12" s="150"/>
      <c r="L12" s="150"/>
    </row>
    <row r="13" spans="2:16" ht="15" customHeight="1" thickBot="1" x14ac:dyDescent="0.3">
      <c r="B13" s="171" t="s">
        <v>2552</v>
      </c>
      <c r="C13" s="153">
        <v>1</v>
      </c>
      <c r="D13" s="135"/>
      <c r="E13" s="135"/>
      <c r="F13" s="146" t="s">
        <v>441</v>
      </c>
      <c r="G13" s="147">
        <v>26</v>
      </c>
      <c r="H13" s="147">
        <v>4</v>
      </c>
      <c r="I13" s="147">
        <v>0</v>
      </c>
      <c r="K13" s="150"/>
      <c r="L13" s="150"/>
    </row>
    <row r="14" spans="2:16" ht="15" customHeight="1" thickBot="1" x14ac:dyDescent="0.3">
      <c r="B14" s="171" t="s">
        <v>2532</v>
      </c>
      <c r="C14" s="172">
        <f>INDEX(G2:I378,MATCH(C5,F2:F378, 0),1)</f>
        <v>26</v>
      </c>
      <c r="D14" s="135"/>
      <c r="E14" s="135"/>
      <c r="F14" s="144" t="s">
        <v>442</v>
      </c>
      <c r="G14" s="145">
        <v>11</v>
      </c>
      <c r="H14" s="145">
        <v>4</v>
      </c>
      <c r="I14" s="145">
        <v>4</v>
      </c>
      <c r="K14" s="150"/>
      <c r="L14" s="150"/>
    </row>
    <row r="15" spans="2:16" ht="15" customHeight="1" thickBot="1" x14ac:dyDescent="0.3">
      <c r="B15" s="171" t="s">
        <v>2533</v>
      </c>
      <c r="C15" s="172">
        <f>INDEX(G2:I378, MATCH(C5,F2:F378, 0),2) * (C13 - 1)</f>
        <v>0</v>
      </c>
      <c r="D15" s="135"/>
      <c r="E15" s="135"/>
      <c r="F15" s="144" t="s">
        <v>443</v>
      </c>
      <c r="G15" s="145">
        <v>26</v>
      </c>
      <c r="H15" s="145">
        <v>4</v>
      </c>
      <c r="I15" s="145">
        <v>4</v>
      </c>
      <c r="K15" s="150"/>
      <c r="L15" s="150"/>
    </row>
    <row r="16" spans="2:16" ht="15" customHeight="1" thickBot="1" x14ac:dyDescent="0.3">
      <c r="B16" s="171" t="s">
        <v>2549</v>
      </c>
      <c r="C16" s="172">
        <f>INDEX(G2:I378, MATCH(C5,F2:F378, 0),3)</f>
        <v>0</v>
      </c>
      <c r="D16" s="135"/>
      <c r="E16" s="135"/>
      <c r="F16" s="146" t="s">
        <v>444</v>
      </c>
      <c r="G16" s="147">
        <v>26</v>
      </c>
      <c r="H16" s="147">
        <v>4</v>
      </c>
      <c r="I16" s="147">
        <v>0</v>
      </c>
      <c r="K16" s="150"/>
      <c r="L16" s="150"/>
    </row>
    <row r="17" spans="2:13" ht="15" customHeight="1" thickBot="1" x14ac:dyDescent="0.3">
      <c r="B17" s="171" t="s">
        <v>2550</v>
      </c>
      <c r="C17" s="173">
        <f>(C14+C15+C16)*C12</f>
        <v>26</v>
      </c>
      <c r="F17" s="146" t="s">
        <v>445</v>
      </c>
      <c r="G17" s="151"/>
      <c r="H17" s="152"/>
      <c r="I17" s="152"/>
      <c r="K17" s="625"/>
      <c r="L17" s="625"/>
      <c r="M17" s="150"/>
    </row>
    <row r="18" spans="2:13" ht="15" customHeight="1" thickBot="1" x14ac:dyDescent="0.3">
      <c r="B18" s="171"/>
      <c r="C18" s="174"/>
      <c r="F18" s="146" t="s">
        <v>446</v>
      </c>
      <c r="G18" s="147">
        <v>26</v>
      </c>
      <c r="H18" s="147">
        <v>4</v>
      </c>
      <c r="I18" s="147">
        <v>0</v>
      </c>
    </row>
    <row r="19" spans="2:13" ht="15" customHeight="1" thickBot="1" x14ac:dyDescent="0.3">
      <c r="B19" s="175" t="s">
        <v>2553</v>
      </c>
      <c r="C19" s="176">
        <f>C10+C17</f>
        <v>52</v>
      </c>
      <c r="F19" s="146" t="s">
        <v>447</v>
      </c>
      <c r="G19" s="147">
        <v>26</v>
      </c>
      <c r="H19" s="147">
        <v>4</v>
      </c>
      <c r="I19" s="147">
        <v>0</v>
      </c>
    </row>
    <row r="20" spans="2:13" ht="15" customHeight="1" thickBot="1" x14ac:dyDescent="0.3">
      <c r="B20" s="154"/>
      <c r="C20" s="155"/>
      <c r="F20" s="144" t="s">
        <v>454</v>
      </c>
      <c r="G20" s="145">
        <v>26</v>
      </c>
      <c r="H20" s="145">
        <v>4</v>
      </c>
      <c r="I20" s="145">
        <v>4</v>
      </c>
    </row>
    <row r="21" spans="2:13" ht="15" customHeight="1" thickBot="1" x14ac:dyDescent="0.3">
      <c r="F21" s="144" t="s">
        <v>448</v>
      </c>
      <c r="G21" s="145">
        <v>26</v>
      </c>
      <c r="H21" s="145">
        <v>4</v>
      </c>
      <c r="I21" s="145">
        <v>4</v>
      </c>
    </row>
    <row r="22" spans="2:13" ht="15" customHeight="1" thickBot="1" x14ac:dyDescent="0.3">
      <c r="F22" s="144" t="s">
        <v>453</v>
      </c>
      <c r="G22" s="145">
        <v>26</v>
      </c>
      <c r="H22" s="145">
        <v>4</v>
      </c>
      <c r="I22" s="145">
        <v>4</v>
      </c>
    </row>
    <row r="23" spans="2:13" ht="15" customHeight="1" thickBot="1" x14ac:dyDescent="0.3">
      <c r="F23" s="144" t="s">
        <v>452</v>
      </c>
      <c r="G23" s="145">
        <v>26</v>
      </c>
      <c r="H23" s="145">
        <v>4</v>
      </c>
      <c r="I23" s="145">
        <v>4</v>
      </c>
    </row>
    <row r="24" spans="2:13" ht="15" customHeight="1" thickBot="1" x14ac:dyDescent="0.3">
      <c r="F24" s="144" t="s">
        <v>449</v>
      </c>
      <c r="G24" s="145">
        <v>26</v>
      </c>
      <c r="H24" s="145">
        <v>4</v>
      </c>
      <c r="I24" s="145">
        <v>4</v>
      </c>
    </row>
    <row r="25" spans="2:13" ht="15" customHeight="1" thickBot="1" x14ac:dyDescent="0.3">
      <c r="F25" s="144" t="s">
        <v>450</v>
      </c>
      <c r="G25" s="145">
        <v>26</v>
      </c>
      <c r="H25" s="145">
        <v>4</v>
      </c>
      <c r="I25" s="145">
        <v>4</v>
      </c>
    </row>
    <row r="26" spans="2:13" ht="15" customHeight="1" thickBot="1" x14ac:dyDescent="0.3">
      <c r="F26" s="144" t="s">
        <v>451</v>
      </c>
      <c r="G26" s="145">
        <v>26</v>
      </c>
      <c r="H26" s="145">
        <v>4</v>
      </c>
      <c r="I26" s="145">
        <v>4</v>
      </c>
    </row>
    <row r="27" spans="2:13" ht="15" customHeight="1" thickBot="1" x14ac:dyDescent="0.3">
      <c r="F27" s="146" t="s">
        <v>27</v>
      </c>
      <c r="G27" s="147">
        <v>26</v>
      </c>
      <c r="H27" s="147">
        <v>4</v>
      </c>
      <c r="I27" s="147">
        <v>0</v>
      </c>
    </row>
    <row r="28" spans="2:13" ht="15" customHeight="1" thickBot="1" x14ac:dyDescent="0.3">
      <c r="F28" s="146" t="s">
        <v>455</v>
      </c>
      <c r="G28" s="151"/>
      <c r="H28" s="152"/>
      <c r="I28" s="152"/>
    </row>
    <row r="29" spans="2:13" ht="15" customHeight="1" thickBot="1" x14ac:dyDescent="0.3">
      <c r="F29" s="146" t="s">
        <v>456</v>
      </c>
      <c r="G29" s="147">
        <v>26</v>
      </c>
      <c r="H29" s="147">
        <v>4</v>
      </c>
      <c r="I29" s="147">
        <v>0</v>
      </c>
    </row>
    <row r="30" spans="2:13" ht="15" customHeight="1" thickBot="1" x14ac:dyDescent="0.3">
      <c r="F30" s="146" t="s">
        <v>457</v>
      </c>
      <c r="G30" s="147">
        <v>26</v>
      </c>
      <c r="H30" s="147">
        <v>4</v>
      </c>
      <c r="I30" s="147">
        <v>0</v>
      </c>
    </row>
    <row r="31" spans="2:13" ht="15" customHeight="1" thickBot="1" x14ac:dyDescent="0.3">
      <c r="F31" s="146" t="s">
        <v>458</v>
      </c>
      <c r="G31" s="151"/>
      <c r="H31" s="152"/>
      <c r="I31" s="152"/>
    </row>
    <row r="32" spans="2:13" ht="15" customHeight="1" thickBot="1" x14ac:dyDescent="0.3">
      <c r="F32" s="146" t="s">
        <v>459</v>
      </c>
      <c r="G32" s="151"/>
      <c r="H32" s="152"/>
      <c r="I32" s="152"/>
    </row>
    <row r="33" spans="6:9" ht="15" customHeight="1" thickBot="1" x14ac:dyDescent="0.3">
      <c r="F33" s="146" t="s">
        <v>460</v>
      </c>
      <c r="G33" s="147">
        <v>26</v>
      </c>
      <c r="H33" s="147">
        <v>4</v>
      </c>
      <c r="I33" s="147">
        <v>0</v>
      </c>
    </row>
    <row r="34" spans="6:9" ht="15" customHeight="1" thickBot="1" x14ac:dyDescent="0.3">
      <c r="F34" s="156" t="s">
        <v>2537</v>
      </c>
      <c r="G34" s="145">
        <v>26</v>
      </c>
      <c r="H34" s="145">
        <v>4</v>
      </c>
      <c r="I34" s="145">
        <v>4</v>
      </c>
    </row>
    <row r="35" spans="6:9" ht="15" customHeight="1" thickBot="1" x14ac:dyDescent="0.3">
      <c r="F35" s="146" t="s">
        <v>462</v>
      </c>
      <c r="G35" s="147">
        <v>26</v>
      </c>
      <c r="H35" s="147">
        <v>4</v>
      </c>
      <c r="I35" s="147">
        <v>0</v>
      </c>
    </row>
    <row r="36" spans="6:9" ht="15" customHeight="1" thickBot="1" x14ac:dyDescent="0.3">
      <c r="F36" s="146" t="s">
        <v>464</v>
      </c>
      <c r="G36" s="147">
        <v>26</v>
      </c>
      <c r="H36" s="147">
        <v>4</v>
      </c>
      <c r="I36" s="147">
        <v>0</v>
      </c>
    </row>
    <row r="37" spans="6:9" ht="15" customHeight="1" thickBot="1" x14ac:dyDescent="0.3">
      <c r="F37" s="144" t="s">
        <v>463</v>
      </c>
      <c r="G37" s="145">
        <v>26</v>
      </c>
      <c r="H37" s="145">
        <v>4</v>
      </c>
      <c r="I37" s="145">
        <v>4</v>
      </c>
    </row>
    <row r="38" spans="6:9" ht="15" customHeight="1" thickBot="1" x14ac:dyDescent="0.3">
      <c r="F38" s="144" t="s">
        <v>465</v>
      </c>
      <c r="G38" s="145">
        <v>36</v>
      </c>
      <c r="H38" s="157">
        <v>4</v>
      </c>
      <c r="I38" s="157">
        <v>4</v>
      </c>
    </row>
    <row r="39" spans="6:9" ht="15" customHeight="1" thickBot="1" x14ac:dyDescent="0.3">
      <c r="F39" s="146" t="s">
        <v>466</v>
      </c>
      <c r="G39" s="147">
        <v>16</v>
      </c>
      <c r="H39" s="147">
        <v>4</v>
      </c>
      <c r="I39" s="147">
        <v>0</v>
      </c>
    </row>
    <row r="40" spans="6:9" ht="15" customHeight="1" thickBot="1" x14ac:dyDescent="0.3">
      <c r="F40" s="146" t="s">
        <v>467</v>
      </c>
      <c r="G40" s="151"/>
      <c r="H40" s="152"/>
      <c r="I40" s="152"/>
    </row>
    <row r="41" spans="6:9" ht="15" customHeight="1" thickBot="1" x14ac:dyDescent="0.3">
      <c r="F41" s="146" t="s">
        <v>468</v>
      </c>
      <c r="G41" s="151"/>
      <c r="H41" s="152"/>
      <c r="I41" s="152"/>
    </row>
    <row r="42" spans="6:9" ht="15" customHeight="1" thickBot="1" x14ac:dyDescent="0.3">
      <c r="F42" s="146" t="s">
        <v>470</v>
      </c>
      <c r="G42" s="147">
        <v>26</v>
      </c>
      <c r="H42" s="147">
        <v>4</v>
      </c>
      <c r="I42" s="147">
        <v>0</v>
      </c>
    </row>
    <row r="43" spans="6:9" ht="15" customHeight="1" thickBot="1" x14ac:dyDescent="0.3">
      <c r="F43" s="146" t="s">
        <v>469</v>
      </c>
      <c r="G43" s="147">
        <v>26</v>
      </c>
      <c r="H43" s="147">
        <v>4</v>
      </c>
      <c r="I43" s="147">
        <v>0</v>
      </c>
    </row>
    <row r="44" spans="6:9" ht="15" customHeight="1" thickBot="1" x14ac:dyDescent="0.3">
      <c r="F44" s="144" t="s">
        <v>471</v>
      </c>
      <c r="G44" s="145">
        <v>26</v>
      </c>
      <c r="H44" s="145">
        <v>4</v>
      </c>
      <c r="I44" s="145">
        <v>4</v>
      </c>
    </row>
    <row r="45" spans="6:9" ht="15" customHeight="1" thickBot="1" x14ac:dyDescent="0.3">
      <c r="F45" s="144" t="s">
        <v>472</v>
      </c>
      <c r="G45" s="158"/>
      <c r="H45" s="159"/>
      <c r="I45" s="159"/>
    </row>
    <row r="46" spans="6:9" ht="15" customHeight="1" thickBot="1" x14ac:dyDescent="0.3">
      <c r="F46" s="144" t="s">
        <v>473</v>
      </c>
      <c r="G46" s="158"/>
      <c r="H46" s="159"/>
      <c r="I46" s="159"/>
    </row>
    <row r="47" spans="6:9" ht="15" customHeight="1" thickBot="1" x14ac:dyDescent="0.3">
      <c r="F47" s="146" t="s">
        <v>474</v>
      </c>
      <c r="G47" s="151"/>
      <c r="H47" s="152"/>
      <c r="I47" s="152"/>
    </row>
    <row r="48" spans="6:9" ht="15" customHeight="1" thickBot="1" x14ac:dyDescent="0.3">
      <c r="F48" s="146" t="s">
        <v>476</v>
      </c>
      <c r="G48" s="147">
        <v>16</v>
      </c>
      <c r="H48" s="147">
        <v>4</v>
      </c>
      <c r="I48" s="147">
        <v>0</v>
      </c>
    </row>
    <row r="49" spans="6:9" ht="15" customHeight="1" thickBot="1" x14ac:dyDescent="0.3">
      <c r="F49" s="146" t="s">
        <v>475</v>
      </c>
      <c r="G49" s="151"/>
      <c r="H49" s="147"/>
      <c r="I49" s="147"/>
    </row>
    <row r="50" spans="6:9" ht="15" customHeight="1" thickBot="1" x14ac:dyDescent="0.3">
      <c r="F50" s="144" t="s">
        <v>477</v>
      </c>
      <c r="G50" s="145">
        <v>16</v>
      </c>
      <c r="H50" s="145">
        <v>4</v>
      </c>
      <c r="I50" s="145">
        <v>4</v>
      </c>
    </row>
    <row r="51" spans="6:9" ht="15" customHeight="1" thickBot="1" x14ac:dyDescent="0.3">
      <c r="F51" s="144" t="s">
        <v>478</v>
      </c>
      <c r="G51" s="145">
        <v>16</v>
      </c>
      <c r="H51" s="145">
        <v>4</v>
      </c>
      <c r="I51" s="145">
        <v>4</v>
      </c>
    </row>
    <row r="52" spans="6:9" ht="15" customHeight="1" thickBot="1" x14ac:dyDescent="0.3">
      <c r="F52" s="144" t="s">
        <v>479</v>
      </c>
      <c r="G52" s="145">
        <v>16</v>
      </c>
      <c r="H52" s="145">
        <v>4</v>
      </c>
      <c r="I52" s="145">
        <v>4</v>
      </c>
    </row>
    <row r="53" spans="6:9" ht="15" customHeight="1" thickBot="1" x14ac:dyDescent="0.3">
      <c r="F53" s="146" t="s">
        <v>480</v>
      </c>
      <c r="G53" s="151"/>
      <c r="H53" s="152"/>
      <c r="I53" s="152"/>
    </row>
    <row r="54" spans="6:9" ht="15" customHeight="1" thickBot="1" x14ac:dyDescent="0.3">
      <c r="F54" s="146" t="s">
        <v>481</v>
      </c>
      <c r="G54" s="151"/>
      <c r="H54" s="152"/>
      <c r="I54" s="152"/>
    </row>
    <row r="55" spans="6:9" ht="15" customHeight="1" thickBot="1" x14ac:dyDescent="0.3">
      <c r="F55" s="146" t="s">
        <v>482</v>
      </c>
      <c r="G55" s="151"/>
      <c r="H55" s="152"/>
      <c r="I55" s="152"/>
    </row>
    <row r="56" spans="6:9" ht="15" customHeight="1" thickBot="1" x14ac:dyDescent="0.3">
      <c r="F56" s="146" t="s">
        <v>483</v>
      </c>
      <c r="G56" s="151"/>
      <c r="H56" s="147"/>
      <c r="I56" s="147"/>
    </row>
    <row r="57" spans="6:9" ht="15" customHeight="1" thickBot="1" x14ac:dyDescent="0.3">
      <c r="F57" s="144" t="s">
        <v>484</v>
      </c>
      <c r="G57" s="145">
        <v>16</v>
      </c>
      <c r="H57" s="145">
        <v>4</v>
      </c>
      <c r="I57" s="145">
        <v>4</v>
      </c>
    </row>
    <row r="58" spans="6:9" ht="15" customHeight="1" thickBot="1" x14ac:dyDescent="0.3">
      <c r="F58" s="144" t="s">
        <v>485</v>
      </c>
      <c r="G58" s="158"/>
      <c r="H58" s="145"/>
      <c r="I58" s="145"/>
    </row>
    <row r="59" spans="6:9" ht="15" customHeight="1" thickBot="1" x14ac:dyDescent="0.3">
      <c r="F59" s="144" t="s">
        <v>486</v>
      </c>
      <c r="G59" s="145">
        <v>36</v>
      </c>
      <c r="H59" s="145">
        <v>4</v>
      </c>
      <c r="I59" s="145">
        <v>4</v>
      </c>
    </row>
    <row r="60" spans="6:9" ht="15" customHeight="1" thickBot="1" x14ac:dyDescent="0.3">
      <c r="F60" s="144" t="s">
        <v>488</v>
      </c>
      <c r="G60" s="145">
        <v>36</v>
      </c>
      <c r="H60" s="145">
        <v>4</v>
      </c>
      <c r="I60" s="145">
        <v>4</v>
      </c>
    </row>
    <row r="61" spans="6:9" ht="15" customHeight="1" thickBot="1" x14ac:dyDescent="0.3">
      <c r="F61" s="144" t="s">
        <v>487</v>
      </c>
      <c r="G61" s="158"/>
      <c r="H61" s="158"/>
      <c r="I61" s="158"/>
    </row>
    <row r="62" spans="6:9" ht="15" customHeight="1" thickBot="1" x14ac:dyDescent="0.3">
      <c r="F62" s="160" t="s">
        <v>2538</v>
      </c>
      <c r="G62" s="147">
        <v>26</v>
      </c>
      <c r="H62" s="161">
        <v>4</v>
      </c>
      <c r="I62" s="161">
        <v>0</v>
      </c>
    </row>
    <row r="63" spans="6:9" ht="15" customHeight="1" thickBot="1" x14ac:dyDescent="0.3">
      <c r="F63" s="144" t="s">
        <v>489</v>
      </c>
      <c r="G63" s="145">
        <v>16</v>
      </c>
      <c r="H63" s="145">
        <v>4</v>
      </c>
      <c r="I63" s="145">
        <v>4</v>
      </c>
    </row>
    <row r="64" spans="6:9" ht="15" customHeight="1" thickBot="1" x14ac:dyDescent="0.3">
      <c r="F64" s="144" t="s">
        <v>490</v>
      </c>
      <c r="G64" s="145">
        <v>26</v>
      </c>
      <c r="H64" s="145">
        <v>4</v>
      </c>
      <c r="I64" s="145">
        <v>4</v>
      </c>
    </row>
    <row r="65" spans="6:9" ht="15" customHeight="1" thickBot="1" x14ac:dyDescent="0.3">
      <c r="F65" s="144" t="s">
        <v>491</v>
      </c>
      <c r="G65" s="145">
        <v>26</v>
      </c>
      <c r="H65" s="145">
        <v>4</v>
      </c>
      <c r="I65" s="145">
        <v>4</v>
      </c>
    </row>
    <row r="66" spans="6:9" ht="15" customHeight="1" thickBot="1" x14ac:dyDescent="0.3">
      <c r="F66" s="144" t="s">
        <v>492</v>
      </c>
      <c r="G66" s="145">
        <v>36</v>
      </c>
      <c r="H66" s="145">
        <v>4</v>
      </c>
      <c r="I66" s="145">
        <v>4</v>
      </c>
    </row>
    <row r="67" spans="6:9" ht="15" customHeight="1" thickBot="1" x14ac:dyDescent="0.3">
      <c r="F67" s="146" t="s">
        <v>493</v>
      </c>
      <c r="G67" s="151"/>
      <c r="H67" s="152"/>
      <c r="I67" s="152"/>
    </row>
    <row r="68" spans="6:9" ht="15" customHeight="1" thickBot="1" x14ac:dyDescent="0.3">
      <c r="F68" s="146" t="s">
        <v>494</v>
      </c>
      <c r="G68" s="151"/>
      <c r="H68" s="152"/>
      <c r="I68" s="152"/>
    </row>
    <row r="69" spans="6:9" ht="15" customHeight="1" thickBot="1" x14ac:dyDescent="0.3">
      <c r="F69" s="144" t="s">
        <v>495</v>
      </c>
      <c r="G69" s="158"/>
      <c r="H69" s="159"/>
      <c r="I69" s="159"/>
    </row>
    <row r="70" spans="6:9" ht="15" customHeight="1" thickBot="1" x14ac:dyDescent="0.3">
      <c r="F70" s="144" t="s">
        <v>496</v>
      </c>
      <c r="G70" s="145">
        <v>26</v>
      </c>
      <c r="H70" s="145">
        <v>4</v>
      </c>
      <c r="I70" s="145">
        <v>4</v>
      </c>
    </row>
    <row r="71" spans="6:9" ht="15" customHeight="1" thickBot="1" x14ac:dyDescent="0.3">
      <c r="F71" s="144" t="s">
        <v>497</v>
      </c>
      <c r="G71" s="158"/>
      <c r="H71" s="159"/>
      <c r="I71" s="159"/>
    </row>
    <row r="72" spans="6:9" ht="15" customHeight="1" thickBot="1" x14ac:dyDescent="0.3">
      <c r="F72" s="146" t="s">
        <v>498</v>
      </c>
      <c r="G72" s="151"/>
      <c r="H72" s="152"/>
      <c r="I72" s="152"/>
    </row>
    <row r="73" spans="6:9" ht="15" customHeight="1" thickBot="1" x14ac:dyDescent="0.3">
      <c r="F73" s="144" t="s">
        <v>500</v>
      </c>
      <c r="G73" s="158"/>
      <c r="H73" s="159"/>
      <c r="I73" s="159"/>
    </row>
    <row r="74" spans="6:9" ht="15" customHeight="1" thickBot="1" x14ac:dyDescent="0.3">
      <c r="F74" s="144" t="s">
        <v>499</v>
      </c>
      <c r="G74" s="145">
        <v>36</v>
      </c>
      <c r="H74" s="145">
        <v>4</v>
      </c>
      <c r="I74" s="145">
        <v>4</v>
      </c>
    </row>
    <row r="75" spans="6:9" ht="15" customHeight="1" thickBot="1" x14ac:dyDescent="0.3">
      <c r="F75" s="146" t="s">
        <v>501</v>
      </c>
      <c r="G75" s="151"/>
      <c r="H75" s="152"/>
      <c r="I75" s="152"/>
    </row>
    <row r="76" spans="6:9" ht="15" customHeight="1" thickBot="1" x14ac:dyDescent="0.3">
      <c r="F76" s="146" t="s">
        <v>502</v>
      </c>
      <c r="G76" s="151"/>
      <c r="H76" s="152"/>
      <c r="I76" s="152"/>
    </row>
    <row r="77" spans="6:9" ht="15" customHeight="1" thickBot="1" x14ac:dyDescent="0.3">
      <c r="F77" s="144" t="s">
        <v>503</v>
      </c>
      <c r="G77" s="145">
        <v>26</v>
      </c>
      <c r="H77" s="145">
        <v>4</v>
      </c>
      <c r="I77" s="145">
        <v>4</v>
      </c>
    </row>
    <row r="78" spans="6:9" ht="15" customHeight="1" thickBot="1" x14ac:dyDescent="0.3">
      <c r="F78" s="146" t="s">
        <v>504</v>
      </c>
      <c r="G78" s="151"/>
      <c r="H78" s="152"/>
      <c r="I78" s="152"/>
    </row>
    <row r="79" spans="6:9" ht="15" customHeight="1" thickBot="1" x14ac:dyDescent="0.3">
      <c r="F79" s="146" t="s">
        <v>506</v>
      </c>
      <c r="G79" s="151"/>
      <c r="H79" s="152"/>
      <c r="I79" s="152"/>
    </row>
    <row r="80" spans="6:9" ht="15" customHeight="1" thickBot="1" x14ac:dyDescent="0.3">
      <c r="F80" s="146" t="s">
        <v>505</v>
      </c>
      <c r="G80" s="151"/>
      <c r="H80" s="152"/>
      <c r="I80" s="152"/>
    </row>
    <row r="81" spans="6:9" ht="15" customHeight="1" thickBot="1" x14ac:dyDescent="0.3">
      <c r="F81" s="146" t="s">
        <v>507</v>
      </c>
      <c r="G81" s="151"/>
      <c r="H81" s="152"/>
      <c r="I81" s="152"/>
    </row>
    <row r="82" spans="6:9" ht="15" customHeight="1" thickBot="1" x14ac:dyDescent="0.3">
      <c r="F82" s="162" t="s">
        <v>508</v>
      </c>
      <c r="G82" s="152"/>
      <c r="H82" s="163"/>
      <c r="I82" s="163"/>
    </row>
    <row r="83" spans="6:9" ht="15" customHeight="1" thickBot="1" x14ac:dyDescent="0.3">
      <c r="F83" s="146" t="s">
        <v>509</v>
      </c>
      <c r="G83" s="147">
        <v>26</v>
      </c>
      <c r="H83" s="147">
        <v>4</v>
      </c>
      <c r="I83" s="147">
        <v>0</v>
      </c>
    </row>
    <row r="84" spans="6:9" ht="15" customHeight="1" thickBot="1" x14ac:dyDescent="0.3">
      <c r="F84" s="146" t="s">
        <v>510</v>
      </c>
      <c r="G84" s="151"/>
      <c r="H84" s="152"/>
      <c r="I84" s="152"/>
    </row>
    <row r="85" spans="6:9" ht="15" customHeight="1" thickBot="1" x14ac:dyDescent="0.3">
      <c r="F85" s="146" t="s">
        <v>511</v>
      </c>
      <c r="G85" s="151"/>
      <c r="H85" s="152"/>
      <c r="I85" s="152"/>
    </row>
    <row r="86" spans="6:9" ht="15" customHeight="1" thickBot="1" x14ac:dyDescent="0.3">
      <c r="F86" s="146" t="s">
        <v>512</v>
      </c>
      <c r="G86" s="151"/>
      <c r="H86" s="152"/>
      <c r="I86" s="152"/>
    </row>
    <row r="87" spans="6:9" ht="15" customHeight="1" thickBot="1" x14ac:dyDescent="0.3">
      <c r="F87" s="146" t="s">
        <v>513</v>
      </c>
      <c r="G87" s="147">
        <v>26</v>
      </c>
      <c r="H87" s="147">
        <v>4</v>
      </c>
      <c r="I87" s="147">
        <v>0</v>
      </c>
    </row>
    <row r="88" spans="6:9" ht="15" customHeight="1" thickBot="1" x14ac:dyDescent="0.3">
      <c r="F88" s="144" t="s">
        <v>514</v>
      </c>
      <c r="G88" s="145">
        <v>22</v>
      </c>
      <c r="H88" s="145">
        <v>4</v>
      </c>
      <c r="I88" s="145">
        <v>4</v>
      </c>
    </row>
    <row r="89" spans="6:9" ht="15" customHeight="1" thickBot="1" x14ac:dyDescent="0.3">
      <c r="F89" s="146" t="s">
        <v>515</v>
      </c>
      <c r="G89" s="147">
        <v>16</v>
      </c>
      <c r="H89" s="147">
        <v>4</v>
      </c>
      <c r="I89" s="147">
        <v>0</v>
      </c>
    </row>
    <row r="90" spans="6:9" ht="15" customHeight="1" thickBot="1" x14ac:dyDescent="0.3">
      <c r="F90" s="146" t="s">
        <v>516</v>
      </c>
      <c r="G90" s="147">
        <v>26</v>
      </c>
      <c r="H90" s="147">
        <v>4</v>
      </c>
      <c r="I90" s="147">
        <v>0</v>
      </c>
    </row>
    <row r="91" spans="6:9" ht="15" customHeight="1" thickBot="1" x14ac:dyDescent="0.3">
      <c r="F91" s="146" t="s">
        <v>517</v>
      </c>
      <c r="G91" s="151"/>
      <c r="H91" s="152"/>
      <c r="I91" s="152"/>
    </row>
    <row r="92" spans="6:9" ht="15" customHeight="1" thickBot="1" x14ac:dyDescent="0.3">
      <c r="F92" s="144" t="s">
        <v>518</v>
      </c>
      <c r="G92" s="145">
        <v>26</v>
      </c>
      <c r="H92" s="145">
        <v>4</v>
      </c>
      <c r="I92" s="145">
        <v>4</v>
      </c>
    </row>
    <row r="93" spans="6:9" ht="15" customHeight="1" thickBot="1" x14ac:dyDescent="0.3">
      <c r="F93" s="146" t="s">
        <v>519</v>
      </c>
      <c r="G93" s="147">
        <v>26</v>
      </c>
      <c r="H93" s="147">
        <v>4</v>
      </c>
      <c r="I93" s="147">
        <v>0</v>
      </c>
    </row>
    <row r="94" spans="6:9" ht="15" customHeight="1" thickBot="1" x14ac:dyDescent="0.3">
      <c r="F94" s="146" t="s">
        <v>520</v>
      </c>
      <c r="G94" s="147">
        <v>30</v>
      </c>
      <c r="H94" s="147">
        <v>4</v>
      </c>
      <c r="I94" s="147">
        <v>0</v>
      </c>
    </row>
    <row r="95" spans="6:9" ht="15" customHeight="1" thickBot="1" x14ac:dyDescent="0.3">
      <c r="F95" s="146" t="s">
        <v>521</v>
      </c>
      <c r="G95" s="151"/>
      <c r="H95" s="152"/>
      <c r="I95" s="152"/>
    </row>
    <row r="96" spans="6:9" ht="15" customHeight="1" thickBot="1" x14ac:dyDescent="0.3">
      <c r="F96" s="146" t="s">
        <v>522</v>
      </c>
      <c r="G96" s="147">
        <v>26</v>
      </c>
      <c r="H96" s="147">
        <v>4</v>
      </c>
      <c r="I96" s="147">
        <v>0</v>
      </c>
    </row>
    <row r="97" spans="6:9" ht="15" customHeight="1" thickBot="1" x14ac:dyDescent="0.3">
      <c r="F97" s="146" t="s">
        <v>523</v>
      </c>
      <c r="G97" s="147">
        <v>26</v>
      </c>
      <c r="H97" s="147">
        <v>4</v>
      </c>
      <c r="I97" s="147">
        <v>0</v>
      </c>
    </row>
    <row r="98" spans="6:9" ht="15" customHeight="1" thickBot="1" x14ac:dyDescent="0.3">
      <c r="F98" s="146" t="s">
        <v>59</v>
      </c>
      <c r="G98" s="147">
        <v>26</v>
      </c>
      <c r="H98" s="147">
        <v>4</v>
      </c>
      <c r="I98" s="147">
        <v>0</v>
      </c>
    </row>
    <row r="99" spans="6:9" ht="15" customHeight="1" thickBot="1" x14ac:dyDescent="0.3">
      <c r="F99" s="144" t="s">
        <v>525</v>
      </c>
      <c r="G99" s="158"/>
      <c r="H99" s="159"/>
      <c r="I99" s="159"/>
    </row>
    <row r="100" spans="6:9" ht="15" customHeight="1" thickBot="1" x14ac:dyDescent="0.3">
      <c r="F100" s="144" t="s">
        <v>526</v>
      </c>
      <c r="G100" s="145">
        <v>16</v>
      </c>
      <c r="H100" s="145">
        <v>4</v>
      </c>
      <c r="I100" s="145">
        <v>4</v>
      </c>
    </row>
    <row r="101" spans="6:9" ht="15" customHeight="1" thickBot="1" x14ac:dyDescent="0.3">
      <c r="F101" s="146" t="s">
        <v>524</v>
      </c>
      <c r="G101" s="151"/>
      <c r="H101" s="152"/>
      <c r="I101" s="152"/>
    </row>
    <row r="102" spans="6:9" ht="15" customHeight="1" thickBot="1" x14ac:dyDescent="0.3">
      <c r="F102" s="144" t="s">
        <v>527</v>
      </c>
      <c r="G102" s="145">
        <v>26</v>
      </c>
      <c r="H102" s="145">
        <v>4</v>
      </c>
      <c r="I102" s="145">
        <v>4</v>
      </c>
    </row>
    <row r="103" spans="6:9" ht="15" customHeight="1" thickBot="1" x14ac:dyDescent="0.3">
      <c r="F103" s="146" t="s">
        <v>528</v>
      </c>
      <c r="G103" s="151"/>
      <c r="H103" s="152"/>
      <c r="I103" s="152"/>
    </row>
    <row r="104" spans="6:9" ht="15" customHeight="1" thickBot="1" x14ac:dyDescent="0.3">
      <c r="F104" s="146" t="s">
        <v>529</v>
      </c>
      <c r="G104" s="151"/>
      <c r="H104" s="152"/>
      <c r="I104" s="152"/>
    </row>
    <row r="105" spans="6:9" ht="15" customHeight="1" thickBot="1" x14ac:dyDescent="0.3">
      <c r="F105" s="146" t="s">
        <v>530</v>
      </c>
      <c r="G105" s="147">
        <v>26</v>
      </c>
      <c r="H105" s="147">
        <v>4</v>
      </c>
      <c r="I105" s="147">
        <v>0</v>
      </c>
    </row>
    <row r="106" spans="6:9" ht="15" customHeight="1" thickBot="1" x14ac:dyDescent="0.3">
      <c r="F106" s="144" t="s">
        <v>531</v>
      </c>
      <c r="G106" s="145">
        <v>30</v>
      </c>
      <c r="H106" s="145">
        <v>4</v>
      </c>
      <c r="I106" s="145">
        <v>4</v>
      </c>
    </row>
    <row r="107" spans="6:9" ht="15" customHeight="1" thickBot="1" x14ac:dyDescent="0.3">
      <c r="F107" s="146" t="s">
        <v>532</v>
      </c>
      <c r="G107" s="147" t="s">
        <v>1883</v>
      </c>
      <c r="H107" s="152"/>
      <c r="I107" s="152"/>
    </row>
    <row r="108" spans="6:9" ht="15" customHeight="1" thickBot="1" x14ac:dyDescent="0.3">
      <c r="F108" s="146" t="s">
        <v>533</v>
      </c>
      <c r="G108" s="147">
        <v>26</v>
      </c>
      <c r="H108" s="147">
        <v>4</v>
      </c>
      <c r="I108" s="147">
        <v>0</v>
      </c>
    </row>
    <row r="109" spans="6:9" ht="15" customHeight="1" thickBot="1" x14ac:dyDescent="0.3">
      <c r="F109" s="146" t="s">
        <v>534</v>
      </c>
      <c r="G109" s="147">
        <v>26</v>
      </c>
      <c r="H109" s="147">
        <v>4</v>
      </c>
      <c r="I109" s="147">
        <v>0</v>
      </c>
    </row>
    <row r="110" spans="6:9" ht="15" customHeight="1" thickBot="1" x14ac:dyDescent="0.3">
      <c r="F110" s="146" t="s">
        <v>535</v>
      </c>
      <c r="G110" s="147">
        <v>16</v>
      </c>
      <c r="H110" s="164">
        <v>4</v>
      </c>
      <c r="I110" s="164">
        <v>0</v>
      </c>
    </row>
    <row r="111" spans="6:9" ht="15" customHeight="1" thickBot="1" x14ac:dyDescent="0.3">
      <c r="F111" s="144" t="s">
        <v>536</v>
      </c>
      <c r="G111" s="158"/>
      <c r="H111" s="159"/>
      <c r="I111" s="159"/>
    </row>
    <row r="112" spans="6:9" ht="15" customHeight="1" thickBot="1" x14ac:dyDescent="0.3">
      <c r="F112" s="146" t="s">
        <v>539</v>
      </c>
      <c r="G112" s="147">
        <v>26</v>
      </c>
      <c r="H112" s="147">
        <v>4</v>
      </c>
      <c r="I112" s="147">
        <v>0</v>
      </c>
    </row>
    <row r="113" spans="6:9" ht="15" customHeight="1" thickBot="1" x14ac:dyDescent="0.3">
      <c r="F113" s="144" t="s">
        <v>538</v>
      </c>
      <c r="G113" s="159"/>
      <c r="H113" s="159"/>
      <c r="I113" s="159"/>
    </row>
    <row r="114" spans="6:9" ht="15" customHeight="1" thickBot="1" x14ac:dyDescent="0.3">
      <c r="F114" s="144" t="s">
        <v>537</v>
      </c>
      <c r="G114" s="158"/>
      <c r="H114" s="145"/>
      <c r="I114" s="145"/>
    </row>
    <row r="115" spans="6:9" ht="15" customHeight="1" thickBot="1" x14ac:dyDescent="0.3">
      <c r="F115" s="144" t="s">
        <v>540</v>
      </c>
      <c r="G115" s="145">
        <v>26</v>
      </c>
      <c r="H115" s="145">
        <v>4</v>
      </c>
      <c r="I115" s="145">
        <v>4</v>
      </c>
    </row>
    <row r="116" spans="6:9" ht="15" customHeight="1" thickBot="1" x14ac:dyDescent="0.3">
      <c r="F116" s="146" t="s">
        <v>541</v>
      </c>
      <c r="G116" s="165"/>
      <c r="H116" s="152"/>
      <c r="I116" s="152"/>
    </row>
    <row r="117" spans="6:9" ht="15" customHeight="1" thickBot="1" x14ac:dyDescent="0.3">
      <c r="F117" s="146" t="s">
        <v>542</v>
      </c>
      <c r="G117" s="147">
        <v>26</v>
      </c>
      <c r="H117" s="161">
        <v>4</v>
      </c>
      <c r="I117" s="161">
        <v>0</v>
      </c>
    </row>
    <row r="118" spans="6:9" ht="15" customHeight="1" thickBot="1" x14ac:dyDescent="0.3">
      <c r="F118" s="146" t="s">
        <v>543</v>
      </c>
      <c r="G118" s="147">
        <v>26</v>
      </c>
      <c r="H118" s="147">
        <v>4</v>
      </c>
      <c r="I118" s="147">
        <v>0</v>
      </c>
    </row>
    <row r="119" spans="6:9" ht="15" customHeight="1" thickBot="1" x14ac:dyDescent="0.3">
      <c r="F119" s="146" t="s">
        <v>544</v>
      </c>
      <c r="G119" s="147">
        <v>26</v>
      </c>
      <c r="H119" s="147">
        <v>4</v>
      </c>
      <c r="I119" s="147">
        <v>0</v>
      </c>
    </row>
    <row r="120" spans="6:9" ht="15" customHeight="1" thickBot="1" x14ac:dyDescent="0.3">
      <c r="F120" s="156" t="s">
        <v>2539</v>
      </c>
      <c r="G120" s="145">
        <v>16</v>
      </c>
      <c r="H120" s="145">
        <v>4</v>
      </c>
      <c r="I120" s="145">
        <v>4</v>
      </c>
    </row>
    <row r="121" spans="6:9" ht="15" customHeight="1" thickBot="1" x14ac:dyDescent="0.3">
      <c r="F121" s="146" t="s">
        <v>545</v>
      </c>
      <c r="G121" s="147">
        <v>15</v>
      </c>
      <c r="H121" s="147">
        <v>4</v>
      </c>
      <c r="I121" s="147">
        <v>0</v>
      </c>
    </row>
    <row r="122" spans="6:9" ht="15" customHeight="1" thickBot="1" x14ac:dyDescent="0.3">
      <c r="F122" s="146" t="s">
        <v>546</v>
      </c>
      <c r="G122" s="147">
        <v>26</v>
      </c>
      <c r="H122" s="147">
        <v>4</v>
      </c>
      <c r="I122" s="147">
        <v>0</v>
      </c>
    </row>
    <row r="123" spans="6:9" ht="15" customHeight="1" thickBot="1" x14ac:dyDescent="0.3">
      <c r="F123" s="146" t="s">
        <v>547</v>
      </c>
      <c r="G123" s="147">
        <v>26</v>
      </c>
      <c r="H123" s="147">
        <v>4</v>
      </c>
      <c r="I123" s="147">
        <v>0</v>
      </c>
    </row>
    <row r="124" spans="6:9" ht="15" customHeight="1" thickBot="1" x14ac:dyDescent="0.3">
      <c r="F124" s="146" t="s">
        <v>548</v>
      </c>
      <c r="G124" s="151"/>
      <c r="H124" s="152"/>
      <c r="I124" s="152"/>
    </row>
    <row r="125" spans="6:9" ht="15" customHeight="1" thickBot="1" x14ac:dyDescent="0.3">
      <c r="F125" s="146" t="s">
        <v>82</v>
      </c>
      <c r="G125" s="147">
        <v>26</v>
      </c>
      <c r="H125" s="147">
        <v>4</v>
      </c>
      <c r="I125" s="147">
        <v>0</v>
      </c>
    </row>
    <row r="126" spans="6:9" ht="15" customHeight="1" thickBot="1" x14ac:dyDescent="0.3">
      <c r="F126" s="144" t="s">
        <v>549</v>
      </c>
      <c r="G126" s="145">
        <v>11</v>
      </c>
      <c r="H126" s="145">
        <v>4</v>
      </c>
      <c r="I126" s="145">
        <v>4</v>
      </c>
    </row>
    <row r="127" spans="6:9" ht="15" customHeight="1" thickBot="1" x14ac:dyDescent="0.3">
      <c r="F127" s="166" t="s">
        <v>553</v>
      </c>
      <c r="G127" s="145">
        <v>11</v>
      </c>
      <c r="H127" s="145">
        <v>4</v>
      </c>
      <c r="I127" s="145">
        <v>4</v>
      </c>
    </row>
    <row r="128" spans="6:9" ht="15" customHeight="1" thickBot="1" x14ac:dyDescent="0.3">
      <c r="F128" s="144" t="s">
        <v>554</v>
      </c>
      <c r="G128" s="145">
        <v>11</v>
      </c>
      <c r="H128" s="145">
        <v>4</v>
      </c>
      <c r="I128" s="145">
        <v>4</v>
      </c>
    </row>
    <row r="129" spans="6:9" ht="15" customHeight="1" thickBot="1" x14ac:dyDescent="0.3">
      <c r="F129" s="144" t="s">
        <v>551</v>
      </c>
      <c r="G129" s="145">
        <v>11</v>
      </c>
      <c r="H129" s="145">
        <v>4</v>
      </c>
      <c r="I129" s="145">
        <v>4</v>
      </c>
    </row>
    <row r="130" spans="6:9" ht="15" customHeight="1" thickBot="1" x14ac:dyDescent="0.3">
      <c r="F130" s="144" t="s">
        <v>555</v>
      </c>
      <c r="G130" s="145">
        <v>11</v>
      </c>
      <c r="H130" s="145">
        <v>4</v>
      </c>
      <c r="I130" s="145">
        <v>4</v>
      </c>
    </row>
    <row r="131" spans="6:9" ht="15" customHeight="1" thickBot="1" x14ac:dyDescent="0.3">
      <c r="F131" s="144" t="s">
        <v>550</v>
      </c>
      <c r="G131" s="145">
        <v>11</v>
      </c>
      <c r="H131" s="145">
        <v>4</v>
      </c>
      <c r="I131" s="145">
        <v>4</v>
      </c>
    </row>
    <row r="132" spans="6:9" ht="15" customHeight="1" thickBot="1" x14ac:dyDescent="0.3">
      <c r="F132" s="144" t="s">
        <v>552</v>
      </c>
      <c r="G132" s="145">
        <v>11</v>
      </c>
      <c r="H132" s="145">
        <v>4</v>
      </c>
      <c r="I132" s="145">
        <v>4</v>
      </c>
    </row>
    <row r="133" spans="6:9" ht="15" customHeight="1" thickBot="1" x14ac:dyDescent="0.3">
      <c r="F133" s="144" t="s">
        <v>556</v>
      </c>
      <c r="G133" s="145">
        <v>11</v>
      </c>
      <c r="H133" s="145">
        <v>4</v>
      </c>
      <c r="I133" s="145">
        <v>4</v>
      </c>
    </row>
    <row r="134" spans="6:9" ht="15" customHeight="1" thickBot="1" x14ac:dyDescent="0.3">
      <c r="F134" s="146" t="s">
        <v>557</v>
      </c>
      <c r="G134" s="147">
        <v>26</v>
      </c>
      <c r="H134" s="147">
        <v>4</v>
      </c>
      <c r="I134" s="147">
        <v>0</v>
      </c>
    </row>
    <row r="135" spans="6:9" ht="15" customHeight="1" thickBot="1" x14ac:dyDescent="0.3">
      <c r="F135" s="146" t="s">
        <v>558</v>
      </c>
      <c r="G135" s="147">
        <v>26</v>
      </c>
      <c r="H135" s="147">
        <v>4</v>
      </c>
      <c r="I135" s="147">
        <v>0</v>
      </c>
    </row>
    <row r="136" spans="6:9" ht="15" customHeight="1" thickBot="1" x14ac:dyDescent="0.3">
      <c r="F136" s="146" t="s">
        <v>559</v>
      </c>
      <c r="G136" s="147">
        <v>26</v>
      </c>
      <c r="H136" s="147">
        <v>4</v>
      </c>
      <c r="I136" s="147">
        <v>0</v>
      </c>
    </row>
    <row r="137" spans="6:9" ht="15" customHeight="1" thickBot="1" x14ac:dyDescent="0.3">
      <c r="F137" s="146" t="s">
        <v>561</v>
      </c>
      <c r="G137" s="147">
        <v>26</v>
      </c>
      <c r="H137" s="147">
        <v>4</v>
      </c>
      <c r="I137" s="152"/>
    </row>
    <row r="138" spans="6:9" ht="15" customHeight="1" thickBot="1" x14ac:dyDescent="0.3">
      <c r="F138" s="146" t="s">
        <v>560</v>
      </c>
      <c r="G138" s="152"/>
      <c r="H138" s="152"/>
      <c r="I138" s="152"/>
    </row>
    <row r="139" spans="6:9" ht="15" customHeight="1" thickBot="1" x14ac:dyDescent="0.3">
      <c r="F139" s="146" t="s">
        <v>562</v>
      </c>
      <c r="G139" s="147">
        <v>26</v>
      </c>
      <c r="H139" s="147">
        <v>4</v>
      </c>
      <c r="I139" s="147">
        <v>0</v>
      </c>
    </row>
    <row r="140" spans="6:9" ht="15" customHeight="1" thickBot="1" x14ac:dyDescent="0.3">
      <c r="F140" s="146" t="s">
        <v>563</v>
      </c>
      <c r="G140" s="147">
        <v>26</v>
      </c>
      <c r="H140" s="167">
        <v>4</v>
      </c>
      <c r="I140" s="167">
        <v>0</v>
      </c>
    </row>
    <row r="141" spans="6:9" ht="15" customHeight="1" thickBot="1" x14ac:dyDescent="0.3">
      <c r="F141" s="144" t="s">
        <v>564</v>
      </c>
      <c r="G141" s="145">
        <v>16</v>
      </c>
      <c r="H141" s="145">
        <v>20</v>
      </c>
      <c r="I141" s="145">
        <v>4</v>
      </c>
    </row>
    <row r="142" spans="6:9" ht="15" customHeight="1" thickBot="1" x14ac:dyDescent="0.3">
      <c r="F142" s="144" t="s">
        <v>89</v>
      </c>
      <c r="G142" s="145">
        <v>26</v>
      </c>
      <c r="H142" s="145">
        <v>4</v>
      </c>
      <c r="I142" s="145">
        <v>4</v>
      </c>
    </row>
    <row r="143" spans="6:9" ht="15" customHeight="1" thickBot="1" x14ac:dyDescent="0.3">
      <c r="F143" s="144" t="s">
        <v>565</v>
      </c>
      <c r="G143" s="145">
        <v>26</v>
      </c>
      <c r="H143" s="145">
        <v>4</v>
      </c>
      <c r="I143" s="145">
        <v>4</v>
      </c>
    </row>
    <row r="144" spans="6:9" ht="15" customHeight="1" thickBot="1" x14ac:dyDescent="0.3">
      <c r="F144" s="146" t="s">
        <v>566</v>
      </c>
      <c r="G144" s="147">
        <v>26</v>
      </c>
      <c r="H144" s="147">
        <v>4</v>
      </c>
      <c r="I144" s="147">
        <v>0</v>
      </c>
    </row>
    <row r="145" spans="6:9" ht="15" customHeight="1" thickBot="1" x14ac:dyDescent="0.3">
      <c r="F145" s="168" t="s">
        <v>567</v>
      </c>
      <c r="G145" s="147">
        <v>16</v>
      </c>
      <c r="H145" s="147">
        <v>4</v>
      </c>
      <c r="I145" s="147">
        <v>0</v>
      </c>
    </row>
    <row r="146" spans="6:9" ht="15" customHeight="1" thickBot="1" x14ac:dyDescent="0.3">
      <c r="F146" s="146" t="s">
        <v>568</v>
      </c>
      <c r="G146" s="151"/>
      <c r="H146" s="152"/>
      <c r="I146" s="152"/>
    </row>
    <row r="147" spans="6:9" ht="15" customHeight="1" thickBot="1" x14ac:dyDescent="0.3">
      <c r="F147" s="146" t="s">
        <v>569</v>
      </c>
      <c r="G147" s="151"/>
      <c r="H147" s="152"/>
      <c r="I147" s="152"/>
    </row>
    <row r="148" spans="6:9" ht="15" customHeight="1" thickBot="1" x14ac:dyDescent="0.3">
      <c r="F148" s="146" t="s">
        <v>570</v>
      </c>
      <c r="G148" s="147">
        <v>16</v>
      </c>
      <c r="H148" s="147">
        <v>4</v>
      </c>
      <c r="I148" s="147">
        <v>0</v>
      </c>
    </row>
    <row r="149" spans="6:9" ht="15" customHeight="1" thickBot="1" x14ac:dyDescent="0.3">
      <c r="F149" s="144" t="s">
        <v>571</v>
      </c>
      <c r="G149" s="158"/>
      <c r="H149" s="145"/>
      <c r="I149" s="145"/>
    </row>
    <row r="150" spans="6:9" ht="15" customHeight="1" thickBot="1" x14ac:dyDescent="0.3">
      <c r="F150" s="146" t="s">
        <v>572</v>
      </c>
      <c r="G150" s="151"/>
      <c r="H150" s="152"/>
      <c r="I150" s="152"/>
    </row>
    <row r="151" spans="6:9" ht="15" customHeight="1" thickBot="1" x14ac:dyDescent="0.3">
      <c r="F151" s="146" t="s">
        <v>573</v>
      </c>
      <c r="G151" s="151"/>
      <c r="H151" s="152"/>
      <c r="I151" s="152"/>
    </row>
    <row r="152" spans="6:9" ht="15" customHeight="1" thickBot="1" x14ac:dyDescent="0.3">
      <c r="F152" s="144" t="s">
        <v>574</v>
      </c>
      <c r="G152" s="145">
        <v>26</v>
      </c>
      <c r="H152" s="145">
        <v>4</v>
      </c>
      <c r="I152" s="145">
        <v>4</v>
      </c>
    </row>
    <row r="153" spans="6:9" ht="15" customHeight="1" thickBot="1" x14ac:dyDescent="0.3">
      <c r="F153" s="146" t="s">
        <v>575</v>
      </c>
      <c r="G153" s="147">
        <v>26</v>
      </c>
      <c r="H153" s="147">
        <v>4</v>
      </c>
      <c r="I153" s="147">
        <v>0</v>
      </c>
    </row>
    <row r="154" spans="6:9" ht="15" customHeight="1" thickBot="1" x14ac:dyDescent="0.3">
      <c r="F154" s="144" t="s">
        <v>576</v>
      </c>
      <c r="G154" s="145">
        <v>16</v>
      </c>
      <c r="H154" s="145">
        <v>4</v>
      </c>
      <c r="I154" s="145">
        <v>4</v>
      </c>
    </row>
    <row r="155" spans="6:9" ht="15" customHeight="1" thickBot="1" x14ac:dyDescent="0.3">
      <c r="F155" s="144" t="s">
        <v>577</v>
      </c>
      <c r="G155" s="145">
        <v>16</v>
      </c>
      <c r="H155" s="145">
        <v>4</v>
      </c>
      <c r="I155" s="145">
        <v>4</v>
      </c>
    </row>
    <row r="156" spans="6:9" ht="15" customHeight="1" thickBot="1" x14ac:dyDescent="0.3">
      <c r="F156" s="146" t="s">
        <v>578</v>
      </c>
      <c r="G156" s="147">
        <v>16</v>
      </c>
      <c r="H156" s="147">
        <v>4</v>
      </c>
      <c r="I156" s="147">
        <v>0</v>
      </c>
    </row>
    <row r="157" spans="6:9" ht="15" customHeight="1" thickBot="1" x14ac:dyDescent="0.3">
      <c r="F157" s="146" t="s">
        <v>579</v>
      </c>
      <c r="G157" s="147">
        <v>26</v>
      </c>
      <c r="H157" s="147">
        <v>4</v>
      </c>
      <c r="I157" s="147">
        <v>0</v>
      </c>
    </row>
    <row r="158" spans="6:9" ht="15" customHeight="1" thickBot="1" x14ac:dyDescent="0.3">
      <c r="F158" s="146" t="s">
        <v>580</v>
      </c>
      <c r="G158" s="147">
        <v>26</v>
      </c>
      <c r="H158" s="147">
        <v>4</v>
      </c>
      <c r="I158" s="147">
        <v>0</v>
      </c>
    </row>
    <row r="159" spans="6:9" ht="15" customHeight="1" thickBot="1" x14ac:dyDescent="0.3">
      <c r="F159" s="146" t="s">
        <v>581</v>
      </c>
      <c r="G159" s="147">
        <v>26</v>
      </c>
      <c r="H159" s="147">
        <v>4</v>
      </c>
      <c r="I159" s="147">
        <v>0</v>
      </c>
    </row>
    <row r="160" spans="6:9" ht="15" customHeight="1" thickBot="1" x14ac:dyDescent="0.3">
      <c r="F160" s="146" t="s">
        <v>582</v>
      </c>
      <c r="G160" s="147">
        <v>26</v>
      </c>
      <c r="H160" s="147">
        <v>4</v>
      </c>
      <c r="I160" s="147">
        <v>0</v>
      </c>
    </row>
    <row r="161" spans="6:9" ht="15" customHeight="1" thickBot="1" x14ac:dyDescent="0.3">
      <c r="F161" s="146" t="s">
        <v>583</v>
      </c>
      <c r="G161" s="147">
        <v>26</v>
      </c>
      <c r="H161" s="147">
        <v>4</v>
      </c>
      <c r="I161" s="147">
        <v>0</v>
      </c>
    </row>
    <row r="162" spans="6:9" ht="15" customHeight="1" thickBot="1" x14ac:dyDescent="0.3">
      <c r="F162" s="146" t="s">
        <v>584</v>
      </c>
      <c r="G162" s="151"/>
      <c r="H162" s="152"/>
      <c r="I162" s="152"/>
    </row>
    <row r="163" spans="6:9" ht="15" customHeight="1" thickBot="1" x14ac:dyDescent="0.3">
      <c r="F163" s="156" t="s">
        <v>585</v>
      </c>
      <c r="G163" s="145">
        <v>16</v>
      </c>
      <c r="H163" s="145">
        <v>4</v>
      </c>
      <c r="I163" s="145">
        <v>4</v>
      </c>
    </row>
    <row r="164" spans="6:9" ht="15" customHeight="1" thickBot="1" x14ac:dyDescent="0.3">
      <c r="F164" s="144" t="s">
        <v>586</v>
      </c>
      <c r="G164" s="145">
        <v>16</v>
      </c>
      <c r="H164" s="145">
        <v>4</v>
      </c>
      <c r="I164" s="145">
        <v>4</v>
      </c>
    </row>
    <row r="165" spans="6:9" ht="15" customHeight="1" thickBot="1" x14ac:dyDescent="0.3">
      <c r="F165" s="144" t="s">
        <v>591</v>
      </c>
      <c r="G165" s="145">
        <v>16</v>
      </c>
      <c r="H165" s="145">
        <v>4</v>
      </c>
      <c r="I165" s="145">
        <v>4</v>
      </c>
    </row>
    <row r="166" spans="6:9" ht="15" customHeight="1" thickBot="1" x14ac:dyDescent="0.3">
      <c r="F166" s="144" t="s">
        <v>599</v>
      </c>
      <c r="G166" s="145">
        <v>16</v>
      </c>
      <c r="H166" s="145">
        <v>4</v>
      </c>
      <c r="I166" s="145">
        <v>4</v>
      </c>
    </row>
    <row r="167" spans="6:9" ht="15" customHeight="1" thickBot="1" x14ac:dyDescent="0.3">
      <c r="F167" s="144" t="s">
        <v>609</v>
      </c>
      <c r="G167" s="145">
        <v>16</v>
      </c>
      <c r="H167" s="145">
        <v>4</v>
      </c>
      <c r="I167" s="145">
        <v>4</v>
      </c>
    </row>
    <row r="168" spans="6:9" ht="15" customHeight="1" thickBot="1" x14ac:dyDescent="0.3">
      <c r="F168" s="144" t="s">
        <v>608</v>
      </c>
      <c r="G168" s="145">
        <v>16</v>
      </c>
      <c r="H168" s="145">
        <v>4</v>
      </c>
      <c r="I168" s="145">
        <v>4</v>
      </c>
    </row>
    <row r="169" spans="6:9" ht="15" customHeight="1" thickBot="1" x14ac:dyDescent="0.3">
      <c r="F169" s="144" t="s">
        <v>613</v>
      </c>
      <c r="G169" s="145">
        <v>16</v>
      </c>
      <c r="H169" s="145">
        <v>4</v>
      </c>
      <c r="I169" s="145">
        <v>4</v>
      </c>
    </row>
    <row r="170" spans="6:9" ht="15" customHeight="1" thickBot="1" x14ac:dyDescent="0.3">
      <c r="F170" s="144" t="s">
        <v>610</v>
      </c>
      <c r="G170" s="145">
        <v>16</v>
      </c>
      <c r="H170" s="145">
        <v>4</v>
      </c>
      <c r="I170" s="145">
        <v>4</v>
      </c>
    </row>
    <row r="171" spans="6:9" ht="15" customHeight="1" thickBot="1" x14ac:dyDescent="0.3">
      <c r="F171" s="144" t="s">
        <v>611</v>
      </c>
      <c r="G171" s="145">
        <v>16</v>
      </c>
      <c r="H171" s="145">
        <v>4</v>
      </c>
      <c r="I171" s="145">
        <v>4</v>
      </c>
    </row>
    <row r="172" spans="6:9" ht="15" customHeight="1" thickBot="1" x14ac:dyDescent="0.3">
      <c r="F172" s="144" t="s">
        <v>597</v>
      </c>
      <c r="G172" s="145">
        <v>16</v>
      </c>
      <c r="H172" s="145">
        <v>4</v>
      </c>
      <c r="I172" s="145">
        <v>4</v>
      </c>
    </row>
    <row r="173" spans="6:9" ht="15" customHeight="1" thickBot="1" x14ac:dyDescent="0.3">
      <c r="F173" s="144" t="s">
        <v>593</v>
      </c>
      <c r="G173" s="145">
        <v>16</v>
      </c>
      <c r="H173" s="145">
        <v>4</v>
      </c>
      <c r="I173" s="145">
        <v>4</v>
      </c>
    </row>
    <row r="174" spans="6:9" ht="15" customHeight="1" thickBot="1" x14ac:dyDescent="0.3">
      <c r="F174" s="144" t="s">
        <v>594</v>
      </c>
      <c r="G174" s="145">
        <v>16</v>
      </c>
      <c r="H174" s="145">
        <v>4</v>
      </c>
      <c r="I174" s="145">
        <v>4</v>
      </c>
    </row>
    <row r="175" spans="6:9" ht="15" customHeight="1" thickBot="1" x14ac:dyDescent="0.3">
      <c r="F175" s="144" t="s">
        <v>595</v>
      </c>
      <c r="G175" s="145">
        <v>16</v>
      </c>
      <c r="H175" s="145">
        <v>4</v>
      </c>
      <c r="I175" s="145">
        <v>4</v>
      </c>
    </row>
    <row r="176" spans="6:9" ht="15" customHeight="1" thickBot="1" x14ac:dyDescent="0.3">
      <c r="F176" s="144" t="s">
        <v>588</v>
      </c>
      <c r="G176" s="145">
        <v>16</v>
      </c>
      <c r="H176" s="145">
        <v>4</v>
      </c>
      <c r="I176" s="145">
        <v>4</v>
      </c>
    </row>
    <row r="177" spans="6:9" ht="15" customHeight="1" thickBot="1" x14ac:dyDescent="0.3">
      <c r="F177" s="144" t="s">
        <v>587</v>
      </c>
      <c r="G177" s="145">
        <v>16</v>
      </c>
      <c r="H177" s="145">
        <v>4</v>
      </c>
      <c r="I177" s="145">
        <v>4</v>
      </c>
    </row>
    <row r="178" spans="6:9" ht="15" customHeight="1" thickBot="1" x14ac:dyDescent="0.3">
      <c r="F178" s="144" t="s">
        <v>605</v>
      </c>
      <c r="G178" s="145">
        <v>16</v>
      </c>
      <c r="H178" s="145">
        <v>4</v>
      </c>
      <c r="I178" s="145">
        <v>4</v>
      </c>
    </row>
    <row r="179" spans="6:9" ht="15" customHeight="1" thickBot="1" x14ac:dyDescent="0.3">
      <c r="F179" s="144" t="s">
        <v>606</v>
      </c>
      <c r="G179" s="145">
        <v>16</v>
      </c>
      <c r="H179" s="145">
        <v>4</v>
      </c>
      <c r="I179" s="145">
        <v>4</v>
      </c>
    </row>
    <row r="180" spans="6:9" ht="15" customHeight="1" thickBot="1" x14ac:dyDescent="0.3">
      <c r="F180" s="144" t="s">
        <v>598</v>
      </c>
      <c r="G180" s="145">
        <v>16</v>
      </c>
      <c r="H180" s="145">
        <v>4</v>
      </c>
      <c r="I180" s="145">
        <v>4</v>
      </c>
    </row>
    <row r="181" spans="6:9" ht="15" customHeight="1" thickBot="1" x14ac:dyDescent="0.3">
      <c r="F181" s="144" t="s">
        <v>600</v>
      </c>
      <c r="G181" s="145">
        <v>16</v>
      </c>
      <c r="H181" s="145">
        <v>4</v>
      </c>
      <c r="I181" s="145">
        <v>4</v>
      </c>
    </row>
    <row r="182" spans="6:9" ht="15" customHeight="1" thickBot="1" x14ac:dyDescent="0.3">
      <c r="F182" s="144" t="s">
        <v>601</v>
      </c>
      <c r="G182" s="145">
        <v>16</v>
      </c>
      <c r="H182" s="145">
        <v>4</v>
      </c>
      <c r="I182" s="145">
        <v>4</v>
      </c>
    </row>
    <row r="183" spans="6:9" ht="15" customHeight="1" thickBot="1" x14ac:dyDescent="0.3">
      <c r="F183" s="144" t="s">
        <v>589</v>
      </c>
      <c r="G183" s="145">
        <v>16</v>
      </c>
      <c r="H183" s="145">
        <v>4</v>
      </c>
      <c r="I183" s="145">
        <v>4</v>
      </c>
    </row>
    <row r="184" spans="6:9" ht="15" customHeight="1" thickBot="1" x14ac:dyDescent="0.3">
      <c r="F184" s="144" t="s">
        <v>590</v>
      </c>
      <c r="G184" s="145">
        <v>16</v>
      </c>
      <c r="H184" s="145">
        <v>4</v>
      </c>
      <c r="I184" s="145">
        <v>4</v>
      </c>
    </row>
    <row r="185" spans="6:9" ht="15" customHeight="1" thickBot="1" x14ac:dyDescent="0.3">
      <c r="F185" s="144" t="s">
        <v>604</v>
      </c>
      <c r="G185" s="145">
        <v>16</v>
      </c>
      <c r="H185" s="145">
        <v>4</v>
      </c>
      <c r="I185" s="145">
        <v>4</v>
      </c>
    </row>
    <row r="186" spans="6:9" ht="15" customHeight="1" thickBot="1" x14ac:dyDescent="0.3">
      <c r="F186" s="144" t="s">
        <v>602</v>
      </c>
      <c r="G186" s="145">
        <v>16</v>
      </c>
      <c r="H186" s="145">
        <v>4</v>
      </c>
      <c r="I186" s="145">
        <v>4</v>
      </c>
    </row>
    <row r="187" spans="6:9" ht="15" customHeight="1" thickBot="1" x14ac:dyDescent="0.3">
      <c r="F187" s="144" t="s">
        <v>603</v>
      </c>
      <c r="G187" s="145">
        <v>16</v>
      </c>
      <c r="H187" s="145">
        <v>4</v>
      </c>
      <c r="I187" s="145">
        <v>4</v>
      </c>
    </row>
    <row r="188" spans="6:9" ht="15" customHeight="1" thickBot="1" x14ac:dyDescent="0.3">
      <c r="F188" s="144" t="s">
        <v>596</v>
      </c>
      <c r="G188" s="145">
        <v>16</v>
      </c>
      <c r="H188" s="145">
        <v>4</v>
      </c>
      <c r="I188" s="145">
        <v>4</v>
      </c>
    </row>
    <row r="189" spans="6:9" ht="15" customHeight="1" thickBot="1" x14ac:dyDescent="0.3">
      <c r="F189" s="144" t="s">
        <v>607</v>
      </c>
      <c r="G189" s="145">
        <v>16</v>
      </c>
      <c r="H189" s="145">
        <v>4</v>
      </c>
      <c r="I189" s="145">
        <v>4</v>
      </c>
    </row>
    <row r="190" spans="6:9" ht="15" customHeight="1" thickBot="1" x14ac:dyDescent="0.3">
      <c r="F190" s="144" t="s">
        <v>592</v>
      </c>
      <c r="G190" s="145">
        <v>16</v>
      </c>
      <c r="H190" s="145">
        <v>4</v>
      </c>
      <c r="I190" s="145">
        <v>4</v>
      </c>
    </row>
    <row r="191" spans="6:9" ht="15" customHeight="1" thickBot="1" x14ac:dyDescent="0.3">
      <c r="F191" s="144" t="s">
        <v>612</v>
      </c>
      <c r="G191" s="145">
        <v>16</v>
      </c>
      <c r="H191" s="145">
        <v>4</v>
      </c>
      <c r="I191" s="145">
        <v>4</v>
      </c>
    </row>
    <row r="192" spans="6:9" ht="15" customHeight="1" thickBot="1" x14ac:dyDescent="0.3">
      <c r="F192" s="144" t="s">
        <v>618</v>
      </c>
      <c r="G192" s="145">
        <v>16</v>
      </c>
      <c r="H192" s="145">
        <v>4</v>
      </c>
      <c r="I192" s="145">
        <v>4</v>
      </c>
    </row>
    <row r="193" spans="6:9" ht="15" customHeight="1" thickBot="1" x14ac:dyDescent="0.3">
      <c r="F193" s="144" t="s">
        <v>614</v>
      </c>
      <c r="G193" s="145">
        <v>16</v>
      </c>
      <c r="H193" s="145">
        <v>4</v>
      </c>
      <c r="I193" s="145">
        <v>4</v>
      </c>
    </row>
    <row r="194" spans="6:9" ht="15" customHeight="1" thickBot="1" x14ac:dyDescent="0.3">
      <c r="F194" s="144" t="s">
        <v>615</v>
      </c>
      <c r="G194" s="145">
        <v>16</v>
      </c>
      <c r="H194" s="145">
        <v>4</v>
      </c>
      <c r="I194" s="145">
        <v>4</v>
      </c>
    </row>
    <row r="195" spans="6:9" ht="15" customHeight="1" thickBot="1" x14ac:dyDescent="0.3">
      <c r="F195" s="144" t="s">
        <v>617</v>
      </c>
      <c r="G195" s="145">
        <v>16</v>
      </c>
      <c r="H195" s="145">
        <v>4</v>
      </c>
      <c r="I195" s="145">
        <v>4</v>
      </c>
    </row>
    <row r="196" spans="6:9" ht="15" customHeight="1" thickBot="1" x14ac:dyDescent="0.3">
      <c r="F196" s="144" t="s">
        <v>616</v>
      </c>
      <c r="G196" s="145">
        <v>16</v>
      </c>
      <c r="H196" s="145">
        <v>4</v>
      </c>
      <c r="I196" s="145">
        <v>4</v>
      </c>
    </row>
    <row r="197" spans="6:9" ht="15" customHeight="1" thickBot="1" x14ac:dyDescent="0.3">
      <c r="F197" s="144" t="s">
        <v>620</v>
      </c>
      <c r="G197" s="145">
        <v>16</v>
      </c>
      <c r="H197" s="145">
        <v>4</v>
      </c>
      <c r="I197" s="145">
        <v>4</v>
      </c>
    </row>
    <row r="198" spans="6:9" ht="15" customHeight="1" thickBot="1" x14ac:dyDescent="0.3">
      <c r="F198" s="144" t="s">
        <v>619</v>
      </c>
      <c r="G198" s="159"/>
      <c r="H198" s="159"/>
      <c r="I198" s="159"/>
    </row>
    <row r="199" spans="6:9" ht="15" customHeight="1" thickBot="1" x14ac:dyDescent="0.3">
      <c r="F199" s="144" t="s">
        <v>621</v>
      </c>
      <c r="G199" s="145">
        <v>26</v>
      </c>
      <c r="H199" s="145">
        <v>4</v>
      </c>
      <c r="I199" s="145">
        <v>4</v>
      </c>
    </row>
    <row r="200" spans="6:9" ht="15" customHeight="1" thickBot="1" x14ac:dyDescent="0.3">
      <c r="F200" s="146" t="s">
        <v>622</v>
      </c>
      <c r="G200" s="147">
        <v>11</v>
      </c>
      <c r="H200" s="147">
        <v>4</v>
      </c>
      <c r="I200" s="152"/>
    </row>
    <row r="201" spans="6:9" ht="15" customHeight="1" thickBot="1" x14ac:dyDescent="0.3">
      <c r="F201" s="144" t="s">
        <v>623</v>
      </c>
      <c r="G201" s="145">
        <v>26</v>
      </c>
      <c r="H201" s="145">
        <v>4</v>
      </c>
      <c r="I201" s="145">
        <v>4</v>
      </c>
    </row>
    <row r="202" spans="6:9" ht="15" customHeight="1" thickBot="1" x14ac:dyDescent="0.3">
      <c r="F202" s="144" t="s">
        <v>624</v>
      </c>
      <c r="G202" s="145">
        <v>36</v>
      </c>
      <c r="H202" s="145">
        <v>4</v>
      </c>
      <c r="I202" s="145">
        <v>4</v>
      </c>
    </row>
    <row r="203" spans="6:9" ht="15" customHeight="1" thickBot="1" x14ac:dyDescent="0.3">
      <c r="F203" s="146" t="s">
        <v>626</v>
      </c>
      <c r="G203" s="147">
        <v>26</v>
      </c>
      <c r="H203" s="147">
        <v>4</v>
      </c>
      <c r="I203" s="147">
        <v>0</v>
      </c>
    </row>
    <row r="204" spans="6:9" ht="15" customHeight="1" thickBot="1" x14ac:dyDescent="0.3">
      <c r="F204" s="146" t="s">
        <v>625</v>
      </c>
      <c r="G204" s="151"/>
      <c r="H204" s="152"/>
      <c r="I204" s="152"/>
    </row>
    <row r="205" spans="6:9" ht="15" customHeight="1" thickBot="1" x14ac:dyDescent="0.3">
      <c r="F205" s="146" t="s">
        <v>627</v>
      </c>
      <c r="G205" s="147">
        <v>26</v>
      </c>
      <c r="H205" s="147">
        <v>4</v>
      </c>
      <c r="I205" s="147">
        <v>0</v>
      </c>
    </row>
    <row r="206" spans="6:9" ht="15" customHeight="1" thickBot="1" x14ac:dyDescent="0.3">
      <c r="F206" s="144" t="s">
        <v>628</v>
      </c>
      <c r="G206" s="145">
        <v>21</v>
      </c>
      <c r="H206" s="145">
        <v>4</v>
      </c>
      <c r="I206" s="145">
        <v>4</v>
      </c>
    </row>
    <row r="207" spans="6:9" ht="15" customHeight="1" thickBot="1" x14ac:dyDescent="0.3">
      <c r="F207" s="146" t="s">
        <v>629</v>
      </c>
      <c r="G207" s="147">
        <v>26</v>
      </c>
      <c r="H207" s="147">
        <v>4</v>
      </c>
      <c r="I207" s="152"/>
    </row>
    <row r="208" spans="6:9" ht="15" customHeight="1" thickBot="1" x14ac:dyDescent="0.3">
      <c r="F208" s="146" t="s">
        <v>631</v>
      </c>
      <c r="G208" s="147">
        <v>26</v>
      </c>
      <c r="H208" s="147">
        <v>4</v>
      </c>
      <c r="I208" s="147">
        <v>0</v>
      </c>
    </row>
    <row r="209" spans="6:9" ht="15" customHeight="1" thickBot="1" x14ac:dyDescent="0.3">
      <c r="F209" s="146" t="s">
        <v>630</v>
      </c>
      <c r="G209" s="151"/>
      <c r="H209" s="152"/>
      <c r="I209" s="152"/>
    </row>
    <row r="210" spans="6:9" ht="15" customHeight="1" thickBot="1" x14ac:dyDescent="0.3">
      <c r="F210" s="146" t="s">
        <v>632</v>
      </c>
      <c r="G210" s="152"/>
      <c r="H210" s="152"/>
      <c r="I210" s="152"/>
    </row>
    <row r="211" spans="6:9" ht="15" customHeight="1" thickBot="1" x14ac:dyDescent="0.3">
      <c r="F211" s="146" t="s">
        <v>633</v>
      </c>
      <c r="G211" s="147">
        <v>26</v>
      </c>
      <c r="H211" s="147">
        <v>4</v>
      </c>
      <c r="I211" s="147">
        <v>0</v>
      </c>
    </row>
    <row r="212" spans="6:9" ht="15" customHeight="1" thickBot="1" x14ac:dyDescent="0.3">
      <c r="F212" s="144" t="s">
        <v>634</v>
      </c>
      <c r="G212" s="145">
        <v>16</v>
      </c>
      <c r="H212" s="145">
        <v>4</v>
      </c>
      <c r="I212" s="145">
        <v>4</v>
      </c>
    </row>
    <row r="213" spans="6:9" ht="15" customHeight="1" thickBot="1" x14ac:dyDescent="0.3">
      <c r="F213" s="144" t="s">
        <v>635</v>
      </c>
      <c r="G213" s="145">
        <v>26</v>
      </c>
      <c r="H213" s="145">
        <v>4</v>
      </c>
      <c r="I213" s="145">
        <v>4</v>
      </c>
    </row>
    <row r="214" spans="6:9" ht="15" customHeight="1" thickBot="1" x14ac:dyDescent="0.3">
      <c r="F214" s="146" t="s">
        <v>636</v>
      </c>
      <c r="G214" s="147">
        <v>20</v>
      </c>
      <c r="H214" s="147">
        <v>4</v>
      </c>
      <c r="I214" s="147">
        <v>0</v>
      </c>
    </row>
    <row r="215" spans="6:9" ht="15" customHeight="1" thickBot="1" x14ac:dyDescent="0.3">
      <c r="F215" s="146" t="s">
        <v>637</v>
      </c>
      <c r="G215" s="151"/>
      <c r="H215" s="152"/>
      <c r="I215" s="152"/>
    </row>
    <row r="216" spans="6:9" ht="15" customHeight="1" thickBot="1" x14ac:dyDescent="0.3">
      <c r="F216" s="146" t="s">
        <v>638</v>
      </c>
      <c r="G216" s="151"/>
      <c r="H216" s="147"/>
      <c r="I216" s="147"/>
    </row>
    <row r="217" spans="6:9" ht="15" customHeight="1" thickBot="1" x14ac:dyDescent="0.3">
      <c r="F217" s="146" t="s">
        <v>640</v>
      </c>
      <c r="G217" s="147">
        <v>26</v>
      </c>
      <c r="H217" s="147">
        <v>4</v>
      </c>
      <c r="I217" s="147">
        <v>0</v>
      </c>
    </row>
    <row r="218" spans="6:9" ht="15" customHeight="1" thickBot="1" x14ac:dyDescent="0.3">
      <c r="F218" s="146" t="s">
        <v>639</v>
      </c>
      <c r="G218" s="151"/>
      <c r="H218" s="152"/>
      <c r="I218" s="152"/>
    </row>
    <row r="219" spans="6:9" ht="15" customHeight="1" thickBot="1" x14ac:dyDescent="0.3">
      <c r="F219" s="146" t="s">
        <v>641</v>
      </c>
      <c r="G219" s="147">
        <v>26</v>
      </c>
      <c r="H219" s="147">
        <v>4</v>
      </c>
      <c r="I219" s="147">
        <v>0</v>
      </c>
    </row>
    <row r="220" spans="6:9" ht="15" customHeight="1" thickBot="1" x14ac:dyDescent="0.3">
      <c r="F220" s="146" t="s">
        <v>642</v>
      </c>
      <c r="G220" s="147">
        <v>26</v>
      </c>
      <c r="H220" s="147">
        <v>4</v>
      </c>
      <c r="I220" s="147">
        <v>0</v>
      </c>
    </row>
    <row r="221" spans="6:9" ht="15" customHeight="1" thickBot="1" x14ac:dyDescent="0.3">
      <c r="F221" s="144" t="s">
        <v>643</v>
      </c>
      <c r="G221" s="145">
        <v>26</v>
      </c>
      <c r="H221" s="145">
        <v>4</v>
      </c>
      <c r="I221" s="145">
        <v>4</v>
      </c>
    </row>
    <row r="222" spans="6:9" ht="15" customHeight="1" thickBot="1" x14ac:dyDescent="0.3">
      <c r="F222" s="146" t="s">
        <v>644</v>
      </c>
      <c r="G222" s="147">
        <v>25</v>
      </c>
      <c r="H222" s="147">
        <v>4</v>
      </c>
      <c r="I222" s="147">
        <v>0</v>
      </c>
    </row>
    <row r="223" spans="6:9" ht="15" customHeight="1" thickBot="1" x14ac:dyDescent="0.3">
      <c r="F223" s="156" t="s">
        <v>645</v>
      </c>
      <c r="G223" s="145">
        <v>26</v>
      </c>
      <c r="H223" s="145">
        <v>4</v>
      </c>
      <c r="I223" s="145">
        <v>4</v>
      </c>
    </row>
    <row r="224" spans="6:9" ht="15" customHeight="1" thickBot="1" x14ac:dyDescent="0.3">
      <c r="F224" s="144" t="s">
        <v>646</v>
      </c>
      <c r="G224" s="145">
        <v>26</v>
      </c>
      <c r="H224" s="145">
        <v>4</v>
      </c>
      <c r="I224" s="145">
        <v>4</v>
      </c>
    </row>
    <row r="225" spans="6:9" ht="15" customHeight="1" thickBot="1" x14ac:dyDescent="0.3">
      <c r="F225" s="144" t="s">
        <v>647</v>
      </c>
      <c r="G225" s="158"/>
      <c r="H225" s="159"/>
      <c r="I225" s="159"/>
    </row>
    <row r="226" spans="6:9" ht="15" customHeight="1" thickBot="1" x14ac:dyDescent="0.3">
      <c r="F226" s="146" t="s">
        <v>648</v>
      </c>
      <c r="G226" s="147">
        <v>26</v>
      </c>
      <c r="H226" s="147">
        <v>4</v>
      </c>
      <c r="I226" s="147">
        <v>0</v>
      </c>
    </row>
    <row r="227" spans="6:9" ht="15" customHeight="1" thickBot="1" x14ac:dyDescent="0.3">
      <c r="F227" s="144" t="s">
        <v>649</v>
      </c>
      <c r="G227" s="158"/>
      <c r="H227" s="159"/>
      <c r="I227" s="159"/>
    </row>
    <row r="228" spans="6:9" ht="15" customHeight="1" thickBot="1" x14ac:dyDescent="0.3">
      <c r="F228" s="146" t="s">
        <v>650</v>
      </c>
      <c r="G228" s="147">
        <v>26</v>
      </c>
      <c r="H228" s="147">
        <v>4</v>
      </c>
      <c r="I228" s="147">
        <v>0</v>
      </c>
    </row>
    <row r="229" spans="6:9" ht="15" customHeight="1" thickBot="1" x14ac:dyDescent="0.3">
      <c r="F229" s="144" t="s">
        <v>651</v>
      </c>
      <c r="G229" s="145">
        <v>26</v>
      </c>
      <c r="H229" s="145">
        <v>4</v>
      </c>
      <c r="I229" s="145">
        <v>4</v>
      </c>
    </row>
    <row r="230" spans="6:9" ht="15" customHeight="1" thickBot="1" x14ac:dyDescent="0.3">
      <c r="F230" s="146" t="s">
        <v>652</v>
      </c>
      <c r="G230" s="151"/>
      <c r="H230" s="152"/>
      <c r="I230" s="152"/>
    </row>
    <row r="231" spans="6:9" ht="15" customHeight="1" thickBot="1" x14ac:dyDescent="0.3">
      <c r="F231" s="144" t="s">
        <v>653</v>
      </c>
      <c r="G231" s="145">
        <v>26</v>
      </c>
      <c r="H231" s="145">
        <v>4</v>
      </c>
      <c r="I231" s="145">
        <v>4</v>
      </c>
    </row>
    <row r="232" spans="6:9" ht="15" customHeight="1" thickBot="1" x14ac:dyDescent="0.3">
      <c r="F232" s="144" t="s">
        <v>654</v>
      </c>
      <c r="G232" s="145">
        <v>26</v>
      </c>
      <c r="H232" s="145">
        <v>4</v>
      </c>
      <c r="I232" s="145">
        <v>4</v>
      </c>
    </row>
    <row r="233" spans="6:9" ht="15" customHeight="1" thickBot="1" x14ac:dyDescent="0.3">
      <c r="F233" s="146" t="s">
        <v>655</v>
      </c>
      <c r="G233" s="151"/>
      <c r="H233" s="152"/>
      <c r="I233" s="152"/>
    </row>
    <row r="234" spans="6:9" ht="15" customHeight="1" thickBot="1" x14ac:dyDescent="0.3">
      <c r="F234" s="146" t="s">
        <v>656</v>
      </c>
      <c r="G234" s="147">
        <v>26</v>
      </c>
      <c r="H234" s="147">
        <v>4</v>
      </c>
      <c r="I234" s="147">
        <v>0</v>
      </c>
    </row>
    <row r="235" spans="6:9" ht="15" customHeight="1" thickBot="1" x14ac:dyDescent="0.3">
      <c r="F235" s="146" t="s">
        <v>657</v>
      </c>
      <c r="G235" s="151"/>
      <c r="H235" s="152"/>
      <c r="I235" s="152"/>
    </row>
    <row r="236" spans="6:9" ht="15" customHeight="1" thickBot="1" x14ac:dyDescent="0.3">
      <c r="F236" s="146" t="s">
        <v>658</v>
      </c>
      <c r="G236" s="151"/>
      <c r="H236" s="152"/>
      <c r="I236" s="152"/>
    </row>
    <row r="237" spans="6:9" ht="15" customHeight="1" thickBot="1" x14ac:dyDescent="0.3">
      <c r="F237" s="146" t="s">
        <v>659</v>
      </c>
      <c r="G237" s="147">
        <v>26</v>
      </c>
      <c r="H237" s="147">
        <v>4</v>
      </c>
      <c r="I237" s="147">
        <v>0</v>
      </c>
    </row>
    <row r="238" spans="6:9" ht="15" customHeight="1" thickBot="1" x14ac:dyDescent="0.3">
      <c r="F238" s="144" t="s">
        <v>660</v>
      </c>
      <c r="G238" s="145">
        <v>16</v>
      </c>
      <c r="H238" s="145">
        <v>4</v>
      </c>
      <c r="I238" s="145">
        <v>4</v>
      </c>
    </row>
    <row r="239" spans="6:9" ht="15" customHeight="1" thickBot="1" x14ac:dyDescent="0.3">
      <c r="F239" s="144" t="s">
        <v>661</v>
      </c>
      <c r="G239" s="145">
        <v>16</v>
      </c>
      <c r="H239" s="145">
        <v>4</v>
      </c>
      <c r="I239" s="145">
        <v>4</v>
      </c>
    </row>
    <row r="240" spans="6:9" ht="15" customHeight="1" thickBot="1" x14ac:dyDescent="0.3">
      <c r="F240" s="144" t="s">
        <v>664</v>
      </c>
      <c r="G240" s="145">
        <v>16</v>
      </c>
      <c r="H240" s="145">
        <v>4</v>
      </c>
      <c r="I240" s="145">
        <v>4</v>
      </c>
    </row>
    <row r="241" spans="6:9" ht="15" customHeight="1" thickBot="1" x14ac:dyDescent="0.3">
      <c r="F241" s="144" t="s">
        <v>665</v>
      </c>
      <c r="G241" s="145">
        <v>16</v>
      </c>
      <c r="H241" s="145">
        <v>4</v>
      </c>
      <c r="I241" s="145">
        <v>4</v>
      </c>
    </row>
    <row r="242" spans="6:9" ht="15" customHeight="1" thickBot="1" x14ac:dyDescent="0.3">
      <c r="F242" s="146" t="s">
        <v>666</v>
      </c>
      <c r="G242" s="147">
        <v>26</v>
      </c>
      <c r="H242" s="147">
        <v>4</v>
      </c>
      <c r="I242" s="147">
        <v>0</v>
      </c>
    </row>
    <row r="243" spans="6:9" ht="15" customHeight="1" thickBot="1" x14ac:dyDescent="0.3">
      <c r="F243" s="146" t="s">
        <v>667</v>
      </c>
      <c r="G243" s="147">
        <v>26</v>
      </c>
      <c r="H243" s="147">
        <v>4</v>
      </c>
      <c r="I243" s="147">
        <v>0</v>
      </c>
    </row>
    <row r="244" spans="6:9" ht="15" customHeight="1" thickBot="1" x14ac:dyDescent="0.3">
      <c r="F244" s="146" t="s">
        <v>668</v>
      </c>
      <c r="G244" s="147">
        <v>11</v>
      </c>
      <c r="H244" s="147">
        <v>4</v>
      </c>
      <c r="I244" s="152"/>
    </row>
    <row r="245" spans="6:9" ht="15" customHeight="1" thickBot="1" x14ac:dyDescent="0.3">
      <c r="F245" s="146" t="s">
        <v>662</v>
      </c>
      <c r="G245" s="151"/>
      <c r="H245" s="152"/>
      <c r="I245" s="152"/>
    </row>
    <row r="246" spans="6:9" ht="15" customHeight="1" thickBot="1" x14ac:dyDescent="0.3">
      <c r="F246" s="146" t="s">
        <v>663</v>
      </c>
      <c r="G246" s="151"/>
      <c r="H246" s="152"/>
      <c r="I246" s="152"/>
    </row>
    <row r="247" spans="6:9" ht="15" customHeight="1" thickBot="1" x14ac:dyDescent="0.3">
      <c r="F247" s="146" t="s">
        <v>147</v>
      </c>
      <c r="G247" s="147">
        <v>26</v>
      </c>
      <c r="H247" s="147">
        <v>4</v>
      </c>
      <c r="I247" s="147">
        <v>0</v>
      </c>
    </row>
    <row r="248" spans="6:9" ht="15" customHeight="1" thickBot="1" x14ac:dyDescent="0.3">
      <c r="F248" s="146" t="s">
        <v>669</v>
      </c>
      <c r="G248" s="147">
        <v>26</v>
      </c>
      <c r="H248" s="147">
        <v>4</v>
      </c>
      <c r="I248" s="147">
        <v>0</v>
      </c>
    </row>
    <row r="249" spans="6:9" ht="15" customHeight="1" thickBot="1" x14ac:dyDescent="0.3">
      <c r="F249" s="144" t="s">
        <v>670</v>
      </c>
      <c r="G249" s="145">
        <v>26</v>
      </c>
      <c r="H249" s="145">
        <v>4</v>
      </c>
      <c r="I249" s="145">
        <v>4</v>
      </c>
    </row>
    <row r="250" spans="6:9" ht="15" customHeight="1" thickBot="1" x14ac:dyDescent="0.3">
      <c r="F250" s="146" t="s">
        <v>671</v>
      </c>
      <c r="G250" s="151"/>
      <c r="H250" s="152"/>
      <c r="I250" s="152"/>
    </row>
    <row r="251" spans="6:9" ht="15" customHeight="1" thickBot="1" x14ac:dyDescent="0.3">
      <c r="F251" s="144" t="s">
        <v>673</v>
      </c>
      <c r="G251" s="145">
        <v>15</v>
      </c>
      <c r="H251" s="145">
        <v>4</v>
      </c>
      <c r="I251" s="145">
        <v>4</v>
      </c>
    </row>
    <row r="252" spans="6:9" ht="15" customHeight="1" thickBot="1" x14ac:dyDescent="0.3">
      <c r="F252" s="146" t="s">
        <v>672</v>
      </c>
      <c r="G252" s="147">
        <v>26</v>
      </c>
      <c r="H252" s="147">
        <v>4</v>
      </c>
      <c r="I252" s="147">
        <v>0</v>
      </c>
    </row>
    <row r="253" spans="6:9" ht="15" customHeight="1" thickBot="1" x14ac:dyDescent="0.3">
      <c r="F253" s="144" t="s">
        <v>674</v>
      </c>
      <c r="G253" s="145">
        <v>16</v>
      </c>
      <c r="H253" s="145">
        <v>4</v>
      </c>
      <c r="I253" s="145">
        <v>4</v>
      </c>
    </row>
    <row r="254" spans="6:9" ht="15" customHeight="1" thickBot="1" x14ac:dyDescent="0.3">
      <c r="F254" s="146" t="s">
        <v>675</v>
      </c>
      <c r="G254" s="147">
        <v>26</v>
      </c>
      <c r="H254" s="147">
        <v>4</v>
      </c>
      <c r="I254" s="147">
        <v>0</v>
      </c>
    </row>
    <row r="255" spans="6:9" ht="15" customHeight="1" thickBot="1" x14ac:dyDescent="0.3">
      <c r="F255" s="146" t="s">
        <v>676</v>
      </c>
      <c r="G255" s="147">
        <v>26</v>
      </c>
      <c r="H255" s="147">
        <v>4</v>
      </c>
      <c r="I255" s="147">
        <v>0</v>
      </c>
    </row>
    <row r="256" spans="6:9" ht="15" customHeight="1" thickBot="1" x14ac:dyDescent="0.3">
      <c r="F256" s="146" t="s">
        <v>677</v>
      </c>
      <c r="G256" s="147">
        <v>16</v>
      </c>
      <c r="H256" s="147">
        <v>4</v>
      </c>
      <c r="I256" s="147">
        <v>0</v>
      </c>
    </row>
    <row r="257" spans="6:9" ht="15" customHeight="1" thickBot="1" x14ac:dyDescent="0.3">
      <c r="F257" s="144" t="s">
        <v>678</v>
      </c>
      <c r="G257" s="145">
        <v>26</v>
      </c>
      <c r="H257" s="145">
        <v>4</v>
      </c>
      <c r="I257" s="145">
        <v>4</v>
      </c>
    </row>
    <row r="258" spans="6:9" ht="15" customHeight="1" thickBot="1" x14ac:dyDescent="0.3">
      <c r="F258" s="146" t="s">
        <v>679</v>
      </c>
      <c r="G258" s="147">
        <v>26</v>
      </c>
      <c r="H258" s="147">
        <v>4</v>
      </c>
      <c r="I258" s="147">
        <v>0</v>
      </c>
    </row>
    <row r="259" spans="6:9" ht="15" customHeight="1" thickBot="1" x14ac:dyDescent="0.3">
      <c r="F259" s="146" t="s">
        <v>680</v>
      </c>
      <c r="G259" s="147">
        <v>26</v>
      </c>
      <c r="H259" s="147">
        <v>4</v>
      </c>
      <c r="I259" s="147">
        <v>0</v>
      </c>
    </row>
    <row r="260" spans="6:9" ht="15" customHeight="1" thickBot="1" x14ac:dyDescent="0.3">
      <c r="F260" s="146" t="s">
        <v>681</v>
      </c>
      <c r="G260" s="147">
        <v>26</v>
      </c>
      <c r="H260" s="147">
        <v>4</v>
      </c>
      <c r="I260" s="147">
        <v>0</v>
      </c>
    </row>
    <row r="261" spans="6:9" ht="15" customHeight="1" thickBot="1" x14ac:dyDescent="0.3">
      <c r="F261" s="146" t="s">
        <v>682</v>
      </c>
      <c r="G261" s="147">
        <v>26</v>
      </c>
      <c r="H261" s="147">
        <v>4</v>
      </c>
      <c r="I261" s="147">
        <v>0</v>
      </c>
    </row>
    <row r="262" spans="6:9" ht="15" customHeight="1" thickBot="1" x14ac:dyDescent="0.3">
      <c r="F262" s="146" t="s">
        <v>683</v>
      </c>
      <c r="G262" s="151"/>
      <c r="H262" s="147"/>
      <c r="I262" s="147"/>
    </row>
    <row r="263" spans="6:9" ht="15" customHeight="1" thickBot="1" x14ac:dyDescent="0.3">
      <c r="F263" s="144" t="s">
        <v>684</v>
      </c>
      <c r="G263" s="145">
        <v>28</v>
      </c>
      <c r="H263" s="145">
        <v>4</v>
      </c>
      <c r="I263" s="145">
        <v>4</v>
      </c>
    </row>
    <row r="264" spans="6:9" ht="15" customHeight="1" thickBot="1" x14ac:dyDescent="0.3">
      <c r="F264" s="144" t="s">
        <v>687</v>
      </c>
      <c r="G264" s="145">
        <v>26</v>
      </c>
      <c r="H264" s="145">
        <v>4</v>
      </c>
      <c r="I264" s="145">
        <v>4</v>
      </c>
    </row>
    <row r="265" spans="6:9" ht="15" customHeight="1" thickBot="1" x14ac:dyDescent="0.3">
      <c r="F265" s="146" t="s">
        <v>685</v>
      </c>
      <c r="G265" s="152"/>
      <c r="H265" s="163"/>
      <c r="I265" s="163"/>
    </row>
    <row r="266" spans="6:9" ht="15" customHeight="1" thickBot="1" x14ac:dyDescent="0.3">
      <c r="F266" s="144" t="s">
        <v>686</v>
      </c>
      <c r="G266" s="158">
        <v>16</v>
      </c>
      <c r="H266" s="145">
        <v>4</v>
      </c>
      <c r="I266" s="145">
        <v>4</v>
      </c>
    </row>
    <row r="267" spans="6:9" ht="15" customHeight="1" thickBot="1" x14ac:dyDescent="0.3">
      <c r="F267" s="144" t="s">
        <v>688</v>
      </c>
      <c r="G267" s="145">
        <v>26</v>
      </c>
      <c r="H267" s="145">
        <v>4</v>
      </c>
      <c r="I267" s="145">
        <v>4</v>
      </c>
    </row>
    <row r="268" spans="6:9" ht="15" customHeight="1" thickBot="1" x14ac:dyDescent="0.3">
      <c r="F268" s="146" t="s">
        <v>689</v>
      </c>
      <c r="G268" s="147">
        <v>26</v>
      </c>
      <c r="H268" s="147">
        <v>4</v>
      </c>
      <c r="I268" s="147">
        <v>0</v>
      </c>
    </row>
    <row r="269" spans="6:9" ht="15" customHeight="1" thickBot="1" x14ac:dyDescent="0.3">
      <c r="F269" s="146" t="s">
        <v>690</v>
      </c>
      <c r="G269" s="147">
        <v>26</v>
      </c>
      <c r="H269" s="147">
        <v>4</v>
      </c>
      <c r="I269" s="147">
        <v>0</v>
      </c>
    </row>
    <row r="270" spans="6:9" ht="15" customHeight="1" thickBot="1" x14ac:dyDescent="0.3">
      <c r="F270" s="146" t="s">
        <v>691</v>
      </c>
      <c r="G270" s="151"/>
      <c r="H270" s="152"/>
      <c r="I270" s="152"/>
    </row>
    <row r="271" spans="6:9" ht="15" customHeight="1" thickBot="1" x14ac:dyDescent="0.3">
      <c r="F271" s="146" t="s">
        <v>693</v>
      </c>
      <c r="G271" s="147">
        <v>26</v>
      </c>
      <c r="H271" s="147">
        <v>4</v>
      </c>
      <c r="I271" s="147">
        <v>0</v>
      </c>
    </row>
    <row r="272" spans="6:9" ht="15" customHeight="1" thickBot="1" x14ac:dyDescent="0.3">
      <c r="F272" s="146" t="s">
        <v>692</v>
      </c>
      <c r="G272" s="152"/>
      <c r="H272" s="152"/>
      <c r="I272" s="152"/>
    </row>
    <row r="273" spans="6:9" ht="15" customHeight="1" thickBot="1" x14ac:dyDescent="0.3">
      <c r="F273" s="144" t="s">
        <v>694</v>
      </c>
      <c r="G273" s="145">
        <v>15</v>
      </c>
      <c r="H273" s="145">
        <v>4</v>
      </c>
      <c r="I273" s="145">
        <v>4</v>
      </c>
    </row>
    <row r="274" spans="6:9" ht="15" customHeight="1" thickBot="1" x14ac:dyDescent="0.3">
      <c r="F274" s="169" t="s">
        <v>696</v>
      </c>
      <c r="G274" s="145">
        <v>15</v>
      </c>
      <c r="H274" s="145">
        <v>4</v>
      </c>
      <c r="I274" s="145">
        <v>4</v>
      </c>
    </row>
    <row r="275" spans="6:9" ht="15" customHeight="1" thickBot="1" x14ac:dyDescent="0.3">
      <c r="F275" s="169" t="s">
        <v>695</v>
      </c>
      <c r="G275" s="145">
        <v>15</v>
      </c>
      <c r="H275" s="145">
        <v>4</v>
      </c>
      <c r="I275" s="145">
        <v>4</v>
      </c>
    </row>
    <row r="276" spans="6:9" ht="15" customHeight="1" thickBot="1" x14ac:dyDescent="0.3">
      <c r="F276" s="146" t="s">
        <v>697</v>
      </c>
      <c r="G276" s="147">
        <v>26</v>
      </c>
      <c r="H276" s="147">
        <v>4</v>
      </c>
      <c r="I276" s="147">
        <v>0</v>
      </c>
    </row>
    <row r="277" spans="6:9" ht="15" customHeight="1" thickBot="1" x14ac:dyDescent="0.3">
      <c r="F277" s="146" t="s">
        <v>698</v>
      </c>
      <c r="G277" s="147">
        <v>26</v>
      </c>
      <c r="H277" s="147">
        <v>4</v>
      </c>
      <c r="I277" s="147">
        <v>0</v>
      </c>
    </row>
    <row r="278" spans="6:9" ht="15" customHeight="1" thickBot="1" x14ac:dyDescent="0.3">
      <c r="F278" s="144" t="s">
        <v>699</v>
      </c>
      <c r="G278" s="145">
        <v>26</v>
      </c>
      <c r="H278" s="145">
        <v>4</v>
      </c>
      <c r="I278" s="145">
        <v>4</v>
      </c>
    </row>
    <row r="279" spans="6:9" ht="15" customHeight="1" thickBot="1" x14ac:dyDescent="0.3">
      <c r="F279" s="146" t="s">
        <v>700</v>
      </c>
      <c r="G279" s="147">
        <v>26</v>
      </c>
      <c r="H279" s="147">
        <v>4</v>
      </c>
      <c r="I279" s="147">
        <v>0</v>
      </c>
    </row>
    <row r="280" spans="6:9" ht="15" customHeight="1" thickBot="1" x14ac:dyDescent="0.3">
      <c r="F280" s="162" t="s">
        <v>2540</v>
      </c>
      <c r="G280" s="147">
        <v>26</v>
      </c>
      <c r="H280" s="147">
        <v>4</v>
      </c>
      <c r="I280" s="147">
        <v>0</v>
      </c>
    </row>
    <row r="281" spans="6:9" ht="15" customHeight="1" thickBot="1" x14ac:dyDescent="0.3">
      <c r="F281" s="146" t="s">
        <v>701</v>
      </c>
      <c r="G281" s="147">
        <v>26</v>
      </c>
      <c r="H281" s="147">
        <v>4</v>
      </c>
      <c r="I281" s="147">
        <v>0</v>
      </c>
    </row>
    <row r="282" spans="6:9" ht="15" customHeight="1" thickBot="1" x14ac:dyDescent="0.3">
      <c r="F282" s="146" t="s">
        <v>702</v>
      </c>
      <c r="G282" s="151"/>
      <c r="H282" s="152"/>
      <c r="I282" s="152"/>
    </row>
    <row r="283" spans="6:9" ht="15" customHeight="1" thickBot="1" x14ac:dyDescent="0.3">
      <c r="F283" s="144" t="s">
        <v>703</v>
      </c>
      <c r="G283" s="145">
        <v>16</v>
      </c>
      <c r="H283" s="145">
        <v>4</v>
      </c>
      <c r="I283" s="145">
        <v>4</v>
      </c>
    </row>
    <row r="284" spans="6:9" ht="15" customHeight="1" thickBot="1" x14ac:dyDescent="0.3">
      <c r="F284" s="144" t="s">
        <v>704</v>
      </c>
      <c r="G284" s="145">
        <v>16</v>
      </c>
      <c r="H284" s="145">
        <v>4</v>
      </c>
      <c r="I284" s="145">
        <v>4</v>
      </c>
    </row>
    <row r="285" spans="6:9" ht="15" customHeight="1" thickBot="1" x14ac:dyDescent="0.3">
      <c r="F285" s="144" t="s">
        <v>705</v>
      </c>
      <c r="G285" s="145">
        <v>16</v>
      </c>
      <c r="H285" s="145">
        <v>4</v>
      </c>
      <c r="I285" s="145">
        <v>4</v>
      </c>
    </row>
    <row r="286" spans="6:9" ht="15" customHeight="1" thickBot="1" x14ac:dyDescent="0.3">
      <c r="F286" s="162" t="s">
        <v>184</v>
      </c>
      <c r="G286" s="147">
        <v>26</v>
      </c>
      <c r="H286" s="147">
        <v>4</v>
      </c>
      <c r="I286" s="147">
        <v>0</v>
      </c>
    </row>
    <row r="287" spans="6:9" ht="15" customHeight="1" thickBot="1" x14ac:dyDescent="0.3">
      <c r="F287" s="146" t="s">
        <v>706</v>
      </c>
      <c r="G287" s="147">
        <v>26</v>
      </c>
      <c r="H287" s="147">
        <v>4</v>
      </c>
      <c r="I287" s="147">
        <v>0</v>
      </c>
    </row>
    <row r="288" spans="6:9" ht="15" customHeight="1" thickBot="1" x14ac:dyDescent="0.3">
      <c r="F288" s="146" t="s">
        <v>707</v>
      </c>
      <c r="G288" s="151"/>
      <c r="H288" s="152"/>
      <c r="I288" s="152"/>
    </row>
    <row r="289" spans="6:9" ht="15" customHeight="1" thickBot="1" x14ac:dyDescent="0.3">
      <c r="F289" s="146" t="s">
        <v>708</v>
      </c>
      <c r="G289" s="147">
        <v>26</v>
      </c>
      <c r="H289" s="147">
        <v>4</v>
      </c>
      <c r="I289" s="147">
        <v>0</v>
      </c>
    </row>
    <row r="290" spans="6:9" ht="15" customHeight="1" thickBot="1" x14ac:dyDescent="0.3">
      <c r="F290" s="146" t="s">
        <v>709</v>
      </c>
      <c r="G290" s="147">
        <v>26</v>
      </c>
      <c r="H290" s="147">
        <v>4</v>
      </c>
      <c r="I290" s="147">
        <v>0</v>
      </c>
    </row>
    <row r="291" spans="6:9" ht="15" customHeight="1" thickBot="1" x14ac:dyDescent="0.3">
      <c r="F291" s="144" t="s">
        <v>710</v>
      </c>
      <c r="G291" s="158">
        <v>26</v>
      </c>
      <c r="H291" s="145">
        <v>4</v>
      </c>
      <c r="I291" s="145">
        <v>4</v>
      </c>
    </row>
    <row r="292" spans="6:9" ht="15" customHeight="1" thickBot="1" x14ac:dyDescent="0.3">
      <c r="F292" s="146" t="s">
        <v>711</v>
      </c>
      <c r="G292" s="147">
        <v>26</v>
      </c>
      <c r="H292" s="147">
        <v>4</v>
      </c>
      <c r="I292" s="147">
        <v>0</v>
      </c>
    </row>
    <row r="293" spans="6:9" ht="15" customHeight="1" thickBot="1" x14ac:dyDescent="0.3">
      <c r="F293" s="144" t="s">
        <v>712</v>
      </c>
      <c r="G293" s="145">
        <v>16</v>
      </c>
      <c r="H293" s="145">
        <v>4</v>
      </c>
      <c r="I293" s="145">
        <v>4</v>
      </c>
    </row>
    <row r="294" spans="6:9" ht="15" customHeight="1" thickBot="1" x14ac:dyDescent="0.3">
      <c r="F294" s="146" t="s">
        <v>713</v>
      </c>
      <c r="G294" s="151"/>
      <c r="H294" s="151"/>
      <c r="I294" s="151"/>
    </row>
    <row r="295" spans="6:9" ht="15" customHeight="1" thickBot="1" x14ac:dyDescent="0.3">
      <c r="F295" s="146" t="s">
        <v>714</v>
      </c>
      <c r="G295" s="151"/>
      <c r="H295" s="151"/>
      <c r="I295" s="151"/>
    </row>
    <row r="296" spans="6:9" ht="15" customHeight="1" thickBot="1" x14ac:dyDescent="0.3">
      <c r="F296" s="146" t="s">
        <v>715</v>
      </c>
      <c r="G296" s="147">
        <v>26</v>
      </c>
      <c r="H296" s="147">
        <v>4</v>
      </c>
      <c r="I296" s="147">
        <v>0</v>
      </c>
    </row>
    <row r="297" spans="6:9" ht="15" customHeight="1" thickBot="1" x14ac:dyDescent="0.3">
      <c r="F297" s="144" t="s">
        <v>716</v>
      </c>
      <c r="G297" s="145">
        <v>16</v>
      </c>
      <c r="H297" s="145">
        <v>4</v>
      </c>
      <c r="I297" s="145">
        <v>4</v>
      </c>
    </row>
    <row r="298" spans="6:9" ht="15" customHeight="1" thickBot="1" x14ac:dyDescent="0.3">
      <c r="F298" s="146" t="s">
        <v>717</v>
      </c>
      <c r="G298" s="147">
        <v>26</v>
      </c>
      <c r="H298" s="147">
        <v>4</v>
      </c>
      <c r="I298" s="147">
        <v>0</v>
      </c>
    </row>
    <row r="299" spans="6:9" ht="15" customHeight="1" thickBot="1" x14ac:dyDescent="0.3">
      <c r="F299" s="146" t="s">
        <v>718</v>
      </c>
      <c r="G299" s="147">
        <v>26</v>
      </c>
      <c r="H299" s="147">
        <v>4</v>
      </c>
      <c r="I299" s="147">
        <v>0</v>
      </c>
    </row>
    <row r="300" spans="6:9" ht="15" customHeight="1" thickBot="1" x14ac:dyDescent="0.3">
      <c r="F300" s="144" t="s">
        <v>719</v>
      </c>
      <c r="G300" s="145">
        <v>16</v>
      </c>
      <c r="H300" s="145">
        <v>4</v>
      </c>
      <c r="I300" s="145">
        <v>4</v>
      </c>
    </row>
    <row r="301" spans="6:9" ht="15" customHeight="1" thickBot="1" x14ac:dyDescent="0.3">
      <c r="F301" s="146" t="s">
        <v>720</v>
      </c>
      <c r="G301" s="152"/>
      <c r="H301" s="151"/>
      <c r="I301" s="151"/>
    </row>
    <row r="302" spans="6:9" ht="15" customHeight="1" thickBot="1" x14ac:dyDescent="0.3">
      <c r="F302" s="146" t="s">
        <v>721</v>
      </c>
      <c r="G302" s="147">
        <v>26</v>
      </c>
      <c r="H302" s="147">
        <v>4</v>
      </c>
      <c r="I302" s="147">
        <v>0</v>
      </c>
    </row>
    <row r="303" spans="6:9" ht="15" customHeight="1" thickBot="1" x14ac:dyDescent="0.3">
      <c r="F303" s="146" t="s">
        <v>722</v>
      </c>
      <c r="G303" s="152"/>
      <c r="H303" s="151"/>
      <c r="I303" s="151"/>
    </row>
    <row r="304" spans="6:9" ht="15" customHeight="1" thickBot="1" x14ac:dyDescent="0.3">
      <c r="F304" s="146" t="s">
        <v>723</v>
      </c>
      <c r="G304" s="147">
        <v>26</v>
      </c>
      <c r="H304" s="147">
        <v>4</v>
      </c>
      <c r="I304" s="147">
        <v>0</v>
      </c>
    </row>
    <row r="305" spans="6:9" ht="15" customHeight="1" thickBot="1" x14ac:dyDescent="0.3">
      <c r="F305" s="146" t="s">
        <v>725</v>
      </c>
      <c r="G305" s="147">
        <v>25</v>
      </c>
      <c r="H305" s="147">
        <v>4</v>
      </c>
      <c r="I305" s="147">
        <v>0</v>
      </c>
    </row>
    <row r="306" spans="6:9" ht="15" customHeight="1" thickBot="1" x14ac:dyDescent="0.3">
      <c r="F306" s="146" t="s">
        <v>724</v>
      </c>
      <c r="G306" s="151"/>
      <c r="H306" s="151"/>
      <c r="I306" s="151"/>
    </row>
    <row r="307" spans="6:9" ht="15" customHeight="1" thickBot="1" x14ac:dyDescent="0.3">
      <c r="F307" s="146" t="s">
        <v>726</v>
      </c>
      <c r="G307" s="147">
        <v>26</v>
      </c>
      <c r="H307" s="147">
        <v>4</v>
      </c>
      <c r="I307" s="147">
        <v>0</v>
      </c>
    </row>
    <row r="308" spans="6:9" ht="15" customHeight="1" thickBot="1" x14ac:dyDescent="0.3">
      <c r="F308" s="144" t="s">
        <v>727</v>
      </c>
      <c r="G308" s="158"/>
      <c r="H308" s="145"/>
      <c r="I308" s="145"/>
    </row>
    <row r="309" spans="6:9" ht="15" customHeight="1" thickBot="1" x14ac:dyDescent="0.3">
      <c r="F309" s="146" t="s">
        <v>728</v>
      </c>
      <c r="G309" s="151"/>
      <c r="H309" s="151"/>
      <c r="I309" s="151"/>
    </row>
    <row r="310" spans="6:9" ht="15" customHeight="1" thickBot="1" x14ac:dyDescent="0.3">
      <c r="F310" s="144" t="s">
        <v>729</v>
      </c>
      <c r="G310" s="145">
        <v>26</v>
      </c>
      <c r="H310" s="145">
        <v>4</v>
      </c>
      <c r="I310" s="145">
        <v>4</v>
      </c>
    </row>
    <row r="311" spans="6:9" ht="15" customHeight="1" thickBot="1" x14ac:dyDescent="0.3">
      <c r="F311" s="144" t="s">
        <v>730</v>
      </c>
      <c r="G311" s="145">
        <v>26</v>
      </c>
      <c r="H311" s="145">
        <v>4</v>
      </c>
      <c r="I311" s="145">
        <v>4</v>
      </c>
    </row>
    <row r="312" spans="6:9" ht="15" customHeight="1" thickBot="1" x14ac:dyDescent="0.3">
      <c r="F312" s="146" t="s">
        <v>731</v>
      </c>
      <c r="G312" s="151"/>
      <c r="H312" s="151"/>
      <c r="I312" s="151"/>
    </row>
    <row r="313" spans="6:9" ht="15" customHeight="1" thickBot="1" x14ac:dyDescent="0.3">
      <c r="F313" s="144" t="s">
        <v>732</v>
      </c>
      <c r="G313" s="145">
        <v>21</v>
      </c>
      <c r="H313" s="145">
        <v>4</v>
      </c>
      <c r="I313" s="145">
        <v>4</v>
      </c>
    </row>
    <row r="314" spans="6:9" ht="15" customHeight="1" thickBot="1" x14ac:dyDescent="0.3">
      <c r="F314" s="146" t="s">
        <v>733</v>
      </c>
      <c r="G314" s="147">
        <v>26</v>
      </c>
      <c r="H314" s="147">
        <v>4</v>
      </c>
      <c r="I314" s="147">
        <v>0</v>
      </c>
    </row>
    <row r="315" spans="6:9" ht="15" customHeight="1" thickBot="1" x14ac:dyDescent="0.3">
      <c r="F315" s="162" t="s">
        <v>734</v>
      </c>
      <c r="G315" s="147">
        <v>16</v>
      </c>
      <c r="H315" s="147">
        <v>4</v>
      </c>
      <c r="I315" s="147">
        <v>0</v>
      </c>
    </row>
    <row r="316" spans="6:9" ht="15" customHeight="1" thickBot="1" x14ac:dyDescent="0.3">
      <c r="F316" s="146" t="s">
        <v>735</v>
      </c>
      <c r="G316" s="152"/>
      <c r="H316" s="152"/>
      <c r="I316" s="152"/>
    </row>
    <row r="317" spans="6:9" ht="15" customHeight="1" thickBot="1" x14ac:dyDescent="0.3">
      <c r="F317" s="146" t="s">
        <v>736</v>
      </c>
      <c r="G317" s="151"/>
      <c r="H317" s="152"/>
      <c r="I317" s="152"/>
    </row>
    <row r="318" spans="6:9" ht="15" customHeight="1" thickBot="1" x14ac:dyDescent="0.3">
      <c r="F318" s="146" t="s">
        <v>737</v>
      </c>
      <c r="G318" s="147">
        <v>21</v>
      </c>
      <c r="H318" s="147">
        <v>4</v>
      </c>
      <c r="I318" s="147">
        <v>0</v>
      </c>
    </row>
    <row r="319" spans="6:9" ht="15" customHeight="1" thickBot="1" x14ac:dyDescent="0.3">
      <c r="F319" s="146" t="s">
        <v>739</v>
      </c>
      <c r="G319" s="152"/>
      <c r="H319" s="152"/>
      <c r="I319" s="152"/>
    </row>
    <row r="320" spans="6:9" ht="15" customHeight="1" thickBot="1" x14ac:dyDescent="0.3">
      <c r="F320" s="146" t="s">
        <v>738</v>
      </c>
      <c r="G320" s="147">
        <v>26</v>
      </c>
      <c r="H320" s="147">
        <v>4</v>
      </c>
      <c r="I320" s="147">
        <v>0</v>
      </c>
    </row>
    <row r="321" spans="6:9" ht="15" customHeight="1" thickBot="1" x14ac:dyDescent="0.3">
      <c r="F321" s="146" t="s">
        <v>740</v>
      </c>
      <c r="G321" s="151"/>
      <c r="H321" s="152"/>
      <c r="I321" s="152"/>
    </row>
    <row r="322" spans="6:9" ht="15" customHeight="1" thickBot="1" x14ac:dyDescent="0.3">
      <c r="F322" s="146" t="s">
        <v>741</v>
      </c>
      <c r="G322" s="151"/>
      <c r="H322" s="152"/>
      <c r="I322" s="152"/>
    </row>
    <row r="323" spans="6:9" ht="15" customHeight="1" thickBot="1" x14ac:dyDescent="0.3">
      <c r="F323" s="146" t="s">
        <v>742</v>
      </c>
      <c r="G323" s="147">
        <v>26</v>
      </c>
      <c r="H323" s="147">
        <v>4</v>
      </c>
      <c r="I323" s="147">
        <v>0</v>
      </c>
    </row>
    <row r="324" spans="6:9" ht="15" customHeight="1" thickBot="1" x14ac:dyDescent="0.3">
      <c r="F324" s="146" t="s">
        <v>743</v>
      </c>
      <c r="G324" s="147">
        <v>26</v>
      </c>
      <c r="H324" s="147">
        <v>4</v>
      </c>
      <c r="I324" s="147">
        <v>0</v>
      </c>
    </row>
    <row r="325" spans="6:9" ht="15" customHeight="1" thickBot="1" x14ac:dyDescent="0.3">
      <c r="F325" s="144" t="s">
        <v>744</v>
      </c>
      <c r="G325" s="158"/>
      <c r="H325" s="159"/>
      <c r="I325" s="159"/>
    </row>
    <row r="326" spans="6:9" ht="15" customHeight="1" thickBot="1" x14ac:dyDescent="0.3">
      <c r="F326" s="144" t="s">
        <v>745</v>
      </c>
      <c r="G326" s="145">
        <v>26</v>
      </c>
      <c r="H326" s="145">
        <v>4</v>
      </c>
      <c r="I326" s="145">
        <v>4</v>
      </c>
    </row>
    <row r="327" spans="6:9" ht="15" customHeight="1" thickBot="1" x14ac:dyDescent="0.3">
      <c r="F327" s="146" t="s">
        <v>746</v>
      </c>
      <c r="G327" s="147">
        <v>26</v>
      </c>
      <c r="H327" s="147">
        <v>4</v>
      </c>
      <c r="I327" s="147">
        <v>0</v>
      </c>
    </row>
    <row r="328" spans="6:9" ht="15" customHeight="1" thickBot="1" x14ac:dyDescent="0.3">
      <c r="F328" s="144" t="s">
        <v>748</v>
      </c>
      <c r="G328" s="158"/>
      <c r="H328" s="159"/>
      <c r="I328" s="159"/>
    </row>
    <row r="329" spans="6:9" ht="15" customHeight="1" thickBot="1" x14ac:dyDescent="0.3">
      <c r="F329" s="144" t="s">
        <v>747</v>
      </c>
      <c r="G329" s="158"/>
      <c r="H329" s="145"/>
      <c r="I329" s="145"/>
    </row>
    <row r="330" spans="6:9" ht="15" customHeight="1" thickBot="1" x14ac:dyDescent="0.3">
      <c r="F330" s="146" t="s">
        <v>749</v>
      </c>
      <c r="G330" s="151"/>
      <c r="H330" s="152"/>
      <c r="I330" s="152"/>
    </row>
    <row r="331" spans="6:9" ht="15" customHeight="1" thickBot="1" x14ac:dyDescent="0.3">
      <c r="F331" s="146" t="s">
        <v>750</v>
      </c>
      <c r="G331" s="165"/>
      <c r="H331" s="152"/>
      <c r="I331" s="152"/>
    </row>
    <row r="332" spans="6:9" ht="15" customHeight="1" thickBot="1" x14ac:dyDescent="0.3">
      <c r="F332" s="144" t="s">
        <v>751</v>
      </c>
      <c r="G332" s="145">
        <v>26</v>
      </c>
      <c r="H332" s="145">
        <v>4</v>
      </c>
      <c r="I332" s="145">
        <v>4</v>
      </c>
    </row>
    <row r="333" spans="6:9" ht="15" customHeight="1" thickBot="1" x14ac:dyDescent="0.3">
      <c r="F333" s="146" t="s">
        <v>752</v>
      </c>
      <c r="G333" s="147">
        <v>26</v>
      </c>
      <c r="H333" s="147">
        <v>4</v>
      </c>
      <c r="I333" s="147">
        <v>0</v>
      </c>
    </row>
    <row r="334" spans="6:9" ht="15" customHeight="1" thickBot="1" x14ac:dyDescent="0.3">
      <c r="F334" s="146" t="s">
        <v>753</v>
      </c>
      <c r="G334" s="151"/>
      <c r="H334" s="152"/>
      <c r="I334" s="152"/>
    </row>
    <row r="335" spans="6:9" ht="15" customHeight="1" thickBot="1" x14ac:dyDescent="0.3">
      <c r="F335" s="146" t="s">
        <v>223</v>
      </c>
      <c r="G335" s="147">
        <v>26</v>
      </c>
      <c r="H335" s="147">
        <v>4</v>
      </c>
      <c r="I335" s="147">
        <v>0</v>
      </c>
    </row>
    <row r="336" spans="6:9" ht="15" customHeight="1" thickBot="1" x14ac:dyDescent="0.3">
      <c r="F336" s="162" t="s">
        <v>2541</v>
      </c>
      <c r="G336" s="147">
        <v>26</v>
      </c>
      <c r="H336" s="147">
        <v>4</v>
      </c>
      <c r="I336" s="147">
        <v>0</v>
      </c>
    </row>
    <row r="337" spans="6:9" ht="15" customHeight="1" thickBot="1" x14ac:dyDescent="0.3">
      <c r="F337" s="146" t="s">
        <v>754</v>
      </c>
      <c r="G337" s="151"/>
      <c r="H337" s="152"/>
      <c r="I337" s="152"/>
    </row>
    <row r="338" spans="6:9" ht="15" customHeight="1" thickBot="1" x14ac:dyDescent="0.3">
      <c r="F338" s="144" t="s">
        <v>755</v>
      </c>
      <c r="G338" s="170">
        <v>16</v>
      </c>
      <c r="H338" s="145">
        <v>4</v>
      </c>
      <c r="I338" s="145">
        <v>4</v>
      </c>
    </row>
    <row r="339" spans="6:9" ht="15" customHeight="1" thickBot="1" x14ac:dyDescent="0.3">
      <c r="F339" s="144" t="s">
        <v>756</v>
      </c>
      <c r="G339" s="145">
        <v>26</v>
      </c>
      <c r="H339" s="145">
        <v>4</v>
      </c>
      <c r="I339" s="145">
        <v>4</v>
      </c>
    </row>
    <row r="340" spans="6:9" ht="15" customHeight="1" thickBot="1" x14ac:dyDescent="0.3">
      <c r="F340" s="146" t="s">
        <v>757</v>
      </c>
      <c r="G340" s="147">
        <v>26</v>
      </c>
      <c r="H340" s="147">
        <v>4</v>
      </c>
      <c r="I340" s="147">
        <v>0</v>
      </c>
    </row>
    <row r="341" spans="6:9" ht="15" customHeight="1" thickBot="1" x14ac:dyDescent="0.3">
      <c r="F341" s="146" t="s">
        <v>758</v>
      </c>
      <c r="G341" s="151"/>
      <c r="H341" s="152"/>
      <c r="I341" s="152"/>
    </row>
    <row r="342" spans="6:9" ht="15" customHeight="1" thickBot="1" x14ac:dyDescent="0.3">
      <c r="F342" s="146" t="s">
        <v>760</v>
      </c>
      <c r="G342" s="147">
        <v>26</v>
      </c>
      <c r="H342" s="147">
        <v>4</v>
      </c>
      <c r="I342" s="147">
        <v>0</v>
      </c>
    </row>
    <row r="343" spans="6:9" ht="15" customHeight="1" thickBot="1" x14ac:dyDescent="0.3">
      <c r="F343" s="146" t="s">
        <v>759</v>
      </c>
      <c r="G343" s="151"/>
      <c r="H343" s="152"/>
      <c r="I343" s="152"/>
    </row>
    <row r="344" spans="6:9" ht="15" customHeight="1" thickBot="1" x14ac:dyDescent="0.3">
      <c r="F344" s="144" t="s">
        <v>763</v>
      </c>
      <c r="G344" s="145">
        <v>26</v>
      </c>
      <c r="H344" s="145">
        <v>4</v>
      </c>
      <c r="I344" s="145">
        <v>4</v>
      </c>
    </row>
    <row r="345" spans="6:9" ht="15" customHeight="1" thickBot="1" x14ac:dyDescent="0.3">
      <c r="F345" s="144" t="s">
        <v>761</v>
      </c>
      <c r="G345" s="145">
        <v>26</v>
      </c>
      <c r="H345" s="145">
        <v>4</v>
      </c>
      <c r="I345" s="145">
        <v>4</v>
      </c>
    </row>
    <row r="346" spans="6:9" ht="15" customHeight="1" thickBot="1" x14ac:dyDescent="0.3">
      <c r="F346" s="146" t="s">
        <v>762</v>
      </c>
      <c r="G346" s="151"/>
      <c r="H346" s="152"/>
      <c r="I346" s="152"/>
    </row>
    <row r="347" spans="6:9" ht="15" customHeight="1" thickBot="1" x14ac:dyDescent="0.3">
      <c r="F347" s="146" t="s">
        <v>764</v>
      </c>
      <c r="G347" s="147">
        <v>26</v>
      </c>
      <c r="H347" s="147">
        <v>4</v>
      </c>
      <c r="I347" s="147">
        <v>0</v>
      </c>
    </row>
    <row r="348" spans="6:9" ht="15" customHeight="1" thickBot="1" x14ac:dyDescent="0.3">
      <c r="F348" s="146" t="s">
        <v>765</v>
      </c>
      <c r="G348" s="147">
        <v>26</v>
      </c>
      <c r="H348" s="147">
        <v>4</v>
      </c>
      <c r="I348" s="147">
        <v>0</v>
      </c>
    </row>
    <row r="349" spans="6:9" ht="15" customHeight="1" thickBot="1" x14ac:dyDescent="0.3">
      <c r="F349" s="146" t="s">
        <v>766</v>
      </c>
      <c r="G349" s="151"/>
      <c r="H349" s="152"/>
      <c r="I349" s="152"/>
    </row>
    <row r="350" spans="6:9" ht="15" customHeight="1" thickBot="1" x14ac:dyDescent="0.3">
      <c r="F350" s="146" t="s">
        <v>767</v>
      </c>
      <c r="G350" s="147">
        <v>26</v>
      </c>
      <c r="H350" s="147">
        <v>4</v>
      </c>
      <c r="I350" s="147">
        <v>0</v>
      </c>
    </row>
    <row r="351" spans="6:9" ht="15" customHeight="1" thickBot="1" x14ac:dyDescent="0.3">
      <c r="F351" s="146" t="s">
        <v>768</v>
      </c>
      <c r="G351" s="151"/>
      <c r="H351" s="152"/>
      <c r="I351" s="152"/>
    </row>
    <row r="352" spans="6:9" ht="15" customHeight="1" thickBot="1" x14ac:dyDescent="0.3">
      <c r="F352" s="146" t="s">
        <v>769</v>
      </c>
      <c r="G352" s="147">
        <v>26</v>
      </c>
      <c r="H352" s="147">
        <v>4</v>
      </c>
      <c r="I352" s="147">
        <v>0</v>
      </c>
    </row>
    <row r="353" spans="6:9" ht="15" customHeight="1" thickBot="1" x14ac:dyDescent="0.3">
      <c r="F353" s="144" t="s">
        <v>770</v>
      </c>
      <c r="G353" s="145">
        <v>26</v>
      </c>
      <c r="H353" s="145">
        <v>4</v>
      </c>
      <c r="I353" s="145">
        <v>4</v>
      </c>
    </row>
    <row r="354" spans="6:9" ht="15" customHeight="1" thickBot="1" x14ac:dyDescent="0.3">
      <c r="F354" s="146" t="s">
        <v>771</v>
      </c>
      <c r="G354" s="151"/>
      <c r="H354" s="152"/>
      <c r="I354" s="152"/>
    </row>
    <row r="355" spans="6:9" ht="15" customHeight="1" thickBot="1" x14ac:dyDescent="0.3">
      <c r="F355" s="146" t="s">
        <v>772</v>
      </c>
      <c r="G355" s="147">
        <v>26</v>
      </c>
      <c r="H355" s="147">
        <v>4</v>
      </c>
      <c r="I355" s="147">
        <v>0</v>
      </c>
    </row>
    <row r="356" spans="6:9" ht="15" customHeight="1" thickBot="1" x14ac:dyDescent="0.3">
      <c r="F356" s="144" t="s">
        <v>773</v>
      </c>
      <c r="G356" s="145">
        <v>16</v>
      </c>
      <c r="H356" s="145">
        <v>4</v>
      </c>
      <c r="I356" s="145">
        <v>4</v>
      </c>
    </row>
    <row r="357" spans="6:9" ht="15" customHeight="1" thickBot="1" x14ac:dyDescent="0.3">
      <c r="F357" s="162" t="s">
        <v>774</v>
      </c>
      <c r="G357" s="147">
        <v>26</v>
      </c>
      <c r="H357" s="147">
        <v>4</v>
      </c>
      <c r="I357" s="147">
        <v>0</v>
      </c>
    </row>
    <row r="358" spans="6:9" ht="15" customHeight="1" thickBot="1" x14ac:dyDescent="0.3">
      <c r="F358" s="144" t="s">
        <v>775</v>
      </c>
      <c r="G358" s="145">
        <v>16</v>
      </c>
      <c r="H358" s="145">
        <v>4</v>
      </c>
      <c r="I358" s="145">
        <v>4</v>
      </c>
    </row>
    <row r="359" spans="6:9" ht="15" customHeight="1" thickBot="1" x14ac:dyDescent="0.3">
      <c r="F359" s="144" t="s">
        <v>776</v>
      </c>
      <c r="G359" s="158"/>
      <c r="H359" s="159"/>
      <c r="I359" s="159"/>
    </row>
    <row r="360" spans="6:9" ht="15" customHeight="1" thickBot="1" x14ac:dyDescent="0.3">
      <c r="F360" s="146" t="s">
        <v>777</v>
      </c>
      <c r="G360" s="147">
        <v>26</v>
      </c>
      <c r="H360" s="147">
        <v>4</v>
      </c>
      <c r="I360" s="147">
        <v>0</v>
      </c>
    </row>
    <row r="361" spans="6:9" ht="15" customHeight="1" thickBot="1" x14ac:dyDescent="0.3">
      <c r="F361" s="144" t="s">
        <v>778</v>
      </c>
      <c r="G361" s="145">
        <v>26</v>
      </c>
      <c r="H361" s="145">
        <v>4</v>
      </c>
      <c r="I361" s="145">
        <v>4</v>
      </c>
    </row>
    <row r="362" spans="6:9" ht="15" customHeight="1" thickBot="1" x14ac:dyDescent="0.3">
      <c r="F362" s="144" t="s">
        <v>781</v>
      </c>
      <c r="G362" s="158"/>
      <c r="H362" s="145"/>
      <c r="I362" s="145"/>
    </row>
    <row r="363" spans="6:9" ht="15" customHeight="1" thickBot="1" x14ac:dyDescent="0.3">
      <c r="F363" s="144" t="s">
        <v>779</v>
      </c>
      <c r="G363" s="158"/>
      <c r="H363" s="159"/>
      <c r="I363" s="159"/>
    </row>
    <row r="364" spans="6:9" ht="15" customHeight="1" thickBot="1" x14ac:dyDescent="0.3">
      <c r="F364" s="144" t="s">
        <v>780</v>
      </c>
      <c r="G364" s="158"/>
      <c r="H364" s="159"/>
      <c r="I364" s="159"/>
    </row>
    <row r="365" spans="6:9" ht="15" customHeight="1" thickBot="1" x14ac:dyDescent="0.3">
      <c r="F365" s="146" t="s">
        <v>782</v>
      </c>
      <c r="G365" s="147">
        <v>26</v>
      </c>
      <c r="H365" s="147">
        <v>4</v>
      </c>
      <c r="I365" s="147">
        <v>0</v>
      </c>
    </row>
    <row r="366" spans="6:9" ht="15" customHeight="1" thickBot="1" x14ac:dyDescent="0.3">
      <c r="F366" s="146" t="s">
        <v>783</v>
      </c>
      <c r="G366" s="151"/>
      <c r="H366" s="152"/>
      <c r="I366" s="152"/>
    </row>
    <row r="367" spans="6:9" ht="15" customHeight="1" thickBot="1" x14ac:dyDescent="0.3">
      <c r="F367" s="144" t="s">
        <v>784</v>
      </c>
      <c r="G367" s="145">
        <v>26</v>
      </c>
      <c r="H367" s="145">
        <v>4</v>
      </c>
      <c r="I367" s="145">
        <v>4</v>
      </c>
    </row>
    <row r="368" spans="6:9" ht="15" customHeight="1" thickBot="1" x14ac:dyDescent="0.3">
      <c r="F368" s="146" t="s">
        <v>250</v>
      </c>
      <c r="G368" s="147">
        <v>26</v>
      </c>
      <c r="H368" s="147">
        <v>4</v>
      </c>
      <c r="I368" s="147">
        <v>0</v>
      </c>
    </row>
    <row r="369" spans="6:9" ht="15" customHeight="1" thickBot="1" x14ac:dyDescent="0.3">
      <c r="F369" s="144" t="s">
        <v>785</v>
      </c>
      <c r="G369" s="145">
        <v>21</v>
      </c>
      <c r="H369" s="145">
        <v>4</v>
      </c>
      <c r="I369" s="145">
        <v>4</v>
      </c>
    </row>
    <row r="370" spans="6:9" ht="15" customHeight="1" thickBot="1" x14ac:dyDescent="0.3">
      <c r="F370" s="146" t="s">
        <v>2554</v>
      </c>
      <c r="G370" s="147">
        <v>26</v>
      </c>
      <c r="H370" s="147">
        <v>4</v>
      </c>
      <c r="I370" s="147">
        <v>0</v>
      </c>
    </row>
    <row r="371" spans="6:9" ht="15" customHeight="1" thickBot="1" x14ac:dyDescent="0.3">
      <c r="F371" s="146" t="s">
        <v>786</v>
      </c>
      <c r="G371" s="152"/>
      <c r="H371" s="147"/>
      <c r="I371" s="147"/>
    </row>
    <row r="372" spans="6:9" ht="15" customHeight="1" thickBot="1" x14ac:dyDescent="0.3">
      <c r="F372" s="146" t="s">
        <v>789</v>
      </c>
      <c r="G372" s="147">
        <v>26</v>
      </c>
      <c r="H372" s="147">
        <v>4</v>
      </c>
      <c r="I372" s="147">
        <v>0</v>
      </c>
    </row>
    <row r="373" spans="6:9" ht="15" customHeight="1" thickBot="1" x14ac:dyDescent="0.3">
      <c r="F373" s="146" t="s">
        <v>788</v>
      </c>
      <c r="G373" s="151"/>
      <c r="H373" s="152"/>
      <c r="I373" s="152"/>
    </row>
    <row r="374" spans="6:9" ht="15" customHeight="1" thickBot="1" x14ac:dyDescent="0.3">
      <c r="F374" s="146" t="s">
        <v>790</v>
      </c>
      <c r="G374" s="147">
        <v>26</v>
      </c>
      <c r="H374" s="147">
        <v>4</v>
      </c>
      <c r="I374" s="147">
        <v>0</v>
      </c>
    </row>
    <row r="375" spans="6:9" ht="15" customHeight="1" thickBot="1" x14ac:dyDescent="0.3">
      <c r="F375" s="146" t="s">
        <v>792</v>
      </c>
      <c r="G375" s="151"/>
      <c r="H375" s="152"/>
      <c r="I375" s="152"/>
    </row>
    <row r="376" spans="6:9" ht="15" customHeight="1" thickBot="1" x14ac:dyDescent="0.3">
      <c r="F376" s="146" t="s">
        <v>791</v>
      </c>
      <c r="G376" s="147">
        <v>25</v>
      </c>
      <c r="H376" s="147">
        <v>4</v>
      </c>
      <c r="I376" s="147">
        <v>0</v>
      </c>
    </row>
    <row r="377" spans="6:9" ht="15" customHeight="1" thickBot="1" x14ac:dyDescent="0.3">
      <c r="F377" s="146" t="s">
        <v>793</v>
      </c>
      <c r="G377" s="147">
        <v>26</v>
      </c>
      <c r="H377" s="147">
        <v>4</v>
      </c>
      <c r="I377" s="147">
        <v>0</v>
      </c>
    </row>
    <row r="378" spans="6:9" ht="15" customHeight="1" thickBot="1" x14ac:dyDescent="0.3">
      <c r="F378" s="146" t="s">
        <v>794</v>
      </c>
      <c r="G378" s="147">
        <v>26</v>
      </c>
      <c r="H378" s="147">
        <v>4</v>
      </c>
      <c r="I378" s="147">
        <v>0</v>
      </c>
    </row>
    <row r="379" spans="6:9" ht="15" customHeight="1" thickBot="1" x14ac:dyDescent="0.3">
      <c r="F379" s="146" t="s">
        <v>795</v>
      </c>
      <c r="G379" s="147">
        <v>26</v>
      </c>
      <c r="H379" s="147">
        <v>4</v>
      </c>
      <c r="I379" s="147">
        <v>0</v>
      </c>
    </row>
    <row r="380" spans="6:9" ht="15" customHeight="1" x14ac:dyDescent="0.25"/>
    <row r="381" spans="6:9" ht="15" customHeight="1" x14ac:dyDescent="0.25"/>
    <row r="382" spans="6:9" ht="15" customHeight="1" x14ac:dyDescent="0.25"/>
    <row r="383" spans="6:9" ht="15" customHeight="1" x14ac:dyDescent="0.25"/>
    <row r="384" spans="6:9" ht="15" customHeight="1" x14ac:dyDescent="0.25"/>
    <row r="385" spans="3:5" ht="15" customHeight="1" x14ac:dyDescent="0.25"/>
    <row r="386" spans="3:5" ht="15" customHeight="1" x14ac:dyDescent="0.25"/>
    <row r="387" spans="3:5" ht="15" customHeight="1" x14ac:dyDescent="0.25"/>
    <row r="388" spans="3:5" ht="15" customHeight="1" x14ac:dyDescent="0.25"/>
    <row r="389" spans="3:5" ht="15" customHeight="1" x14ac:dyDescent="0.25"/>
    <row r="390" spans="3:5" ht="15" customHeight="1" x14ac:dyDescent="0.25"/>
    <row r="391" spans="3:5" ht="15" customHeight="1" x14ac:dyDescent="0.25"/>
    <row r="392" spans="3:5" ht="15" customHeight="1" x14ac:dyDescent="0.25"/>
    <row r="393" spans="3:5" ht="15" customHeight="1" x14ac:dyDescent="0.25"/>
    <row r="395" spans="3:5" x14ac:dyDescent="0.25">
      <c r="C395" s="135"/>
      <c r="D395" s="135"/>
      <c r="E395" s="135"/>
    </row>
    <row r="396" spans="3:5" x14ac:dyDescent="0.25">
      <c r="C396" s="135"/>
      <c r="D396" s="135"/>
      <c r="E396" s="135"/>
    </row>
    <row r="397" spans="3:5" x14ac:dyDescent="0.25">
      <c r="C397" s="135"/>
      <c r="D397" s="135"/>
      <c r="E397" s="135"/>
    </row>
    <row r="398" spans="3:5" x14ac:dyDescent="0.25">
      <c r="C398" s="135"/>
      <c r="D398" s="135"/>
      <c r="E398" s="135"/>
    </row>
    <row r="399" spans="3:5" x14ac:dyDescent="0.25">
      <c r="C399" s="135"/>
      <c r="D399" s="135"/>
      <c r="E399" s="135"/>
    </row>
    <row r="400" spans="3:5" ht="25.5" customHeight="1" x14ac:dyDescent="0.25">
      <c r="C400" s="135"/>
      <c r="D400" s="135"/>
      <c r="E400" s="135"/>
    </row>
    <row r="401" spans="3:5" x14ac:dyDescent="0.25">
      <c r="C401" s="135"/>
      <c r="D401" s="135"/>
      <c r="E401" s="135"/>
    </row>
    <row r="402" spans="3:5" x14ac:dyDescent="0.25">
      <c r="C402" s="135"/>
      <c r="D402" s="135"/>
      <c r="E402" s="135"/>
    </row>
    <row r="403" spans="3:5" x14ac:dyDescent="0.25">
      <c r="C403" s="135"/>
      <c r="D403" s="135"/>
      <c r="E403" s="135"/>
    </row>
    <row r="404" spans="3:5" x14ac:dyDescent="0.25">
      <c r="C404" s="135"/>
      <c r="D404" s="135"/>
      <c r="E404" s="135"/>
    </row>
    <row r="405" spans="3:5" x14ac:dyDescent="0.25">
      <c r="C405" s="135"/>
      <c r="D405" s="135"/>
      <c r="E405" s="135"/>
    </row>
    <row r="406" spans="3:5" x14ac:dyDescent="0.25">
      <c r="C406" s="135"/>
      <c r="D406" s="135"/>
      <c r="E406" s="135"/>
    </row>
    <row r="407" spans="3:5" x14ac:dyDescent="0.25">
      <c r="C407" s="135"/>
      <c r="D407" s="135"/>
      <c r="E407" s="135"/>
    </row>
    <row r="408" spans="3:5" x14ac:dyDescent="0.25">
      <c r="C408" s="135"/>
      <c r="D408" s="135"/>
      <c r="E408" s="135"/>
    </row>
    <row r="409" spans="3:5" x14ac:dyDescent="0.25">
      <c r="C409" s="135"/>
      <c r="D409" s="135"/>
      <c r="E409" s="135"/>
    </row>
    <row r="410" spans="3:5" x14ac:dyDescent="0.25">
      <c r="C410" s="135"/>
      <c r="D410" s="135"/>
      <c r="E410" s="135"/>
    </row>
    <row r="411" spans="3:5" x14ac:dyDescent="0.25">
      <c r="C411" s="135"/>
      <c r="D411" s="135"/>
      <c r="E411" s="135"/>
    </row>
    <row r="412" spans="3:5" x14ac:dyDescent="0.25">
      <c r="C412" s="135"/>
      <c r="D412" s="135"/>
      <c r="E412" s="135"/>
    </row>
    <row r="413" spans="3:5" x14ac:dyDescent="0.25">
      <c r="C413" s="135"/>
      <c r="D413" s="135"/>
      <c r="E413" s="135"/>
    </row>
    <row r="414" spans="3:5" x14ac:dyDescent="0.25">
      <c r="C414" s="135"/>
      <c r="D414" s="135"/>
      <c r="E414" s="135"/>
    </row>
    <row r="415" spans="3:5" x14ac:dyDescent="0.25">
      <c r="C415" s="135"/>
      <c r="D415" s="135"/>
      <c r="E415" s="135"/>
    </row>
    <row r="416" spans="3:5" x14ac:dyDescent="0.25">
      <c r="C416" s="135"/>
      <c r="D416" s="135"/>
      <c r="E416" s="135"/>
    </row>
    <row r="417" spans="3:5" x14ac:dyDescent="0.25">
      <c r="C417" s="135"/>
      <c r="D417" s="135"/>
      <c r="E417" s="135"/>
    </row>
    <row r="418" spans="3:5" x14ac:dyDescent="0.25">
      <c r="C418" s="135"/>
      <c r="D418" s="135"/>
      <c r="E418" s="135"/>
    </row>
    <row r="419" spans="3:5" x14ac:dyDescent="0.25">
      <c r="C419" s="135"/>
      <c r="D419" s="135"/>
      <c r="E419" s="135"/>
    </row>
    <row r="420" spans="3:5" x14ac:dyDescent="0.25">
      <c r="C420" s="135"/>
      <c r="D420" s="135"/>
      <c r="E420" s="135"/>
    </row>
    <row r="421" spans="3:5" x14ac:dyDescent="0.25">
      <c r="C421" s="135"/>
      <c r="D421" s="135"/>
      <c r="E421" s="135"/>
    </row>
    <row r="422" spans="3:5" x14ac:dyDescent="0.25">
      <c r="C422" s="135"/>
      <c r="D422" s="135"/>
      <c r="E422" s="135"/>
    </row>
  </sheetData>
  <sheetProtection selectLockedCells="1"/>
  <mergeCells count="2">
    <mergeCell ref="K17:L17"/>
    <mergeCell ref="B4:C4"/>
  </mergeCells>
  <dataValidations count="1">
    <dataValidation type="list" allowBlank="1" showInputMessage="1" showErrorMessage="1" sqref="C5 O21" xr:uid="{D2ED8415-4B7A-4531-A6F8-1DFD03D860B1}">
      <formula1>$F$2:$F$378</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alculateRecordingCosts">
                <anchor moveWithCells="1" sizeWithCells="1">
                  <from>
                    <xdr:col>1</xdr:col>
                    <xdr:colOff>0</xdr:colOff>
                    <xdr:row>22</xdr:row>
                    <xdr:rowOff>0</xdr:rowOff>
                  </from>
                  <to>
                    <xdr:col>2</xdr:col>
                    <xdr:colOff>0</xdr:colOff>
                    <xdr:row>25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A9C42-7BAF-4E08-8798-2C8F8E6B2DE9}">
  <sheetPr codeName="Sheet10"/>
  <dimension ref="A1:BFY80"/>
  <sheetViews>
    <sheetView workbookViewId="0">
      <selection activeCell="A10" sqref="A10:XFD10"/>
    </sheetView>
  </sheetViews>
  <sheetFormatPr defaultRowHeight="15" x14ac:dyDescent="0.25"/>
  <cols>
    <col min="1" max="1" width="12.42578125" customWidth="1"/>
    <col min="2" max="2" width="14" customWidth="1"/>
    <col min="3" max="4" width="16.85546875" bestFit="1" customWidth="1"/>
    <col min="5" max="5" width="10.5703125" bestFit="1" customWidth="1"/>
    <col min="6" max="6" width="20" bestFit="1" customWidth="1"/>
    <col min="7" max="7" width="11.5703125" customWidth="1"/>
    <col min="8" max="21" width="9" customWidth="1"/>
    <col min="22" max="24" width="4.28515625" customWidth="1"/>
    <col min="25" max="25" width="6.7109375" customWidth="1"/>
    <col min="26" max="37" width="4.28515625" customWidth="1"/>
    <col min="38" max="38" width="2.85546875" customWidth="1"/>
    <col min="39" max="40" width="4.28515625" customWidth="1"/>
    <col min="41" max="41" width="12" bestFit="1" customWidth="1"/>
    <col min="42" max="58" width="4.28515625" customWidth="1"/>
    <col min="59" max="59" width="12.5703125" bestFit="1" customWidth="1"/>
    <col min="60" max="62" width="4.28515625" customWidth="1"/>
    <col min="63" max="63" width="11" bestFit="1" customWidth="1"/>
    <col min="64" max="66" width="11" customWidth="1"/>
    <col min="67" max="67" width="15.7109375" bestFit="1" customWidth="1"/>
    <col min="68" max="70" width="15.7109375" customWidth="1"/>
    <col min="71" max="71" width="13.85546875" bestFit="1" customWidth="1"/>
    <col min="72" max="92" width="4.28515625" customWidth="1"/>
    <col min="93" max="93" width="15.7109375" bestFit="1" customWidth="1"/>
    <col min="94" max="100" width="15.7109375" customWidth="1"/>
    <col min="101" max="101" width="13.85546875" bestFit="1" customWidth="1"/>
    <col min="102" max="118" width="4.28515625" customWidth="1"/>
    <col min="119" max="119" width="15.7109375" bestFit="1" customWidth="1"/>
    <col min="120" max="126" width="15.7109375" customWidth="1"/>
    <col min="127" max="127" width="13.85546875" bestFit="1" customWidth="1"/>
    <col min="128" max="145" width="4.28515625" customWidth="1"/>
    <col min="146" max="146" width="7" customWidth="1"/>
    <col min="147" max="173" width="5.5703125" customWidth="1"/>
    <col min="174" max="174" width="6.7109375" customWidth="1"/>
    <col min="175" max="188" width="5.5703125" customWidth="1"/>
    <col min="189" max="189" width="19.140625" bestFit="1" customWidth="1"/>
    <col min="190" max="190" width="13.42578125" bestFit="1" customWidth="1"/>
    <col min="191" max="191" width="17.85546875" bestFit="1" customWidth="1"/>
    <col min="192" max="192" width="14.5703125" bestFit="1" customWidth="1"/>
    <col min="193" max="193" width="17.42578125" bestFit="1" customWidth="1"/>
    <col min="194" max="194" width="12.140625" bestFit="1" customWidth="1"/>
    <col min="195" max="195" width="11.28515625" bestFit="1" customWidth="1"/>
    <col min="196" max="196" width="12.85546875" bestFit="1" customWidth="1"/>
    <col min="197" max="197" width="11.42578125" bestFit="1" customWidth="1"/>
    <col min="198" max="201" width="22" bestFit="1" customWidth="1"/>
    <col min="202" max="202" width="13.42578125" bestFit="1" customWidth="1"/>
    <col min="203" max="206" width="18.140625" bestFit="1" customWidth="1"/>
    <col min="207" max="210" width="21.140625" bestFit="1" customWidth="1"/>
    <col min="211" max="211" width="21.7109375" bestFit="1" customWidth="1"/>
    <col min="212" max="212" width="27.7109375" bestFit="1" customWidth="1"/>
    <col min="213" max="213" width="19.42578125" bestFit="1" customWidth="1"/>
    <col min="214" max="214" width="9.5703125" bestFit="1" customWidth="1"/>
    <col min="215" max="215" width="12.42578125" bestFit="1" customWidth="1"/>
    <col min="216" max="216" width="16.7109375" bestFit="1" customWidth="1"/>
    <col min="217" max="217" width="13.85546875" bestFit="1" customWidth="1"/>
    <col min="218" max="218" width="18" bestFit="1" customWidth="1"/>
    <col min="219" max="219" width="15.7109375" bestFit="1" customWidth="1"/>
    <col min="220" max="222" width="12.42578125" bestFit="1" customWidth="1"/>
    <col min="223" max="223" width="10.7109375" bestFit="1" customWidth="1"/>
    <col min="224" max="224" width="20.85546875" bestFit="1" customWidth="1"/>
    <col min="225" max="225" width="19.140625" bestFit="1" customWidth="1"/>
    <col min="226" max="226" width="10.7109375" bestFit="1" customWidth="1"/>
    <col min="227" max="230" width="18.28515625" bestFit="1" customWidth="1"/>
    <col min="231" max="234" width="11.85546875" bestFit="1" customWidth="1"/>
    <col min="235" max="235" width="8.85546875" bestFit="1" customWidth="1"/>
    <col min="236" max="236" width="14.28515625" bestFit="1" customWidth="1"/>
    <col min="237" max="245" width="14.28515625" customWidth="1"/>
    <col min="246" max="249" width="22" bestFit="1" customWidth="1"/>
    <col min="250" max="250" width="13.42578125" bestFit="1" customWidth="1"/>
    <col min="251" max="254" width="18.140625" bestFit="1" customWidth="1"/>
    <col min="255" max="255" width="21.7109375" bestFit="1" customWidth="1"/>
    <col min="256" max="256" width="27.7109375" bestFit="1" customWidth="1"/>
    <col min="257" max="257" width="19.42578125" bestFit="1" customWidth="1"/>
    <col min="258" max="258" width="9.5703125" bestFit="1" customWidth="1"/>
    <col min="259" max="259" width="12.42578125" bestFit="1" customWidth="1"/>
    <col min="260" max="260" width="16.7109375" bestFit="1" customWidth="1"/>
    <col min="261" max="261" width="13.85546875" bestFit="1" customWidth="1"/>
    <col min="262" max="262" width="18" bestFit="1" customWidth="1"/>
    <col min="263" max="263" width="10.7109375" bestFit="1" customWidth="1"/>
    <col min="264" max="264" width="20.85546875" bestFit="1" customWidth="1"/>
    <col min="265" max="265" width="19.140625" bestFit="1" customWidth="1"/>
    <col min="266" max="266" width="10.7109375" bestFit="1" customWidth="1"/>
    <col min="267" max="270" width="18.28515625" bestFit="1" customWidth="1"/>
    <col min="271" max="274" width="11.85546875" bestFit="1" customWidth="1"/>
    <col min="275" max="275" width="15.7109375" bestFit="1" customWidth="1"/>
    <col min="276" max="278" width="12.42578125" bestFit="1" customWidth="1"/>
    <col min="279" max="282" width="21.140625" bestFit="1" customWidth="1"/>
    <col min="283" max="283" width="8.85546875" bestFit="1" customWidth="1"/>
    <col min="284" max="284" width="14.28515625" bestFit="1" customWidth="1"/>
    <col min="285" max="293" width="14.28515625" customWidth="1"/>
    <col min="294" max="297" width="22" bestFit="1" customWidth="1"/>
    <col min="298" max="298" width="13.42578125" bestFit="1" customWidth="1"/>
    <col min="299" max="302" width="18.140625" bestFit="1" customWidth="1"/>
    <col min="303" max="303" width="21.7109375" bestFit="1" customWidth="1"/>
    <col min="304" max="304" width="26.5703125" bestFit="1" customWidth="1"/>
    <col min="305" max="305" width="19.42578125" bestFit="1" customWidth="1"/>
    <col min="306" max="306" width="9.5703125" bestFit="1" customWidth="1"/>
    <col min="307" max="307" width="12.42578125" bestFit="1" customWidth="1"/>
    <col min="308" max="308" width="16.7109375" bestFit="1" customWidth="1"/>
    <col min="309" max="309" width="13.85546875" bestFit="1" customWidth="1"/>
    <col min="310" max="310" width="10.7109375" bestFit="1" customWidth="1"/>
    <col min="311" max="311" width="18" bestFit="1" customWidth="1"/>
    <col min="312" max="312" width="20.85546875" bestFit="1" customWidth="1"/>
    <col min="313" max="313" width="10.7109375" bestFit="1" customWidth="1"/>
    <col min="314" max="317" width="18.28515625" bestFit="1" customWidth="1"/>
    <col min="318" max="318" width="13.85546875" bestFit="1" customWidth="1"/>
    <col min="319" max="322" width="11.85546875" bestFit="1" customWidth="1"/>
    <col min="323" max="323" width="8.85546875" bestFit="1" customWidth="1"/>
    <col min="324" max="327" width="12.42578125" bestFit="1" customWidth="1"/>
    <col min="328" max="331" width="11.140625" bestFit="1" customWidth="1"/>
    <col min="332" max="332" width="14.28515625" bestFit="1" customWidth="1"/>
    <col min="333" max="341" width="14.28515625" customWidth="1"/>
    <col min="342" max="345" width="22" bestFit="1" customWidth="1"/>
    <col min="346" max="346" width="13.42578125" bestFit="1" customWidth="1"/>
    <col min="347" max="350" width="18.140625" bestFit="1" customWidth="1"/>
    <col min="351" max="351" width="21.7109375" bestFit="1" customWidth="1"/>
    <col min="352" max="352" width="27.7109375" bestFit="1" customWidth="1"/>
    <col min="353" max="353" width="20.28515625" bestFit="1" customWidth="1"/>
    <col min="354" max="354" width="9.5703125" bestFit="1" customWidth="1"/>
    <col min="355" max="355" width="12.42578125" bestFit="1" customWidth="1"/>
    <col min="356" max="356" width="16.7109375" bestFit="1" customWidth="1"/>
    <col min="357" max="357" width="13.85546875" bestFit="1" customWidth="1"/>
    <col min="358" max="358" width="10.7109375" bestFit="1" customWidth="1"/>
    <col min="359" max="359" width="18" bestFit="1" customWidth="1"/>
    <col min="360" max="360" width="20.85546875" bestFit="1" customWidth="1"/>
    <col min="361" max="361" width="10.7109375" bestFit="1" customWidth="1"/>
    <col min="362" max="365" width="18.28515625" bestFit="1" customWidth="1"/>
    <col min="366" max="366" width="12.85546875" bestFit="1" customWidth="1"/>
    <col min="367" max="370" width="11.85546875" bestFit="1" customWidth="1"/>
    <col min="371" max="374" width="12.42578125" bestFit="1" customWidth="1"/>
    <col min="375" max="378" width="11.140625" bestFit="1" customWidth="1"/>
    <col min="379" max="379" width="8.85546875" bestFit="1" customWidth="1"/>
    <col min="380" max="380" width="14.28515625" bestFit="1" customWidth="1"/>
    <col min="381" max="389" width="14.28515625" customWidth="1"/>
    <col min="390" max="393" width="22" bestFit="1" customWidth="1"/>
    <col min="394" max="394" width="13.42578125" bestFit="1" customWidth="1"/>
    <col min="395" max="398" width="18.140625" bestFit="1" customWidth="1"/>
    <col min="399" max="399" width="21.7109375" bestFit="1" customWidth="1"/>
    <col min="400" max="400" width="27.7109375" bestFit="1" customWidth="1"/>
    <col min="401" max="401" width="19.42578125" bestFit="1" customWidth="1"/>
    <col min="402" max="402" width="9.5703125" bestFit="1" customWidth="1"/>
    <col min="403" max="403" width="12.42578125" bestFit="1" customWidth="1"/>
    <col min="404" max="404" width="16.7109375" bestFit="1" customWidth="1"/>
    <col min="405" max="405" width="13.85546875" bestFit="1" customWidth="1"/>
    <col min="406" max="406" width="10.7109375" bestFit="1" customWidth="1"/>
    <col min="407" max="407" width="18" bestFit="1" customWidth="1"/>
    <col min="408" max="408" width="20.85546875" bestFit="1" customWidth="1"/>
    <col min="409" max="409" width="10.7109375" bestFit="1" customWidth="1"/>
    <col min="410" max="413" width="18.28515625" bestFit="1" customWidth="1"/>
    <col min="414" max="414" width="13.85546875" bestFit="1" customWidth="1"/>
    <col min="415" max="418" width="11.85546875" bestFit="1" customWidth="1"/>
    <col min="419" max="422" width="12.42578125" bestFit="1" customWidth="1"/>
    <col min="423" max="426" width="11.140625" bestFit="1" customWidth="1"/>
    <col min="427" max="427" width="8.85546875" bestFit="1" customWidth="1"/>
    <col min="428" max="428" width="14.28515625" bestFit="1" customWidth="1"/>
    <col min="429" max="437" width="14.28515625" customWidth="1"/>
    <col min="438" max="441" width="22" bestFit="1" customWidth="1"/>
    <col min="442" max="442" width="13.42578125" bestFit="1" customWidth="1"/>
    <col min="443" max="446" width="18.140625" bestFit="1" customWidth="1"/>
    <col min="447" max="447" width="21.7109375" bestFit="1" customWidth="1"/>
    <col min="448" max="448" width="27.7109375" bestFit="1" customWidth="1"/>
    <col min="449" max="449" width="19.42578125" bestFit="1" customWidth="1"/>
    <col min="450" max="450" width="9.5703125" bestFit="1" customWidth="1"/>
    <col min="451" max="451" width="12.42578125" bestFit="1" customWidth="1"/>
    <col min="452" max="452" width="16.7109375" bestFit="1" customWidth="1"/>
    <col min="453" max="453" width="13.85546875" bestFit="1" customWidth="1"/>
    <col min="454" max="454" width="10.7109375" bestFit="1" customWidth="1"/>
    <col min="455" max="455" width="18" bestFit="1" customWidth="1"/>
    <col min="456" max="456" width="20.85546875" bestFit="1" customWidth="1"/>
    <col min="457" max="457" width="10.7109375" bestFit="1" customWidth="1"/>
    <col min="458" max="461" width="18.28515625" bestFit="1" customWidth="1"/>
    <col min="462" max="462" width="13.85546875" bestFit="1" customWidth="1"/>
    <col min="463" max="466" width="11.85546875" bestFit="1" customWidth="1"/>
    <col min="467" max="470" width="12.42578125" bestFit="1" customWidth="1"/>
    <col min="471" max="474" width="11.140625" bestFit="1" customWidth="1"/>
    <col min="475" max="475" width="8.85546875" bestFit="1" customWidth="1"/>
    <col min="476" max="476" width="14.28515625" bestFit="1" customWidth="1"/>
    <col min="477" max="485" width="14.28515625" customWidth="1"/>
    <col min="486" max="489" width="22" bestFit="1" customWidth="1"/>
    <col min="490" max="490" width="13.42578125" bestFit="1" customWidth="1"/>
    <col min="491" max="494" width="18.140625" bestFit="1" customWidth="1"/>
    <col min="495" max="495" width="21.7109375" bestFit="1" customWidth="1"/>
    <col min="496" max="496" width="27.7109375" bestFit="1" customWidth="1"/>
    <col min="497" max="497" width="19.42578125" bestFit="1" customWidth="1"/>
    <col min="498" max="498" width="9.5703125" bestFit="1" customWidth="1"/>
    <col min="499" max="499" width="12.42578125" bestFit="1" customWidth="1"/>
    <col min="500" max="500" width="16.7109375" bestFit="1" customWidth="1"/>
    <col min="501" max="501" width="13.85546875" bestFit="1" customWidth="1"/>
    <col min="502" max="502" width="10.7109375" bestFit="1" customWidth="1"/>
    <col min="503" max="503" width="18" bestFit="1" customWidth="1"/>
    <col min="504" max="504" width="20.85546875" bestFit="1" customWidth="1"/>
    <col min="505" max="505" width="10.7109375" bestFit="1" customWidth="1"/>
    <col min="506" max="509" width="18.28515625" bestFit="1" customWidth="1"/>
    <col min="510" max="510" width="13.85546875" bestFit="1" customWidth="1"/>
    <col min="511" max="514" width="11.85546875" bestFit="1" customWidth="1"/>
    <col min="515" max="518" width="12.42578125" bestFit="1" customWidth="1"/>
    <col min="519" max="522" width="11.140625" bestFit="1" customWidth="1"/>
    <col min="523" max="523" width="8.85546875" bestFit="1" customWidth="1"/>
    <col min="524" max="524" width="14.28515625" bestFit="1" customWidth="1"/>
    <col min="525" max="533" width="14.28515625" customWidth="1"/>
    <col min="534" max="537" width="22" bestFit="1" customWidth="1"/>
    <col min="538" max="538" width="13.42578125" bestFit="1" customWidth="1"/>
    <col min="539" max="542" width="18.140625" bestFit="1" customWidth="1"/>
    <col min="543" max="543" width="21.7109375" bestFit="1" customWidth="1"/>
    <col min="544" max="544" width="27.7109375" bestFit="1" customWidth="1"/>
    <col min="545" max="545" width="19.42578125" bestFit="1" customWidth="1"/>
    <col min="546" max="546" width="9.5703125" bestFit="1" customWidth="1"/>
    <col min="547" max="547" width="12.42578125" bestFit="1" customWidth="1"/>
    <col min="548" max="548" width="16.7109375" bestFit="1" customWidth="1"/>
    <col min="549" max="549" width="13.85546875" bestFit="1" customWidth="1"/>
    <col min="550" max="550" width="10.7109375" bestFit="1" customWidth="1"/>
    <col min="551" max="551" width="18" bestFit="1" customWidth="1"/>
    <col min="552" max="552" width="20.85546875" bestFit="1" customWidth="1"/>
    <col min="553" max="553" width="10.7109375" bestFit="1" customWidth="1"/>
    <col min="554" max="557" width="18.28515625" bestFit="1" customWidth="1"/>
    <col min="558" max="558" width="13.85546875" bestFit="1" customWidth="1"/>
    <col min="559" max="562" width="11.85546875" bestFit="1" customWidth="1"/>
    <col min="563" max="566" width="12.42578125" bestFit="1" customWidth="1"/>
    <col min="567" max="570" width="11.140625" bestFit="1" customWidth="1"/>
    <col min="571" max="571" width="8.85546875" bestFit="1" customWidth="1"/>
    <col min="572" max="572" width="14.28515625" bestFit="1" customWidth="1"/>
    <col min="573" max="581" width="14.28515625" customWidth="1"/>
    <col min="582" max="585" width="22" bestFit="1" customWidth="1"/>
    <col min="586" max="586" width="13.42578125" bestFit="1" customWidth="1"/>
    <col min="587" max="590" width="18.140625" bestFit="1" customWidth="1"/>
    <col min="591" max="591" width="21.7109375" bestFit="1" customWidth="1"/>
    <col min="592" max="592" width="27.7109375" bestFit="1" customWidth="1"/>
    <col min="593" max="593" width="19.42578125" bestFit="1" customWidth="1"/>
    <col min="594" max="594" width="9.5703125" bestFit="1" customWidth="1"/>
    <col min="595" max="595" width="12.42578125" bestFit="1" customWidth="1"/>
    <col min="596" max="596" width="16.7109375" bestFit="1" customWidth="1"/>
    <col min="597" max="597" width="13.85546875" bestFit="1" customWidth="1"/>
    <col min="598" max="598" width="10.7109375" bestFit="1" customWidth="1"/>
    <col min="599" max="599" width="18" bestFit="1" customWidth="1"/>
    <col min="600" max="600" width="20.85546875" bestFit="1" customWidth="1"/>
    <col min="601" max="601" width="10.7109375" bestFit="1" customWidth="1"/>
    <col min="602" max="605" width="18.28515625" bestFit="1" customWidth="1"/>
    <col min="606" max="606" width="13.85546875" bestFit="1" customWidth="1"/>
    <col min="607" max="610" width="11.85546875" bestFit="1" customWidth="1"/>
    <col min="611" max="614" width="12.42578125" bestFit="1" customWidth="1"/>
    <col min="615" max="618" width="11.140625" bestFit="1" customWidth="1"/>
    <col min="619" max="619" width="8.85546875" bestFit="1" customWidth="1"/>
    <col min="620" max="620" width="14.28515625" bestFit="1" customWidth="1"/>
    <col min="621" max="629" width="14.28515625" customWidth="1"/>
    <col min="630" max="633" width="23" bestFit="1" customWidth="1"/>
    <col min="634" max="634" width="14.42578125" bestFit="1" customWidth="1"/>
    <col min="635" max="638" width="19.140625" bestFit="1" customWidth="1"/>
    <col min="639" max="639" width="22.7109375" bestFit="1" customWidth="1"/>
    <col min="640" max="640" width="28.7109375" bestFit="1" customWidth="1"/>
    <col min="641" max="641" width="20.42578125" bestFit="1" customWidth="1"/>
    <col min="642" max="642" width="10.5703125" bestFit="1" customWidth="1"/>
    <col min="643" max="643" width="13.5703125" bestFit="1" customWidth="1"/>
    <col min="644" max="644" width="17.85546875" bestFit="1" customWidth="1"/>
    <col min="645" max="645" width="14.85546875" bestFit="1" customWidth="1"/>
    <col min="646" max="646" width="11.7109375" bestFit="1" customWidth="1"/>
    <col min="647" max="647" width="19" bestFit="1" customWidth="1"/>
    <col min="648" max="648" width="22" bestFit="1" customWidth="1"/>
    <col min="649" max="649" width="11.7109375" bestFit="1" customWidth="1"/>
    <col min="650" max="653" width="19.28515625" bestFit="1" customWidth="1"/>
    <col min="654" max="654" width="14.85546875" bestFit="1" customWidth="1"/>
    <col min="655" max="658" width="12.85546875" bestFit="1" customWidth="1"/>
    <col min="659" max="662" width="13.5703125" bestFit="1" customWidth="1"/>
    <col min="663" max="666" width="12.140625" bestFit="1" customWidth="1"/>
    <col min="667" max="667" width="9.85546875" bestFit="1" customWidth="1"/>
    <col min="668" max="668" width="15.28515625" bestFit="1" customWidth="1"/>
    <col min="669" max="677" width="15.28515625" customWidth="1"/>
    <col min="678" max="681" width="23" bestFit="1" customWidth="1"/>
    <col min="682" max="682" width="14.42578125" bestFit="1" customWidth="1"/>
    <col min="683" max="686" width="19.140625" bestFit="1" customWidth="1"/>
    <col min="687" max="687" width="22.7109375" bestFit="1" customWidth="1"/>
    <col min="688" max="688" width="28.7109375" bestFit="1" customWidth="1"/>
    <col min="689" max="689" width="20.42578125" bestFit="1" customWidth="1"/>
    <col min="690" max="690" width="10.5703125" bestFit="1" customWidth="1"/>
    <col min="691" max="691" width="13.5703125" bestFit="1" customWidth="1"/>
    <col min="692" max="692" width="17.85546875" bestFit="1" customWidth="1"/>
    <col min="693" max="693" width="14.85546875" bestFit="1" customWidth="1"/>
    <col min="694" max="694" width="11.7109375" bestFit="1" customWidth="1"/>
    <col min="695" max="695" width="19" bestFit="1" customWidth="1"/>
    <col min="696" max="696" width="22" bestFit="1" customWidth="1"/>
    <col min="697" max="697" width="11.7109375" bestFit="1" customWidth="1"/>
    <col min="698" max="701" width="19.28515625" bestFit="1" customWidth="1"/>
    <col min="702" max="702" width="14.85546875" bestFit="1" customWidth="1"/>
    <col min="703" max="706" width="12.85546875" bestFit="1" customWidth="1"/>
    <col min="707" max="710" width="13.5703125" bestFit="1" customWidth="1"/>
    <col min="711" max="714" width="12.140625" bestFit="1" customWidth="1"/>
    <col min="715" max="715" width="9.85546875" bestFit="1" customWidth="1"/>
    <col min="716" max="716" width="15.28515625" bestFit="1" customWidth="1"/>
    <col min="717" max="725" width="15.28515625" customWidth="1"/>
    <col min="726" max="729" width="23" bestFit="1" customWidth="1"/>
    <col min="730" max="730" width="14.42578125" bestFit="1" customWidth="1"/>
    <col min="731" max="734" width="19.140625" bestFit="1" customWidth="1"/>
    <col min="735" max="735" width="22.7109375" bestFit="1" customWidth="1"/>
    <col min="736" max="736" width="28.7109375" bestFit="1" customWidth="1"/>
    <col min="737" max="737" width="20.42578125" bestFit="1" customWidth="1"/>
    <col min="738" max="738" width="10.5703125" bestFit="1" customWidth="1"/>
    <col min="739" max="739" width="13.5703125" bestFit="1" customWidth="1"/>
    <col min="740" max="740" width="17.85546875" bestFit="1" customWidth="1"/>
    <col min="741" max="741" width="14.85546875" bestFit="1" customWidth="1"/>
    <col min="742" max="742" width="11.7109375" bestFit="1" customWidth="1"/>
    <col min="743" max="743" width="19" bestFit="1" customWidth="1"/>
    <col min="744" max="744" width="22" bestFit="1" customWidth="1"/>
    <col min="745" max="745" width="11.7109375" bestFit="1" customWidth="1"/>
    <col min="746" max="749" width="19.28515625" bestFit="1" customWidth="1"/>
    <col min="750" max="750" width="14.85546875" bestFit="1" customWidth="1"/>
    <col min="751" max="754" width="12.85546875" bestFit="1" customWidth="1"/>
    <col min="755" max="758" width="13.5703125" bestFit="1" customWidth="1"/>
    <col min="759" max="762" width="12.140625" bestFit="1" customWidth="1"/>
    <col min="763" max="763" width="9.85546875" bestFit="1" customWidth="1"/>
    <col min="764" max="764" width="15.28515625" bestFit="1" customWidth="1"/>
    <col min="765" max="773" width="15.28515625" customWidth="1"/>
    <col min="774" max="777" width="23" bestFit="1" customWidth="1"/>
    <col min="778" max="778" width="14.42578125" bestFit="1" customWidth="1"/>
    <col min="779" max="782" width="19.140625" bestFit="1" customWidth="1"/>
    <col min="783" max="783" width="22.7109375" bestFit="1" customWidth="1"/>
    <col min="784" max="784" width="28.7109375" bestFit="1" customWidth="1"/>
    <col min="785" max="785" width="20.42578125" bestFit="1" customWidth="1"/>
    <col min="786" max="786" width="10.5703125" bestFit="1" customWidth="1"/>
    <col min="787" max="787" width="13.5703125" bestFit="1" customWidth="1"/>
    <col min="788" max="788" width="17.85546875" bestFit="1" customWidth="1"/>
    <col min="789" max="789" width="14.85546875" bestFit="1" customWidth="1"/>
    <col min="790" max="790" width="11.7109375" bestFit="1" customWidth="1"/>
    <col min="791" max="791" width="19" bestFit="1" customWidth="1"/>
    <col min="792" max="792" width="22" bestFit="1" customWidth="1"/>
    <col min="793" max="793" width="11.7109375" bestFit="1" customWidth="1"/>
    <col min="794" max="797" width="19.28515625" bestFit="1" customWidth="1"/>
    <col min="798" max="798" width="14.85546875" bestFit="1" customWidth="1"/>
    <col min="799" max="802" width="12.85546875" bestFit="1" customWidth="1"/>
    <col min="803" max="806" width="13.5703125" bestFit="1" customWidth="1"/>
    <col min="807" max="810" width="12.140625" bestFit="1" customWidth="1"/>
    <col min="811" max="811" width="9.85546875" bestFit="1" customWidth="1"/>
    <col min="812" max="812" width="15.28515625" bestFit="1" customWidth="1"/>
    <col min="813" max="821" width="15.28515625" customWidth="1"/>
    <col min="822" max="825" width="23" bestFit="1" customWidth="1"/>
    <col min="826" max="826" width="14.42578125" bestFit="1" customWidth="1"/>
    <col min="827" max="830" width="19.140625" bestFit="1" customWidth="1"/>
    <col min="831" max="831" width="22.7109375" bestFit="1" customWidth="1"/>
    <col min="832" max="832" width="28.7109375" bestFit="1" customWidth="1"/>
    <col min="833" max="833" width="20.42578125" bestFit="1" customWidth="1"/>
    <col min="834" max="834" width="10.5703125" bestFit="1" customWidth="1"/>
    <col min="835" max="835" width="13.5703125" bestFit="1" customWidth="1"/>
    <col min="836" max="836" width="17.85546875" bestFit="1" customWidth="1"/>
    <col min="837" max="837" width="14.85546875" bestFit="1" customWidth="1"/>
    <col min="838" max="838" width="11.7109375" bestFit="1" customWidth="1"/>
    <col min="839" max="839" width="19" bestFit="1" customWidth="1"/>
    <col min="840" max="840" width="22" bestFit="1" customWidth="1"/>
    <col min="841" max="841" width="11.7109375" bestFit="1" customWidth="1"/>
    <col min="842" max="845" width="19.28515625" bestFit="1" customWidth="1"/>
    <col min="846" max="846" width="14.85546875" bestFit="1" customWidth="1"/>
    <col min="847" max="850" width="12.85546875" bestFit="1" customWidth="1"/>
    <col min="851" max="854" width="13.5703125" bestFit="1" customWidth="1"/>
    <col min="855" max="858" width="12.140625" bestFit="1" customWidth="1"/>
    <col min="859" max="859" width="9.85546875" bestFit="1" customWidth="1"/>
    <col min="860" max="860" width="15.28515625" bestFit="1" customWidth="1"/>
    <col min="861" max="869" width="15.28515625" customWidth="1"/>
    <col min="870" max="873" width="23" bestFit="1" customWidth="1"/>
    <col min="874" max="874" width="14.42578125" bestFit="1" customWidth="1"/>
    <col min="875" max="878" width="19.140625" bestFit="1" customWidth="1"/>
    <col min="879" max="879" width="22.7109375" bestFit="1" customWidth="1"/>
    <col min="880" max="880" width="28.7109375" bestFit="1" customWidth="1"/>
    <col min="881" max="881" width="20.42578125" bestFit="1" customWidth="1"/>
    <col min="882" max="882" width="10.5703125" bestFit="1" customWidth="1"/>
    <col min="883" max="883" width="13.5703125" bestFit="1" customWidth="1"/>
    <col min="884" max="884" width="17.85546875" bestFit="1" customWidth="1"/>
    <col min="885" max="885" width="14.85546875" bestFit="1" customWidth="1"/>
    <col min="886" max="886" width="11.7109375" bestFit="1" customWidth="1"/>
    <col min="887" max="887" width="19" bestFit="1" customWidth="1"/>
    <col min="888" max="888" width="22" bestFit="1" customWidth="1"/>
    <col min="889" max="889" width="11.7109375" bestFit="1" customWidth="1"/>
    <col min="890" max="893" width="19.28515625" bestFit="1" customWidth="1"/>
    <col min="894" max="894" width="14.85546875" bestFit="1" customWidth="1"/>
    <col min="895" max="898" width="12.85546875" bestFit="1" customWidth="1"/>
    <col min="899" max="902" width="13.5703125" bestFit="1" customWidth="1"/>
    <col min="903" max="906" width="12.140625" bestFit="1" customWidth="1"/>
    <col min="907" max="907" width="9.85546875" bestFit="1" customWidth="1"/>
    <col min="908" max="908" width="15.28515625" bestFit="1" customWidth="1"/>
    <col min="909" max="917" width="15.28515625" customWidth="1"/>
    <col min="918" max="921" width="23" bestFit="1" customWidth="1"/>
    <col min="922" max="922" width="14.42578125" bestFit="1" customWidth="1"/>
    <col min="923" max="926" width="19.140625" bestFit="1" customWidth="1"/>
    <col min="927" max="927" width="22.7109375" bestFit="1" customWidth="1"/>
    <col min="928" max="928" width="28.7109375" bestFit="1" customWidth="1"/>
    <col min="929" max="929" width="20.42578125" bestFit="1" customWidth="1"/>
    <col min="930" max="930" width="10.5703125" bestFit="1" customWidth="1"/>
    <col min="931" max="931" width="13.5703125" bestFit="1" customWidth="1"/>
    <col min="932" max="932" width="17.85546875" bestFit="1" customWidth="1"/>
    <col min="933" max="933" width="14.85546875" bestFit="1" customWidth="1"/>
    <col min="934" max="934" width="11.7109375" bestFit="1" customWidth="1"/>
    <col min="935" max="935" width="19" bestFit="1" customWidth="1"/>
    <col min="936" max="936" width="22" bestFit="1" customWidth="1"/>
    <col min="937" max="937" width="11.7109375" bestFit="1" customWidth="1"/>
    <col min="938" max="941" width="19.28515625" bestFit="1" customWidth="1"/>
    <col min="942" max="942" width="14.85546875" bestFit="1" customWidth="1"/>
    <col min="943" max="946" width="12.85546875" bestFit="1" customWidth="1"/>
    <col min="947" max="950" width="13.5703125" bestFit="1" customWidth="1"/>
    <col min="951" max="954" width="12.140625" bestFit="1" customWidth="1"/>
    <col min="955" max="955" width="9.85546875" bestFit="1" customWidth="1"/>
    <col min="956" max="956" width="15.28515625" bestFit="1" customWidth="1"/>
    <col min="957" max="965" width="15.28515625" customWidth="1"/>
    <col min="966" max="969" width="23" bestFit="1" customWidth="1"/>
    <col min="970" max="970" width="14.42578125" bestFit="1" customWidth="1"/>
    <col min="971" max="974" width="19.140625" bestFit="1" customWidth="1"/>
    <col min="975" max="975" width="22.7109375" bestFit="1" customWidth="1"/>
    <col min="976" max="976" width="28.7109375" bestFit="1" customWidth="1"/>
    <col min="977" max="977" width="20.42578125" bestFit="1" customWidth="1"/>
    <col min="978" max="978" width="10.5703125" bestFit="1" customWidth="1"/>
    <col min="979" max="979" width="13.5703125" bestFit="1" customWidth="1"/>
    <col min="980" max="980" width="17.85546875" bestFit="1" customWidth="1"/>
    <col min="981" max="981" width="14.85546875" bestFit="1" customWidth="1"/>
    <col min="982" max="982" width="11.7109375" bestFit="1" customWidth="1"/>
    <col min="983" max="983" width="19" bestFit="1" customWidth="1"/>
    <col min="984" max="984" width="22" bestFit="1" customWidth="1"/>
    <col min="985" max="985" width="11.7109375" bestFit="1" customWidth="1"/>
    <col min="986" max="989" width="19.28515625" bestFit="1" customWidth="1"/>
    <col min="990" max="990" width="14.85546875" bestFit="1" customWidth="1"/>
    <col min="991" max="994" width="12.85546875" bestFit="1" customWidth="1"/>
    <col min="995" max="998" width="13.5703125" bestFit="1" customWidth="1"/>
    <col min="999" max="1002" width="12.140625" bestFit="1" customWidth="1"/>
    <col min="1003" max="1003" width="9.85546875" bestFit="1" customWidth="1"/>
    <col min="1004" max="1004" width="15.28515625" bestFit="1" customWidth="1"/>
    <col min="1005" max="1013" width="15.28515625" customWidth="1"/>
    <col min="1014" max="1017" width="23" bestFit="1" customWidth="1"/>
    <col min="1018" max="1018" width="14.42578125" bestFit="1" customWidth="1"/>
    <col min="1019" max="1022" width="19.140625" bestFit="1" customWidth="1"/>
    <col min="1023" max="1023" width="22.7109375" bestFit="1" customWidth="1"/>
    <col min="1024" max="1024" width="28.7109375" bestFit="1" customWidth="1"/>
    <col min="1025" max="1025" width="20.42578125" bestFit="1" customWidth="1"/>
    <col min="1026" max="1026" width="10.5703125" bestFit="1" customWidth="1"/>
    <col min="1027" max="1027" width="13.5703125" bestFit="1" customWidth="1"/>
    <col min="1028" max="1028" width="17.85546875" bestFit="1" customWidth="1"/>
    <col min="1029" max="1029" width="14.85546875" bestFit="1" customWidth="1"/>
    <col min="1030" max="1030" width="11.7109375" bestFit="1" customWidth="1"/>
    <col min="1031" max="1031" width="19" bestFit="1" customWidth="1"/>
    <col min="1032" max="1032" width="22" bestFit="1" customWidth="1"/>
    <col min="1033" max="1033" width="11.7109375" bestFit="1" customWidth="1"/>
    <col min="1034" max="1037" width="19.28515625" bestFit="1" customWidth="1"/>
    <col min="1038" max="1038" width="14.85546875" bestFit="1" customWidth="1"/>
    <col min="1039" max="1042" width="12.85546875" bestFit="1" customWidth="1"/>
    <col min="1043" max="1046" width="13.5703125" bestFit="1" customWidth="1"/>
    <col min="1047" max="1050" width="12.140625" bestFit="1" customWidth="1"/>
    <col min="1051" max="1051" width="9.85546875" bestFit="1" customWidth="1"/>
    <col min="1052" max="1052" width="15.28515625" bestFit="1" customWidth="1"/>
    <col min="1053" max="1061" width="15.28515625" customWidth="1"/>
    <col min="1062" max="1065" width="23" bestFit="1" customWidth="1"/>
    <col min="1066" max="1066" width="14.42578125" bestFit="1" customWidth="1"/>
    <col min="1067" max="1070" width="19.140625" bestFit="1" customWidth="1"/>
    <col min="1071" max="1071" width="22.7109375" bestFit="1" customWidth="1"/>
    <col min="1072" max="1072" width="28.7109375" bestFit="1" customWidth="1"/>
    <col min="1073" max="1073" width="20.42578125" bestFit="1" customWidth="1"/>
    <col min="1074" max="1074" width="10.5703125" bestFit="1" customWidth="1"/>
    <col min="1075" max="1075" width="13.5703125" bestFit="1" customWidth="1"/>
    <col min="1076" max="1076" width="17.85546875" bestFit="1" customWidth="1"/>
    <col min="1077" max="1077" width="14.85546875" bestFit="1" customWidth="1"/>
    <col min="1078" max="1078" width="11.7109375" bestFit="1" customWidth="1"/>
    <col min="1079" max="1079" width="19" bestFit="1" customWidth="1"/>
    <col min="1080" max="1080" width="22" bestFit="1" customWidth="1"/>
    <col min="1081" max="1081" width="11.7109375" bestFit="1" customWidth="1"/>
    <col min="1082" max="1085" width="19.28515625" bestFit="1" customWidth="1"/>
    <col min="1086" max="1086" width="14.85546875" bestFit="1" customWidth="1"/>
    <col min="1087" max="1090" width="12.85546875" bestFit="1" customWidth="1"/>
    <col min="1091" max="1094" width="13.5703125" bestFit="1" customWidth="1"/>
    <col min="1095" max="1098" width="12.140625" bestFit="1" customWidth="1"/>
    <col min="1099" max="1099" width="9.85546875" bestFit="1" customWidth="1"/>
    <col min="1100" max="1100" width="15.28515625" bestFit="1" customWidth="1"/>
    <col min="1101" max="1109" width="15.28515625" customWidth="1"/>
    <col min="1110" max="1113" width="23" bestFit="1" customWidth="1"/>
    <col min="1114" max="1114" width="14.42578125" bestFit="1" customWidth="1"/>
    <col min="1115" max="1118" width="19.140625" bestFit="1" customWidth="1"/>
    <col min="1119" max="1119" width="22.7109375" bestFit="1" customWidth="1"/>
    <col min="1120" max="1120" width="28.7109375" bestFit="1" customWidth="1"/>
    <col min="1121" max="1121" width="20.42578125" bestFit="1" customWidth="1"/>
    <col min="1122" max="1122" width="10.5703125" bestFit="1" customWidth="1"/>
    <col min="1123" max="1123" width="13.5703125" bestFit="1" customWidth="1"/>
    <col min="1124" max="1124" width="17.85546875" bestFit="1" customWidth="1"/>
    <col min="1125" max="1125" width="14.85546875" bestFit="1" customWidth="1"/>
    <col min="1126" max="1126" width="11.7109375" bestFit="1" customWidth="1"/>
    <col min="1127" max="1127" width="19" bestFit="1" customWidth="1"/>
    <col min="1128" max="1128" width="22" bestFit="1" customWidth="1"/>
    <col min="1129" max="1129" width="11.7109375" bestFit="1" customWidth="1"/>
    <col min="1130" max="1133" width="19.28515625" bestFit="1" customWidth="1"/>
    <col min="1134" max="1134" width="14.85546875" bestFit="1" customWidth="1"/>
    <col min="1135" max="1138" width="12.85546875" bestFit="1" customWidth="1"/>
    <col min="1139" max="1142" width="13.5703125" bestFit="1" customWidth="1"/>
    <col min="1143" max="1146" width="12.140625" bestFit="1" customWidth="1"/>
    <col min="1147" max="1147" width="9.85546875" bestFit="1" customWidth="1"/>
    <col min="1148" max="1148" width="15.28515625" bestFit="1" customWidth="1"/>
    <col min="1149" max="1157" width="15.28515625" customWidth="1"/>
    <col min="1158" max="1161" width="23" bestFit="1" customWidth="1"/>
    <col min="1162" max="1162" width="14.42578125" bestFit="1" customWidth="1"/>
    <col min="1163" max="1166" width="19.140625" bestFit="1" customWidth="1"/>
    <col min="1167" max="1167" width="22.7109375" bestFit="1" customWidth="1"/>
    <col min="1168" max="1168" width="28.7109375" bestFit="1" customWidth="1"/>
    <col min="1169" max="1169" width="20.42578125" bestFit="1" customWidth="1"/>
    <col min="1170" max="1170" width="10.5703125" bestFit="1" customWidth="1"/>
    <col min="1171" max="1171" width="13.5703125" bestFit="1" customWidth="1"/>
    <col min="1172" max="1172" width="17.85546875" bestFit="1" customWidth="1"/>
    <col min="1173" max="1173" width="14.85546875" bestFit="1" customWidth="1"/>
    <col min="1174" max="1174" width="11.7109375" bestFit="1" customWidth="1"/>
    <col min="1175" max="1175" width="19" bestFit="1" customWidth="1"/>
    <col min="1176" max="1176" width="22" bestFit="1" customWidth="1"/>
    <col min="1177" max="1177" width="11.7109375" bestFit="1" customWidth="1"/>
    <col min="1178" max="1181" width="19.28515625" bestFit="1" customWidth="1"/>
    <col min="1182" max="1182" width="14.85546875" bestFit="1" customWidth="1"/>
    <col min="1183" max="1186" width="12.85546875" bestFit="1" customWidth="1"/>
    <col min="1187" max="1190" width="13.5703125" bestFit="1" customWidth="1"/>
    <col min="1191" max="1194" width="12.140625" bestFit="1" customWidth="1"/>
    <col min="1195" max="1195" width="9.85546875" bestFit="1" customWidth="1"/>
    <col min="1196" max="1196" width="15.28515625" bestFit="1" customWidth="1"/>
    <col min="1197" max="1205" width="15.28515625" customWidth="1"/>
    <col min="1206" max="1209" width="23" bestFit="1" customWidth="1"/>
    <col min="1210" max="1210" width="14.42578125" bestFit="1" customWidth="1"/>
    <col min="1211" max="1214" width="19.140625" bestFit="1" customWidth="1"/>
    <col min="1215" max="1215" width="22.7109375" bestFit="1" customWidth="1"/>
    <col min="1216" max="1216" width="28.7109375" bestFit="1" customWidth="1"/>
    <col min="1217" max="1217" width="20.42578125" bestFit="1" customWidth="1"/>
    <col min="1218" max="1218" width="10.5703125" bestFit="1" customWidth="1"/>
    <col min="1219" max="1219" width="13.5703125" bestFit="1" customWidth="1"/>
    <col min="1220" max="1220" width="17.85546875" bestFit="1" customWidth="1"/>
    <col min="1221" max="1221" width="14.85546875" bestFit="1" customWidth="1"/>
    <col min="1222" max="1222" width="11.7109375" bestFit="1" customWidth="1"/>
    <col min="1223" max="1223" width="19" bestFit="1" customWidth="1"/>
    <col min="1224" max="1224" width="22" bestFit="1" customWidth="1"/>
    <col min="1225" max="1225" width="11.7109375" bestFit="1" customWidth="1"/>
    <col min="1226" max="1229" width="19.28515625" bestFit="1" customWidth="1"/>
    <col min="1230" max="1230" width="14.85546875" bestFit="1" customWidth="1"/>
    <col min="1231" max="1234" width="12.85546875" bestFit="1" customWidth="1"/>
    <col min="1235" max="1238" width="13.5703125" bestFit="1" customWidth="1"/>
    <col min="1239" max="1242" width="12.140625" bestFit="1" customWidth="1"/>
    <col min="1243" max="1243" width="9.85546875" bestFit="1" customWidth="1"/>
    <col min="1244" max="1244" width="15.28515625" bestFit="1" customWidth="1"/>
    <col min="1245" max="1253" width="15.28515625" customWidth="1"/>
    <col min="1254" max="1257" width="23" bestFit="1" customWidth="1"/>
    <col min="1258" max="1258" width="14.42578125" bestFit="1" customWidth="1"/>
    <col min="1259" max="1262" width="19.140625" bestFit="1" customWidth="1"/>
    <col min="1263" max="1263" width="22.7109375" bestFit="1" customWidth="1"/>
    <col min="1264" max="1264" width="28.7109375" bestFit="1" customWidth="1"/>
    <col min="1265" max="1265" width="20.42578125" bestFit="1" customWidth="1"/>
    <col min="1266" max="1266" width="10.5703125" bestFit="1" customWidth="1"/>
    <col min="1267" max="1267" width="13.5703125" bestFit="1" customWidth="1"/>
    <col min="1268" max="1268" width="17.85546875" bestFit="1" customWidth="1"/>
    <col min="1269" max="1269" width="14.85546875" bestFit="1" customWidth="1"/>
    <col min="1270" max="1270" width="11.7109375" bestFit="1" customWidth="1"/>
    <col min="1271" max="1271" width="19" bestFit="1" customWidth="1"/>
    <col min="1272" max="1272" width="22" bestFit="1" customWidth="1"/>
    <col min="1273" max="1273" width="11.7109375" bestFit="1" customWidth="1"/>
    <col min="1274" max="1277" width="19.28515625" bestFit="1" customWidth="1"/>
    <col min="1278" max="1278" width="14.85546875" bestFit="1" customWidth="1"/>
    <col min="1279" max="1282" width="12.85546875" bestFit="1" customWidth="1"/>
    <col min="1283" max="1286" width="13.5703125" bestFit="1" customWidth="1"/>
    <col min="1287" max="1290" width="12.140625" bestFit="1" customWidth="1"/>
    <col min="1291" max="1291" width="9.85546875" bestFit="1" customWidth="1"/>
    <col min="1292" max="1292" width="15.28515625" bestFit="1" customWidth="1"/>
    <col min="1293" max="1301" width="15.28515625" customWidth="1"/>
    <col min="1302" max="1305" width="23" bestFit="1" customWidth="1"/>
    <col min="1306" max="1306" width="14.42578125" bestFit="1" customWidth="1"/>
    <col min="1307" max="1310" width="19.140625" bestFit="1" customWidth="1"/>
    <col min="1311" max="1311" width="22.7109375" bestFit="1" customWidth="1"/>
    <col min="1312" max="1312" width="28.7109375" bestFit="1" customWidth="1"/>
    <col min="1313" max="1313" width="20.42578125" bestFit="1" customWidth="1"/>
    <col min="1314" max="1314" width="10.5703125" bestFit="1" customWidth="1"/>
    <col min="1315" max="1315" width="13.5703125" bestFit="1" customWidth="1"/>
    <col min="1316" max="1316" width="17.85546875" bestFit="1" customWidth="1"/>
    <col min="1317" max="1317" width="14.85546875" bestFit="1" customWidth="1"/>
    <col min="1318" max="1318" width="11.7109375" bestFit="1" customWidth="1"/>
    <col min="1319" max="1319" width="19" bestFit="1" customWidth="1"/>
    <col min="1320" max="1320" width="22" bestFit="1" customWidth="1"/>
    <col min="1321" max="1321" width="11.7109375" bestFit="1" customWidth="1"/>
    <col min="1322" max="1325" width="19.28515625" bestFit="1" customWidth="1"/>
    <col min="1326" max="1326" width="14.85546875" bestFit="1" customWidth="1"/>
    <col min="1327" max="1330" width="12.85546875" bestFit="1" customWidth="1"/>
    <col min="1331" max="1334" width="13.5703125" bestFit="1" customWidth="1"/>
    <col min="1335" max="1338" width="12.140625" bestFit="1" customWidth="1"/>
    <col min="1339" max="1339" width="9.85546875" bestFit="1" customWidth="1"/>
    <col min="1340" max="1340" width="15.28515625" bestFit="1" customWidth="1"/>
    <col min="1341" max="1349" width="15.28515625" customWidth="1"/>
    <col min="1350" max="1353" width="23" bestFit="1" customWidth="1"/>
    <col min="1354" max="1354" width="14.42578125" bestFit="1" customWidth="1"/>
    <col min="1355" max="1358" width="19.140625" bestFit="1" customWidth="1"/>
    <col min="1359" max="1359" width="22.7109375" bestFit="1" customWidth="1"/>
    <col min="1360" max="1360" width="28.7109375" bestFit="1" customWidth="1"/>
    <col min="1361" max="1361" width="20.42578125" bestFit="1" customWidth="1"/>
    <col min="1362" max="1362" width="10.5703125" bestFit="1" customWidth="1"/>
    <col min="1363" max="1363" width="13.5703125" bestFit="1" customWidth="1"/>
    <col min="1364" max="1364" width="17.85546875" bestFit="1" customWidth="1"/>
    <col min="1365" max="1365" width="14.85546875" bestFit="1" customWidth="1"/>
    <col min="1366" max="1366" width="11.7109375" bestFit="1" customWidth="1"/>
    <col min="1367" max="1367" width="19" bestFit="1" customWidth="1"/>
    <col min="1368" max="1368" width="22" bestFit="1" customWidth="1"/>
    <col min="1369" max="1369" width="11.7109375" bestFit="1" customWidth="1"/>
    <col min="1370" max="1373" width="19.28515625" bestFit="1" customWidth="1"/>
    <col min="1374" max="1374" width="14.85546875" bestFit="1" customWidth="1"/>
    <col min="1375" max="1378" width="12.85546875" bestFit="1" customWidth="1"/>
    <col min="1379" max="1382" width="13.5703125" bestFit="1" customWidth="1"/>
    <col min="1383" max="1386" width="12.140625" bestFit="1" customWidth="1"/>
    <col min="1387" max="1387" width="9.85546875" bestFit="1" customWidth="1"/>
    <col min="1388" max="1388" width="15.28515625" bestFit="1" customWidth="1"/>
    <col min="1389" max="1389" width="6" bestFit="1" customWidth="1"/>
    <col min="1390" max="1390" width="24.140625" bestFit="1" customWidth="1"/>
    <col min="1391" max="1391" width="21.7109375" bestFit="1" customWidth="1"/>
    <col min="1392" max="1392" width="17.85546875" bestFit="1" customWidth="1"/>
    <col min="1393" max="1393" width="12.42578125" bestFit="1" customWidth="1"/>
    <col min="1394" max="1394" width="10.28515625" bestFit="1" customWidth="1"/>
    <col min="1395" max="1395" width="15.140625" bestFit="1" customWidth="1"/>
    <col min="1396" max="1445" width="15.140625" customWidth="1"/>
    <col min="1446" max="1473" width="8.7109375" customWidth="1"/>
  </cols>
  <sheetData>
    <row r="1" spans="1:1533" ht="18.75" customHeight="1" x14ac:dyDescent="0.25">
      <c r="A1" t="s">
        <v>854</v>
      </c>
      <c r="B1" t="s">
        <v>2038</v>
      </c>
      <c r="C1" t="s">
        <v>797</v>
      </c>
      <c r="D1" t="s">
        <v>798</v>
      </c>
      <c r="E1" t="s">
        <v>1634</v>
      </c>
      <c r="F1" t="s">
        <v>1635</v>
      </c>
      <c r="G1" t="s">
        <v>1636</v>
      </c>
      <c r="H1" t="s">
        <v>3407</v>
      </c>
      <c r="I1" t="s">
        <v>2159</v>
      </c>
      <c r="J1" t="s">
        <v>2160</v>
      </c>
      <c r="K1" t="s">
        <v>2432</v>
      </c>
      <c r="L1" t="s">
        <v>2429</v>
      </c>
      <c r="M1" t="s">
        <v>2433</v>
      </c>
      <c r="N1" t="s">
        <v>2430</v>
      </c>
      <c r="O1" t="s">
        <v>2434</v>
      </c>
      <c r="P1" t="s">
        <v>2435</v>
      </c>
      <c r="Q1" t="s">
        <v>2431</v>
      </c>
      <c r="R1" t="s">
        <v>2436</v>
      </c>
      <c r="S1" t="s">
        <v>2437</v>
      </c>
      <c r="T1" t="s">
        <v>2438</v>
      </c>
      <c r="U1" t="s">
        <v>2439</v>
      </c>
      <c r="V1" t="s">
        <v>2048</v>
      </c>
      <c r="W1" t="s">
        <v>838</v>
      </c>
      <c r="X1" t="s">
        <v>839</v>
      </c>
      <c r="Y1" t="s">
        <v>1923</v>
      </c>
      <c r="Z1" t="s">
        <v>840</v>
      </c>
      <c r="AA1" t="s">
        <v>841</v>
      </c>
      <c r="AB1" t="s">
        <v>842</v>
      </c>
      <c r="AC1" t="s">
        <v>843</v>
      </c>
      <c r="AD1" t="s">
        <v>844</v>
      </c>
      <c r="AE1" t="s">
        <v>845</v>
      </c>
      <c r="AF1" t="s">
        <v>846</v>
      </c>
      <c r="AG1" t="s">
        <v>847</v>
      </c>
      <c r="AH1" t="s">
        <v>848</v>
      </c>
      <c r="AI1" t="s">
        <v>849</v>
      </c>
      <c r="AJ1" t="s">
        <v>2530</v>
      </c>
      <c r="AK1" t="s">
        <v>850</v>
      </c>
      <c r="AL1" t="s">
        <v>851</v>
      </c>
      <c r="AM1" t="s">
        <v>852</v>
      </c>
      <c r="AN1" t="s">
        <v>853</v>
      </c>
      <c r="AO1" t="s">
        <v>385</v>
      </c>
      <c r="AP1" t="s">
        <v>1629</v>
      </c>
      <c r="AQ1" t="s">
        <v>1630</v>
      </c>
      <c r="AR1" t="s">
        <v>1631</v>
      </c>
      <c r="AS1" t="s">
        <v>1628</v>
      </c>
      <c r="AT1" t="s">
        <v>1627</v>
      </c>
      <c r="AU1" t="s">
        <v>855</v>
      </c>
      <c r="AV1" t="s">
        <v>856</v>
      </c>
      <c r="AW1" t="s">
        <v>2525</v>
      </c>
      <c r="AX1" t="s">
        <v>857</v>
      </c>
      <c r="AY1" t="s">
        <v>1613</v>
      </c>
      <c r="AZ1" t="s">
        <v>1922</v>
      </c>
      <c r="BA1" t="s">
        <v>858</v>
      </c>
      <c r="BB1" t="s">
        <v>859</v>
      </c>
      <c r="BC1" t="s">
        <v>860</v>
      </c>
      <c r="BD1" t="s">
        <v>861</v>
      </c>
      <c r="BE1" t="s">
        <v>862</v>
      </c>
      <c r="BF1" t="s">
        <v>1582</v>
      </c>
      <c r="BG1" t="s">
        <v>1583</v>
      </c>
      <c r="BH1" t="s">
        <v>380</v>
      </c>
      <c r="BI1" t="s">
        <v>1584</v>
      </c>
      <c r="BJ1" t="s">
        <v>1585</v>
      </c>
      <c r="BK1" t="s">
        <v>3198</v>
      </c>
      <c r="BL1" t="s">
        <v>3404</v>
      </c>
      <c r="BM1" t="s">
        <v>3405</v>
      </c>
      <c r="BN1" t="s">
        <v>3406</v>
      </c>
      <c r="BO1" t="s">
        <v>808</v>
      </c>
      <c r="BP1" t="s">
        <v>2161</v>
      </c>
      <c r="BQ1" t="s">
        <v>2162</v>
      </c>
      <c r="BR1" t="s">
        <v>2163</v>
      </c>
      <c r="BS1" t="s">
        <v>809</v>
      </c>
      <c r="BT1" t="s">
        <v>806</v>
      </c>
      <c r="BU1" t="s">
        <v>1985</v>
      </c>
      <c r="BV1" t="s">
        <v>1986</v>
      </c>
      <c r="BW1" t="s">
        <v>1987</v>
      </c>
      <c r="BX1" t="s">
        <v>1988</v>
      </c>
      <c r="BY1" t="s">
        <v>3435</v>
      </c>
      <c r="BZ1" t="s">
        <v>799</v>
      </c>
      <c r="CA1" t="s">
        <v>801</v>
      </c>
      <c r="CB1" t="s">
        <v>800</v>
      </c>
      <c r="CC1" t="s">
        <v>3433</v>
      </c>
      <c r="CD1" t="s">
        <v>807</v>
      </c>
      <c r="CE1" t="s">
        <v>802</v>
      </c>
      <c r="CF1" t="s">
        <v>2408</v>
      </c>
      <c r="CG1" t="s">
        <v>2409</v>
      </c>
      <c r="CH1" t="s">
        <v>803</v>
      </c>
      <c r="CI1" t="s">
        <v>804</v>
      </c>
      <c r="CJ1" t="s">
        <v>805</v>
      </c>
      <c r="CK1" t="s">
        <v>1617</v>
      </c>
      <c r="CL1" t="s">
        <v>1618</v>
      </c>
      <c r="CM1" t="s">
        <v>1615</v>
      </c>
      <c r="CN1" t="s">
        <v>1616</v>
      </c>
      <c r="CO1" t="s">
        <v>822</v>
      </c>
      <c r="CP1" t="s">
        <v>2164</v>
      </c>
      <c r="CQ1" t="s">
        <v>2165</v>
      </c>
      <c r="CR1" t="s">
        <v>2166</v>
      </c>
      <c r="CS1" t="s">
        <v>2167</v>
      </c>
      <c r="CT1" t="s">
        <v>2168</v>
      </c>
      <c r="CU1" t="s">
        <v>2169</v>
      </c>
      <c r="CV1" t="s">
        <v>2170</v>
      </c>
      <c r="CW1" t="s">
        <v>823</v>
      </c>
      <c r="CX1" t="s">
        <v>820</v>
      </c>
      <c r="CY1" t="s">
        <v>812</v>
      </c>
      <c r="CZ1" t="s">
        <v>810</v>
      </c>
      <c r="DA1" t="s">
        <v>813</v>
      </c>
      <c r="DB1" t="s">
        <v>811</v>
      </c>
      <c r="DC1" t="s">
        <v>3434</v>
      </c>
      <c r="DD1" t="s">
        <v>821</v>
      </c>
      <c r="DE1" t="s">
        <v>814</v>
      </c>
      <c r="DF1" t="s">
        <v>815</v>
      </c>
      <c r="DG1" t="s">
        <v>816</v>
      </c>
      <c r="DH1" t="s">
        <v>817</v>
      </c>
      <c r="DI1" t="s">
        <v>818</v>
      </c>
      <c r="DJ1" t="s">
        <v>819</v>
      </c>
      <c r="DK1" t="s">
        <v>1621</v>
      </c>
      <c r="DL1" t="s">
        <v>1622</v>
      </c>
      <c r="DM1" t="s">
        <v>1619</v>
      </c>
      <c r="DN1" t="s">
        <v>1620</v>
      </c>
      <c r="DO1" t="s">
        <v>836</v>
      </c>
      <c r="DP1" t="s">
        <v>2171</v>
      </c>
      <c r="DQ1" t="s">
        <v>2172</v>
      </c>
      <c r="DR1" t="s">
        <v>2173</v>
      </c>
      <c r="DS1" t="s">
        <v>2174</v>
      </c>
      <c r="DT1" t="s">
        <v>2175</v>
      </c>
      <c r="DU1" t="s">
        <v>2176</v>
      </c>
      <c r="DV1" t="s">
        <v>2177</v>
      </c>
      <c r="DW1" t="s">
        <v>837</v>
      </c>
      <c r="DX1" t="s">
        <v>834</v>
      </c>
      <c r="DY1" t="s">
        <v>826</v>
      </c>
      <c r="DZ1" t="s">
        <v>824</v>
      </c>
      <c r="EA1" t="s">
        <v>827</v>
      </c>
      <c r="EB1" t="s">
        <v>825</v>
      </c>
      <c r="EC1" t="s">
        <v>3437</v>
      </c>
      <c r="ED1" t="s">
        <v>835</v>
      </c>
      <c r="EE1" t="s">
        <v>828</v>
      </c>
      <c r="EF1" t="s">
        <v>829</v>
      </c>
      <c r="EG1" t="s">
        <v>830</v>
      </c>
      <c r="EH1" t="s">
        <v>831</v>
      </c>
      <c r="EI1" t="s">
        <v>832</v>
      </c>
      <c r="EJ1" t="s">
        <v>833</v>
      </c>
      <c r="EK1" t="s">
        <v>1625</v>
      </c>
      <c r="EL1" t="s">
        <v>1626</v>
      </c>
      <c r="EM1" t="s">
        <v>1623</v>
      </c>
      <c r="EN1" t="s">
        <v>1624</v>
      </c>
      <c r="EO1" t="s">
        <v>1881</v>
      </c>
      <c r="EP1" t="s">
        <v>1882</v>
      </c>
      <c r="EQ1" t="s">
        <v>2442</v>
      </c>
      <c r="ER1" t="s">
        <v>2490</v>
      </c>
      <c r="ES1" t="s">
        <v>2446</v>
      </c>
      <c r="ET1" t="s">
        <v>2448</v>
      </c>
      <c r="EU1" t="s">
        <v>2449</v>
      </c>
      <c r="EV1" t="s">
        <v>2450</v>
      </c>
      <c r="EW1" t="s">
        <v>2451</v>
      </c>
      <c r="EX1" t="s">
        <v>2452</v>
      </c>
      <c r="EY1" t="s">
        <v>2453</v>
      </c>
      <c r="EZ1" t="s">
        <v>2454</v>
      </c>
      <c r="FA1" t="s">
        <v>2455</v>
      </c>
      <c r="FB1" t="s">
        <v>2456</v>
      </c>
      <c r="FC1" t="s">
        <v>2457</v>
      </c>
      <c r="FD1" t="s">
        <v>2458</v>
      </c>
      <c r="FE1" t="s">
        <v>2459</v>
      </c>
      <c r="FF1" t="s">
        <v>2460</v>
      </c>
      <c r="FG1" t="s">
        <v>2461</v>
      </c>
      <c r="FH1" t="s">
        <v>2462</v>
      </c>
      <c r="FI1" t="s">
        <v>2463</v>
      </c>
      <c r="FJ1" t="s">
        <v>2464</v>
      </c>
      <c r="FK1" t="s">
        <v>2465</v>
      </c>
      <c r="FL1" t="s">
        <v>2466</v>
      </c>
      <c r="FM1" t="s">
        <v>2447</v>
      </c>
      <c r="FN1" t="s">
        <v>2467</v>
      </c>
      <c r="FO1" t="s">
        <v>2468</v>
      </c>
      <c r="FP1" t="s">
        <v>2469</v>
      </c>
      <c r="FQ1" t="s">
        <v>2470</v>
      </c>
      <c r="FR1" t="s">
        <v>2471</v>
      </c>
      <c r="FS1" t="s">
        <v>2472</v>
      </c>
      <c r="FT1" t="s">
        <v>2473</v>
      </c>
      <c r="FU1" t="s">
        <v>2474</v>
      </c>
      <c r="FV1" t="s">
        <v>2475</v>
      </c>
      <c r="FW1" t="s">
        <v>2476</v>
      </c>
      <c r="FX1" t="s">
        <v>2477</v>
      </c>
      <c r="FY1" t="s">
        <v>2478</v>
      </c>
      <c r="FZ1" t="s">
        <v>2479</v>
      </c>
      <c r="GA1" t="s">
        <v>2480</v>
      </c>
      <c r="GB1" t="s">
        <v>2481</v>
      </c>
      <c r="GC1" t="s">
        <v>2482</v>
      </c>
      <c r="GD1" t="s">
        <v>2483</v>
      </c>
      <c r="GE1" t="s">
        <v>2484</v>
      </c>
      <c r="GF1" t="s">
        <v>2485</v>
      </c>
      <c r="GG1" t="s">
        <v>2178</v>
      </c>
      <c r="GH1" t="s">
        <v>2179</v>
      </c>
      <c r="GI1" t="s">
        <v>2180</v>
      </c>
      <c r="GJ1" t="s">
        <v>2181</v>
      </c>
      <c r="GK1" t="s">
        <v>2182</v>
      </c>
      <c r="GL1" t="s">
        <v>2183</v>
      </c>
      <c r="GM1" t="s">
        <v>2184</v>
      </c>
      <c r="GN1" t="s">
        <v>2185</v>
      </c>
      <c r="GO1" t="s">
        <v>2186</v>
      </c>
      <c r="GP1" t="s">
        <v>1153</v>
      </c>
      <c r="GQ1" t="s">
        <v>1154</v>
      </c>
      <c r="GR1" t="s">
        <v>1155</v>
      </c>
      <c r="GS1" t="s">
        <v>1156</v>
      </c>
      <c r="GT1" t="s">
        <v>1157</v>
      </c>
      <c r="GU1" t="s">
        <v>1158</v>
      </c>
      <c r="GV1" t="s">
        <v>1159</v>
      </c>
      <c r="GW1" t="s">
        <v>1160</v>
      </c>
      <c r="GX1" t="s">
        <v>1161</v>
      </c>
      <c r="GY1" t="s">
        <v>1681</v>
      </c>
      <c r="GZ1" t="s">
        <v>1682</v>
      </c>
      <c r="HA1" t="s">
        <v>1683</v>
      </c>
      <c r="HB1" t="s">
        <v>1684</v>
      </c>
      <c r="HC1" s="116" t="s">
        <v>1650</v>
      </c>
      <c r="HD1" t="s">
        <v>3438</v>
      </c>
      <c r="HE1" t="s">
        <v>1162</v>
      </c>
      <c r="HF1" t="s">
        <v>1163</v>
      </c>
      <c r="HG1" t="s">
        <v>1164</v>
      </c>
      <c r="HH1" t="s">
        <v>1165</v>
      </c>
      <c r="HI1" t="s">
        <v>1166</v>
      </c>
      <c r="HJ1" t="s">
        <v>1586</v>
      </c>
      <c r="HK1" t="s">
        <v>1677</v>
      </c>
      <c r="HL1" t="s">
        <v>1678</v>
      </c>
      <c r="HM1" t="s">
        <v>1679</v>
      </c>
      <c r="HN1" t="s">
        <v>1680</v>
      </c>
      <c r="HO1" t="s">
        <v>1167</v>
      </c>
      <c r="HP1" t="s">
        <v>1168</v>
      </c>
      <c r="HQ1" t="s">
        <v>2407</v>
      </c>
      <c r="HR1" t="s">
        <v>1169</v>
      </c>
      <c r="HS1" t="s">
        <v>1170</v>
      </c>
      <c r="HT1" t="s">
        <v>1171</v>
      </c>
      <c r="HU1" t="s">
        <v>1172</v>
      </c>
      <c r="HV1" t="s">
        <v>1173</v>
      </c>
      <c r="HW1" t="s">
        <v>1174</v>
      </c>
      <c r="HX1" t="s">
        <v>1175</v>
      </c>
      <c r="HY1" t="s">
        <v>1176</v>
      </c>
      <c r="HZ1" t="s">
        <v>1177</v>
      </c>
      <c r="IA1" t="s">
        <v>1178</v>
      </c>
      <c r="IB1" t="s">
        <v>1588</v>
      </c>
      <c r="IC1" s="116" t="s">
        <v>2187</v>
      </c>
      <c r="ID1" s="116" t="s">
        <v>2188</v>
      </c>
      <c r="IE1" s="116" t="s">
        <v>2189</v>
      </c>
      <c r="IF1" s="116" t="s">
        <v>2190</v>
      </c>
      <c r="IG1" s="116" t="s">
        <v>2191</v>
      </c>
      <c r="IH1" s="116" t="s">
        <v>2192</v>
      </c>
      <c r="II1" s="116" t="s">
        <v>2193</v>
      </c>
      <c r="IJ1" s="116" t="s">
        <v>2194</v>
      </c>
      <c r="IK1" s="116" t="s">
        <v>2195</v>
      </c>
      <c r="IL1" t="s">
        <v>1353</v>
      </c>
      <c r="IM1" t="s">
        <v>1354</v>
      </c>
      <c r="IN1" t="s">
        <v>1355</v>
      </c>
      <c r="IO1" t="s">
        <v>1356</v>
      </c>
      <c r="IP1" t="s">
        <v>1357</v>
      </c>
      <c r="IQ1" t="s">
        <v>1358</v>
      </c>
      <c r="IR1" t="s">
        <v>1359</v>
      </c>
      <c r="IS1" t="s">
        <v>1360</v>
      </c>
      <c r="IT1" t="s">
        <v>1361</v>
      </c>
      <c r="IU1" s="116" t="s">
        <v>1651</v>
      </c>
      <c r="IV1" t="s">
        <v>1362</v>
      </c>
      <c r="IW1" t="s">
        <v>1363</v>
      </c>
      <c r="IX1" t="s">
        <v>1364</v>
      </c>
      <c r="IY1" t="s">
        <v>1365</v>
      </c>
      <c r="IZ1" t="s">
        <v>1366</v>
      </c>
      <c r="JA1" t="s">
        <v>1367</v>
      </c>
      <c r="JB1" t="s">
        <v>1587</v>
      </c>
      <c r="JC1" t="s">
        <v>1368</v>
      </c>
      <c r="JD1" t="s">
        <v>1369</v>
      </c>
      <c r="JE1" t="s">
        <v>2406</v>
      </c>
      <c r="JF1" t="s">
        <v>1370</v>
      </c>
      <c r="JG1" t="s">
        <v>1371</v>
      </c>
      <c r="JH1" t="s">
        <v>1372</v>
      </c>
      <c r="JI1" t="s">
        <v>1373</v>
      </c>
      <c r="JJ1" t="s">
        <v>1374</v>
      </c>
      <c r="JK1" t="s">
        <v>1375</v>
      </c>
      <c r="JL1" t="s">
        <v>1376</v>
      </c>
      <c r="JM1" t="s">
        <v>1377</v>
      </c>
      <c r="JN1" t="s">
        <v>1378</v>
      </c>
      <c r="JO1" t="s">
        <v>1685</v>
      </c>
      <c r="JP1" t="s">
        <v>1686</v>
      </c>
      <c r="JQ1" t="s">
        <v>1687</v>
      </c>
      <c r="JR1" t="s">
        <v>1688</v>
      </c>
      <c r="JS1" t="s">
        <v>1689</v>
      </c>
      <c r="JT1" t="s">
        <v>1690</v>
      </c>
      <c r="JU1" t="s">
        <v>1691</v>
      </c>
      <c r="JV1" t="s">
        <v>1692</v>
      </c>
      <c r="JW1" t="s">
        <v>1379</v>
      </c>
      <c r="JX1" t="s">
        <v>1589</v>
      </c>
      <c r="JY1" s="116" t="s">
        <v>2196</v>
      </c>
      <c r="JZ1" s="116" t="s">
        <v>2197</v>
      </c>
      <c r="KA1" s="116" t="s">
        <v>2198</v>
      </c>
      <c r="KB1" s="116" t="s">
        <v>2199</v>
      </c>
      <c r="KC1" s="116" t="s">
        <v>2200</v>
      </c>
      <c r="KD1" s="116" t="s">
        <v>2201</v>
      </c>
      <c r="KE1" s="116" t="s">
        <v>2202</v>
      </c>
      <c r="KF1" s="116" t="s">
        <v>2203</v>
      </c>
      <c r="KG1" s="116" t="s">
        <v>2204</v>
      </c>
      <c r="KH1" t="s">
        <v>1380</v>
      </c>
      <c r="KI1" t="s">
        <v>1381</v>
      </c>
      <c r="KJ1" t="s">
        <v>1382</v>
      </c>
      <c r="KK1" t="s">
        <v>1383</v>
      </c>
      <c r="KL1" t="s">
        <v>1384</v>
      </c>
      <c r="KM1" t="s">
        <v>1385</v>
      </c>
      <c r="KN1" t="s">
        <v>1386</v>
      </c>
      <c r="KO1" t="s">
        <v>1387</v>
      </c>
      <c r="KP1" t="s">
        <v>1388</v>
      </c>
      <c r="KQ1" s="116" t="s">
        <v>1652</v>
      </c>
      <c r="KR1" t="s">
        <v>1389</v>
      </c>
      <c r="KS1" t="s">
        <v>1390</v>
      </c>
      <c r="KT1" t="s">
        <v>1391</v>
      </c>
      <c r="KU1" t="s">
        <v>1392</v>
      </c>
      <c r="KV1" t="s">
        <v>1393</v>
      </c>
      <c r="KW1" t="s">
        <v>1394</v>
      </c>
      <c r="KX1" t="s">
        <v>1395</v>
      </c>
      <c r="KY1" t="s">
        <v>1396</v>
      </c>
      <c r="KZ1" t="s">
        <v>1397</v>
      </c>
      <c r="LA1" t="s">
        <v>1398</v>
      </c>
      <c r="LB1" t="s">
        <v>1399</v>
      </c>
      <c r="LC1" t="s">
        <v>1400</v>
      </c>
      <c r="LD1" t="s">
        <v>1401</v>
      </c>
      <c r="LE1" t="s">
        <v>1402</v>
      </c>
      <c r="LF1" t="s">
        <v>1403</v>
      </c>
      <c r="LG1" t="s">
        <v>1404</v>
      </c>
      <c r="LH1" t="s">
        <v>1405</v>
      </c>
      <c r="LI1" t="s">
        <v>1406</v>
      </c>
      <c r="LJ1" t="s">
        <v>1407</v>
      </c>
      <c r="LK1" t="s">
        <v>1408</v>
      </c>
      <c r="LL1" t="s">
        <v>1693</v>
      </c>
      <c r="LM1" t="s">
        <v>1694</v>
      </c>
      <c r="LN1" t="s">
        <v>1695</v>
      </c>
      <c r="LO1" t="s">
        <v>1696</v>
      </c>
      <c r="LP1" t="s">
        <v>1697</v>
      </c>
      <c r="LQ1" t="s">
        <v>1698</v>
      </c>
      <c r="LR1" t="s">
        <v>1699</v>
      </c>
      <c r="LS1" t="s">
        <v>1700</v>
      </c>
      <c r="LT1" t="s">
        <v>1590</v>
      </c>
      <c r="LU1" s="116" t="s">
        <v>2205</v>
      </c>
      <c r="LV1" s="116" t="s">
        <v>2206</v>
      </c>
      <c r="LW1" s="116" t="s">
        <v>2207</v>
      </c>
      <c r="LX1" s="116" t="s">
        <v>2208</v>
      </c>
      <c r="LY1" s="116" t="s">
        <v>2209</v>
      </c>
      <c r="LZ1" s="116" t="s">
        <v>2210</v>
      </c>
      <c r="MA1" s="116" t="s">
        <v>2211</v>
      </c>
      <c r="MB1" s="116" t="s">
        <v>2212</v>
      </c>
      <c r="MC1" s="116" t="s">
        <v>2213</v>
      </c>
      <c r="MD1" t="s">
        <v>1409</v>
      </c>
      <c r="ME1" t="s">
        <v>1410</v>
      </c>
      <c r="MF1" t="s">
        <v>1411</v>
      </c>
      <c r="MG1" t="s">
        <v>1412</v>
      </c>
      <c r="MH1" t="s">
        <v>1413</v>
      </c>
      <c r="MI1" t="s">
        <v>1414</v>
      </c>
      <c r="MJ1" t="s">
        <v>1415</v>
      </c>
      <c r="MK1" t="s">
        <v>1416</v>
      </c>
      <c r="ML1" t="s">
        <v>1417</v>
      </c>
      <c r="MM1" s="116" t="s">
        <v>1653</v>
      </c>
      <c r="MN1" t="s">
        <v>1418</v>
      </c>
      <c r="MO1" t="s">
        <v>1419</v>
      </c>
      <c r="MP1" t="s">
        <v>1420</v>
      </c>
      <c r="MQ1" t="s">
        <v>1421</v>
      </c>
      <c r="MR1" t="s">
        <v>1422</v>
      </c>
      <c r="MS1" t="s">
        <v>1423</v>
      </c>
      <c r="MT1" t="s">
        <v>1424</v>
      </c>
      <c r="MU1" t="s">
        <v>1425</v>
      </c>
      <c r="MV1" t="s">
        <v>1426</v>
      </c>
      <c r="MW1" t="s">
        <v>1427</v>
      </c>
      <c r="MX1" t="s">
        <v>1428</v>
      </c>
      <c r="MY1" t="s">
        <v>1429</v>
      </c>
      <c r="MZ1" t="s">
        <v>1430</v>
      </c>
      <c r="NA1" t="s">
        <v>1431</v>
      </c>
      <c r="NB1" t="s">
        <v>2405</v>
      </c>
      <c r="NC1" t="s">
        <v>1432</v>
      </c>
      <c r="ND1" t="s">
        <v>1433</v>
      </c>
      <c r="NE1" t="s">
        <v>1434</v>
      </c>
      <c r="NF1" t="s">
        <v>1435</v>
      </c>
      <c r="NG1" t="s">
        <v>1701</v>
      </c>
      <c r="NH1" t="s">
        <v>1702</v>
      </c>
      <c r="NI1" t="s">
        <v>1703</v>
      </c>
      <c r="NJ1" t="s">
        <v>1704</v>
      </c>
      <c r="NK1" t="s">
        <v>1705</v>
      </c>
      <c r="NL1" t="s">
        <v>1706</v>
      </c>
      <c r="NM1" t="s">
        <v>1707</v>
      </c>
      <c r="NN1" t="s">
        <v>1708</v>
      </c>
      <c r="NO1" t="s">
        <v>1436</v>
      </c>
      <c r="NP1" t="s">
        <v>1591</v>
      </c>
      <c r="NQ1" s="116" t="s">
        <v>2214</v>
      </c>
      <c r="NR1" s="116" t="s">
        <v>2215</v>
      </c>
      <c r="NS1" s="116" t="s">
        <v>2216</v>
      </c>
      <c r="NT1" s="116" t="s">
        <v>2217</v>
      </c>
      <c r="NU1" s="116" t="s">
        <v>2218</v>
      </c>
      <c r="NV1" s="116" t="s">
        <v>2219</v>
      </c>
      <c r="NW1" s="116" t="s">
        <v>2220</v>
      </c>
      <c r="NX1" s="116" t="s">
        <v>2221</v>
      </c>
      <c r="NY1" s="116" t="s">
        <v>2222</v>
      </c>
      <c r="NZ1" t="s">
        <v>1437</v>
      </c>
      <c r="OA1" t="s">
        <v>1438</v>
      </c>
      <c r="OB1" t="s">
        <v>1439</v>
      </c>
      <c r="OC1" t="s">
        <v>1440</v>
      </c>
      <c r="OD1" t="s">
        <v>1441</v>
      </c>
      <c r="OE1" t="s">
        <v>1442</v>
      </c>
      <c r="OF1" t="s">
        <v>1443</v>
      </c>
      <c r="OG1" t="s">
        <v>1444</v>
      </c>
      <c r="OH1" t="s">
        <v>1445</v>
      </c>
      <c r="OI1" s="116" t="s">
        <v>1654</v>
      </c>
      <c r="OJ1" t="s">
        <v>1446</v>
      </c>
      <c r="OK1" t="s">
        <v>1447</v>
      </c>
      <c r="OL1" t="s">
        <v>1448</v>
      </c>
      <c r="OM1" t="s">
        <v>1449</v>
      </c>
      <c r="ON1" t="s">
        <v>1450</v>
      </c>
      <c r="OO1" t="s">
        <v>1451</v>
      </c>
      <c r="OP1" t="s">
        <v>1452</v>
      </c>
      <c r="OQ1" t="s">
        <v>1453</v>
      </c>
      <c r="OR1" t="s">
        <v>1454</v>
      </c>
      <c r="OS1" t="s">
        <v>1455</v>
      </c>
      <c r="OT1" t="s">
        <v>1456</v>
      </c>
      <c r="OU1" t="s">
        <v>1457</v>
      </c>
      <c r="OV1" t="s">
        <v>1458</v>
      </c>
      <c r="OW1" t="s">
        <v>1459</v>
      </c>
      <c r="OX1" t="s">
        <v>1460</v>
      </c>
      <c r="OY1" t="s">
        <v>1461</v>
      </c>
      <c r="OZ1" t="s">
        <v>1462</v>
      </c>
      <c r="PA1" t="s">
        <v>1463</v>
      </c>
      <c r="PB1" t="s">
        <v>1464</v>
      </c>
      <c r="PC1" t="s">
        <v>1709</v>
      </c>
      <c r="PD1" t="s">
        <v>1710</v>
      </c>
      <c r="PE1" t="s">
        <v>1711</v>
      </c>
      <c r="PF1" t="s">
        <v>1712</v>
      </c>
      <c r="PG1" t="s">
        <v>1713</v>
      </c>
      <c r="PH1" t="s">
        <v>1714</v>
      </c>
      <c r="PI1" t="s">
        <v>1715</v>
      </c>
      <c r="PJ1" t="s">
        <v>1716</v>
      </c>
      <c r="PK1" t="s">
        <v>1465</v>
      </c>
      <c r="PL1" t="s">
        <v>1612</v>
      </c>
      <c r="PM1" t="s">
        <v>2223</v>
      </c>
      <c r="PN1" t="s">
        <v>2224</v>
      </c>
      <c r="PO1" t="s">
        <v>2225</v>
      </c>
      <c r="PP1" t="s">
        <v>2226</v>
      </c>
      <c r="PQ1" t="s">
        <v>2227</v>
      </c>
      <c r="PR1" t="s">
        <v>2228</v>
      </c>
      <c r="PS1" t="s">
        <v>2229</v>
      </c>
      <c r="PT1" t="s">
        <v>2230</v>
      </c>
      <c r="PU1" t="s">
        <v>2231</v>
      </c>
      <c r="PV1" t="s">
        <v>1466</v>
      </c>
      <c r="PW1" t="s">
        <v>1467</v>
      </c>
      <c r="PX1" t="s">
        <v>1468</v>
      </c>
      <c r="PY1" t="s">
        <v>1469</v>
      </c>
      <c r="PZ1" t="s">
        <v>1470</v>
      </c>
      <c r="QA1" t="s">
        <v>1471</v>
      </c>
      <c r="QB1" t="s">
        <v>1472</v>
      </c>
      <c r="QC1" t="s">
        <v>1473</v>
      </c>
      <c r="QD1" t="s">
        <v>1474</v>
      </c>
      <c r="QE1" s="116" t="s">
        <v>1655</v>
      </c>
      <c r="QF1" t="s">
        <v>1475</v>
      </c>
      <c r="QG1" t="s">
        <v>1476</v>
      </c>
      <c r="QH1" t="s">
        <v>1477</v>
      </c>
      <c r="QI1" t="s">
        <v>1478</v>
      </c>
      <c r="QJ1" t="s">
        <v>1479</v>
      </c>
      <c r="QK1" t="s">
        <v>1480</v>
      </c>
      <c r="QL1" t="s">
        <v>1481</v>
      </c>
      <c r="QM1" t="s">
        <v>1482</v>
      </c>
      <c r="QN1" t="s">
        <v>1483</v>
      </c>
      <c r="QO1" t="s">
        <v>1484</v>
      </c>
      <c r="QP1" t="s">
        <v>1485</v>
      </c>
      <c r="QQ1" t="s">
        <v>1486</v>
      </c>
      <c r="QR1" t="s">
        <v>1487</v>
      </c>
      <c r="QS1" t="s">
        <v>1488</v>
      </c>
      <c r="QT1" t="s">
        <v>1489</v>
      </c>
      <c r="QU1" t="s">
        <v>1490</v>
      </c>
      <c r="QV1" t="s">
        <v>1491</v>
      </c>
      <c r="QW1" t="s">
        <v>1492</v>
      </c>
      <c r="QX1" t="s">
        <v>1493</v>
      </c>
      <c r="QY1" t="s">
        <v>1717</v>
      </c>
      <c r="QZ1" t="s">
        <v>1718</v>
      </c>
      <c r="RA1" t="s">
        <v>1719</v>
      </c>
      <c r="RB1" t="s">
        <v>1720</v>
      </c>
      <c r="RC1" t="s">
        <v>1721</v>
      </c>
      <c r="RD1" t="s">
        <v>1722</v>
      </c>
      <c r="RE1" t="s">
        <v>1723</v>
      </c>
      <c r="RF1" t="s">
        <v>1724</v>
      </c>
      <c r="RG1" t="s">
        <v>1494</v>
      </c>
      <c r="RH1" t="s">
        <v>1611</v>
      </c>
      <c r="RI1" s="116" t="s">
        <v>2232</v>
      </c>
      <c r="RJ1" s="116" t="s">
        <v>2233</v>
      </c>
      <c r="RK1" s="116" t="s">
        <v>2234</v>
      </c>
      <c r="RL1" s="116" t="s">
        <v>2235</v>
      </c>
      <c r="RM1" s="116" t="s">
        <v>2236</v>
      </c>
      <c r="RN1" s="116" t="s">
        <v>2237</v>
      </c>
      <c r="RO1" s="116" t="s">
        <v>2238</v>
      </c>
      <c r="RP1" s="116" t="s">
        <v>2239</v>
      </c>
      <c r="RQ1" s="116" t="s">
        <v>2240</v>
      </c>
      <c r="RR1" t="s">
        <v>1495</v>
      </c>
      <c r="RS1" t="s">
        <v>1496</v>
      </c>
      <c r="RT1" t="s">
        <v>1497</v>
      </c>
      <c r="RU1" t="s">
        <v>1498</v>
      </c>
      <c r="RV1" t="s">
        <v>1499</v>
      </c>
      <c r="RW1" t="s">
        <v>1500</v>
      </c>
      <c r="RX1" t="s">
        <v>1501</v>
      </c>
      <c r="RY1" t="s">
        <v>1502</v>
      </c>
      <c r="RZ1" t="s">
        <v>1503</v>
      </c>
      <c r="SA1" s="116" t="s">
        <v>1656</v>
      </c>
      <c r="SB1" t="s">
        <v>1504</v>
      </c>
      <c r="SC1" t="s">
        <v>1505</v>
      </c>
      <c r="SD1" t="s">
        <v>1506</v>
      </c>
      <c r="SE1" t="s">
        <v>1507</v>
      </c>
      <c r="SF1" t="s">
        <v>1508</v>
      </c>
      <c r="SG1" t="s">
        <v>1509</v>
      </c>
      <c r="SH1" t="s">
        <v>1510</v>
      </c>
      <c r="SI1" t="s">
        <v>1511</v>
      </c>
      <c r="SJ1" t="s">
        <v>1512</v>
      </c>
      <c r="SK1" t="s">
        <v>1513</v>
      </c>
      <c r="SL1" t="s">
        <v>1514</v>
      </c>
      <c r="SM1" t="s">
        <v>1515</v>
      </c>
      <c r="SN1" t="s">
        <v>1516</v>
      </c>
      <c r="SO1" t="s">
        <v>1517</v>
      </c>
      <c r="SP1" t="s">
        <v>1518</v>
      </c>
      <c r="SQ1" t="s">
        <v>1519</v>
      </c>
      <c r="SR1" t="s">
        <v>1520</v>
      </c>
      <c r="SS1" t="s">
        <v>1521</v>
      </c>
      <c r="ST1" t="s">
        <v>1522</v>
      </c>
      <c r="SU1" t="s">
        <v>1725</v>
      </c>
      <c r="SV1" t="s">
        <v>1726</v>
      </c>
      <c r="SW1" t="s">
        <v>1727</v>
      </c>
      <c r="SX1" t="s">
        <v>1728</v>
      </c>
      <c r="SY1" t="s">
        <v>1729</v>
      </c>
      <c r="SZ1" t="s">
        <v>1730</v>
      </c>
      <c r="TA1" t="s">
        <v>1731</v>
      </c>
      <c r="TB1" t="s">
        <v>1732</v>
      </c>
      <c r="TC1" t="s">
        <v>1523</v>
      </c>
      <c r="TD1" t="s">
        <v>1610</v>
      </c>
      <c r="TE1" s="116" t="s">
        <v>2241</v>
      </c>
      <c r="TF1" s="116" t="s">
        <v>2242</v>
      </c>
      <c r="TG1" s="116" t="s">
        <v>2243</v>
      </c>
      <c r="TH1" s="116" t="s">
        <v>2244</v>
      </c>
      <c r="TI1" s="116" t="s">
        <v>2245</v>
      </c>
      <c r="TJ1" s="116" t="s">
        <v>2246</v>
      </c>
      <c r="TK1" s="116" t="s">
        <v>2247</v>
      </c>
      <c r="TL1" s="116" t="s">
        <v>2248</v>
      </c>
      <c r="TM1" s="116" t="s">
        <v>2249</v>
      </c>
      <c r="TN1" t="s">
        <v>1524</v>
      </c>
      <c r="TO1" t="s">
        <v>1525</v>
      </c>
      <c r="TP1" t="s">
        <v>1526</v>
      </c>
      <c r="TQ1" t="s">
        <v>1527</v>
      </c>
      <c r="TR1" t="s">
        <v>1528</v>
      </c>
      <c r="TS1" t="s">
        <v>1529</v>
      </c>
      <c r="TT1" t="s">
        <v>1530</v>
      </c>
      <c r="TU1" t="s">
        <v>1531</v>
      </c>
      <c r="TV1" t="s">
        <v>1532</v>
      </c>
      <c r="TW1" s="116" t="s">
        <v>1657</v>
      </c>
      <c r="TX1" t="s">
        <v>1533</v>
      </c>
      <c r="TY1" t="s">
        <v>1534</v>
      </c>
      <c r="TZ1" t="s">
        <v>1535</v>
      </c>
      <c r="UA1" t="s">
        <v>1536</v>
      </c>
      <c r="UB1" t="s">
        <v>1537</v>
      </c>
      <c r="UC1" t="s">
        <v>1538</v>
      </c>
      <c r="UD1" t="s">
        <v>1539</v>
      </c>
      <c r="UE1" t="s">
        <v>1540</v>
      </c>
      <c r="UF1" t="s">
        <v>1541</v>
      </c>
      <c r="UG1" t="s">
        <v>1542</v>
      </c>
      <c r="UH1" t="s">
        <v>1543</v>
      </c>
      <c r="UI1" t="s">
        <v>1544</v>
      </c>
      <c r="UJ1" t="s">
        <v>1545</v>
      </c>
      <c r="UK1" t="s">
        <v>1546</v>
      </c>
      <c r="UL1" t="s">
        <v>1547</v>
      </c>
      <c r="UM1" t="s">
        <v>1548</v>
      </c>
      <c r="UN1" t="s">
        <v>1549</v>
      </c>
      <c r="UO1" t="s">
        <v>1550</v>
      </c>
      <c r="UP1" t="s">
        <v>1551</v>
      </c>
      <c r="UQ1" t="s">
        <v>1733</v>
      </c>
      <c r="UR1" t="s">
        <v>1734</v>
      </c>
      <c r="US1" t="s">
        <v>1735</v>
      </c>
      <c r="UT1" t="s">
        <v>1736</v>
      </c>
      <c r="UU1" t="s">
        <v>1737</v>
      </c>
      <c r="UV1" t="s">
        <v>1738</v>
      </c>
      <c r="UW1" t="s">
        <v>1739</v>
      </c>
      <c r="UX1" t="s">
        <v>1740</v>
      </c>
      <c r="UY1" t="s">
        <v>1552</v>
      </c>
      <c r="UZ1" t="s">
        <v>1609</v>
      </c>
      <c r="VA1" s="116" t="s">
        <v>2250</v>
      </c>
      <c r="VB1" s="116" t="s">
        <v>2251</v>
      </c>
      <c r="VC1" s="116" t="s">
        <v>2252</v>
      </c>
      <c r="VD1" s="116" t="s">
        <v>2253</v>
      </c>
      <c r="VE1" s="116" t="s">
        <v>2254</v>
      </c>
      <c r="VF1" s="116" t="s">
        <v>2255</v>
      </c>
      <c r="VG1" s="116" t="s">
        <v>2256</v>
      </c>
      <c r="VH1" s="116" t="s">
        <v>2257</v>
      </c>
      <c r="VI1" s="116" t="s">
        <v>2258</v>
      </c>
      <c r="VJ1" t="s">
        <v>1553</v>
      </c>
      <c r="VK1" t="s">
        <v>1554</v>
      </c>
      <c r="VL1" t="s">
        <v>1555</v>
      </c>
      <c r="VM1" t="s">
        <v>1556</v>
      </c>
      <c r="VN1" t="s">
        <v>1557</v>
      </c>
      <c r="VO1" t="s">
        <v>1558</v>
      </c>
      <c r="VP1" t="s">
        <v>1559</v>
      </c>
      <c r="VQ1" t="s">
        <v>1560</v>
      </c>
      <c r="VR1" t="s">
        <v>1561</v>
      </c>
      <c r="VS1" s="116" t="s">
        <v>1658</v>
      </c>
      <c r="VT1" t="s">
        <v>1562</v>
      </c>
      <c r="VU1" t="s">
        <v>1563</v>
      </c>
      <c r="VV1" t="s">
        <v>1564</v>
      </c>
      <c r="VW1" t="s">
        <v>1565</v>
      </c>
      <c r="VX1" t="s">
        <v>1566</v>
      </c>
      <c r="VY1" t="s">
        <v>1567</v>
      </c>
      <c r="VZ1" t="s">
        <v>1568</v>
      </c>
      <c r="WA1" t="s">
        <v>1569</v>
      </c>
      <c r="WB1" t="s">
        <v>1570</v>
      </c>
      <c r="WC1" t="s">
        <v>1571</v>
      </c>
      <c r="WD1" t="s">
        <v>1572</v>
      </c>
      <c r="WE1" t="s">
        <v>1573</v>
      </c>
      <c r="WF1" t="s">
        <v>1574</v>
      </c>
      <c r="WG1" t="s">
        <v>1575</v>
      </c>
      <c r="WH1" t="s">
        <v>1576</v>
      </c>
      <c r="WI1" t="s">
        <v>1577</v>
      </c>
      <c r="WJ1" t="s">
        <v>1578</v>
      </c>
      <c r="WK1" t="s">
        <v>1579</v>
      </c>
      <c r="WL1" t="s">
        <v>1580</v>
      </c>
      <c r="WM1" t="s">
        <v>1741</v>
      </c>
      <c r="WN1" t="s">
        <v>1742</v>
      </c>
      <c r="WO1" t="s">
        <v>1743</v>
      </c>
      <c r="WP1" t="s">
        <v>1744</v>
      </c>
      <c r="WQ1" t="s">
        <v>1745</v>
      </c>
      <c r="WR1" t="s">
        <v>1746</v>
      </c>
      <c r="WS1" t="s">
        <v>1747</v>
      </c>
      <c r="WT1" t="s">
        <v>1748</v>
      </c>
      <c r="WU1" t="s">
        <v>1581</v>
      </c>
      <c r="WV1" t="s">
        <v>1608</v>
      </c>
      <c r="WW1" s="116" t="s">
        <v>2259</v>
      </c>
      <c r="WX1" s="116" t="s">
        <v>2260</v>
      </c>
      <c r="WY1" s="116" t="s">
        <v>2261</v>
      </c>
      <c r="WZ1" s="116" t="s">
        <v>2262</v>
      </c>
      <c r="XA1" s="116" t="s">
        <v>2263</v>
      </c>
      <c r="XB1" s="116" t="s">
        <v>2264</v>
      </c>
      <c r="XC1" s="116" t="s">
        <v>2265</v>
      </c>
      <c r="XD1" s="116" t="s">
        <v>2266</v>
      </c>
      <c r="XE1" s="116" t="s">
        <v>2267</v>
      </c>
      <c r="XF1" t="s">
        <v>863</v>
      </c>
      <c r="XG1" t="s">
        <v>864</v>
      </c>
      <c r="XH1" t="s">
        <v>865</v>
      </c>
      <c r="XI1" t="s">
        <v>866</v>
      </c>
      <c r="XJ1" t="s">
        <v>867</v>
      </c>
      <c r="XK1" t="s">
        <v>868</v>
      </c>
      <c r="XL1" t="s">
        <v>869</v>
      </c>
      <c r="XM1" t="s">
        <v>870</v>
      </c>
      <c r="XN1" t="s">
        <v>871</v>
      </c>
      <c r="XO1" s="116" t="s">
        <v>1659</v>
      </c>
      <c r="XP1" t="s">
        <v>872</v>
      </c>
      <c r="XQ1" t="s">
        <v>873</v>
      </c>
      <c r="XR1" t="s">
        <v>874</v>
      </c>
      <c r="XS1" t="s">
        <v>875</v>
      </c>
      <c r="XT1" t="s">
        <v>876</v>
      </c>
      <c r="XU1" t="s">
        <v>877</v>
      </c>
      <c r="XV1" t="s">
        <v>878</v>
      </c>
      <c r="XW1" t="s">
        <v>879</v>
      </c>
      <c r="XX1" t="s">
        <v>880</v>
      </c>
      <c r="XY1" t="s">
        <v>881</v>
      </c>
      <c r="XZ1" t="s">
        <v>882</v>
      </c>
      <c r="YA1" t="s">
        <v>883</v>
      </c>
      <c r="YB1" t="s">
        <v>884</v>
      </c>
      <c r="YC1" t="s">
        <v>885</v>
      </c>
      <c r="YD1" t="s">
        <v>886</v>
      </c>
      <c r="YE1" t="s">
        <v>887</v>
      </c>
      <c r="YF1" t="s">
        <v>888</v>
      </c>
      <c r="YG1" t="s">
        <v>889</v>
      </c>
      <c r="YH1" t="s">
        <v>890</v>
      </c>
      <c r="YI1" t="s">
        <v>1749</v>
      </c>
      <c r="YJ1" t="s">
        <v>1750</v>
      </c>
      <c r="YK1" t="s">
        <v>1751</v>
      </c>
      <c r="YL1" t="s">
        <v>1752</v>
      </c>
      <c r="YM1" t="s">
        <v>1753</v>
      </c>
      <c r="YN1" t="s">
        <v>1754</v>
      </c>
      <c r="YO1" t="s">
        <v>1755</v>
      </c>
      <c r="YP1" t="s">
        <v>1756</v>
      </c>
      <c r="YQ1" t="s">
        <v>891</v>
      </c>
      <c r="YR1" t="s">
        <v>1607</v>
      </c>
      <c r="YS1" t="s">
        <v>2268</v>
      </c>
      <c r="YT1" t="s">
        <v>2269</v>
      </c>
      <c r="YU1" t="s">
        <v>2270</v>
      </c>
      <c r="YV1" t="s">
        <v>2271</v>
      </c>
      <c r="YW1" t="s">
        <v>2272</v>
      </c>
      <c r="YX1" t="s">
        <v>2273</v>
      </c>
      <c r="YY1" t="s">
        <v>2274</v>
      </c>
      <c r="YZ1" t="s">
        <v>2275</v>
      </c>
      <c r="ZA1" t="s">
        <v>2276</v>
      </c>
      <c r="ZB1" t="s">
        <v>892</v>
      </c>
      <c r="ZC1" t="s">
        <v>893</v>
      </c>
      <c r="ZD1" t="s">
        <v>894</v>
      </c>
      <c r="ZE1" t="s">
        <v>895</v>
      </c>
      <c r="ZF1" t="s">
        <v>896</v>
      </c>
      <c r="ZG1" t="s">
        <v>897</v>
      </c>
      <c r="ZH1" t="s">
        <v>898</v>
      </c>
      <c r="ZI1" t="s">
        <v>899</v>
      </c>
      <c r="ZJ1" t="s">
        <v>900</v>
      </c>
      <c r="ZK1" s="116" t="s">
        <v>1660</v>
      </c>
      <c r="ZL1" t="s">
        <v>901</v>
      </c>
      <c r="ZM1" t="s">
        <v>902</v>
      </c>
      <c r="ZN1" t="s">
        <v>903</v>
      </c>
      <c r="ZO1" t="s">
        <v>904</v>
      </c>
      <c r="ZP1" t="s">
        <v>905</v>
      </c>
      <c r="ZQ1" t="s">
        <v>906</v>
      </c>
      <c r="ZR1" t="s">
        <v>907</v>
      </c>
      <c r="ZS1" t="s">
        <v>908</v>
      </c>
      <c r="ZT1" t="s">
        <v>909</v>
      </c>
      <c r="ZU1" t="s">
        <v>910</v>
      </c>
      <c r="ZV1" t="s">
        <v>911</v>
      </c>
      <c r="ZW1" t="s">
        <v>912</v>
      </c>
      <c r="ZX1" t="s">
        <v>913</v>
      </c>
      <c r="ZY1" t="s">
        <v>914</v>
      </c>
      <c r="ZZ1" t="s">
        <v>915</v>
      </c>
      <c r="AAA1" t="s">
        <v>916</v>
      </c>
      <c r="AAB1" t="s">
        <v>917</v>
      </c>
      <c r="AAC1" t="s">
        <v>918</v>
      </c>
      <c r="AAD1" t="s">
        <v>919</v>
      </c>
      <c r="AAE1" t="s">
        <v>1757</v>
      </c>
      <c r="AAF1" t="s">
        <v>1758</v>
      </c>
      <c r="AAG1" t="s">
        <v>1759</v>
      </c>
      <c r="AAH1" t="s">
        <v>1760</v>
      </c>
      <c r="AAI1" t="s">
        <v>1761</v>
      </c>
      <c r="AAJ1" t="s">
        <v>1762</v>
      </c>
      <c r="AAK1" t="s">
        <v>1763</v>
      </c>
      <c r="AAL1" t="s">
        <v>1764</v>
      </c>
      <c r="AAM1" t="s">
        <v>920</v>
      </c>
      <c r="AAN1" t="s">
        <v>1606</v>
      </c>
      <c r="AAO1" s="116" t="s">
        <v>2277</v>
      </c>
      <c r="AAP1" s="116" t="s">
        <v>2278</v>
      </c>
      <c r="AAQ1" s="116" t="s">
        <v>2279</v>
      </c>
      <c r="AAR1" s="116" t="s">
        <v>2280</v>
      </c>
      <c r="AAS1" s="116" t="s">
        <v>2281</v>
      </c>
      <c r="AAT1" s="116" t="s">
        <v>2282</v>
      </c>
      <c r="AAU1" s="116" t="s">
        <v>2283</v>
      </c>
      <c r="AAV1" s="116" t="s">
        <v>2284</v>
      </c>
      <c r="AAW1" s="116" t="s">
        <v>2285</v>
      </c>
      <c r="AAX1" t="s">
        <v>921</v>
      </c>
      <c r="AAY1" t="s">
        <v>922</v>
      </c>
      <c r="AAZ1" t="s">
        <v>923</v>
      </c>
      <c r="ABA1" t="s">
        <v>924</v>
      </c>
      <c r="ABB1" t="s">
        <v>925</v>
      </c>
      <c r="ABC1" t="s">
        <v>926</v>
      </c>
      <c r="ABD1" t="s">
        <v>927</v>
      </c>
      <c r="ABE1" t="s">
        <v>928</v>
      </c>
      <c r="ABF1" t="s">
        <v>929</v>
      </c>
      <c r="ABG1" s="116" t="s">
        <v>1661</v>
      </c>
      <c r="ABH1" t="s">
        <v>930</v>
      </c>
      <c r="ABI1" t="s">
        <v>931</v>
      </c>
      <c r="ABJ1" t="s">
        <v>932</v>
      </c>
      <c r="ABK1" t="s">
        <v>933</v>
      </c>
      <c r="ABL1" t="s">
        <v>934</v>
      </c>
      <c r="ABM1" t="s">
        <v>935</v>
      </c>
      <c r="ABN1" t="s">
        <v>936</v>
      </c>
      <c r="ABO1" t="s">
        <v>937</v>
      </c>
      <c r="ABP1" t="s">
        <v>938</v>
      </c>
      <c r="ABQ1" t="s">
        <v>939</v>
      </c>
      <c r="ABR1" t="s">
        <v>940</v>
      </c>
      <c r="ABS1" t="s">
        <v>941</v>
      </c>
      <c r="ABT1" t="s">
        <v>942</v>
      </c>
      <c r="ABU1" t="s">
        <v>943</v>
      </c>
      <c r="ABV1" t="s">
        <v>944</v>
      </c>
      <c r="ABW1" t="s">
        <v>945</v>
      </c>
      <c r="ABX1" t="s">
        <v>946</v>
      </c>
      <c r="ABY1" t="s">
        <v>947</v>
      </c>
      <c r="ABZ1" t="s">
        <v>948</v>
      </c>
      <c r="ACA1" t="s">
        <v>1765</v>
      </c>
      <c r="ACB1" t="s">
        <v>1766</v>
      </c>
      <c r="ACC1" t="s">
        <v>1767</v>
      </c>
      <c r="ACD1" t="s">
        <v>1768</v>
      </c>
      <c r="ACE1" t="s">
        <v>1769</v>
      </c>
      <c r="ACF1" t="s">
        <v>1770</v>
      </c>
      <c r="ACG1" t="s">
        <v>1771</v>
      </c>
      <c r="ACH1" t="s">
        <v>1772</v>
      </c>
      <c r="ACI1" t="s">
        <v>949</v>
      </c>
      <c r="ACJ1" t="s">
        <v>1605</v>
      </c>
      <c r="ACK1" s="116" t="s">
        <v>2286</v>
      </c>
      <c r="ACL1" s="116" t="s">
        <v>2287</v>
      </c>
      <c r="ACM1" s="116" t="s">
        <v>2288</v>
      </c>
      <c r="ACN1" s="116" t="s">
        <v>2289</v>
      </c>
      <c r="ACO1" s="116" t="s">
        <v>2290</v>
      </c>
      <c r="ACP1" s="116" t="s">
        <v>2291</v>
      </c>
      <c r="ACQ1" s="116" t="s">
        <v>2292</v>
      </c>
      <c r="ACR1" s="116" t="s">
        <v>2293</v>
      </c>
      <c r="ACS1" s="116" t="s">
        <v>2294</v>
      </c>
      <c r="ACT1" t="s">
        <v>950</v>
      </c>
      <c r="ACU1" t="s">
        <v>951</v>
      </c>
      <c r="ACV1" t="s">
        <v>952</v>
      </c>
      <c r="ACW1" t="s">
        <v>953</v>
      </c>
      <c r="ACX1" t="s">
        <v>954</v>
      </c>
      <c r="ACY1" t="s">
        <v>955</v>
      </c>
      <c r="ACZ1" t="s">
        <v>956</v>
      </c>
      <c r="ADA1" t="s">
        <v>957</v>
      </c>
      <c r="ADB1" t="s">
        <v>958</v>
      </c>
      <c r="ADC1" s="116" t="s">
        <v>1662</v>
      </c>
      <c r="ADD1" t="s">
        <v>959</v>
      </c>
      <c r="ADE1" t="s">
        <v>960</v>
      </c>
      <c r="ADF1" t="s">
        <v>961</v>
      </c>
      <c r="ADG1" t="s">
        <v>962</v>
      </c>
      <c r="ADH1" t="s">
        <v>963</v>
      </c>
      <c r="ADI1" t="s">
        <v>964</v>
      </c>
      <c r="ADJ1" t="s">
        <v>965</v>
      </c>
      <c r="ADK1" t="s">
        <v>966</v>
      </c>
      <c r="ADL1" t="s">
        <v>967</v>
      </c>
      <c r="ADM1" t="s">
        <v>968</v>
      </c>
      <c r="ADN1" t="s">
        <v>969</v>
      </c>
      <c r="ADO1" t="s">
        <v>970</v>
      </c>
      <c r="ADP1" t="s">
        <v>971</v>
      </c>
      <c r="ADQ1" t="s">
        <v>972</v>
      </c>
      <c r="ADR1" t="s">
        <v>973</v>
      </c>
      <c r="ADS1" t="s">
        <v>974</v>
      </c>
      <c r="ADT1" t="s">
        <v>975</v>
      </c>
      <c r="ADU1" t="s">
        <v>976</v>
      </c>
      <c r="ADV1" t="s">
        <v>977</v>
      </c>
      <c r="ADW1" t="s">
        <v>1773</v>
      </c>
      <c r="ADX1" t="s">
        <v>1774</v>
      </c>
      <c r="ADY1" t="s">
        <v>1775</v>
      </c>
      <c r="ADZ1" t="s">
        <v>1776</v>
      </c>
      <c r="AEA1" t="s">
        <v>1777</v>
      </c>
      <c r="AEB1" t="s">
        <v>1778</v>
      </c>
      <c r="AEC1" t="s">
        <v>1779</v>
      </c>
      <c r="AED1" t="s">
        <v>1780</v>
      </c>
      <c r="AEE1" t="s">
        <v>978</v>
      </c>
      <c r="AEF1" t="s">
        <v>1604</v>
      </c>
      <c r="AEG1" s="116" t="s">
        <v>2295</v>
      </c>
      <c r="AEH1" s="116" t="s">
        <v>2296</v>
      </c>
      <c r="AEI1" s="116" t="s">
        <v>2297</v>
      </c>
      <c r="AEJ1" s="116" t="s">
        <v>2298</v>
      </c>
      <c r="AEK1" s="116" t="s">
        <v>2299</v>
      </c>
      <c r="AEL1" s="116" t="s">
        <v>2300</v>
      </c>
      <c r="AEM1" s="116" t="s">
        <v>2301</v>
      </c>
      <c r="AEN1" s="116" t="s">
        <v>2302</v>
      </c>
      <c r="AEO1" s="116" t="s">
        <v>2303</v>
      </c>
      <c r="AEP1" t="s">
        <v>979</v>
      </c>
      <c r="AEQ1" t="s">
        <v>980</v>
      </c>
      <c r="AER1" t="s">
        <v>981</v>
      </c>
      <c r="AES1" t="s">
        <v>982</v>
      </c>
      <c r="AET1" t="s">
        <v>983</v>
      </c>
      <c r="AEU1" t="s">
        <v>984</v>
      </c>
      <c r="AEV1" t="s">
        <v>985</v>
      </c>
      <c r="AEW1" t="s">
        <v>986</v>
      </c>
      <c r="AEX1" t="s">
        <v>987</v>
      </c>
      <c r="AEY1" s="116" t="s">
        <v>1663</v>
      </c>
      <c r="AEZ1" t="s">
        <v>988</v>
      </c>
      <c r="AFA1" t="s">
        <v>989</v>
      </c>
      <c r="AFB1" t="s">
        <v>990</v>
      </c>
      <c r="AFC1" t="s">
        <v>991</v>
      </c>
      <c r="AFD1" t="s">
        <v>992</v>
      </c>
      <c r="AFE1" t="s">
        <v>993</v>
      </c>
      <c r="AFF1" t="s">
        <v>994</v>
      </c>
      <c r="AFG1" t="s">
        <v>995</v>
      </c>
      <c r="AFH1" t="s">
        <v>996</v>
      </c>
      <c r="AFI1" t="s">
        <v>997</v>
      </c>
      <c r="AFJ1" t="s">
        <v>998</v>
      </c>
      <c r="AFK1" t="s">
        <v>999</v>
      </c>
      <c r="AFL1" t="s">
        <v>1000</v>
      </c>
      <c r="AFM1" t="s">
        <v>1001</v>
      </c>
      <c r="AFN1" t="s">
        <v>1002</v>
      </c>
      <c r="AFO1" t="s">
        <v>1003</v>
      </c>
      <c r="AFP1" t="s">
        <v>1004</v>
      </c>
      <c r="AFQ1" t="s">
        <v>1005</v>
      </c>
      <c r="AFR1" t="s">
        <v>1006</v>
      </c>
      <c r="AFS1" t="s">
        <v>1781</v>
      </c>
      <c r="AFT1" t="s">
        <v>1782</v>
      </c>
      <c r="AFU1" t="s">
        <v>1783</v>
      </c>
      <c r="AFV1" t="s">
        <v>1784</v>
      </c>
      <c r="AFW1" t="s">
        <v>1785</v>
      </c>
      <c r="AFX1" t="s">
        <v>1786</v>
      </c>
      <c r="AFY1" t="s">
        <v>1787</v>
      </c>
      <c r="AFZ1" t="s">
        <v>1788</v>
      </c>
      <c r="AGA1" t="s">
        <v>1007</v>
      </c>
      <c r="AGB1" t="s">
        <v>1603</v>
      </c>
      <c r="AGC1" s="116" t="s">
        <v>2304</v>
      </c>
      <c r="AGD1" s="116" t="s">
        <v>2305</v>
      </c>
      <c r="AGE1" s="116" t="s">
        <v>2306</v>
      </c>
      <c r="AGF1" s="116" t="s">
        <v>2307</v>
      </c>
      <c r="AGG1" s="116" t="s">
        <v>2308</v>
      </c>
      <c r="AGH1" s="116" t="s">
        <v>2309</v>
      </c>
      <c r="AGI1" s="116" t="s">
        <v>2310</v>
      </c>
      <c r="AGJ1" s="116" t="s">
        <v>2311</v>
      </c>
      <c r="AGK1" s="116" t="s">
        <v>2312</v>
      </c>
      <c r="AGL1" t="s">
        <v>1008</v>
      </c>
      <c r="AGM1" t="s">
        <v>1009</v>
      </c>
      <c r="AGN1" t="s">
        <v>1010</v>
      </c>
      <c r="AGO1" t="s">
        <v>1011</v>
      </c>
      <c r="AGP1" t="s">
        <v>1012</v>
      </c>
      <c r="AGQ1" t="s">
        <v>1013</v>
      </c>
      <c r="AGR1" t="s">
        <v>1014</v>
      </c>
      <c r="AGS1" t="s">
        <v>1015</v>
      </c>
      <c r="AGT1" t="s">
        <v>1016</v>
      </c>
      <c r="AGU1" s="116" t="s">
        <v>1664</v>
      </c>
      <c r="AGV1" t="s">
        <v>1017</v>
      </c>
      <c r="AGW1" t="s">
        <v>1018</v>
      </c>
      <c r="AGX1" t="s">
        <v>1019</v>
      </c>
      <c r="AGY1" t="s">
        <v>1020</v>
      </c>
      <c r="AGZ1" t="s">
        <v>1021</v>
      </c>
      <c r="AHA1" t="s">
        <v>1022</v>
      </c>
      <c r="AHB1" t="s">
        <v>1023</v>
      </c>
      <c r="AHC1" t="s">
        <v>1024</v>
      </c>
      <c r="AHD1" t="s">
        <v>1025</v>
      </c>
      <c r="AHE1" t="s">
        <v>1026</v>
      </c>
      <c r="AHF1" t="s">
        <v>1027</v>
      </c>
      <c r="AHG1" t="s">
        <v>1028</v>
      </c>
      <c r="AHH1" t="s">
        <v>1029</v>
      </c>
      <c r="AHI1" t="s">
        <v>1030</v>
      </c>
      <c r="AHJ1" t="s">
        <v>1031</v>
      </c>
      <c r="AHK1" t="s">
        <v>1032</v>
      </c>
      <c r="AHL1" t="s">
        <v>1033</v>
      </c>
      <c r="AHM1" t="s">
        <v>1034</v>
      </c>
      <c r="AHN1" t="s">
        <v>1035</v>
      </c>
      <c r="AHO1" t="s">
        <v>1789</v>
      </c>
      <c r="AHP1" t="s">
        <v>1790</v>
      </c>
      <c r="AHQ1" t="s">
        <v>1791</v>
      </c>
      <c r="AHR1" t="s">
        <v>1792</v>
      </c>
      <c r="AHS1" t="s">
        <v>1793</v>
      </c>
      <c r="AHT1" t="s">
        <v>1794</v>
      </c>
      <c r="AHU1" t="s">
        <v>1795</v>
      </c>
      <c r="AHV1" t="s">
        <v>1796</v>
      </c>
      <c r="AHW1" t="s">
        <v>1036</v>
      </c>
      <c r="AHX1" t="s">
        <v>1602</v>
      </c>
      <c r="AHY1" t="s">
        <v>2313</v>
      </c>
      <c r="AHZ1" t="s">
        <v>2314</v>
      </c>
      <c r="AIA1" t="s">
        <v>2315</v>
      </c>
      <c r="AIB1" t="s">
        <v>2316</v>
      </c>
      <c r="AIC1" t="s">
        <v>2317</v>
      </c>
      <c r="AID1" t="s">
        <v>2318</v>
      </c>
      <c r="AIE1" t="s">
        <v>2319</v>
      </c>
      <c r="AIF1" t="s">
        <v>2320</v>
      </c>
      <c r="AIG1" t="s">
        <v>2321</v>
      </c>
      <c r="AIH1" t="s">
        <v>1037</v>
      </c>
      <c r="AII1" t="s">
        <v>1038</v>
      </c>
      <c r="AIJ1" t="s">
        <v>1039</v>
      </c>
      <c r="AIK1" t="s">
        <v>1040</v>
      </c>
      <c r="AIL1" t="s">
        <v>1041</v>
      </c>
      <c r="AIM1" t="s">
        <v>1042</v>
      </c>
      <c r="AIN1" t="s">
        <v>1043</v>
      </c>
      <c r="AIO1" t="s">
        <v>1044</v>
      </c>
      <c r="AIP1" t="s">
        <v>1045</v>
      </c>
      <c r="AIQ1" s="116" t="s">
        <v>1665</v>
      </c>
      <c r="AIR1" t="s">
        <v>1046</v>
      </c>
      <c r="AIS1" t="s">
        <v>1047</v>
      </c>
      <c r="AIT1" t="s">
        <v>1048</v>
      </c>
      <c r="AIU1" t="s">
        <v>1049</v>
      </c>
      <c r="AIV1" t="s">
        <v>1050</v>
      </c>
      <c r="AIW1" t="s">
        <v>1051</v>
      </c>
      <c r="AIX1" t="s">
        <v>1052</v>
      </c>
      <c r="AIY1" t="s">
        <v>1053</v>
      </c>
      <c r="AIZ1" t="s">
        <v>1054</v>
      </c>
      <c r="AJA1" t="s">
        <v>1055</v>
      </c>
      <c r="AJB1" t="s">
        <v>1056</v>
      </c>
      <c r="AJC1" t="s">
        <v>1057</v>
      </c>
      <c r="AJD1" t="s">
        <v>1058</v>
      </c>
      <c r="AJE1" t="s">
        <v>1059</v>
      </c>
      <c r="AJF1" t="s">
        <v>1060</v>
      </c>
      <c r="AJG1" t="s">
        <v>1061</v>
      </c>
      <c r="AJH1" t="s">
        <v>1062</v>
      </c>
      <c r="AJI1" t="s">
        <v>1063</v>
      </c>
      <c r="AJJ1" t="s">
        <v>1064</v>
      </c>
      <c r="AJK1" t="s">
        <v>1797</v>
      </c>
      <c r="AJL1" t="s">
        <v>1798</v>
      </c>
      <c r="AJM1" t="s">
        <v>1799</v>
      </c>
      <c r="AJN1" t="s">
        <v>1800</v>
      </c>
      <c r="AJO1" t="s">
        <v>1801</v>
      </c>
      <c r="AJP1" t="s">
        <v>1802</v>
      </c>
      <c r="AJQ1" t="s">
        <v>1803</v>
      </c>
      <c r="AJR1" t="s">
        <v>1804</v>
      </c>
      <c r="AJS1" t="s">
        <v>1065</v>
      </c>
      <c r="AJT1" t="s">
        <v>1601</v>
      </c>
      <c r="AJU1" s="116" t="s">
        <v>2322</v>
      </c>
      <c r="AJV1" s="116" t="s">
        <v>2323</v>
      </c>
      <c r="AJW1" s="116" t="s">
        <v>2324</v>
      </c>
      <c r="AJX1" s="116" t="s">
        <v>2325</v>
      </c>
      <c r="AJY1" s="116" t="s">
        <v>2326</v>
      </c>
      <c r="AJZ1" s="116" t="s">
        <v>2327</v>
      </c>
      <c r="AKA1" s="116" t="s">
        <v>2328</v>
      </c>
      <c r="AKB1" s="116" t="s">
        <v>2329</v>
      </c>
      <c r="AKC1" s="116" t="s">
        <v>2330</v>
      </c>
      <c r="AKD1" t="s">
        <v>1066</v>
      </c>
      <c r="AKE1" t="s">
        <v>1067</v>
      </c>
      <c r="AKF1" t="s">
        <v>1068</v>
      </c>
      <c r="AKG1" t="s">
        <v>1069</v>
      </c>
      <c r="AKH1" t="s">
        <v>1070</v>
      </c>
      <c r="AKI1" t="s">
        <v>1071</v>
      </c>
      <c r="AKJ1" t="s">
        <v>1072</v>
      </c>
      <c r="AKK1" t="s">
        <v>1073</v>
      </c>
      <c r="AKL1" t="s">
        <v>1074</v>
      </c>
      <c r="AKM1" s="116" t="s">
        <v>1666</v>
      </c>
      <c r="AKN1" t="s">
        <v>1075</v>
      </c>
      <c r="AKO1" t="s">
        <v>1076</v>
      </c>
      <c r="AKP1" t="s">
        <v>1077</v>
      </c>
      <c r="AKQ1" t="s">
        <v>1078</v>
      </c>
      <c r="AKR1" t="s">
        <v>1079</v>
      </c>
      <c r="AKS1" t="s">
        <v>1080</v>
      </c>
      <c r="AKT1" t="s">
        <v>1081</v>
      </c>
      <c r="AKU1" t="s">
        <v>1082</v>
      </c>
      <c r="AKV1" t="s">
        <v>1083</v>
      </c>
      <c r="AKW1" t="s">
        <v>1084</v>
      </c>
      <c r="AKX1" t="s">
        <v>1085</v>
      </c>
      <c r="AKY1" t="s">
        <v>1086</v>
      </c>
      <c r="AKZ1" t="s">
        <v>1087</v>
      </c>
      <c r="ALA1" t="s">
        <v>1088</v>
      </c>
      <c r="ALB1" t="s">
        <v>1089</v>
      </c>
      <c r="ALC1" t="s">
        <v>1090</v>
      </c>
      <c r="ALD1" t="s">
        <v>1091</v>
      </c>
      <c r="ALE1" t="s">
        <v>1092</v>
      </c>
      <c r="ALF1" t="s">
        <v>1093</v>
      </c>
      <c r="ALG1" t="s">
        <v>1805</v>
      </c>
      <c r="ALH1" t="s">
        <v>1806</v>
      </c>
      <c r="ALI1" t="s">
        <v>1807</v>
      </c>
      <c r="ALJ1" t="s">
        <v>1808</v>
      </c>
      <c r="ALK1" t="s">
        <v>1809</v>
      </c>
      <c r="ALL1" t="s">
        <v>1810</v>
      </c>
      <c r="ALM1" t="s">
        <v>1811</v>
      </c>
      <c r="ALN1" t="s">
        <v>1812</v>
      </c>
      <c r="ALO1" t="s">
        <v>1094</v>
      </c>
      <c r="ALP1" t="s">
        <v>1600</v>
      </c>
      <c r="ALQ1" s="116" t="s">
        <v>2331</v>
      </c>
      <c r="ALR1" s="116" t="s">
        <v>2332</v>
      </c>
      <c r="ALS1" s="116" t="s">
        <v>2333</v>
      </c>
      <c r="ALT1" s="116" t="s">
        <v>2334</v>
      </c>
      <c r="ALU1" s="116" t="s">
        <v>2335</v>
      </c>
      <c r="ALV1" s="116" t="s">
        <v>2336</v>
      </c>
      <c r="ALW1" s="116" t="s">
        <v>2337</v>
      </c>
      <c r="ALX1" s="116" t="s">
        <v>2338</v>
      </c>
      <c r="ALY1" s="116" t="s">
        <v>2339</v>
      </c>
      <c r="ALZ1" t="s">
        <v>1095</v>
      </c>
      <c r="AMA1" t="s">
        <v>1096</v>
      </c>
      <c r="AMB1" t="s">
        <v>1097</v>
      </c>
      <c r="AMC1" t="s">
        <v>1098</v>
      </c>
      <c r="AMD1" t="s">
        <v>1099</v>
      </c>
      <c r="AME1" t="s">
        <v>1100</v>
      </c>
      <c r="AMF1" t="s">
        <v>1101</v>
      </c>
      <c r="AMG1" t="s">
        <v>1102</v>
      </c>
      <c r="AMH1" t="s">
        <v>1103</v>
      </c>
      <c r="AMI1" s="116" t="s">
        <v>1667</v>
      </c>
      <c r="AMJ1" t="s">
        <v>1104</v>
      </c>
      <c r="AMK1" t="s">
        <v>1105</v>
      </c>
      <c r="AML1" t="s">
        <v>1106</v>
      </c>
      <c r="AMM1" t="s">
        <v>1107</v>
      </c>
      <c r="AMN1" t="s">
        <v>1108</v>
      </c>
      <c r="AMO1" t="s">
        <v>1109</v>
      </c>
      <c r="AMP1" t="s">
        <v>1110</v>
      </c>
      <c r="AMQ1" t="s">
        <v>1111</v>
      </c>
      <c r="AMR1" t="s">
        <v>1112</v>
      </c>
      <c r="AMS1" t="s">
        <v>1113</v>
      </c>
      <c r="AMT1" t="s">
        <v>1114</v>
      </c>
      <c r="AMU1" t="s">
        <v>1115</v>
      </c>
      <c r="AMV1" t="s">
        <v>1116</v>
      </c>
      <c r="AMW1" t="s">
        <v>1117</v>
      </c>
      <c r="AMX1" t="s">
        <v>1118</v>
      </c>
      <c r="AMY1" t="s">
        <v>1119</v>
      </c>
      <c r="AMZ1" t="s">
        <v>1120</v>
      </c>
      <c r="ANA1" t="s">
        <v>1121</v>
      </c>
      <c r="ANB1" t="s">
        <v>1122</v>
      </c>
      <c r="ANC1" t="s">
        <v>1813</v>
      </c>
      <c r="AND1" t="s">
        <v>1814</v>
      </c>
      <c r="ANE1" t="s">
        <v>1815</v>
      </c>
      <c r="ANF1" t="s">
        <v>1816</v>
      </c>
      <c r="ANG1" t="s">
        <v>1817</v>
      </c>
      <c r="ANH1" t="s">
        <v>1818</v>
      </c>
      <c r="ANI1" t="s">
        <v>1819</v>
      </c>
      <c r="ANJ1" t="s">
        <v>1820</v>
      </c>
      <c r="ANK1" t="s">
        <v>1123</v>
      </c>
      <c r="ANL1" t="s">
        <v>1599</v>
      </c>
      <c r="ANM1" s="116" t="s">
        <v>2340</v>
      </c>
      <c r="ANN1" s="116" t="s">
        <v>2341</v>
      </c>
      <c r="ANO1" s="116" t="s">
        <v>2342</v>
      </c>
      <c r="ANP1" s="116" t="s">
        <v>2343</v>
      </c>
      <c r="ANQ1" s="116" t="s">
        <v>2344</v>
      </c>
      <c r="ANR1" s="116" t="s">
        <v>2345</v>
      </c>
      <c r="ANS1" s="116" t="s">
        <v>2346</v>
      </c>
      <c r="ANT1" s="116" t="s">
        <v>2347</v>
      </c>
      <c r="ANU1" s="116" t="s">
        <v>2348</v>
      </c>
      <c r="ANV1" t="s">
        <v>1124</v>
      </c>
      <c r="ANW1" t="s">
        <v>1125</v>
      </c>
      <c r="ANX1" t="s">
        <v>1126</v>
      </c>
      <c r="ANY1" t="s">
        <v>1127</v>
      </c>
      <c r="ANZ1" t="s">
        <v>1128</v>
      </c>
      <c r="AOA1" t="s">
        <v>1129</v>
      </c>
      <c r="AOB1" t="s">
        <v>1130</v>
      </c>
      <c r="AOC1" t="s">
        <v>1131</v>
      </c>
      <c r="AOD1" t="s">
        <v>1132</v>
      </c>
      <c r="AOE1" s="116" t="s">
        <v>1668</v>
      </c>
      <c r="AOF1" t="s">
        <v>1133</v>
      </c>
      <c r="AOG1" t="s">
        <v>1134</v>
      </c>
      <c r="AOH1" t="s">
        <v>1135</v>
      </c>
      <c r="AOI1" t="s">
        <v>1136</v>
      </c>
      <c r="AOJ1" t="s">
        <v>1137</v>
      </c>
      <c r="AOK1" t="s">
        <v>1138</v>
      </c>
      <c r="AOL1" t="s">
        <v>1139</v>
      </c>
      <c r="AOM1" t="s">
        <v>1140</v>
      </c>
      <c r="AON1" t="s">
        <v>1141</v>
      </c>
      <c r="AOO1" t="s">
        <v>1142</v>
      </c>
      <c r="AOP1" t="s">
        <v>1143</v>
      </c>
      <c r="AOQ1" t="s">
        <v>1144</v>
      </c>
      <c r="AOR1" t="s">
        <v>1145</v>
      </c>
      <c r="AOS1" t="s">
        <v>1146</v>
      </c>
      <c r="AOT1" t="s">
        <v>1147</v>
      </c>
      <c r="AOU1" t="s">
        <v>1148</v>
      </c>
      <c r="AOV1" t="s">
        <v>1149</v>
      </c>
      <c r="AOW1" t="s">
        <v>1150</v>
      </c>
      <c r="AOX1" t="s">
        <v>1151</v>
      </c>
      <c r="AOY1" t="s">
        <v>1821</v>
      </c>
      <c r="AOZ1" t="s">
        <v>1822</v>
      </c>
      <c r="APA1" t="s">
        <v>1823</v>
      </c>
      <c r="APB1" t="s">
        <v>1824</v>
      </c>
      <c r="APC1" t="s">
        <v>1825</v>
      </c>
      <c r="APD1" t="s">
        <v>1826</v>
      </c>
      <c r="APE1" t="s">
        <v>1827</v>
      </c>
      <c r="APF1" t="s">
        <v>1828</v>
      </c>
      <c r="APG1" t="s">
        <v>1152</v>
      </c>
      <c r="APH1" t="s">
        <v>1598</v>
      </c>
      <c r="API1" s="116" t="s">
        <v>2349</v>
      </c>
      <c r="APJ1" s="116" t="s">
        <v>2350</v>
      </c>
      <c r="APK1" s="116" t="s">
        <v>2351</v>
      </c>
      <c r="APL1" s="116" t="s">
        <v>2352</v>
      </c>
      <c r="APM1" s="116" t="s">
        <v>2353</v>
      </c>
      <c r="APN1" s="116" t="s">
        <v>2354</v>
      </c>
      <c r="APO1" s="116" t="s">
        <v>2355</v>
      </c>
      <c r="APP1" s="116" t="s">
        <v>2356</v>
      </c>
      <c r="APQ1" s="116" t="s">
        <v>2357</v>
      </c>
      <c r="APR1" t="s">
        <v>1179</v>
      </c>
      <c r="APS1" t="s">
        <v>1180</v>
      </c>
      <c r="APT1" t="s">
        <v>1181</v>
      </c>
      <c r="APU1" t="s">
        <v>1182</v>
      </c>
      <c r="APV1" t="s">
        <v>1183</v>
      </c>
      <c r="APW1" t="s">
        <v>1184</v>
      </c>
      <c r="APX1" t="s">
        <v>1185</v>
      </c>
      <c r="APY1" t="s">
        <v>1186</v>
      </c>
      <c r="APZ1" t="s">
        <v>1187</v>
      </c>
      <c r="AQA1" s="116" t="s">
        <v>1669</v>
      </c>
      <c r="AQB1" t="s">
        <v>1188</v>
      </c>
      <c r="AQC1" t="s">
        <v>1189</v>
      </c>
      <c r="AQD1" t="s">
        <v>1190</v>
      </c>
      <c r="AQE1" t="s">
        <v>1191</v>
      </c>
      <c r="AQF1" t="s">
        <v>1192</v>
      </c>
      <c r="AQG1" t="s">
        <v>1193</v>
      </c>
      <c r="AQH1" t="s">
        <v>1194</v>
      </c>
      <c r="AQI1" t="s">
        <v>1195</v>
      </c>
      <c r="AQJ1" t="s">
        <v>1196</v>
      </c>
      <c r="AQK1" t="s">
        <v>1197</v>
      </c>
      <c r="AQL1" t="s">
        <v>1198</v>
      </c>
      <c r="AQM1" t="s">
        <v>1199</v>
      </c>
      <c r="AQN1" t="s">
        <v>1200</v>
      </c>
      <c r="AQO1" t="s">
        <v>1201</v>
      </c>
      <c r="AQP1" t="s">
        <v>1202</v>
      </c>
      <c r="AQQ1" t="s">
        <v>1203</v>
      </c>
      <c r="AQR1" t="s">
        <v>1204</v>
      </c>
      <c r="AQS1" t="s">
        <v>1205</v>
      </c>
      <c r="AQT1" t="s">
        <v>1206</v>
      </c>
      <c r="AQU1" t="s">
        <v>1829</v>
      </c>
      <c r="AQV1" t="s">
        <v>1830</v>
      </c>
      <c r="AQW1" t="s">
        <v>1831</v>
      </c>
      <c r="AQX1" t="s">
        <v>1832</v>
      </c>
      <c r="AQY1" t="s">
        <v>1833</v>
      </c>
      <c r="AQZ1" t="s">
        <v>1834</v>
      </c>
      <c r="ARA1" t="s">
        <v>1835</v>
      </c>
      <c r="ARB1" t="s">
        <v>1836</v>
      </c>
      <c r="ARC1" t="s">
        <v>1207</v>
      </c>
      <c r="ARD1" t="s">
        <v>1597</v>
      </c>
      <c r="ARE1" t="s">
        <v>2358</v>
      </c>
      <c r="ARF1" t="s">
        <v>2359</v>
      </c>
      <c r="ARG1" t="s">
        <v>2360</v>
      </c>
      <c r="ARH1" t="s">
        <v>2361</v>
      </c>
      <c r="ARI1" t="s">
        <v>2362</v>
      </c>
      <c r="ARJ1" t="s">
        <v>2363</v>
      </c>
      <c r="ARK1" t="s">
        <v>2364</v>
      </c>
      <c r="ARL1" t="s">
        <v>2365</v>
      </c>
      <c r="ARM1" t="s">
        <v>2366</v>
      </c>
      <c r="ARN1" t="s">
        <v>1208</v>
      </c>
      <c r="ARO1" t="s">
        <v>1209</v>
      </c>
      <c r="ARP1" t="s">
        <v>1210</v>
      </c>
      <c r="ARQ1" t="s">
        <v>1211</v>
      </c>
      <c r="ARR1" t="s">
        <v>1212</v>
      </c>
      <c r="ARS1" t="s">
        <v>1213</v>
      </c>
      <c r="ART1" t="s">
        <v>1214</v>
      </c>
      <c r="ARU1" t="s">
        <v>1215</v>
      </c>
      <c r="ARV1" t="s">
        <v>1216</v>
      </c>
      <c r="ARW1" s="116" t="s">
        <v>1670</v>
      </c>
      <c r="ARX1" t="s">
        <v>1217</v>
      </c>
      <c r="ARY1" t="s">
        <v>1218</v>
      </c>
      <c r="ARZ1" t="s">
        <v>1219</v>
      </c>
      <c r="ASA1" t="s">
        <v>1220</v>
      </c>
      <c r="ASB1" t="s">
        <v>1221</v>
      </c>
      <c r="ASC1" t="s">
        <v>1222</v>
      </c>
      <c r="ASD1" t="s">
        <v>1223</v>
      </c>
      <c r="ASE1" t="s">
        <v>1224</v>
      </c>
      <c r="ASF1" t="s">
        <v>1225</v>
      </c>
      <c r="ASG1" t="s">
        <v>1226</v>
      </c>
      <c r="ASH1" t="s">
        <v>1227</v>
      </c>
      <c r="ASI1" t="s">
        <v>1228</v>
      </c>
      <c r="ASJ1" t="s">
        <v>1229</v>
      </c>
      <c r="ASK1" t="s">
        <v>1230</v>
      </c>
      <c r="ASL1" t="s">
        <v>1231</v>
      </c>
      <c r="ASM1" t="s">
        <v>1232</v>
      </c>
      <c r="ASN1" t="s">
        <v>1233</v>
      </c>
      <c r="ASO1" t="s">
        <v>1234</v>
      </c>
      <c r="ASP1" t="s">
        <v>1235</v>
      </c>
      <c r="ASQ1" t="s">
        <v>1837</v>
      </c>
      <c r="ASR1" t="s">
        <v>1838</v>
      </c>
      <c r="ASS1" t="s">
        <v>1839</v>
      </c>
      <c r="AST1" t="s">
        <v>1840</v>
      </c>
      <c r="ASU1" t="s">
        <v>1841</v>
      </c>
      <c r="ASV1" t="s">
        <v>1842</v>
      </c>
      <c r="ASW1" t="s">
        <v>1843</v>
      </c>
      <c r="ASX1" t="s">
        <v>1844</v>
      </c>
      <c r="ASY1" t="s">
        <v>1236</v>
      </c>
      <c r="ASZ1" t="s">
        <v>1596</v>
      </c>
      <c r="ATA1" s="116" t="s">
        <v>2367</v>
      </c>
      <c r="ATB1" s="116" t="s">
        <v>2368</v>
      </c>
      <c r="ATC1" s="116" t="s">
        <v>2369</v>
      </c>
      <c r="ATD1" s="116" t="s">
        <v>2370</v>
      </c>
      <c r="ATE1" s="116" t="s">
        <v>2371</v>
      </c>
      <c r="ATF1" s="116" t="s">
        <v>2372</v>
      </c>
      <c r="ATG1" s="116" t="s">
        <v>2373</v>
      </c>
      <c r="ATH1" s="116" t="s">
        <v>2374</v>
      </c>
      <c r="ATI1" s="116" t="s">
        <v>2375</v>
      </c>
      <c r="ATJ1" t="s">
        <v>1237</v>
      </c>
      <c r="ATK1" t="s">
        <v>1238</v>
      </c>
      <c r="ATL1" t="s">
        <v>1239</v>
      </c>
      <c r="ATM1" t="s">
        <v>1240</v>
      </c>
      <c r="ATN1" t="s">
        <v>1241</v>
      </c>
      <c r="ATO1" t="s">
        <v>1242</v>
      </c>
      <c r="ATP1" t="s">
        <v>1243</v>
      </c>
      <c r="ATQ1" t="s">
        <v>1244</v>
      </c>
      <c r="ATR1" t="s">
        <v>1245</v>
      </c>
      <c r="ATS1" s="116" t="s">
        <v>1671</v>
      </c>
      <c r="ATT1" t="s">
        <v>1246</v>
      </c>
      <c r="ATU1" t="s">
        <v>1247</v>
      </c>
      <c r="ATV1" t="s">
        <v>1248</v>
      </c>
      <c r="ATW1" t="s">
        <v>1249</v>
      </c>
      <c r="ATX1" t="s">
        <v>1250</v>
      </c>
      <c r="ATY1" t="s">
        <v>1251</v>
      </c>
      <c r="ATZ1" t="s">
        <v>1252</v>
      </c>
      <c r="AUA1" t="s">
        <v>1253</v>
      </c>
      <c r="AUB1" t="s">
        <v>1254</v>
      </c>
      <c r="AUC1" t="s">
        <v>1255</v>
      </c>
      <c r="AUD1" t="s">
        <v>1256</v>
      </c>
      <c r="AUE1" t="s">
        <v>1257</v>
      </c>
      <c r="AUF1" t="s">
        <v>1258</v>
      </c>
      <c r="AUG1" t="s">
        <v>1259</v>
      </c>
      <c r="AUH1" t="s">
        <v>1260</v>
      </c>
      <c r="AUI1" t="s">
        <v>1261</v>
      </c>
      <c r="AUJ1" t="s">
        <v>1262</v>
      </c>
      <c r="AUK1" t="s">
        <v>1263</v>
      </c>
      <c r="AUL1" t="s">
        <v>1264</v>
      </c>
      <c r="AUM1" t="s">
        <v>1845</v>
      </c>
      <c r="AUN1" t="s">
        <v>1846</v>
      </c>
      <c r="AUO1" t="s">
        <v>1847</v>
      </c>
      <c r="AUP1" t="s">
        <v>1848</v>
      </c>
      <c r="AUQ1" t="s">
        <v>1849</v>
      </c>
      <c r="AUR1" t="s">
        <v>1850</v>
      </c>
      <c r="AUS1" t="s">
        <v>1851</v>
      </c>
      <c r="AUT1" t="s">
        <v>1852</v>
      </c>
      <c r="AUU1" t="s">
        <v>1265</v>
      </c>
      <c r="AUV1" t="s">
        <v>1595</v>
      </c>
      <c r="AUW1" s="116" t="s">
        <v>2376</v>
      </c>
      <c r="AUX1" s="116" t="s">
        <v>2377</v>
      </c>
      <c r="AUY1" s="116" t="s">
        <v>2378</v>
      </c>
      <c r="AUZ1" s="116" t="s">
        <v>2379</v>
      </c>
      <c r="AVA1" s="116" t="s">
        <v>2380</v>
      </c>
      <c r="AVB1" s="116" t="s">
        <v>2381</v>
      </c>
      <c r="AVC1" s="116" t="s">
        <v>2382</v>
      </c>
      <c r="AVD1" s="116" t="s">
        <v>2383</v>
      </c>
      <c r="AVE1" s="116" t="s">
        <v>2384</v>
      </c>
      <c r="AVF1" t="s">
        <v>1266</v>
      </c>
      <c r="AVG1" t="s">
        <v>1267</v>
      </c>
      <c r="AVH1" t="s">
        <v>1268</v>
      </c>
      <c r="AVI1" t="s">
        <v>1269</v>
      </c>
      <c r="AVJ1" t="s">
        <v>1270</v>
      </c>
      <c r="AVK1" t="s">
        <v>1271</v>
      </c>
      <c r="AVL1" t="s">
        <v>1272</v>
      </c>
      <c r="AVM1" t="s">
        <v>1273</v>
      </c>
      <c r="AVN1" t="s">
        <v>1274</v>
      </c>
      <c r="AVO1" s="116" t="s">
        <v>1672</v>
      </c>
      <c r="AVP1" t="s">
        <v>1275</v>
      </c>
      <c r="AVQ1" t="s">
        <v>1276</v>
      </c>
      <c r="AVR1" t="s">
        <v>1277</v>
      </c>
      <c r="AVS1" t="s">
        <v>1278</v>
      </c>
      <c r="AVT1" t="s">
        <v>1279</v>
      </c>
      <c r="AVU1" t="s">
        <v>1280</v>
      </c>
      <c r="AVV1" t="s">
        <v>1281</v>
      </c>
      <c r="AVW1" t="s">
        <v>1282</v>
      </c>
      <c r="AVX1" t="s">
        <v>1283</v>
      </c>
      <c r="AVY1" t="s">
        <v>1284</v>
      </c>
      <c r="AVZ1" t="s">
        <v>1285</v>
      </c>
      <c r="AWA1" t="s">
        <v>1286</v>
      </c>
      <c r="AWB1" t="s">
        <v>1287</v>
      </c>
      <c r="AWC1" t="s">
        <v>1288</v>
      </c>
      <c r="AWD1" t="s">
        <v>1289</v>
      </c>
      <c r="AWE1" t="s">
        <v>1290</v>
      </c>
      <c r="AWF1" t="s">
        <v>1291</v>
      </c>
      <c r="AWG1" t="s">
        <v>1292</v>
      </c>
      <c r="AWH1" t="s">
        <v>1293</v>
      </c>
      <c r="AWI1" t="s">
        <v>1853</v>
      </c>
      <c r="AWJ1" t="s">
        <v>1854</v>
      </c>
      <c r="AWK1" t="s">
        <v>1855</v>
      </c>
      <c r="AWL1" t="s">
        <v>1856</v>
      </c>
      <c r="AWM1" t="s">
        <v>1857</v>
      </c>
      <c r="AWN1" t="s">
        <v>1858</v>
      </c>
      <c r="AWO1" t="s">
        <v>1859</v>
      </c>
      <c r="AWP1" t="s">
        <v>1860</v>
      </c>
      <c r="AWQ1" t="s">
        <v>1294</v>
      </c>
      <c r="AWR1" t="s">
        <v>1594</v>
      </c>
      <c r="AWS1" s="116" t="s">
        <v>2385</v>
      </c>
      <c r="AWT1" s="116" t="s">
        <v>2386</v>
      </c>
      <c r="AWU1" s="116" t="s">
        <v>2387</v>
      </c>
      <c r="AWV1" s="116" t="s">
        <v>2388</v>
      </c>
      <c r="AWW1" s="116" t="s">
        <v>2389</v>
      </c>
      <c r="AWX1" s="116" t="s">
        <v>2390</v>
      </c>
      <c r="AWY1" s="116" t="s">
        <v>2391</v>
      </c>
      <c r="AWZ1" s="116" t="s">
        <v>2392</v>
      </c>
      <c r="AXA1" s="116" t="s">
        <v>2393</v>
      </c>
      <c r="AXB1" t="s">
        <v>1295</v>
      </c>
      <c r="AXC1" t="s">
        <v>1296</v>
      </c>
      <c r="AXD1" t="s">
        <v>1297</v>
      </c>
      <c r="AXE1" t="s">
        <v>1298</v>
      </c>
      <c r="AXF1" t="s">
        <v>1299</v>
      </c>
      <c r="AXG1" t="s">
        <v>1300</v>
      </c>
      <c r="AXH1" t="s">
        <v>1301</v>
      </c>
      <c r="AXI1" t="s">
        <v>1302</v>
      </c>
      <c r="AXJ1" t="s">
        <v>1303</v>
      </c>
      <c r="AXK1" s="116" t="s">
        <v>1673</v>
      </c>
      <c r="AXL1" t="s">
        <v>1304</v>
      </c>
      <c r="AXM1" t="s">
        <v>1305</v>
      </c>
      <c r="AXN1" t="s">
        <v>1306</v>
      </c>
      <c r="AXO1" t="s">
        <v>1307</v>
      </c>
      <c r="AXP1" t="s">
        <v>1308</v>
      </c>
      <c r="AXQ1" t="s">
        <v>1309</v>
      </c>
      <c r="AXR1" t="s">
        <v>1310</v>
      </c>
      <c r="AXS1" t="s">
        <v>1311</v>
      </c>
      <c r="AXT1" t="s">
        <v>1312</v>
      </c>
      <c r="AXU1" t="s">
        <v>1313</v>
      </c>
      <c r="AXV1" t="s">
        <v>1314</v>
      </c>
      <c r="AXW1" t="s">
        <v>1315</v>
      </c>
      <c r="AXX1" t="s">
        <v>1316</v>
      </c>
      <c r="AXY1" t="s">
        <v>1317</v>
      </c>
      <c r="AXZ1" t="s">
        <v>1318</v>
      </c>
      <c r="AYA1" t="s">
        <v>1319</v>
      </c>
      <c r="AYB1" t="s">
        <v>1320</v>
      </c>
      <c r="AYC1" t="s">
        <v>1321</v>
      </c>
      <c r="AYD1" t="s">
        <v>1322</v>
      </c>
      <c r="AYE1" t="s">
        <v>1861</v>
      </c>
      <c r="AYF1" t="s">
        <v>1862</v>
      </c>
      <c r="AYG1" t="s">
        <v>1863</v>
      </c>
      <c r="AYH1" t="s">
        <v>1864</v>
      </c>
      <c r="AYI1" t="s">
        <v>1865</v>
      </c>
      <c r="AYJ1" t="s">
        <v>1866</v>
      </c>
      <c r="AYK1" t="s">
        <v>1867</v>
      </c>
      <c r="AYL1" t="s">
        <v>1868</v>
      </c>
      <c r="AYM1" t="s">
        <v>1323</v>
      </c>
      <c r="AYN1" t="s">
        <v>1593</v>
      </c>
      <c r="AYO1" s="116" t="s">
        <v>2394</v>
      </c>
      <c r="AYP1" s="116" t="s">
        <v>2395</v>
      </c>
      <c r="AYQ1" s="116" t="s">
        <v>2396</v>
      </c>
      <c r="AYR1" s="116" t="s">
        <v>2397</v>
      </c>
      <c r="AYS1" s="116" t="s">
        <v>2398</v>
      </c>
      <c r="AYT1" s="116" t="s">
        <v>2399</v>
      </c>
      <c r="AYU1" s="116" t="s">
        <v>2400</v>
      </c>
      <c r="AYV1" s="116" t="s">
        <v>2401</v>
      </c>
      <c r="AYW1" s="116" t="s">
        <v>2402</v>
      </c>
      <c r="AYX1" t="s">
        <v>1324</v>
      </c>
      <c r="AYY1" t="s">
        <v>1325</v>
      </c>
      <c r="AYZ1" t="s">
        <v>1326</v>
      </c>
      <c r="AZA1" t="s">
        <v>1327</v>
      </c>
      <c r="AZB1" t="s">
        <v>1328</v>
      </c>
      <c r="AZC1" t="s">
        <v>1329</v>
      </c>
      <c r="AZD1" t="s">
        <v>1330</v>
      </c>
      <c r="AZE1" t="s">
        <v>1331</v>
      </c>
      <c r="AZF1" t="s">
        <v>1332</v>
      </c>
      <c r="AZG1" s="116" t="s">
        <v>1674</v>
      </c>
      <c r="AZH1" t="s">
        <v>1333</v>
      </c>
      <c r="AZI1" t="s">
        <v>1334</v>
      </c>
      <c r="AZJ1" t="s">
        <v>1335</v>
      </c>
      <c r="AZK1" t="s">
        <v>1336</v>
      </c>
      <c r="AZL1" t="s">
        <v>1337</v>
      </c>
      <c r="AZM1" t="s">
        <v>1338</v>
      </c>
      <c r="AZN1" t="s">
        <v>1339</v>
      </c>
      <c r="AZO1" t="s">
        <v>1340</v>
      </c>
      <c r="AZP1" t="s">
        <v>1341</v>
      </c>
      <c r="AZQ1" t="s">
        <v>1342</v>
      </c>
      <c r="AZR1" t="s">
        <v>1343</v>
      </c>
      <c r="AZS1" t="s">
        <v>1344</v>
      </c>
      <c r="AZT1" t="s">
        <v>1345</v>
      </c>
      <c r="AZU1" t="s">
        <v>1346</v>
      </c>
      <c r="AZV1" t="s">
        <v>1347</v>
      </c>
      <c r="AZW1" t="s">
        <v>1348</v>
      </c>
      <c r="AZX1" t="s">
        <v>1349</v>
      </c>
      <c r="AZY1" t="s">
        <v>1350</v>
      </c>
      <c r="AZZ1" t="s">
        <v>1351</v>
      </c>
      <c r="BAA1" t="s">
        <v>1869</v>
      </c>
      <c r="BAB1" t="s">
        <v>1870</v>
      </c>
      <c r="BAC1" t="s">
        <v>1871</v>
      </c>
      <c r="BAD1" t="s">
        <v>1872</v>
      </c>
      <c r="BAE1" t="s">
        <v>1873</v>
      </c>
      <c r="BAF1" t="s">
        <v>1874</v>
      </c>
      <c r="BAG1" t="s">
        <v>1875</v>
      </c>
      <c r="BAH1" t="s">
        <v>1876</v>
      </c>
      <c r="BAI1" t="s">
        <v>1352</v>
      </c>
      <c r="BAJ1" t="s">
        <v>1592</v>
      </c>
      <c r="BAK1" t="s">
        <v>1918</v>
      </c>
      <c r="BAL1" t="s">
        <v>1898</v>
      </c>
      <c r="BAM1" t="s">
        <v>1899</v>
      </c>
      <c r="BAN1" t="s">
        <v>1900</v>
      </c>
      <c r="BAO1" t="s">
        <v>1903</v>
      </c>
      <c r="BAP1" t="s">
        <v>1904</v>
      </c>
      <c r="BAQ1" t="s">
        <v>1905</v>
      </c>
      <c r="BAR1" t="s">
        <v>3132</v>
      </c>
      <c r="BAS1" t="s">
        <v>3134</v>
      </c>
      <c r="BAT1" t="s">
        <v>3136</v>
      </c>
      <c r="BAU1" t="s">
        <v>3138</v>
      </c>
      <c r="BAV1" t="s">
        <v>3140</v>
      </c>
      <c r="BAW1" t="s">
        <v>3142</v>
      </c>
      <c r="BAX1" t="s">
        <v>3144</v>
      </c>
      <c r="BAY1" t="s">
        <v>3146</v>
      </c>
      <c r="BAZ1" t="s">
        <v>3148</v>
      </c>
      <c r="BBA1" t="s">
        <v>3150</v>
      </c>
      <c r="BBB1" t="s">
        <v>3152</v>
      </c>
      <c r="BBC1" t="s">
        <v>3154</v>
      </c>
      <c r="BBD1" t="s">
        <v>3156</v>
      </c>
      <c r="BBE1" t="s">
        <v>3158</v>
      </c>
      <c r="BBF1" t="s">
        <v>3160</v>
      </c>
      <c r="BBG1" t="s">
        <v>3162</v>
      </c>
      <c r="BBH1" t="s">
        <v>3164</v>
      </c>
      <c r="BBI1" t="s">
        <v>3166</v>
      </c>
      <c r="BBJ1" t="s">
        <v>3168</v>
      </c>
      <c r="BBK1" t="s">
        <v>3170</v>
      </c>
      <c r="BBL1" t="s">
        <v>3172</v>
      </c>
      <c r="BBM1" t="s">
        <v>3174</v>
      </c>
      <c r="BBN1" t="s">
        <v>3176</v>
      </c>
      <c r="BBO1" t="s">
        <v>3178</v>
      </c>
      <c r="BBP1" t="s">
        <v>3180</v>
      </c>
      <c r="BBQ1" t="s">
        <v>3133</v>
      </c>
      <c r="BBR1" t="s">
        <v>3135</v>
      </c>
      <c r="BBS1" t="s">
        <v>3137</v>
      </c>
      <c r="BBT1" t="s">
        <v>3139</v>
      </c>
      <c r="BBU1" t="s">
        <v>3141</v>
      </c>
      <c r="BBV1" t="s">
        <v>3143</v>
      </c>
      <c r="BBW1" t="s">
        <v>3145</v>
      </c>
      <c r="BBX1" t="s">
        <v>3147</v>
      </c>
      <c r="BBY1" t="s">
        <v>3149</v>
      </c>
      <c r="BBZ1" t="s">
        <v>3151</v>
      </c>
      <c r="BCA1" t="s">
        <v>3153</v>
      </c>
      <c r="BCB1" t="s">
        <v>3155</v>
      </c>
      <c r="BCC1" t="s">
        <v>3157</v>
      </c>
      <c r="BCD1" t="s">
        <v>3159</v>
      </c>
      <c r="BCE1" t="s">
        <v>3161</v>
      </c>
      <c r="BCF1" t="s">
        <v>3163</v>
      </c>
      <c r="BCG1" t="s">
        <v>3165</v>
      </c>
      <c r="BCH1" t="s">
        <v>3167</v>
      </c>
      <c r="BCI1" t="s">
        <v>3169</v>
      </c>
      <c r="BCJ1" t="s">
        <v>3171</v>
      </c>
      <c r="BCK1" t="s">
        <v>3173</v>
      </c>
      <c r="BCL1" t="s">
        <v>3175</v>
      </c>
      <c r="BCM1" t="s">
        <v>3177</v>
      </c>
      <c r="BCN1" t="s">
        <v>3179</v>
      </c>
      <c r="BCO1" t="s">
        <v>3181</v>
      </c>
      <c r="BCP1" t="s">
        <v>3077</v>
      </c>
      <c r="BCQ1" t="s">
        <v>3078</v>
      </c>
      <c r="BCR1" t="s">
        <v>3079</v>
      </c>
      <c r="BCS1" t="s">
        <v>3080</v>
      </c>
      <c r="BCT1" t="s">
        <v>3081</v>
      </c>
      <c r="BCU1" t="s">
        <v>3082</v>
      </c>
      <c r="BCV1" t="s">
        <v>3083</v>
      </c>
      <c r="BCW1" t="s">
        <v>3084</v>
      </c>
      <c r="BCX1" t="s">
        <v>3085</v>
      </c>
      <c r="BCY1" t="s">
        <v>3086</v>
      </c>
      <c r="BCZ1" t="s">
        <v>3087</v>
      </c>
      <c r="BDA1" t="s">
        <v>3088</v>
      </c>
      <c r="BDB1" t="s">
        <v>3089</v>
      </c>
      <c r="BDC1" t="s">
        <v>3090</v>
      </c>
      <c r="BDD1" t="s">
        <v>3091</v>
      </c>
      <c r="BDE1" t="s">
        <v>3092</v>
      </c>
      <c r="BDF1" t="s">
        <v>3093</v>
      </c>
      <c r="BDG1" t="s">
        <v>3094</v>
      </c>
      <c r="BDH1" t="s">
        <v>3095</v>
      </c>
      <c r="BDI1" t="s">
        <v>3096</v>
      </c>
      <c r="BDJ1" t="s">
        <v>3097</v>
      </c>
      <c r="BDK1" t="s">
        <v>3098</v>
      </c>
      <c r="BDL1" t="s">
        <v>3099</v>
      </c>
      <c r="BDM1" t="s">
        <v>3100</v>
      </c>
      <c r="BDN1" t="s">
        <v>3101</v>
      </c>
      <c r="BDO1" t="s">
        <v>3102</v>
      </c>
      <c r="BDP1" t="s">
        <v>3103</v>
      </c>
      <c r="BDQ1" t="s">
        <v>3026</v>
      </c>
      <c r="BDR1" t="s">
        <v>2556</v>
      </c>
      <c r="BDS1" t="s">
        <v>2557</v>
      </c>
      <c r="BDT1" t="s">
        <v>2558</v>
      </c>
      <c r="BDU1" t="s">
        <v>2559</v>
      </c>
      <c r="BDV1" t="s">
        <v>2560</v>
      </c>
      <c r="BDW1" t="s">
        <v>2561</v>
      </c>
      <c r="BDX1" t="s">
        <v>2562</v>
      </c>
      <c r="BDY1" t="s">
        <v>2563</v>
      </c>
      <c r="BDZ1" t="s">
        <v>2564</v>
      </c>
      <c r="BEA1" t="s">
        <v>2565</v>
      </c>
      <c r="BEB1" t="s">
        <v>2566</v>
      </c>
      <c r="BEC1" t="s">
        <v>2567</v>
      </c>
      <c r="BED1" t="s">
        <v>2568</v>
      </c>
      <c r="BEE1" t="s">
        <v>2569</v>
      </c>
      <c r="BEF1" t="s">
        <v>2570</v>
      </c>
      <c r="BEG1" t="s">
        <v>2571</v>
      </c>
      <c r="BEH1" t="s">
        <v>2572</v>
      </c>
      <c r="BEI1" t="s">
        <v>2573</v>
      </c>
      <c r="BEJ1" t="s">
        <v>2574</v>
      </c>
      <c r="BEK1" t="s">
        <v>2575</v>
      </c>
      <c r="BEL1" t="s">
        <v>2576</v>
      </c>
      <c r="BEM1" t="s">
        <v>2577</v>
      </c>
      <c r="BEN1" t="s">
        <v>2578</v>
      </c>
      <c r="BEO1" t="s">
        <v>2579</v>
      </c>
      <c r="BEP1" t="s">
        <v>2580</v>
      </c>
      <c r="BEQ1" t="s">
        <v>2581</v>
      </c>
      <c r="BER1" t="s">
        <v>2582</v>
      </c>
      <c r="BES1" t="s">
        <v>2583</v>
      </c>
      <c r="BET1" t="s">
        <v>2584</v>
      </c>
      <c r="BEU1" t="s">
        <v>2585</v>
      </c>
      <c r="BEV1" t="s">
        <v>2586</v>
      </c>
      <c r="BEW1" t="s">
        <v>2587</v>
      </c>
      <c r="BEX1" t="s">
        <v>2588</v>
      </c>
      <c r="BEY1" t="s">
        <v>2589</v>
      </c>
      <c r="BEZ1" t="s">
        <v>2590</v>
      </c>
      <c r="BFA1" t="s">
        <v>2591</v>
      </c>
      <c r="BFB1" t="s">
        <v>2592</v>
      </c>
      <c r="BFC1" t="s">
        <v>2593</v>
      </c>
      <c r="BFD1" t="s">
        <v>3311</v>
      </c>
      <c r="BFE1" t="s">
        <v>3312</v>
      </c>
      <c r="BFF1" t="s">
        <v>3313</v>
      </c>
      <c r="BFG1" t="s">
        <v>3314</v>
      </c>
      <c r="BFH1" t="s">
        <v>2594</v>
      </c>
      <c r="BFI1" t="s">
        <v>2595</v>
      </c>
      <c r="BFJ1" t="s">
        <v>2596</v>
      </c>
      <c r="BFK1" t="s">
        <v>2597</v>
      </c>
      <c r="BFL1" t="s">
        <v>2598</v>
      </c>
      <c r="BFM1" t="s">
        <v>2599</v>
      </c>
      <c r="BFN1" t="s">
        <v>2600</v>
      </c>
      <c r="BFO1" t="s">
        <v>2601</v>
      </c>
      <c r="BFP1" t="s">
        <v>2602</v>
      </c>
      <c r="BFQ1" t="s">
        <v>2603</v>
      </c>
      <c r="BFR1" t="s">
        <v>2604</v>
      </c>
      <c r="BFS1" t="s">
        <v>2605</v>
      </c>
      <c r="BFT1" t="s">
        <v>2606</v>
      </c>
      <c r="BFU1" t="s">
        <v>2607</v>
      </c>
      <c r="BFV1" t="s">
        <v>2608</v>
      </c>
      <c r="BFW1" t="s">
        <v>2609</v>
      </c>
      <c r="BFX1" t="s">
        <v>2610</v>
      </c>
      <c r="BFY1" t="s">
        <v>2611</v>
      </c>
    </row>
    <row r="2" spans="1:1533" x14ac:dyDescent="0.25">
      <c r="A2">
        <f>LoanNumber</f>
        <v>0</v>
      </c>
      <c r="B2" t="str">
        <f>LNPlusName</f>
        <v xml:space="preserve"> - </v>
      </c>
      <c r="C2" s="120">
        <f>AssessmentOfValue</f>
        <v>130</v>
      </c>
      <c r="D2" s="120">
        <f>BankruptcySearch</f>
        <v>45</v>
      </c>
      <c r="E2">
        <f>BankName</f>
        <v>0</v>
      </c>
      <c r="F2">
        <f>BankAccountNumber</f>
        <v>0</v>
      </c>
      <c r="G2">
        <f>BankRoutingNumber</f>
        <v>0</v>
      </c>
      <c r="H2" t="str">
        <f>HomeSteadExemption</f>
        <v>N</v>
      </c>
      <c r="I2" t="str">
        <f>AgeDeferral</f>
        <v>N</v>
      </c>
      <c r="J2" t="str">
        <f>DisabilityDeferral</f>
        <v>N</v>
      </c>
      <c r="K2" t="str">
        <f>AppliedDisability</f>
        <v>N</v>
      </c>
      <c r="L2" t="str">
        <f>PendingLawsuits</f>
        <v>N</v>
      </c>
      <c r="M2" t="str">
        <f>PendingCauseNumber</f>
        <v>N/A</v>
      </c>
      <c r="N2" t="str">
        <f>MortgageLoan</f>
        <v>N</v>
      </c>
      <c r="O2" t="str">
        <f>MortgageCompany</f>
        <v>N/A</v>
      </c>
      <c r="P2" t="str">
        <f>YearFinanced</f>
        <v>N/A</v>
      </c>
      <c r="Q2" t="str">
        <f>Bankruptcy</f>
        <v>N</v>
      </c>
      <c r="R2" t="str">
        <f>BankruptcyCounty</f>
        <v>N/A</v>
      </c>
      <c r="S2" t="str">
        <f>ExpectedIncome</f>
        <v>N</v>
      </c>
      <c r="T2" t="str">
        <f>MakePayments</f>
        <v>Y</v>
      </c>
      <c r="U2" t="str">
        <f>IntentForPayments</f>
        <v>Income</v>
      </c>
      <c r="V2">
        <f>Processor</f>
        <v>0</v>
      </c>
      <c r="W2">
        <f>BorrowerType</f>
        <v>0</v>
      </c>
      <c r="X2" s="120">
        <f>ClosingCosts</f>
        <v>900</v>
      </c>
      <c r="Y2" s="58">
        <f>RescindDate</f>
        <v>4</v>
      </c>
      <c r="Z2" s="120">
        <f>CourtCost</f>
        <v>0</v>
      </c>
      <c r="AA2" s="120">
        <f>CreditAmount</f>
        <v>0</v>
      </c>
      <c r="AB2" s="120">
        <f>DocumentPreparationFee</f>
        <v>0</v>
      </c>
      <c r="AC2">
        <f>Entity</f>
        <v>0</v>
      </c>
      <c r="AD2" s="120">
        <f>ExternalTitleReview</f>
        <v>25</v>
      </c>
      <c r="AE2" s="120">
        <f>ExternalTitleSearch</f>
        <v>0</v>
      </c>
      <c r="AF2" s="58">
        <f>FirstPaymentDate</f>
        <v>0</v>
      </c>
      <c r="AG2" s="120">
        <f>FloodFee</f>
        <v>45</v>
      </c>
      <c r="AH2" s="119">
        <f>HouseholdIncome</f>
        <v>0</v>
      </c>
      <c r="AI2">
        <f>Insurance</f>
        <v>0</v>
      </c>
      <c r="AJ2" t="str">
        <f>InsuranceNeeded</f>
        <v>No</v>
      </c>
      <c r="AK2" s="114">
        <f>InterestRate</f>
        <v>0</v>
      </c>
      <c r="AL2" s="120">
        <f>InternalTitleReview</f>
        <v>0</v>
      </c>
      <c r="AM2" s="120">
        <f>InternalTitleSearch</f>
        <v>50</v>
      </c>
      <c r="AN2" s="58">
        <f>LastPaymentDate</f>
        <v>47323</v>
      </c>
      <c r="AO2" s="114">
        <f>APR</f>
        <v>0.17417214211855914</v>
      </c>
      <c r="AP2" s="120">
        <f>AmountFinanced</f>
        <v>144</v>
      </c>
      <c r="AQ2" s="120">
        <f>FinanceCharge</f>
        <v>14727.030000000053</v>
      </c>
      <c r="AR2" s="120">
        <f>TotalOfPayments</f>
        <v>27905.620000000054</v>
      </c>
      <c r="AS2" s="120">
        <f>MonthlyPayment</f>
        <v>232.56</v>
      </c>
      <c r="AT2" s="120">
        <f>FinalPayment</f>
        <v>230.98</v>
      </c>
      <c r="AU2">
        <f>LoanOfficer</f>
        <v>0</v>
      </c>
      <c r="AV2">
        <f>LoanType</f>
        <v>0</v>
      </c>
      <c r="AW2" t="str">
        <f>LoanTypeChoice</f>
        <v>No</v>
      </c>
      <c r="AX2" s="120">
        <f>MailingFee</f>
        <v>19</v>
      </c>
      <c r="AY2">
        <f>MarketingInfo</f>
        <v>0</v>
      </c>
      <c r="AZ2" s="58">
        <f>AppDate</f>
        <v>0</v>
      </c>
      <c r="BA2" s="120">
        <f>NotaryFee</f>
        <v>100</v>
      </c>
      <c r="BB2">
        <f>NumberOfBorrowers</f>
        <v>1</v>
      </c>
      <c r="BC2">
        <f>NumberOfProperties</f>
        <v>1</v>
      </c>
      <c r="BD2">
        <f>OCCCNumber</f>
        <v>0</v>
      </c>
      <c r="BE2" s="120">
        <f>ProcessingFee</f>
        <v>436</v>
      </c>
      <c r="BF2" s="120">
        <f>RecordingFee</f>
        <v>0</v>
      </c>
      <c r="BG2" s="367">
        <f>SigningDate</f>
        <v>0</v>
      </c>
      <c r="BH2">
        <f>Term</f>
        <v>0</v>
      </c>
      <c r="BI2" s="120">
        <f>TitleCurativeFee</f>
        <v>0</v>
      </c>
      <c r="BJ2" s="120">
        <f>UnderwritingFee</f>
        <v>50</v>
      </c>
      <c r="BK2" s="58">
        <f>ReviseDate</f>
        <v>43647</v>
      </c>
      <c r="BL2">
        <f>Borrower1NameStorage</f>
        <v>0</v>
      </c>
      <c r="BM2">
        <f>Borrower2NameStorage</f>
        <v>0</v>
      </c>
      <c r="BN2">
        <f>Borrower3NameStorage</f>
        <v>0</v>
      </c>
      <c r="BO2">
        <f>Borrower1Name</f>
        <v>0</v>
      </c>
      <c r="BP2" t="str">
        <f>B1Over65</f>
        <v>N</v>
      </c>
      <c r="BQ2" t="str">
        <f>B1Disabled</f>
        <v>N</v>
      </c>
      <c r="BR2" t="str">
        <f>B1Bankrupt</f>
        <v>N</v>
      </c>
      <c r="BS2" s="366">
        <f>Borrower1SSN</f>
        <v>0</v>
      </c>
      <c r="BT2" s="58">
        <f>Borrower1DOB</f>
        <v>0</v>
      </c>
      <c r="BU2">
        <f>MailingStreet</f>
        <v>0</v>
      </c>
      <c r="BV2">
        <f>MailingCIty</f>
        <v>0</v>
      </c>
      <c r="BW2">
        <f>MailingState</f>
        <v>0</v>
      </c>
      <c r="BX2">
        <f>MailingZIP</f>
        <v>0</v>
      </c>
      <c r="BY2">
        <f>Borrower1PAddress</f>
        <v>0</v>
      </c>
      <c r="BZ2">
        <f>Borrower1AddressCity</f>
        <v>0</v>
      </c>
      <c r="CA2">
        <f>Borrower1AddressZIP</f>
        <v>0</v>
      </c>
      <c r="CB2">
        <f>Borrower1AddressState</f>
        <v>0</v>
      </c>
      <c r="CC2">
        <f>Borrower1Marital</f>
        <v>0</v>
      </c>
      <c r="CD2">
        <f>Borrower1FKA</f>
        <v>0</v>
      </c>
      <c r="CE2">
        <f>Borrower1AKA1</f>
        <v>0</v>
      </c>
      <c r="CF2">
        <f>Borrower1AKA2</f>
        <v>0</v>
      </c>
      <c r="CG2">
        <f>Borrower1AKA3</f>
        <v>0</v>
      </c>
      <c r="CH2">
        <f>Borrower1AKA4</f>
        <v>0</v>
      </c>
      <c r="CI2">
        <f>Borrower1AKA5</f>
        <v>0</v>
      </c>
      <c r="CJ2">
        <f>Borrower1AKA6</f>
        <v>0</v>
      </c>
      <c r="CK2" s="118">
        <f>Borrower1HomePhone</f>
        <v>0</v>
      </c>
      <c r="CL2" s="118">
        <f>Borrower1WorkPhone</f>
        <v>0</v>
      </c>
      <c r="CM2" s="118">
        <f>Borrower1CellPhone</f>
        <v>0</v>
      </c>
      <c r="CN2">
        <f>Borrower1Email</f>
        <v>0</v>
      </c>
      <c r="CO2">
        <f>Borrower2Name</f>
        <v>0</v>
      </c>
      <c r="CP2" t="str">
        <f>B2Over65</f>
        <v>N</v>
      </c>
      <c r="CQ2">
        <f>B2Disabled</f>
        <v>0</v>
      </c>
      <c r="CR2">
        <f>B2Bankrupt</f>
        <v>0</v>
      </c>
      <c r="CS2">
        <f>B2MAddress</f>
        <v>0</v>
      </c>
      <c r="CT2">
        <f>B2MCity</f>
        <v>0</v>
      </c>
      <c r="CU2">
        <f>B2MState</f>
        <v>0</v>
      </c>
      <c r="CV2">
        <f>B2MZip</f>
        <v>0</v>
      </c>
      <c r="CW2" s="366">
        <f>Borrower2SSN</f>
        <v>0</v>
      </c>
      <c r="CX2" s="58">
        <f>Borrower2DOB</f>
        <v>0</v>
      </c>
      <c r="CY2">
        <f>Borrower2AddressStreet</f>
        <v>0</v>
      </c>
      <c r="CZ2">
        <f>Borrower2AddressCity</f>
        <v>0</v>
      </c>
      <c r="DA2">
        <f>Borrower2AddressZIP</f>
        <v>0</v>
      </c>
      <c r="DB2">
        <f>Borrower2AddressState</f>
        <v>0</v>
      </c>
      <c r="DC2">
        <f>Borrower2Marital</f>
        <v>0</v>
      </c>
      <c r="DD2">
        <f>Borrower2FKA</f>
        <v>0</v>
      </c>
      <c r="DE2">
        <f>Borrower2AKA1</f>
        <v>0</v>
      </c>
      <c r="DF2">
        <f>Borrower2AKA2</f>
        <v>0</v>
      </c>
      <c r="DG2">
        <f>Borrower2AKA3</f>
        <v>0</v>
      </c>
      <c r="DH2">
        <f>Borrower2AKA4</f>
        <v>0</v>
      </c>
      <c r="DI2">
        <f>Borrower2AKA5</f>
        <v>0</v>
      </c>
      <c r="DJ2">
        <f>Borrower2AKA6</f>
        <v>0</v>
      </c>
      <c r="DK2" s="118">
        <f>Borrower2HomePhone</f>
        <v>0</v>
      </c>
      <c r="DL2" s="118">
        <f>Borrower2WorkPhone</f>
        <v>0</v>
      </c>
      <c r="DM2" s="118">
        <f>Borrower2CellPhone</f>
        <v>0</v>
      </c>
      <c r="DN2">
        <f>Borrower1Email</f>
        <v>0</v>
      </c>
      <c r="DO2">
        <f>Borrower3Name</f>
        <v>0</v>
      </c>
      <c r="DP2" t="str">
        <f>B3Over65</f>
        <v>N</v>
      </c>
      <c r="DQ2">
        <f>B3Disabled</f>
        <v>0</v>
      </c>
      <c r="DR2">
        <f>B3Bankrupt</f>
        <v>0</v>
      </c>
      <c r="DS2">
        <f>B3MAddress</f>
        <v>0</v>
      </c>
      <c r="DT2">
        <f>B3MCity</f>
        <v>0</v>
      </c>
      <c r="DU2">
        <f>B3MState</f>
        <v>0</v>
      </c>
      <c r="DV2">
        <f>B3MZIP</f>
        <v>0</v>
      </c>
      <c r="DW2" s="366">
        <f>Borrower3SSN</f>
        <v>0</v>
      </c>
      <c r="DX2" s="58">
        <f>Borrower3DOB</f>
        <v>0</v>
      </c>
      <c r="DY2">
        <f>Borrower3AddressCity</f>
        <v>0</v>
      </c>
      <c r="DZ2">
        <f>Borrower3AddressCity</f>
        <v>0</v>
      </c>
      <c r="EA2">
        <f>Borrower3AddressZIP</f>
        <v>0</v>
      </c>
      <c r="EB2">
        <f>Borrower3AddressState</f>
        <v>0</v>
      </c>
      <c r="EC2">
        <f>Borrower3Marital</f>
        <v>0</v>
      </c>
      <c r="ED2">
        <f>Borrower3FKA</f>
        <v>0</v>
      </c>
      <c r="EE2">
        <f>Borrower3AKA1</f>
        <v>0</v>
      </c>
      <c r="EF2">
        <f>Borrower3AKA2</f>
        <v>0</v>
      </c>
      <c r="EG2">
        <f>Borrower3AKA3</f>
        <v>0</v>
      </c>
      <c r="EH2">
        <f>Borrower3AKA4</f>
        <v>0</v>
      </c>
      <c r="EI2">
        <f>Borrower3AKA5</f>
        <v>0</v>
      </c>
      <c r="EJ2">
        <f>Borrower3AKA6</f>
        <v>0</v>
      </c>
      <c r="EK2" s="118">
        <f>Borrower3HomePhone</f>
        <v>0</v>
      </c>
      <c r="EL2" s="118">
        <f>Borrower3WorkPhone</f>
        <v>0</v>
      </c>
      <c r="EM2" s="118">
        <f>Borrower3CellPhone</f>
        <v>0</v>
      </c>
      <c r="EN2">
        <f>Borrower3Email</f>
        <v>0</v>
      </c>
      <c r="EO2">
        <f>TotalOtherFees</f>
        <v>900</v>
      </c>
      <c r="EP2" s="119">
        <f>TotalTaxAmount</f>
        <v>0</v>
      </c>
      <c r="EQ2">
        <f>UniqueLoanNumbers</f>
        <v>1</v>
      </c>
      <c r="ER2">
        <f>NumberOfUniqueEntities</f>
        <v>1</v>
      </c>
      <c r="ES2" t="str">
        <f>UniqueEntity1</f>
        <v>Johnson County Tax Office</v>
      </c>
      <c r="ET2">
        <f>UniqueEntity2</f>
        <v>0</v>
      </c>
      <c r="EU2">
        <f>UniqueEntity3</f>
        <v>0</v>
      </c>
      <c r="EV2">
        <f>UniqueEntity4</f>
        <v>0</v>
      </c>
      <c r="EW2">
        <f>UniqueEntity5</f>
        <v>0</v>
      </c>
      <c r="EX2">
        <f>UniqueEntity6</f>
        <v>0</v>
      </c>
      <c r="EY2">
        <f>UniqueEntity7</f>
        <v>0</v>
      </c>
      <c r="EZ2">
        <f>UniqueEntity8</f>
        <v>0</v>
      </c>
      <c r="FA2">
        <f>UniqueEntity9</f>
        <v>0</v>
      </c>
      <c r="FB2">
        <f>UniqueEntity10</f>
        <v>0</v>
      </c>
      <c r="FC2">
        <f>UniqueEntity11</f>
        <v>0</v>
      </c>
      <c r="FD2">
        <f>UniqueEntity12</f>
        <v>0</v>
      </c>
      <c r="FE2">
        <f>UniqueEntity13</f>
        <v>0</v>
      </c>
      <c r="FF2">
        <f>UniqueEntity14</f>
        <v>0</v>
      </c>
      <c r="FG2">
        <f>UniqueEntity15</f>
        <v>0</v>
      </c>
      <c r="FH2">
        <f>UniqueEntity16</f>
        <v>0</v>
      </c>
      <c r="FI2">
        <f>UniqueEntity17</f>
        <v>0</v>
      </c>
      <c r="FJ2">
        <f>UniqueEntity18</f>
        <v>0</v>
      </c>
      <c r="FK2">
        <f>UniqueEntity19</f>
        <v>0</v>
      </c>
      <c r="FL2">
        <f>UniqueEntity20</f>
        <v>0</v>
      </c>
      <c r="FM2" s="119">
        <f>UniqueAmount1</f>
        <v>12962.59</v>
      </c>
      <c r="FN2" s="119">
        <f>UniqueAmount2</f>
        <v>0</v>
      </c>
      <c r="FO2" s="119">
        <f>UniqueAmount3</f>
        <v>0</v>
      </c>
      <c r="FP2" s="119">
        <f>UniqueAmount4</f>
        <v>0</v>
      </c>
      <c r="FQ2" s="119">
        <f>UniqueAmount5</f>
        <v>0</v>
      </c>
      <c r="FR2" s="119">
        <f>UniqueAmount6</f>
        <v>0</v>
      </c>
      <c r="FS2" s="119">
        <f>UniqueAmount7</f>
        <v>0</v>
      </c>
      <c r="FT2" s="119">
        <f>UniqueAmount8</f>
        <v>0</v>
      </c>
      <c r="FU2" s="119">
        <f>UniqueAmount9</f>
        <v>0</v>
      </c>
      <c r="FV2" s="119">
        <f>UniqueAmount10</f>
        <v>0</v>
      </c>
      <c r="FW2" s="119">
        <f>UniqueAmount11</f>
        <v>0</v>
      </c>
      <c r="FX2" s="119">
        <f>UniqueAmount12</f>
        <v>0</v>
      </c>
      <c r="FY2" s="119">
        <f>UniqueAmount13</f>
        <v>0</v>
      </c>
      <c r="FZ2" s="119">
        <f>UniqueAmount14</f>
        <v>0</v>
      </c>
      <c r="GA2" s="119">
        <f>UniqueAmount15</f>
        <v>0</v>
      </c>
      <c r="GB2" s="119">
        <f>UniqueAmount16</f>
        <v>0</v>
      </c>
      <c r="GC2" s="119">
        <f>UniqueAmount17</f>
        <v>0</v>
      </c>
      <c r="GD2" s="119">
        <f>UniqueAmount18</f>
        <v>0</v>
      </c>
      <c r="GE2" s="119">
        <f>UniqueAmount19</f>
        <v>0</v>
      </c>
      <c r="GF2" s="119">
        <f>UniqueAmount20</f>
        <v>0</v>
      </c>
      <c r="GG2">
        <f>Prop1MortgageWith</f>
        <v>0</v>
      </c>
      <c r="GH2" t="str">
        <f>Prop1TaxLoan</f>
        <v>N</v>
      </c>
      <c r="GI2">
        <f>Prop1TaxLoanWith</f>
        <v>0</v>
      </c>
      <c r="GJ2">
        <f>Prop1LoanDate</f>
        <v>0</v>
      </c>
      <c r="GK2">
        <f>Prop1LoanBalance</f>
        <v>0</v>
      </c>
      <c r="GL2" t="str">
        <f>Prop1TDHCA</f>
        <v>N</v>
      </c>
      <c r="GM2" s="58">
        <f>Prop1FDate</f>
        <v>0</v>
      </c>
      <c r="GN2" t="str">
        <f>Prop1Lawsuit</f>
        <v>N</v>
      </c>
      <c r="GO2">
        <f>Prop1Cause</f>
        <v>0</v>
      </c>
      <c r="GP2" s="128">
        <f>Prop1AccountNumber1</f>
        <v>0</v>
      </c>
      <c r="GQ2" s="128">
        <f>Prop1AccountNumber2</f>
        <v>0</v>
      </c>
      <c r="GR2" s="128">
        <f>Prop1AccountNumber3</f>
        <v>0</v>
      </c>
      <c r="GS2" s="128">
        <f>Prop1AccountNumber4</f>
        <v>0</v>
      </c>
      <c r="GT2">
        <f>Prop1Address</f>
        <v>0</v>
      </c>
      <c r="GU2" s="119">
        <f>Prop1AmountDue1</f>
        <v>0</v>
      </c>
      <c r="GV2" s="119">
        <f>Prop1AmountDue2</f>
        <v>0</v>
      </c>
      <c r="GW2" s="119">
        <f>Prop1AmountDue3</f>
        <v>0</v>
      </c>
      <c r="GX2" s="119">
        <f>Prop1AmountDue4</f>
        <v>0</v>
      </c>
      <c r="GY2">
        <f>Prop1Title1</f>
        <v>0</v>
      </c>
      <c r="GZ2">
        <f>Prop1Title2</f>
        <v>0</v>
      </c>
      <c r="HA2">
        <f>Prop1Title3</f>
        <v>0</v>
      </c>
      <c r="HB2">
        <f>Prop1Title4</f>
        <v>0</v>
      </c>
      <c r="HC2" s="120">
        <f>Prop1TotalAmountDue</f>
        <v>0</v>
      </c>
      <c r="HD2" s="119">
        <f>Prop1CADTotal</f>
        <v>0</v>
      </c>
      <c r="HE2">
        <f>Prop1CADLandValue</f>
        <v>0</v>
      </c>
      <c r="HF2">
        <f>Prop1City</f>
        <v>0</v>
      </c>
      <c r="HG2">
        <f>Prop1County</f>
        <v>0</v>
      </c>
      <c r="HH2" t="str">
        <f>Prop1Foreclosure</f>
        <v>N</v>
      </c>
      <c r="HI2" s="119">
        <f>Prop1HKValue</f>
        <v>0</v>
      </c>
      <c r="HJ2" t="str">
        <f>Prop1MobileHome</f>
        <v>N</v>
      </c>
      <c r="HK2">
        <f>Prop1Name1</f>
        <v>0</v>
      </c>
      <c r="HL2">
        <f>Prop1Name2</f>
        <v>0</v>
      </c>
      <c r="HM2">
        <f>Prop1Name3</f>
        <v>0</v>
      </c>
      <c r="HN2">
        <f>Prop1Name4</f>
        <v>0</v>
      </c>
      <c r="HO2">
        <f>Prop1Legal</f>
        <v>0</v>
      </c>
      <c r="HP2" t="str">
        <f>Prop1MortgageHolder</f>
        <v>N</v>
      </c>
      <c r="HQ2">
        <f>Prop1TaxLiens</f>
        <v>0</v>
      </c>
      <c r="HR2">
        <f>Prop1State</f>
        <v>0</v>
      </c>
      <c r="HS2">
        <f>Prop1TaxingEntity1</f>
        <v>0</v>
      </c>
      <c r="HT2">
        <f>Prop1TaxingEntity2</f>
        <v>0</v>
      </c>
      <c r="HU2">
        <f>Prop1TaxingEntity3</f>
        <v>0</v>
      </c>
      <c r="HV2">
        <f>Prop1TaxingEntity4</f>
        <v>0</v>
      </c>
      <c r="HW2">
        <f>Prop1Years1</f>
        <v>0</v>
      </c>
      <c r="HX2">
        <f>Prop1Years2</f>
        <v>0</v>
      </c>
      <c r="HY2">
        <f>Prop1Years3</f>
        <v>0</v>
      </c>
      <c r="HZ2">
        <f>Prop1Years4</f>
        <v>0</v>
      </c>
      <c r="IA2">
        <f>Prop1ZIP</f>
        <v>0</v>
      </c>
      <c r="IB2" t="str">
        <f>Prop1Attached</f>
        <v>N</v>
      </c>
      <c r="IC2">
        <f>Prop2MortgageWith</f>
        <v>0</v>
      </c>
      <c r="ID2">
        <f>Prop2TaxLoan</f>
        <v>0</v>
      </c>
      <c r="IE2">
        <f>Prop2TaxLoanWith</f>
        <v>0</v>
      </c>
      <c r="IF2">
        <f>Prop2LoanDate</f>
        <v>0</v>
      </c>
      <c r="IG2">
        <f>Prop2LoanBalance</f>
        <v>0</v>
      </c>
      <c r="IH2">
        <f>Prop2TDHCA</f>
        <v>0</v>
      </c>
      <c r="II2">
        <f>Prop2FDate</f>
        <v>0</v>
      </c>
      <c r="IJ2">
        <f>Prop2Lawsuit</f>
        <v>0</v>
      </c>
      <c r="IK2">
        <f>Prop2Cause</f>
        <v>0</v>
      </c>
      <c r="IL2" s="128">
        <f>Prop2AccountNumber1</f>
        <v>0</v>
      </c>
      <c r="IM2" s="128">
        <f>Prop2AccountNumber2</f>
        <v>0</v>
      </c>
      <c r="IN2" s="128">
        <f>Prop2AccountNumber3</f>
        <v>0</v>
      </c>
      <c r="IO2" s="128">
        <f>Prop2AccountNumber4</f>
        <v>0</v>
      </c>
      <c r="IP2">
        <f>Prop2Address</f>
        <v>0</v>
      </c>
      <c r="IQ2" s="119">
        <f>Prop2AmountDue1</f>
        <v>0</v>
      </c>
      <c r="IR2" s="119">
        <f>Prop2AmountDue2</f>
        <v>0</v>
      </c>
      <c r="IS2" s="119">
        <f>Prop2AmountDue3</f>
        <v>0</v>
      </c>
      <c r="IT2" s="119">
        <f>Prop2AmountDue4</f>
        <v>0</v>
      </c>
      <c r="IU2" s="119">
        <f>Prop2TotalAmountDue</f>
        <v>0</v>
      </c>
      <c r="IV2">
        <f>Prop2CADImprovementValue</f>
        <v>0</v>
      </c>
      <c r="IW2">
        <f>Prop2CADLandValue</f>
        <v>0</v>
      </c>
      <c r="IX2">
        <f>Prop2City</f>
        <v>0</v>
      </c>
      <c r="IY2">
        <f>Prop2County</f>
        <v>0</v>
      </c>
      <c r="IZ2">
        <f>Prop2Foreclosure</f>
        <v>0</v>
      </c>
      <c r="JA2" s="119">
        <f>Prop2HKValue</f>
        <v>0</v>
      </c>
      <c r="JB2">
        <f>Prop2MobileHome</f>
        <v>0</v>
      </c>
      <c r="JC2">
        <f>Prop2Legal</f>
        <v>0</v>
      </c>
      <c r="JD2">
        <f>Prop2MortgageHolder</f>
        <v>0</v>
      </c>
      <c r="JE2">
        <f>Prop2TaxLiens</f>
        <v>0</v>
      </c>
      <c r="JF2">
        <f>Prop2State</f>
        <v>0</v>
      </c>
      <c r="JG2">
        <f>Prop2TaxingEntity1</f>
        <v>0</v>
      </c>
      <c r="JH2">
        <f>Prop2TaxingEntity2</f>
        <v>0</v>
      </c>
      <c r="JI2">
        <f>Prop2TaxingEntity3</f>
        <v>0</v>
      </c>
      <c r="JJ2">
        <f>Prop2TaxingEntity4</f>
        <v>0</v>
      </c>
      <c r="JK2">
        <f>Prop2Years1</f>
        <v>0</v>
      </c>
      <c r="JL2">
        <f>Prop2Years2</f>
        <v>0</v>
      </c>
      <c r="JM2">
        <f>Prop2Years3</f>
        <v>0</v>
      </c>
      <c r="JN2">
        <f>Prop2Years4</f>
        <v>0</v>
      </c>
      <c r="JO2">
        <f>Prop2Name1</f>
        <v>0</v>
      </c>
      <c r="JP2">
        <f>Prop2Name2</f>
        <v>0</v>
      </c>
      <c r="JQ2">
        <f>Prop2Name3</f>
        <v>0</v>
      </c>
      <c r="JR2">
        <f>Prop2Name4</f>
        <v>0</v>
      </c>
      <c r="JS2">
        <f>Prop2Title1</f>
        <v>0</v>
      </c>
      <c r="JT2">
        <f>Prop2Title2</f>
        <v>0</v>
      </c>
      <c r="JU2">
        <f>Prop2Title3</f>
        <v>0</v>
      </c>
      <c r="JV2">
        <f>Prop2Title4</f>
        <v>0</v>
      </c>
      <c r="JW2">
        <f>Prop2ZIP</f>
        <v>0</v>
      </c>
      <c r="JX2">
        <f>Prop2Attached</f>
        <v>0</v>
      </c>
      <c r="JY2">
        <f>Prop3MortgageWith</f>
        <v>0</v>
      </c>
      <c r="JZ2">
        <f>Prop3TaxLoan</f>
        <v>0</v>
      </c>
      <c r="KA2">
        <f>Prop3TaxLoanWith</f>
        <v>0</v>
      </c>
      <c r="KB2">
        <f>Prop3LoanDate</f>
        <v>0</v>
      </c>
      <c r="KC2">
        <f>Prop3LoanBalance</f>
        <v>0</v>
      </c>
      <c r="KD2">
        <f>Prop3TDHCA</f>
        <v>0</v>
      </c>
      <c r="KE2">
        <f>Prop3FDate</f>
        <v>0</v>
      </c>
      <c r="KF2">
        <f>Prop3Lawsuit</f>
        <v>0</v>
      </c>
      <c r="KG2">
        <f>Prop3Cause</f>
        <v>0</v>
      </c>
      <c r="KH2" s="128">
        <f>Prop3AccountNumber1</f>
        <v>0</v>
      </c>
      <c r="KI2" s="128">
        <f>Prop3AccountNumber2</f>
        <v>0</v>
      </c>
      <c r="KJ2" s="128">
        <f>Prop3AccountNumber3</f>
        <v>0</v>
      </c>
      <c r="KK2" s="128">
        <f>Prop3AccountNumber4</f>
        <v>0</v>
      </c>
      <c r="KL2">
        <f>Prop3Address</f>
        <v>0</v>
      </c>
      <c r="KM2" s="119">
        <f>Prop3AmountDue1</f>
        <v>0</v>
      </c>
      <c r="KN2" s="119">
        <f>Prop3AmountDue2</f>
        <v>0</v>
      </c>
      <c r="KO2" s="119">
        <f>Prop3AmountDue3</f>
        <v>0</v>
      </c>
      <c r="KP2" s="119">
        <f>Prop3AmountDue4</f>
        <v>0</v>
      </c>
      <c r="KQ2" s="121">
        <f>Prop3TotalAmountDue</f>
        <v>0</v>
      </c>
      <c r="KR2">
        <f>Prop3CADImprvementValue</f>
        <v>0</v>
      </c>
      <c r="KS2" s="119">
        <f>Prop3CADLandValue</f>
        <v>0</v>
      </c>
      <c r="KT2">
        <f>Prop3City</f>
        <v>0</v>
      </c>
      <c r="KU2">
        <f>Prop3County</f>
        <v>0</v>
      </c>
      <c r="KV2">
        <f>Prop3Foreclosure</f>
        <v>0</v>
      </c>
      <c r="KW2" s="119">
        <f>Prop3HKValue</f>
        <v>0</v>
      </c>
      <c r="KX2">
        <f>Prop3Legal</f>
        <v>0</v>
      </c>
      <c r="KY2">
        <f>Prop3MobileHome</f>
        <v>0</v>
      </c>
      <c r="KZ2">
        <f>Prop3MortgageHolder</f>
        <v>0</v>
      </c>
      <c r="LA2">
        <f>Prop3State</f>
        <v>0</v>
      </c>
      <c r="LB2">
        <f>Prop3TaxingEntity1</f>
        <v>0</v>
      </c>
      <c r="LC2">
        <f>Prop3TaxingEntity2</f>
        <v>0</v>
      </c>
      <c r="LD2">
        <f>Prop3TaxingEntity3</f>
        <v>0</v>
      </c>
      <c r="LE2">
        <f>Prop3TaxingEntity4</f>
        <v>0</v>
      </c>
      <c r="LF2">
        <f>Prop3TaxLiens</f>
        <v>0</v>
      </c>
      <c r="LG2">
        <f>Prop3Years1</f>
        <v>0</v>
      </c>
      <c r="LH2">
        <f>Prop3Years2</f>
        <v>0</v>
      </c>
      <c r="LI2">
        <f>Prop3Years3</f>
        <v>0</v>
      </c>
      <c r="LJ2">
        <f>Prop3Years4</f>
        <v>0</v>
      </c>
      <c r="LK2">
        <f>Prop3ZIP</f>
        <v>0</v>
      </c>
      <c r="LL2">
        <f>Prop3Name1</f>
        <v>0</v>
      </c>
      <c r="LM2">
        <f>Prop3Name2</f>
        <v>0</v>
      </c>
      <c r="LN2">
        <f>Prop3Name3</f>
        <v>0</v>
      </c>
      <c r="LO2">
        <f>Prop3Name4</f>
        <v>0</v>
      </c>
      <c r="LP2">
        <f>Prop3Title1</f>
        <v>0</v>
      </c>
      <c r="LQ2">
        <f>Prop3Title2</f>
        <v>0</v>
      </c>
      <c r="LR2">
        <f>Prop3Title3</f>
        <v>0</v>
      </c>
      <c r="LS2">
        <f>Prop3Title4</f>
        <v>0</v>
      </c>
      <c r="LT2">
        <f>Prop3Attached</f>
        <v>0</v>
      </c>
      <c r="LU2">
        <f>Prop4MortgageWith</f>
        <v>0</v>
      </c>
      <c r="LV2">
        <f>Prop4TaxLoan</f>
        <v>0</v>
      </c>
      <c r="LW2">
        <f>Prop4TaxLoanWith</f>
        <v>0</v>
      </c>
      <c r="LX2">
        <f>Prop4LoanDate</f>
        <v>0</v>
      </c>
      <c r="LY2">
        <f>Prop4LoanBalance</f>
        <v>0</v>
      </c>
      <c r="LZ2">
        <f>Prop4TDHCA</f>
        <v>0</v>
      </c>
      <c r="MA2">
        <f>Prop4FDate</f>
        <v>0</v>
      </c>
      <c r="MB2">
        <f>Prop4Lawsuit</f>
        <v>0</v>
      </c>
      <c r="MC2">
        <f>Prop4Cause</f>
        <v>0</v>
      </c>
      <c r="MD2" s="128">
        <f>Prop4AccountNumber1</f>
        <v>0</v>
      </c>
      <c r="ME2" s="128">
        <f>Prop4AccountNumber2</f>
        <v>0</v>
      </c>
      <c r="MF2" s="128">
        <f>Prop4AccountNumber3</f>
        <v>0</v>
      </c>
      <c r="MG2" s="128">
        <f>Prop4AccountNumber4</f>
        <v>0</v>
      </c>
      <c r="MH2">
        <f>Prop4Address</f>
        <v>0</v>
      </c>
      <c r="MI2" s="119">
        <f>Prop4AmountDue1</f>
        <v>0</v>
      </c>
      <c r="MJ2" s="119">
        <f>Prop4AmountDue2</f>
        <v>0</v>
      </c>
      <c r="MK2" s="119">
        <f>Prop4AmountDue3</f>
        <v>0</v>
      </c>
      <c r="ML2" s="119">
        <f>Prop4AmountDue4</f>
        <v>0</v>
      </c>
      <c r="MM2" s="121">
        <f>Prop4TotalAmountDue</f>
        <v>0</v>
      </c>
      <c r="MN2" s="119">
        <f>Prop4CADImprovementValue</f>
        <v>0</v>
      </c>
      <c r="MO2">
        <f>Prop4CADLandValues</f>
        <v>0</v>
      </c>
      <c r="MP2">
        <f>Prop4City</f>
        <v>0</v>
      </c>
      <c r="MQ2">
        <f>Prop4County</f>
        <v>0</v>
      </c>
      <c r="MR2">
        <f>Prop4Foreclosure</f>
        <v>0</v>
      </c>
      <c r="MS2" s="119">
        <f>Prop4HKValue</f>
        <v>0</v>
      </c>
      <c r="MT2">
        <f>Prop4Legal</f>
        <v>0</v>
      </c>
      <c r="MU2">
        <f>Prop4MobileHome</f>
        <v>0</v>
      </c>
      <c r="MV2">
        <f>Prop4MortgageHolder</f>
        <v>0</v>
      </c>
      <c r="MW2">
        <f>Prop4State</f>
        <v>0</v>
      </c>
      <c r="MX2">
        <f>Prop4TaxingEntity1</f>
        <v>0</v>
      </c>
      <c r="MY2">
        <f>Prop4TaxingEntity2</f>
        <v>0</v>
      </c>
      <c r="MZ2">
        <f>Prop4TaxingEntity3</f>
        <v>0</v>
      </c>
      <c r="NA2">
        <f>Prop4TaxingEntity4</f>
        <v>0</v>
      </c>
      <c r="NB2">
        <f>Prop4TaxLiens</f>
        <v>0</v>
      </c>
      <c r="NC2">
        <f>Prop4Years1</f>
        <v>0</v>
      </c>
      <c r="ND2">
        <f>Prop4Years2</f>
        <v>0</v>
      </c>
      <c r="NE2">
        <f>Prop4Years3</f>
        <v>0</v>
      </c>
      <c r="NF2">
        <f>Prop4Years4</f>
        <v>0</v>
      </c>
      <c r="NG2">
        <f>Prop4Name1</f>
        <v>0</v>
      </c>
      <c r="NH2">
        <f>Prop4Name2</f>
        <v>0</v>
      </c>
      <c r="NI2">
        <f>Prop4Name3</f>
        <v>0</v>
      </c>
      <c r="NJ2">
        <f>Prop4Name4</f>
        <v>0</v>
      </c>
      <c r="NK2">
        <f>Prop4Title1</f>
        <v>0</v>
      </c>
      <c r="NL2">
        <f>Prop4Title2</f>
        <v>0</v>
      </c>
      <c r="NM2">
        <f>Prop4Title3</f>
        <v>0</v>
      </c>
      <c r="NN2">
        <f>Prop4Title4</f>
        <v>0</v>
      </c>
      <c r="NO2">
        <f>Prop4ZIP</f>
        <v>0</v>
      </c>
      <c r="NP2">
        <f>Prop4Attached</f>
        <v>0</v>
      </c>
      <c r="NQ2" s="116">
        <f>Prop5MortgageWith</f>
        <v>0</v>
      </c>
      <c r="NR2" s="116">
        <f>Prop5TaxLoan</f>
        <v>0</v>
      </c>
      <c r="NS2" s="116">
        <f>Prop5TaxLoanWith</f>
        <v>0</v>
      </c>
      <c r="NT2" s="116">
        <f>Prop5LoanDate</f>
        <v>0</v>
      </c>
      <c r="NU2" s="116">
        <f>Prop5LoanBalance</f>
        <v>0</v>
      </c>
      <c r="NV2" s="116">
        <f>Prop5TDHCA</f>
        <v>0</v>
      </c>
      <c r="NW2" s="116">
        <f>Prop5FDate</f>
        <v>0</v>
      </c>
      <c r="NX2" s="116">
        <f>Prop5Lawsuit</f>
        <v>0</v>
      </c>
      <c r="NY2" s="116">
        <f>Prop5Cause</f>
        <v>0</v>
      </c>
      <c r="NZ2" s="128">
        <f>Prop5AccountNumber1</f>
        <v>0</v>
      </c>
      <c r="OA2" s="128">
        <f>Prop5AccountNumber2</f>
        <v>0</v>
      </c>
      <c r="OB2" s="128">
        <f>Prop5AccountNumber3</f>
        <v>0</v>
      </c>
      <c r="OC2" s="128">
        <f>Prop5AccountNumber4</f>
        <v>0</v>
      </c>
      <c r="OD2">
        <f>Prop5Address</f>
        <v>0</v>
      </c>
      <c r="OE2" s="119">
        <f>Prop5AmountDue1</f>
        <v>0</v>
      </c>
      <c r="OF2" s="119">
        <f>Prop5AmountDue2</f>
        <v>0</v>
      </c>
      <c r="OG2" s="119">
        <f>Prop5AmountDue3</f>
        <v>0</v>
      </c>
      <c r="OH2" s="119">
        <f>Prop5AmountDue4</f>
        <v>0</v>
      </c>
      <c r="OI2" s="121">
        <f>Prop5TotalAmountDue</f>
        <v>0</v>
      </c>
      <c r="OJ2" s="119">
        <f>Prop5CADImprovementValue</f>
        <v>0</v>
      </c>
      <c r="OK2">
        <f>Prop5CADLandValue</f>
        <v>0</v>
      </c>
      <c r="OL2">
        <f>Prop5City</f>
        <v>0</v>
      </c>
      <c r="OM2">
        <f>Prop5County</f>
        <v>0</v>
      </c>
      <c r="ON2">
        <f>Prop5Foreclosure</f>
        <v>0</v>
      </c>
      <c r="OO2" s="119">
        <f>Prop5HKValue</f>
        <v>0</v>
      </c>
      <c r="OP2">
        <f>Prop5Legal</f>
        <v>0</v>
      </c>
      <c r="OQ2">
        <f>Prop5MobileHome</f>
        <v>0</v>
      </c>
      <c r="OR2">
        <f>Prop5MortgageHolder</f>
        <v>0</v>
      </c>
      <c r="OS2">
        <f>Prop5State</f>
        <v>0</v>
      </c>
      <c r="OT2">
        <f>Prop5TaxingEntity1</f>
        <v>0</v>
      </c>
      <c r="OU2">
        <f>Prop5TaxingEntity2</f>
        <v>0</v>
      </c>
      <c r="OV2">
        <f>Prop5TaxingEntity3</f>
        <v>0</v>
      </c>
      <c r="OW2">
        <f>Prop5TaxingEntity4</f>
        <v>0</v>
      </c>
      <c r="OX2">
        <f>Prop5TaxLiens</f>
        <v>0</v>
      </c>
      <c r="OY2">
        <f>Prop5Years1</f>
        <v>0</v>
      </c>
      <c r="OZ2">
        <f>Prop5Years2</f>
        <v>0</v>
      </c>
      <c r="PA2">
        <f>Prop5Years3</f>
        <v>0</v>
      </c>
      <c r="PB2">
        <f>Prop5Years4</f>
        <v>0</v>
      </c>
      <c r="PC2">
        <f>Prop5Name1</f>
        <v>0</v>
      </c>
      <c r="PD2">
        <f>Prop5Name2</f>
        <v>0</v>
      </c>
      <c r="PE2">
        <f>Prop5Name3</f>
        <v>0</v>
      </c>
      <c r="PF2">
        <f>Prop5Name4</f>
        <v>0</v>
      </c>
      <c r="PG2">
        <f>Prop5Title1</f>
        <v>0</v>
      </c>
      <c r="PH2">
        <f>Prop5Title2</f>
        <v>0</v>
      </c>
      <c r="PI2">
        <f>Prop5Title3</f>
        <v>0</v>
      </c>
      <c r="PJ2">
        <f>Prop5Title4</f>
        <v>0</v>
      </c>
      <c r="PK2">
        <f>Prop5ZIP</f>
        <v>0</v>
      </c>
      <c r="PL2">
        <f>Prop5Attached</f>
        <v>0</v>
      </c>
      <c r="PM2">
        <f>Prop6MortgageWith</f>
        <v>0</v>
      </c>
      <c r="PN2">
        <f>Prop6TaxLoan</f>
        <v>0</v>
      </c>
      <c r="PO2">
        <f>Prop6TaxLoanWith</f>
        <v>0</v>
      </c>
      <c r="PP2">
        <f>Prop6LoanDate</f>
        <v>0</v>
      </c>
      <c r="PQ2">
        <f>Prop6LoanBalance</f>
        <v>0</v>
      </c>
      <c r="PR2">
        <f>Prop6TDHCA</f>
        <v>0</v>
      </c>
      <c r="PS2">
        <f>Prop6FDate</f>
        <v>0</v>
      </c>
      <c r="PT2">
        <f>Prop6Lawsuit</f>
        <v>0</v>
      </c>
      <c r="PU2">
        <f>Prop6Cause</f>
        <v>0</v>
      </c>
      <c r="PV2" s="128">
        <f>Prop6AccountNumber1</f>
        <v>0</v>
      </c>
      <c r="PW2" s="128">
        <f>Prop6AccountNumber2</f>
        <v>0</v>
      </c>
      <c r="PX2" s="128">
        <f>Prop6AccountNumber3</f>
        <v>0</v>
      </c>
      <c r="PY2" s="128">
        <f>Prop6AccountNumber4</f>
        <v>0</v>
      </c>
      <c r="PZ2">
        <f>Prop6Address</f>
        <v>0</v>
      </c>
      <c r="QA2" s="119">
        <f>Prop6AmountDue1</f>
        <v>0</v>
      </c>
      <c r="QB2" s="119">
        <f>Prop6AmountDue2</f>
        <v>0</v>
      </c>
      <c r="QC2" s="119">
        <f>Prop6AmountDue3</f>
        <v>0</v>
      </c>
      <c r="QD2" s="119">
        <f>Prop6AmountDue4</f>
        <v>0</v>
      </c>
      <c r="QE2" s="121">
        <f>Prop6TotalAmountDue</f>
        <v>0</v>
      </c>
      <c r="QF2" s="119">
        <f>Prop6CADImprovementValue</f>
        <v>0</v>
      </c>
      <c r="QG2">
        <f>Prop6CADLandValue</f>
        <v>0</v>
      </c>
      <c r="QH2">
        <f>Prop6City</f>
        <v>0</v>
      </c>
      <c r="QI2">
        <f>Prop6County</f>
        <v>0</v>
      </c>
      <c r="QJ2">
        <f>Prop6Foreclosure</f>
        <v>0</v>
      </c>
      <c r="QK2" s="119">
        <f>Prop6HKValue</f>
        <v>0</v>
      </c>
      <c r="QL2">
        <f>Prop6Legal</f>
        <v>0</v>
      </c>
      <c r="QM2">
        <f>Prop6MobileHome</f>
        <v>0</v>
      </c>
      <c r="QN2">
        <f>Prop6MortgageHolder</f>
        <v>0</v>
      </c>
      <c r="QO2">
        <f>Prop6State</f>
        <v>0</v>
      </c>
      <c r="QP2">
        <f>Prop6TaxingEntity1</f>
        <v>0</v>
      </c>
      <c r="QQ2">
        <f>Prop6TaxingEntity2</f>
        <v>0</v>
      </c>
      <c r="QR2">
        <f>Prop6TaxingEntity3</f>
        <v>0</v>
      </c>
      <c r="QS2">
        <f>Prop6TaxingEntity4</f>
        <v>0</v>
      </c>
      <c r="QT2">
        <f>Prop6TaxLiens</f>
        <v>0</v>
      </c>
      <c r="QU2">
        <f>Prop6Years1</f>
        <v>0</v>
      </c>
      <c r="QV2">
        <f>Prop6Years2</f>
        <v>0</v>
      </c>
      <c r="QW2">
        <f>Prop6Years3</f>
        <v>0</v>
      </c>
      <c r="QX2">
        <f>Prop6Years4</f>
        <v>0</v>
      </c>
      <c r="QY2">
        <f>Prop6Name1</f>
        <v>0</v>
      </c>
      <c r="QZ2">
        <f>Prop6Name2</f>
        <v>0</v>
      </c>
      <c r="RA2">
        <f>Prop6Name3</f>
        <v>0</v>
      </c>
      <c r="RB2">
        <f>Prop6Name4</f>
        <v>0</v>
      </c>
      <c r="RC2">
        <f>Prop6Title1</f>
        <v>0</v>
      </c>
      <c r="RD2">
        <f>Prop6Title2</f>
        <v>0</v>
      </c>
      <c r="RE2">
        <f>Prop6Title3</f>
        <v>0</v>
      </c>
      <c r="RF2">
        <f>Prop6Title4</f>
        <v>0</v>
      </c>
      <c r="RG2">
        <f>Prop6ZIP</f>
        <v>0</v>
      </c>
      <c r="RH2">
        <f>Prop6Attached</f>
        <v>0</v>
      </c>
      <c r="RI2" s="116">
        <f>Prop7MortgageWith</f>
        <v>0</v>
      </c>
      <c r="RJ2" s="116">
        <f>Prop7TaxLoan</f>
        <v>0</v>
      </c>
      <c r="RK2" s="116">
        <f>Prop7TaxLoanWith</f>
        <v>0</v>
      </c>
      <c r="RL2" s="116">
        <f>Prop7LoanDate</f>
        <v>0</v>
      </c>
      <c r="RM2" s="116">
        <f>Prop7LoanBalance</f>
        <v>0</v>
      </c>
      <c r="RN2" s="116">
        <f>Prop7TDHCA</f>
        <v>0</v>
      </c>
      <c r="RO2" s="116">
        <f>Prop7FDate</f>
        <v>0</v>
      </c>
      <c r="RP2" s="116">
        <f>Prop7Lawsuit</f>
        <v>0</v>
      </c>
      <c r="RQ2" s="116">
        <f>Prop7Cause</f>
        <v>0</v>
      </c>
      <c r="RR2" s="128">
        <f>Prop7AccountNumber1</f>
        <v>0</v>
      </c>
      <c r="RS2" s="128">
        <f>Prop7AccountNumber2</f>
        <v>0</v>
      </c>
      <c r="RT2" s="128">
        <f>Prop7AccountNumber3</f>
        <v>0</v>
      </c>
      <c r="RU2" s="128">
        <f>Prop7AccountNumber4</f>
        <v>0</v>
      </c>
      <c r="RV2">
        <f>Prop7Address</f>
        <v>0</v>
      </c>
      <c r="RW2" s="119">
        <f>Prop7AmountDue1</f>
        <v>0</v>
      </c>
      <c r="RX2" s="119">
        <f>Prop7AmountDue2</f>
        <v>0</v>
      </c>
      <c r="RY2" s="119">
        <f>Prop7AmountDue3</f>
        <v>0</v>
      </c>
      <c r="RZ2" s="119">
        <f>Prop7AmountDue4</f>
        <v>0</v>
      </c>
      <c r="SA2" s="121">
        <f>Prop7TotalAmountDue</f>
        <v>0</v>
      </c>
      <c r="SB2" s="119">
        <f>Prop7CADImprovementValue</f>
        <v>0</v>
      </c>
      <c r="SC2">
        <f>Prop7CADLandValue</f>
        <v>0</v>
      </c>
      <c r="SD2">
        <f>Prop7City</f>
        <v>0</v>
      </c>
      <c r="SE2">
        <f>Prop7County</f>
        <v>0</v>
      </c>
      <c r="SF2">
        <f>Prop7Foreclosure</f>
        <v>0</v>
      </c>
      <c r="SG2" s="119">
        <f>Prop7HKValue</f>
        <v>0</v>
      </c>
      <c r="SH2">
        <f>Prop7Legal</f>
        <v>0</v>
      </c>
      <c r="SI2">
        <f>Prop7MobileHome</f>
        <v>0</v>
      </c>
      <c r="SJ2">
        <f>Prop7MortgageHolder</f>
        <v>0</v>
      </c>
      <c r="SK2">
        <f>Prop7State</f>
        <v>0</v>
      </c>
      <c r="SL2">
        <f>Prop7TaxingEntity1</f>
        <v>0</v>
      </c>
      <c r="SM2">
        <f>Prop7TaxingEntity2</f>
        <v>0</v>
      </c>
      <c r="SN2">
        <f>Prop7TaxingEntity3</f>
        <v>0</v>
      </c>
      <c r="SO2">
        <f>Prop7TaxingEntity4</f>
        <v>0</v>
      </c>
      <c r="SP2">
        <f>Prop7TaxLiens</f>
        <v>0</v>
      </c>
      <c r="SQ2">
        <f>Prop7Years1</f>
        <v>0</v>
      </c>
      <c r="SR2">
        <f>Prop7Years2</f>
        <v>0</v>
      </c>
      <c r="SS2">
        <f>Prop7Years3</f>
        <v>0</v>
      </c>
      <c r="ST2">
        <f>Prop7Years4</f>
        <v>0</v>
      </c>
      <c r="SU2">
        <f>Prop7Name1</f>
        <v>0</v>
      </c>
      <c r="SV2">
        <f>Prop7Name2</f>
        <v>0</v>
      </c>
      <c r="SW2">
        <f>Prop7Name3</f>
        <v>0</v>
      </c>
      <c r="SX2">
        <f>Prop7Name4</f>
        <v>0</v>
      </c>
      <c r="SY2">
        <f>Prop7Title1</f>
        <v>0</v>
      </c>
      <c r="SZ2">
        <f>Prop7Title2</f>
        <v>0</v>
      </c>
      <c r="TA2">
        <f>Prop7Title3</f>
        <v>0</v>
      </c>
      <c r="TB2">
        <f>Prop7Title4</f>
        <v>0</v>
      </c>
      <c r="TC2">
        <f>Prop7ZIP</f>
        <v>0</v>
      </c>
      <c r="TD2">
        <f>Prop7Attached</f>
        <v>0</v>
      </c>
      <c r="TE2" s="116">
        <f>Prop8MortgageWith</f>
        <v>0</v>
      </c>
      <c r="TF2" s="116">
        <f>Prop8TaxLoan</f>
        <v>0</v>
      </c>
      <c r="TG2" s="116">
        <f>Prop8TaxLoanWith</f>
        <v>0</v>
      </c>
      <c r="TH2" s="116">
        <f>Prop8LoanDate</f>
        <v>0</v>
      </c>
      <c r="TI2" s="116">
        <f>Prop8LoanBalance</f>
        <v>0</v>
      </c>
      <c r="TJ2" s="116">
        <f>Prop8TDHCA</f>
        <v>0</v>
      </c>
      <c r="TK2" s="116">
        <f>Prop8FDate</f>
        <v>0</v>
      </c>
      <c r="TL2" s="116">
        <f>Prop8Lawsuit</f>
        <v>0</v>
      </c>
      <c r="TM2" s="116">
        <f>Prop8Cause</f>
        <v>0</v>
      </c>
      <c r="TN2" s="128">
        <f>Prop8AccountNumber1</f>
        <v>0</v>
      </c>
      <c r="TO2" s="128">
        <f>Prop8AccountNumber2</f>
        <v>0</v>
      </c>
      <c r="TP2" s="128">
        <f>Prop8AccountNumber3</f>
        <v>0</v>
      </c>
      <c r="TQ2" s="128">
        <f>Prop8AccountNumber4</f>
        <v>0</v>
      </c>
      <c r="TR2">
        <f>Prop8Address</f>
        <v>0</v>
      </c>
      <c r="TS2" s="119">
        <f>Prop8AmountDue1</f>
        <v>0</v>
      </c>
      <c r="TT2" s="119">
        <f>Prop8AmountDue2</f>
        <v>0</v>
      </c>
      <c r="TU2" s="119">
        <f>Prop8AmountDue3</f>
        <v>0</v>
      </c>
      <c r="TV2" s="119">
        <f>Prop8AmountDue4</f>
        <v>0</v>
      </c>
      <c r="TW2" s="121">
        <f>Prop8TotalAmountDue</f>
        <v>0</v>
      </c>
      <c r="TX2" s="119">
        <f>Prop8CADImprovementValue</f>
        <v>0</v>
      </c>
      <c r="TY2">
        <f>Prop8CADLandValue</f>
        <v>0</v>
      </c>
      <c r="TZ2">
        <f>Prop8City</f>
        <v>0</v>
      </c>
      <c r="UA2">
        <f>Prop8County</f>
        <v>0</v>
      </c>
      <c r="UB2">
        <f>Prop8Foreclosure</f>
        <v>0</v>
      </c>
      <c r="UC2" s="119">
        <f>Prop8HKValue</f>
        <v>0</v>
      </c>
      <c r="UD2">
        <f>Prop8Legal</f>
        <v>0</v>
      </c>
      <c r="UE2">
        <f>Prop8MobileHome</f>
        <v>0</v>
      </c>
      <c r="UF2">
        <f>Prop8MortgageHolder</f>
        <v>0</v>
      </c>
      <c r="UG2">
        <f>Prop8State</f>
        <v>0</v>
      </c>
      <c r="UH2">
        <f>Prop8TaxingEntity1</f>
        <v>0</v>
      </c>
      <c r="UI2">
        <f>Prop8TaxingEntity2</f>
        <v>0</v>
      </c>
      <c r="UJ2">
        <f>Prop8TaxingEntity3</f>
        <v>0</v>
      </c>
      <c r="UK2">
        <f>Prop8TaxingEntity4</f>
        <v>0</v>
      </c>
      <c r="UL2">
        <f>Prop8TaxLiens</f>
        <v>0</v>
      </c>
      <c r="UM2">
        <f>Prop8Years1</f>
        <v>0</v>
      </c>
      <c r="UN2">
        <f>Prop8Years2</f>
        <v>0</v>
      </c>
      <c r="UO2">
        <f>Prop8Years3</f>
        <v>0</v>
      </c>
      <c r="UP2">
        <f>Prop8Years4</f>
        <v>0</v>
      </c>
      <c r="UQ2">
        <f>Prop8Name1</f>
        <v>0</v>
      </c>
      <c r="UR2">
        <f>Prop8Name2</f>
        <v>0</v>
      </c>
      <c r="US2">
        <f>Prop8Name3</f>
        <v>0</v>
      </c>
      <c r="UT2">
        <f>Prop8Name4</f>
        <v>0</v>
      </c>
      <c r="UU2">
        <f>Prop8Title1</f>
        <v>0</v>
      </c>
      <c r="UV2">
        <f>Prop8Title2</f>
        <v>0</v>
      </c>
      <c r="UW2">
        <f>Prop8Title3</f>
        <v>0</v>
      </c>
      <c r="UX2">
        <f>Prop8Title4</f>
        <v>0</v>
      </c>
      <c r="UY2">
        <f>Prop8ZIP</f>
        <v>0</v>
      </c>
      <c r="UZ2">
        <f>Prop8Attached</f>
        <v>0</v>
      </c>
      <c r="VA2" s="116">
        <f>Prop9MortgageWith</f>
        <v>0</v>
      </c>
      <c r="VB2" s="116">
        <f>Prop9TaxLoan</f>
        <v>0</v>
      </c>
      <c r="VC2" s="116">
        <f>Prop9TaxLoanWith</f>
        <v>0</v>
      </c>
      <c r="VD2" s="116">
        <f>Prop9LoanDate</f>
        <v>0</v>
      </c>
      <c r="VE2" s="116">
        <f>Prop9LoanBalance</f>
        <v>0</v>
      </c>
      <c r="VF2" s="116">
        <f>Prop9TDHCA</f>
        <v>0</v>
      </c>
      <c r="VG2" s="116">
        <f>Prop9FDate</f>
        <v>0</v>
      </c>
      <c r="VH2" s="116">
        <f>Prop9Lawsuit</f>
        <v>0</v>
      </c>
      <c r="VI2" s="116">
        <f>Prop9Cause</f>
        <v>0</v>
      </c>
      <c r="VJ2" s="128">
        <f>Prop9AccountNumber1</f>
        <v>0</v>
      </c>
      <c r="VK2" s="128">
        <f>Prop9AccountNumber2</f>
        <v>0</v>
      </c>
      <c r="VL2" s="128">
        <f>Prop9AccountNumber3</f>
        <v>0</v>
      </c>
      <c r="VM2" s="128">
        <f>Prop9AccountNumber4</f>
        <v>0</v>
      </c>
      <c r="VN2">
        <f>Prop9Address</f>
        <v>0</v>
      </c>
      <c r="VO2" s="119">
        <f>Prop9AmountDue1</f>
        <v>0</v>
      </c>
      <c r="VP2" s="119">
        <f>Prop9AmountDue2</f>
        <v>0</v>
      </c>
      <c r="VQ2" s="119">
        <f>Prop9AmountDue3</f>
        <v>0</v>
      </c>
      <c r="VR2" s="119">
        <f>Prop9AmountDue4</f>
        <v>0</v>
      </c>
      <c r="VS2" s="121">
        <f>Prop9TotalAmountDue</f>
        <v>0</v>
      </c>
      <c r="VT2" s="119">
        <f>Prop9CADImprovementValue</f>
        <v>0</v>
      </c>
      <c r="VU2" s="119">
        <f>Prop9CADLandValue</f>
        <v>0</v>
      </c>
      <c r="VV2">
        <f>Prop9City</f>
        <v>0</v>
      </c>
      <c r="VW2">
        <f>Prop9County</f>
        <v>0</v>
      </c>
      <c r="VX2">
        <f>Prop9Foreclosure</f>
        <v>0</v>
      </c>
      <c r="VY2" s="119">
        <f>Prop9HKValue</f>
        <v>0</v>
      </c>
      <c r="VZ2">
        <f>Prop9Legal</f>
        <v>0</v>
      </c>
      <c r="WA2">
        <f>Prop9MobileHome</f>
        <v>0</v>
      </c>
      <c r="WB2">
        <f>Prop9MortgageHolder</f>
        <v>0</v>
      </c>
      <c r="WC2">
        <f>Prop9State</f>
        <v>0</v>
      </c>
      <c r="WD2">
        <f>Prop9TaxingEntity1</f>
        <v>0</v>
      </c>
      <c r="WE2">
        <f>Prop9TaxingEntity2</f>
        <v>0</v>
      </c>
      <c r="WF2">
        <f>Prop9TaxingEntity3</f>
        <v>0</v>
      </c>
      <c r="WG2">
        <f>Prop9TaxingEntity4</f>
        <v>0</v>
      </c>
      <c r="WH2">
        <f>Prop9TaxLiens</f>
        <v>0</v>
      </c>
      <c r="WI2">
        <f>Prop9Years1</f>
        <v>0</v>
      </c>
      <c r="WJ2">
        <f>Prop9Years2</f>
        <v>0</v>
      </c>
      <c r="WK2">
        <f>Prop9Years3</f>
        <v>0</v>
      </c>
      <c r="WL2">
        <f>Prop9Years4</f>
        <v>0</v>
      </c>
      <c r="WM2">
        <f>Prop9Name1</f>
        <v>0</v>
      </c>
      <c r="WN2">
        <f>Prop9Name2</f>
        <v>0</v>
      </c>
      <c r="WO2">
        <f>Prop9Name3</f>
        <v>0</v>
      </c>
      <c r="WP2">
        <f>Prop9Name4</f>
        <v>0</v>
      </c>
      <c r="WQ2">
        <f>Prop9Title1</f>
        <v>0</v>
      </c>
      <c r="WR2">
        <f>Prop9Title2</f>
        <v>0</v>
      </c>
      <c r="WS2">
        <f>Prop9Title3</f>
        <v>0</v>
      </c>
      <c r="WT2">
        <f>Prop9Title4</f>
        <v>0</v>
      </c>
      <c r="WU2">
        <f>Prop9ZIP</f>
        <v>0</v>
      </c>
      <c r="WV2">
        <f>Prop9Attached</f>
        <v>0</v>
      </c>
      <c r="WW2" s="116">
        <f>Prop10MortgageWith</f>
        <v>0</v>
      </c>
      <c r="WX2" s="116">
        <f>Prop10TaxLoan</f>
        <v>0</v>
      </c>
      <c r="WY2" s="116">
        <f>Prop10TaxLoanWith</f>
        <v>0</v>
      </c>
      <c r="WZ2" s="116">
        <f>Prop10LoanDate</f>
        <v>0</v>
      </c>
      <c r="XA2" s="116">
        <f>Prop10LoanBalance</f>
        <v>0</v>
      </c>
      <c r="XB2" s="116">
        <f>Prop10TDHCA</f>
        <v>0</v>
      </c>
      <c r="XC2" s="116">
        <f>Prop10FDate</f>
        <v>0</v>
      </c>
      <c r="XD2" s="116">
        <f>Prop10Lawsuit</f>
        <v>0</v>
      </c>
      <c r="XE2" s="116">
        <f>Prop10Cause</f>
        <v>0</v>
      </c>
      <c r="XF2" s="128">
        <f>Prop10AccountNumber1</f>
        <v>0</v>
      </c>
      <c r="XG2" s="128">
        <f>Prop10AccountNumber2</f>
        <v>0</v>
      </c>
      <c r="XH2" s="128">
        <f>Prop10AccountNumber3</f>
        <v>0</v>
      </c>
      <c r="XI2" s="128">
        <f>Prop10AccountNumber4</f>
        <v>0</v>
      </c>
      <c r="XJ2">
        <f>Prop10Address</f>
        <v>0</v>
      </c>
      <c r="XK2" s="119">
        <f>Prop10AmountDue1</f>
        <v>0</v>
      </c>
      <c r="XL2" s="119">
        <f>Prop10AmountDue2</f>
        <v>0</v>
      </c>
      <c r="XM2" s="119">
        <f>Prop10AmountDue3</f>
        <v>0</v>
      </c>
      <c r="XN2" s="119">
        <f>Prop10AmountDue4</f>
        <v>0</v>
      </c>
      <c r="XO2" s="121">
        <f>Prop10TotalAmountDue</f>
        <v>0</v>
      </c>
      <c r="XP2" s="119">
        <f>Prop10CADImprovementValue</f>
        <v>0</v>
      </c>
      <c r="XQ2" s="119">
        <f>Prop10CADLandValue</f>
        <v>0</v>
      </c>
      <c r="XR2">
        <f>Prop10City</f>
        <v>0</v>
      </c>
      <c r="XS2">
        <f>Prop10County</f>
        <v>0</v>
      </c>
      <c r="XT2">
        <f>Prop10Foreclosure</f>
        <v>0</v>
      </c>
      <c r="XU2" s="119">
        <f>Prop10HKValue</f>
        <v>0</v>
      </c>
      <c r="XV2">
        <f>Prop10Legal</f>
        <v>0</v>
      </c>
      <c r="XW2">
        <f>Prop10MobileHome</f>
        <v>0</v>
      </c>
      <c r="XX2">
        <f>Prop10MortgageHolder</f>
        <v>0</v>
      </c>
      <c r="XY2">
        <f>Prop10State</f>
        <v>0</v>
      </c>
      <c r="XZ2">
        <f>Prop10TaxingEntity1</f>
        <v>0</v>
      </c>
      <c r="YA2">
        <f>Prop10TaxingEntity2</f>
        <v>0</v>
      </c>
      <c r="YB2">
        <f>Prop10TaxingEntity3</f>
        <v>0</v>
      </c>
      <c r="YC2">
        <f>Prop10TaxingEntity4</f>
        <v>0</v>
      </c>
      <c r="YD2">
        <f>Prop10TaxLiens</f>
        <v>0</v>
      </c>
      <c r="YE2">
        <f>Prop10Years1</f>
        <v>0</v>
      </c>
      <c r="YF2">
        <f>Prop10Years2</f>
        <v>0</v>
      </c>
      <c r="YG2">
        <f>Prop10Years3</f>
        <v>0</v>
      </c>
      <c r="YH2">
        <f>Prop10Years4</f>
        <v>0</v>
      </c>
      <c r="YI2">
        <f>Prop10Name1</f>
        <v>0</v>
      </c>
      <c r="YJ2">
        <f>Prop10Name2</f>
        <v>0</v>
      </c>
      <c r="YK2">
        <f>Prop10Name3</f>
        <v>0</v>
      </c>
      <c r="YL2">
        <f>Prop10Name4</f>
        <v>0</v>
      </c>
      <c r="YM2">
        <f>Prop10Title1</f>
        <v>0</v>
      </c>
      <c r="YN2">
        <f>Prop10Title2</f>
        <v>0</v>
      </c>
      <c r="YO2">
        <f>Prop10Title3</f>
        <v>0</v>
      </c>
      <c r="YP2">
        <f>Prop10Title4</f>
        <v>0</v>
      </c>
      <c r="YQ2">
        <f>Prop10ZIP</f>
        <v>0</v>
      </c>
      <c r="YR2">
        <f>Prop10Attached</f>
        <v>0</v>
      </c>
      <c r="YS2">
        <f>Prop11MortgageWith</f>
        <v>0</v>
      </c>
      <c r="YT2">
        <f>Prop11TaxLoan</f>
        <v>0</v>
      </c>
      <c r="YU2">
        <f>Prop11TaxLoanWith</f>
        <v>0</v>
      </c>
      <c r="YV2">
        <f>Prop11LoanDate</f>
        <v>0</v>
      </c>
      <c r="YW2">
        <f>Prop11LoanBalance</f>
        <v>0</v>
      </c>
      <c r="YX2">
        <f>Prop11TDHCA</f>
        <v>0</v>
      </c>
      <c r="YY2">
        <f>Prop11FDate</f>
        <v>0</v>
      </c>
      <c r="YZ2">
        <f>Prop11Lawsuit</f>
        <v>0</v>
      </c>
      <c r="ZA2">
        <f>Prop11Cause</f>
        <v>0</v>
      </c>
      <c r="ZB2" s="128">
        <f>Prop11AccountNumber1</f>
        <v>0</v>
      </c>
      <c r="ZC2" s="128">
        <f>Prop11AccountNumber2</f>
        <v>0</v>
      </c>
      <c r="ZD2" s="128">
        <f>Prop11AccountNumber3</f>
        <v>0</v>
      </c>
      <c r="ZE2" s="128">
        <f>Prop11AccountNumber4</f>
        <v>0</v>
      </c>
      <c r="ZF2">
        <f>Prop11Address</f>
        <v>0</v>
      </c>
      <c r="ZG2" s="119">
        <f>Prop11AmountDue1</f>
        <v>0</v>
      </c>
      <c r="ZH2" s="119">
        <f>Prop11AmountDue2</f>
        <v>0</v>
      </c>
      <c r="ZI2" s="119">
        <f>Prop11AmountDue3</f>
        <v>0</v>
      </c>
      <c r="ZJ2" s="119">
        <f>Prop11AmountDue4</f>
        <v>0</v>
      </c>
      <c r="ZK2" s="121">
        <f>Prop11TotalAmountDue</f>
        <v>0</v>
      </c>
      <c r="ZL2" s="119">
        <f>Prop11CADImprovementValue</f>
        <v>0</v>
      </c>
      <c r="ZM2" s="119">
        <f>Prop11CADLandValue</f>
        <v>0</v>
      </c>
      <c r="ZN2">
        <f>Prop11City</f>
        <v>0</v>
      </c>
      <c r="ZO2">
        <f>Prop11County</f>
        <v>0</v>
      </c>
      <c r="ZP2">
        <f>Prop11Foreclosure</f>
        <v>0</v>
      </c>
      <c r="ZQ2" s="119">
        <f>Prop11HKValue</f>
        <v>0</v>
      </c>
      <c r="ZR2">
        <f>Prop11Legal</f>
        <v>0</v>
      </c>
      <c r="ZS2">
        <f>Prop11MobileHome</f>
        <v>0</v>
      </c>
      <c r="ZT2">
        <f>Prop11MortgageHolder</f>
        <v>0</v>
      </c>
      <c r="ZU2">
        <f>Prop11State</f>
        <v>0</v>
      </c>
      <c r="ZV2">
        <f>Prop11TaxingEntity1</f>
        <v>0</v>
      </c>
      <c r="ZW2">
        <f>Prop11TaxingEntity2</f>
        <v>0</v>
      </c>
      <c r="ZX2">
        <f>Prop11TaxingEntity3</f>
        <v>0</v>
      </c>
      <c r="ZY2">
        <f>Prop11TaxingEntity4</f>
        <v>0</v>
      </c>
      <c r="ZZ2">
        <f>Prop11TaxLiens</f>
        <v>0</v>
      </c>
      <c r="AAA2">
        <f>Prop11Years1</f>
        <v>0</v>
      </c>
      <c r="AAB2">
        <f>Prop11Years2</f>
        <v>0</v>
      </c>
      <c r="AAC2">
        <f>Prop11Years3</f>
        <v>0</v>
      </c>
      <c r="AAD2">
        <f>Prop11Years4</f>
        <v>0</v>
      </c>
      <c r="AAE2">
        <f>Prop11Name1</f>
        <v>0</v>
      </c>
      <c r="AAF2">
        <f>Prop11Name2</f>
        <v>0</v>
      </c>
      <c r="AAG2">
        <f>Prop11Name3</f>
        <v>0</v>
      </c>
      <c r="AAH2">
        <f>Prop11Name4</f>
        <v>0</v>
      </c>
      <c r="AAI2">
        <f>Prop11Title1</f>
        <v>0</v>
      </c>
      <c r="AAJ2">
        <f>Prop11Title2</f>
        <v>0</v>
      </c>
      <c r="AAK2">
        <f>Prop11Title3</f>
        <v>0</v>
      </c>
      <c r="AAL2">
        <f>Prop11Title4</f>
        <v>0</v>
      </c>
      <c r="AAM2">
        <f>Prop11ZIP</f>
        <v>0</v>
      </c>
      <c r="AAN2">
        <f>Prop11Attached</f>
        <v>0</v>
      </c>
      <c r="AAO2" s="116">
        <f>Prop12MortgageWith</f>
        <v>0</v>
      </c>
      <c r="AAP2" s="116">
        <f>Prop12TaxLoan</f>
        <v>0</v>
      </c>
      <c r="AAQ2" s="116">
        <f>Prop12TaxLoanWith</f>
        <v>0</v>
      </c>
      <c r="AAR2" s="116">
        <f>Prop12LoanDate</f>
        <v>0</v>
      </c>
      <c r="AAS2" s="116">
        <f>Prop12LoanBalance</f>
        <v>0</v>
      </c>
      <c r="AAT2" s="116">
        <f>Prop12TDHCA</f>
        <v>0</v>
      </c>
      <c r="AAU2" s="116">
        <f>Prop12FDate</f>
        <v>0</v>
      </c>
      <c r="AAV2" s="116">
        <f>Prop12Lawsuit</f>
        <v>0</v>
      </c>
      <c r="AAW2" s="116">
        <f>Prop12Cause</f>
        <v>0</v>
      </c>
      <c r="AAX2" s="128">
        <f>Prop12AccountNumber1</f>
        <v>0</v>
      </c>
      <c r="AAY2" s="128">
        <f>Prop12AccountNumber2</f>
        <v>0</v>
      </c>
      <c r="AAZ2" s="128">
        <f>Prop12AccountNumber3</f>
        <v>0</v>
      </c>
      <c r="ABA2" s="128">
        <f>Prop12AccountNumber4</f>
        <v>0</v>
      </c>
      <c r="ABB2">
        <f>Prop12Address</f>
        <v>0</v>
      </c>
      <c r="ABC2" s="119">
        <f>Prop12AmountDue1</f>
        <v>0</v>
      </c>
      <c r="ABD2" s="119">
        <f>Prop12AmountDue2</f>
        <v>0</v>
      </c>
      <c r="ABE2" s="119">
        <f>Prop12AmountDue3</f>
        <v>0</v>
      </c>
      <c r="ABF2" s="119">
        <f>Prop12AmountDue4</f>
        <v>0</v>
      </c>
      <c r="ABG2" s="121">
        <f>Prop12TotalAmountDue</f>
        <v>0</v>
      </c>
      <c r="ABH2" s="119">
        <f>Prop12CADImprovementValue</f>
        <v>0</v>
      </c>
      <c r="ABI2" s="119">
        <f>Prop12CADLandValue</f>
        <v>0</v>
      </c>
      <c r="ABJ2">
        <f>Prop12City</f>
        <v>0</v>
      </c>
      <c r="ABK2">
        <f>Prop12County</f>
        <v>0</v>
      </c>
      <c r="ABL2">
        <f>Prop12Foreclosure</f>
        <v>0</v>
      </c>
      <c r="ABM2" s="119">
        <f>Prop12HKValue</f>
        <v>0</v>
      </c>
      <c r="ABN2">
        <f>Prop12Legal</f>
        <v>0</v>
      </c>
      <c r="ABO2">
        <f>Prop12MobileHome</f>
        <v>0</v>
      </c>
      <c r="ABP2">
        <f>Prop12MortgageHolder</f>
        <v>0</v>
      </c>
      <c r="ABQ2">
        <f>Prop12State</f>
        <v>0</v>
      </c>
      <c r="ABR2">
        <f>Prop12TaxingEntity1</f>
        <v>0</v>
      </c>
      <c r="ABS2">
        <f>Prop12TaxingEntity2</f>
        <v>0</v>
      </c>
      <c r="ABT2">
        <f>Prop12TaxingEntity3</f>
        <v>0</v>
      </c>
      <c r="ABU2">
        <f>Prop12TaxingEntity4</f>
        <v>0</v>
      </c>
      <c r="ABV2">
        <f>Prop12TaxLiens</f>
        <v>0</v>
      </c>
      <c r="ABW2">
        <f>Prop12Years1</f>
        <v>0</v>
      </c>
      <c r="ABX2">
        <f>Prop12Years2</f>
        <v>0</v>
      </c>
      <c r="ABY2">
        <f>Prop12Years3</f>
        <v>0</v>
      </c>
      <c r="ABZ2">
        <f>Prop12Years4</f>
        <v>0</v>
      </c>
      <c r="ACA2">
        <f>Prop12Name1</f>
        <v>0</v>
      </c>
      <c r="ACB2">
        <f>Prop12Name2</f>
        <v>0</v>
      </c>
      <c r="ACC2">
        <f>Prop12Name3</f>
        <v>0</v>
      </c>
      <c r="ACD2">
        <f>Prop12Name4</f>
        <v>0</v>
      </c>
      <c r="ACE2">
        <f>Prop12Title1</f>
        <v>0</v>
      </c>
      <c r="ACF2">
        <f>Prop12Title2</f>
        <v>0</v>
      </c>
      <c r="ACG2">
        <f>Prop12Title3</f>
        <v>0</v>
      </c>
      <c r="ACH2">
        <f>Prop12Title4</f>
        <v>0</v>
      </c>
      <c r="ACI2">
        <f>Prop12ZIP</f>
        <v>0</v>
      </c>
      <c r="ACJ2">
        <f>Prop12Attached</f>
        <v>0</v>
      </c>
      <c r="ACK2" s="116">
        <f>Prop13MortgageWith</f>
        <v>0</v>
      </c>
      <c r="ACL2" s="116">
        <f>Prop13TaxLoan</f>
        <v>0</v>
      </c>
      <c r="ACM2" s="116">
        <f>Prop13TaxLoanWith</f>
        <v>0</v>
      </c>
      <c r="ACN2" s="116">
        <f>Prop13LoanDate</f>
        <v>0</v>
      </c>
      <c r="ACO2" s="116">
        <f>Prop13LoanBalance</f>
        <v>0</v>
      </c>
      <c r="ACP2" s="116">
        <f>Prop13TDHCA</f>
        <v>0</v>
      </c>
      <c r="ACQ2" s="116">
        <f>Prop13FDate</f>
        <v>0</v>
      </c>
      <c r="ACR2" s="116">
        <f>Prop13Lawsuit</f>
        <v>0</v>
      </c>
      <c r="ACS2" s="116">
        <f>Prop13Cause</f>
        <v>0</v>
      </c>
      <c r="ACT2" s="128">
        <f>Prop13AccountNumber1</f>
        <v>0</v>
      </c>
      <c r="ACU2" s="128">
        <f>Prop13AccountNumber2</f>
        <v>0</v>
      </c>
      <c r="ACV2" s="128">
        <f>Prop13AccountNumber3</f>
        <v>0</v>
      </c>
      <c r="ACW2" s="128">
        <f>Prop13AccountNumber4</f>
        <v>0</v>
      </c>
      <c r="ACX2">
        <f>Prop13Address</f>
        <v>0</v>
      </c>
      <c r="ACY2" s="119">
        <f>Prop13AmountDue1</f>
        <v>0</v>
      </c>
      <c r="ACZ2" s="119">
        <f>Prop13AmountDue2</f>
        <v>0</v>
      </c>
      <c r="ADA2" s="119">
        <f>Prop13AmountDue3</f>
        <v>0</v>
      </c>
      <c r="ADB2" s="119">
        <f>Prop13AmountDue4</f>
        <v>0</v>
      </c>
      <c r="ADC2" s="121">
        <f>Prop13TotalAmountDue</f>
        <v>0</v>
      </c>
      <c r="ADD2" s="119">
        <f>Prop13CADImprovementValue</f>
        <v>0</v>
      </c>
      <c r="ADE2" s="119">
        <f>Prop13CADLandValue</f>
        <v>0</v>
      </c>
      <c r="ADF2">
        <f>Prop13City</f>
        <v>0</v>
      </c>
      <c r="ADG2">
        <f>Prop13County</f>
        <v>0</v>
      </c>
      <c r="ADH2">
        <f>Prop13Foreclosure</f>
        <v>0</v>
      </c>
      <c r="ADI2" s="119">
        <f>Prop13HKValue</f>
        <v>0</v>
      </c>
      <c r="ADJ2">
        <f>Prop13Legal</f>
        <v>0</v>
      </c>
      <c r="ADK2">
        <f>Prop13MobileHome</f>
        <v>0</v>
      </c>
      <c r="ADL2">
        <f>Prop13MortgageHolder</f>
        <v>0</v>
      </c>
      <c r="ADM2">
        <f>Prop13State</f>
        <v>0</v>
      </c>
      <c r="ADN2">
        <f>Prop13TaxingEntity1</f>
        <v>0</v>
      </c>
      <c r="ADO2">
        <f>Prop13TaxingEntity2</f>
        <v>0</v>
      </c>
      <c r="ADP2">
        <f>Prop13TaxingEntity3</f>
        <v>0</v>
      </c>
      <c r="ADQ2">
        <f>Prop13TaxingEntity4</f>
        <v>0</v>
      </c>
      <c r="ADR2">
        <f>Prop13TaxLiens</f>
        <v>0</v>
      </c>
      <c r="ADS2">
        <f>Prop13Years1</f>
        <v>0</v>
      </c>
      <c r="ADT2">
        <f>Prop13Years2</f>
        <v>0</v>
      </c>
      <c r="ADU2">
        <f>Prop13Years3</f>
        <v>0</v>
      </c>
      <c r="ADV2">
        <f>Prop13Years4</f>
        <v>0</v>
      </c>
      <c r="ADW2">
        <f>Prop13Name1</f>
        <v>0</v>
      </c>
      <c r="ADX2">
        <f>Prop13Name2</f>
        <v>0</v>
      </c>
      <c r="ADY2">
        <f>Prop13Name3</f>
        <v>0</v>
      </c>
      <c r="ADZ2">
        <f>Prop13Name4</f>
        <v>0</v>
      </c>
      <c r="AEA2">
        <f>Prop13Title1</f>
        <v>0</v>
      </c>
      <c r="AEB2">
        <f>Prop13Title2</f>
        <v>0</v>
      </c>
      <c r="AEC2">
        <f>Prop13Title3</f>
        <v>0</v>
      </c>
      <c r="AED2">
        <f>Prop13Title4</f>
        <v>0</v>
      </c>
      <c r="AEE2">
        <f>Prop13ZIP</f>
        <v>0</v>
      </c>
      <c r="AEF2">
        <f>Prop13Attached</f>
        <v>0</v>
      </c>
      <c r="AEG2" s="116">
        <f>Prop14MortgageWith</f>
        <v>0</v>
      </c>
      <c r="AEH2" s="116">
        <f>Prop14TaxLoan</f>
        <v>0</v>
      </c>
      <c r="AEI2" s="116">
        <f>Prop14TaxLoanWith</f>
        <v>0</v>
      </c>
      <c r="AEJ2" s="116">
        <f>Prop14LoanDate</f>
        <v>0</v>
      </c>
      <c r="AEK2" s="116">
        <f>Prop14LoanBalance</f>
        <v>0</v>
      </c>
      <c r="AEL2" s="116">
        <f>Prop14TDHCA</f>
        <v>0</v>
      </c>
      <c r="AEM2" s="116">
        <f>Prop14FDate</f>
        <v>0</v>
      </c>
      <c r="AEN2" s="116">
        <f>Prop14Lawsuit</f>
        <v>0</v>
      </c>
      <c r="AEO2" s="116">
        <f>Prop14Cause</f>
        <v>0</v>
      </c>
      <c r="AEP2" s="128">
        <f>Prop14AccountNumber1</f>
        <v>0</v>
      </c>
      <c r="AEQ2" s="128">
        <f>Prop14AccountNumber2</f>
        <v>0</v>
      </c>
      <c r="AER2" s="128">
        <f>Prop14AccountNumber3</f>
        <v>0</v>
      </c>
      <c r="AES2" s="128">
        <f>Prop14AccountNumber4</f>
        <v>0</v>
      </c>
      <c r="AET2">
        <f>Prop14Address</f>
        <v>0</v>
      </c>
      <c r="AEU2" s="119">
        <f>Prop14AmountDue1</f>
        <v>0</v>
      </c>
      <c r="AEV2" s="119">
        <f>Prop14AmountDue2</f>
        <v>0</v>
      </c>
      <c r="AEW2" s="119">
        <f>Prop14AmountDue3</f>
        <v>0</v>
      </c>
      <c r="AEX2" s="119">
        <f>Prop14AmountDue4</f>
        <v>0</v>
      </c>
      <c r="AEY2" s="121">
        <f>Prop14TotalAmountDue</f>
        <v>0</v>
      </c>
      <c r="AEZ2" s="119">
        <f>Prop14CADImprovementValue</f>
        <v>0</v>
      </c>
      <c r="AFA2" s="119">
        <f>Prop14CADLandValue</f>
        <v>0</v>
      </c>
      <c r="AFB2">
        <f>Prop14City</f>
        <v>0</v>
      </c>
      <c r="AFC2">
        <f>Prop14County</f>
        <v>0</v>
      </c>
      <c r="AFD2">
        <f>Prop14Foreclosure</f>
        <v>0</v>
      </c>
      <c r="AFE2" s="119">
        <f>Prop14HKValue</f>
        <v>0</v>
      </c>
      <c r="AFF2">
        <f>Prop14Legal</f>
        <v>0</v>
      </c>
      <c r="AFG2">
        <f>Prop14MobileHome</f>
        <v>0</v>
      </c>
      <c r="AFH2">
        <f>Prop14MortgageHolder</f>
        <v>0</v>
      </c>
      <c r="AFI2">
        <f>Prop14State</f>
        <v>0</v>
      </c>
      <c r="AFJ2">
        <f>Prop14TaxingEntity1</f>
        <v>0</v>
      </c>
      <c r="AFK2">
        <f>Prop14TaxingEntity2</f>
        <v>0</v>
      </c>
      <c r="AFL2">
        <f>Prop14TaxingEntity3</f>
        <v>0</v>
      </c>
      <c r="AFM2">
        <f>Prop14TaxingEntity4</f>
        <v>0</v>
      </c>
      <c r="AFN2">
        <f>Prop14TaxLiens</f>
        <v>0</v>
      </c>
      <c r="AFO2">
        <f>Prop14Years1</f>
        <v>0</v>
      </c>
      <c r="AFP2">
        <f>Prop14Years2</f>
        <v>0</v>
      </c>
      <c r="AFQ2">
        <f>Prop14Years3</f>
        <v>0</v>
      </c>
      <c r="AFR2">
        <f>Prop14Years4</f>
        <v>0</v>
      </c>
      <c r="AFS2">
        <f>Prop14Name1</f>
        <v>0</v>
      </c>
      <c r="AFT2">
        <f>Prop14Name2</f>
        <v>0</v>
      </c>
      <c r="AFU2">
        <f>Prop14Name3</f>
        <v>0</v>
      </c>
      <c r="AFV2">
        <f>Prop14Name4</f>
        <v>0</v>
      </c>
      <c r="AFW2">
        <f>Prop14Title1</f>
        <v>0</v>
      </c>
      <c r="AFX2">
        <f>Prop14Title2</f>
        <v>0</v>
      </c>
      <c r="AFY2">
        <f>Prop14Title3</f>
        <v>0</v>
      </c>
      <c r="AFZ2">
        <f>Prop14Title4</f>
        <v>0</v>
      </c>
      <c r="AGA2">
        <f>Prop14ZIP</f>
        <v>0</v>
      </c>
      <c r="AGB2">
        <f>Prop14Attached</f>
        <v>0</v>
      </c>
      <c r="AGC2" s="116">
        <f>Prop15MortgageWith</f>
        <v>0</v>
      </c>
      <c r="AGD2" s="116">
        <f>Prop15TaxLoan</f>
        <v>0</v>
      </c>
      <c r="AGE2" s="116">
        <f>Prop15TaxLoanWith</f>
        <v>0</v>
      </c>
      <c r="AGF2" s="116">
        <f>Prop15LoanDate</f>
        <v>0</v>
      </c>
      <c r="AGG2" s="116">
        <f>Prop15LoanBalance</f>
        <v>0</v>
      </c>
      <c r="AGH2" s="116">
        <f>Prop15TDHCA</f>
        <v>0</v>
      </c>
      <c r="AGI2" s="116">
        <f>Prop15FDate</f>
        <v>0</v>
      </c>
      <c r="AGJ2" s="116">
        <f>Prop15Lawsuit</f>
        <v>0</v>
      </c>
      <c r="AGK2" s="116">
        <f>Prop15Cause</f>
        <v>0</v>
      </c>
      <c r="AGL2" s="128">
        <f>Prop15AccountNumber1</f>
        <v>0</v>
      </c>
      <c r="AGM2" s="128">
        <f>Prop15AccountNumber2</f>
        <v>0</v>
      </c>
      <c r="AGN2" s="128">
        <f>Prop15AccountNumber3</f>
        <v>0</v>
      </c>
      <c r="AGO2" s="128">
        <f>Prop15AccountNumber4</f>
        <v>0</v>
      </c>
      <c r="AGP2">
        <f>Prop15Address</f>
        <v>0</v>
      </c>
      <c r="AGQ2" s="119">
        <f>Prop15AmountDue1</f>
        <v>0</v>
      </c>
      <c r="AGR2" s="119">
        <f>Prop15AmountDue2</f>
        <v>0</v>
      </c>
      <c r="AGS2" s="119">
        <f>Prop15AmountDue3</f>
        <v>0</v>
      </c>
      <c r="AGT2" s="119">
        <f>Prop15AmountDue4</f>
        <v>0</v>
      </c>
      <c r="AGU2" s="121">
        <f>Prop15TotalAmountDue</f>
        <v>0</v>
      </c>
      <c r="AGV2" s="119">
        <f>Prop15CADImprovementValue</f>
        <v>0</v>
      </c>
      <c r="AGW2" s="119">
        <f>Prop15CADLandValue</f>
        <v>0</v>
      </c>
      <c r="AGX2">
        <f>Prop15City</f>
        <v>0</v>
      </c>
      <c r="AGY2">
        <f>Prop15County</f>
        <v>0</v>
      </c>
      <c r="AGZ2">
        <f>Prop15Foreclosure</f>
        <v>0</v>
      </c>
      <c r="AHA2" s="119">
        <f>Prop15HKValue</f>
        <v>0</v>
      </c>
      <c r="AHB2">
        <f>Prop15Legal</f>
        <v>0</v>
      </c>
      <c r="AHC2">
        <f>Prop15MobileHome</f>
        <v>0</v>
      </c>
      <c r="AHD2">
        <f>Prop15MortgageHolder</f>
        <v>0</v>
      </c>
      <c r="AHE2">
        <f>Prop15State</f>
        <v>0</v>
      </c>
      <c r="AHF2">
        <f>Prop15TaxingEntity1</f>
        <v>0</v>
      </c>
      <c r="AHG2">
        <f>Prop15TaxingEntity2</f>
        <v>0</v>
      </c>
      <c r="AHH2">
        <f>Prop15TaxingEntity3</f>
        <v>0</v>
      </c>
      <c r="AHI2">
        <f>Prop15TaxingEntity4</f>
        <v>0</v>
      </c>
      <c r="AHJ2">
        <f>Prop15TaxLiens</f>
        <v>0</v>
      </c>
      <c r="AHK2">
        <f>Prop15Years1</f>
        <v>0</v>
      </c>
      <c r="AHL2">
        <f>Prop15Years2</f>
        <v>0</v>
      </c>
      <c r="AHM2">
        <f>Prop15Years3</f>
        <v>0</v>
      </c>
      <c r="AHN2">
        <f>Prop15Years4</f>
        <v>0</v>
      </c>
      <c r="AHO2">
        <f>Prop15Name1</f>
        <v>0</v>
      </c>
      <c r="AHP2">
        <f>Prop15Name2</f>
        <v>0</v>
      </c>
      <c r="AHQ2">
        <f>Prop15Name3</f>
        <v>0</v>
      </c>
      <c r="AHR2">
        <f>Prop15Name4</f>
        <v>0</v>
      </c>
      <c r="AHS2">
        <f>Prop15Title1</f>
        <v>0</v>
      </c>
      <c r="AHT2">
        <f>Prop15Title2</f>
        <v>0</v>
      </c>
      <c r="AHU2">
        <f>Prop15Title3</f>
        <v>0</v>
      </c>
      <c r="AHV2">
        <f>Prop15Title4</f>
        <v>0</v>
      </c>
      <c r="AHW2">
        <f>Prop15ZIP</f>
        <v>0</v>
      </c>
      <c r="AHX2">
        <f>Prop15Attached</f>
        <v>0</v>
      </c>
      <c r="AHY2">
        <f>Prop16MortgageWith</f>
        <v>0</v>
      </c>
      <c r="AHZ2">
        <f>Prop16TaxLoan</f>
        <v>0</v>
      </c>
      <c r="AIA2">
        <f>Prop16TaxLoanWith</f>
        <v>0</v>
      </c>
      <c r="AIB2">
        <f>Prop16LoanDate</f>
        <v>0</v>
      </c>
      <c r="AIC2">
        <f>Prop16LoanBalance</f>
        <v>0</v>
      </c>
      <c r="AID2">
        <f>Prop16TDHCA</f>
        <v>0</v>
      </c>
      <c r="AIE2">
        <f>Prop16FDate</f>
        <v>0</v>
      </c>
      <c r="AIF2">
        <f>Prop16Lawsuit</f>
        <v>0</v>
      </c>
      <c r="AIG2">
        <f>Prop16Cause</f>
        <v>0</v>
      </c>
      <c r="AIH2" s="128">
        <f>Prop16AccountNumber1</f>
        <v>0</v>
      </c>
      <c r="AII2" s="128">
        <f>Prop16AccountNumber2</f>
        <v>0</v>
      </c>
      <c r="AIJ2" s="128">
        <f>Prop16AccountNumber3</f>
        <v>0</v>
      </c>
      <c r="AIK2" s="128">
        <f>Prop16AccountNumber4</f>
        <v>0</v>
      </c>
      <c r="AIL2">
        <f>Prop16Address</f>
        <v>0</v>
      </c>
      <c r="AIM2" s="119">
        <f>Prop16AmountDue1</f>
        <v>0</v>
      </c>
      <c r="AIN2" s="119">
        <f>Prop16AmountDue2</f>
        <v>0</v>
      </c>
      <c r="AIO2" s="119">
        <f>Prop16AmountDue3</f>
        <v>0</v>
      </c>
      <c r="AIP2" s="119">
        <f>Prop16AmountDue4</f>
        <v>0</v>
      </c>
      <c r="AIQ2" s="121">
        <f>Prop16TotalAmountDue</f>
        <v>0</v>
      </c>
      <c r="AIR2" s="119">
        <f>Prop16CADImprovementValue</f>
        <v>0</v>
      </c>
      <c r="AIS2" s="119">
        <f>Prop16CADLandValue</f>
        <v>0</v>
      </c>
      <c r="AIT2">
        <f>Prop16City</f>
        <v>0</v>
      </c>
      <c r="AIU2">
        <f>Prop16County</f>
        <v>0</v>
      </c>
      <c r="AIV2">
        <f>Prop16Foreclosure</f>
        <v>0</v>
      </c>
      <c r="AIW2" s="119">
        <f>Prop16HKValue</f>
        <v>0</v>
      </c>
      <c r="AIX2">
        <f>Prop16Legal</f>
        <v>0</v>
      </c>
      <c r="AIY2">
        <f>Prop16MobileHome</f>
        <v>0</v>
      </c>
      <c r="AIZ2">
        <f>Prop16MortgageHolder</f>
        <v>0</v>
      </c>
      <c r="AJA2">
        <f>Prop16State</f>
        <v>0</v>
      </c>
      <c r="AJB2">
        <f>Prop16TaxingEntity1</f>
        <v>0</v>
      </c>
      <c r="AJC2">
        <f>Prop16TaxingEntity2</f>
        <v>0</v>
      </c>
      <c r="AJD2">
        <f>Prop16TaxingEntity3</f>
        <v>0</v>
      </c>
      <c r="AJE2">
        <f>Prop16TaxingEntity4</f>
        <v>0</v>
      </c>
      <c r="AJF2">
        <f>Prop16TaxLiens</f>
        <v>0</v>
      </c>
      <c r="AJG2">
        <f>Prop16Years1</f>
        <v>0</v>
      </c>
      <c r="AJH2">
        <f>Prop16Years2</f>
        <v>0</v>
      </c>
      <c r="AJI2">
        <f>Prop16Years3</f>
        <v>0</v>
      </c>
      <c r="AJJ2">
        <f>Prop16Years4</f>
        <v>0</v>
      </c>
      <c r="AJK2">
        <f>Prop16Name1</f>
        <v>0</v>
      </c>
      <c r="AJL2">
        <f>Prop16Name2</f>
        <v>0</v>
      </c>
      <c r="AJM2">
        <f>Prop16Name3</f>
        <v>0</v>
      </c>
      <c r="AJN2">
        <f>Prop16Name4</f>
        <v>0</v>
      </c>
      <c r="AJO2">
        <f>Prop16Title1</f>
        <v>0</v>
      </c>
      <c r="AJP2">
        <f>Prop16Title2</f>
        <v>0</v>
      </c>
      <c r="AJQ2">
        <f>Prop16Title3</f>
        <v>0</v>
      </c>
      <c r="AJR2">
        <f>Prop16Title4</f>
        <v>0</v>
      </c>
      <c r="AJS2">
        <f>Prop16ZIP</f>
        <v>0</v>
      </c>
      <c r="AJT2">
        <f>Prop16Attached</f>
        <v>0</v>
      </c>
      <c r="AJU2" s="116">
        <f>Prop17MortgageWIth</f>
        <v>0</v>
      </c>
      <c r="AJV2" s="116">
        <f>Prop17TaxLoan</f>
        <v>0</v>
      </c>
      <c r="AJW2" s="116">
        <f>Prop17TaxLoanWith</f>
        <v>0</v>
      </c>
      <c r="AJX2" s="116">
        <f>Prop17LoanDate</f>
        <v>0</v>
      </c>
      <c r="AJY2" s="116">
        <f>Prop17LoanBalance</f>
        <v>0</v>
      </c>
      <c r="AJZ2" s="116">
        <f>Prop17TDHCA</f>
        <v>0</v>
      </c>
      <c r="AKA2" s="116">
        <f>Prop17FDate</f>
        <v>0</v>
      </c>
      <c r="AKB2" s="116">
        <f>Prop17Lawsuit</f>
        <v>0</v>
      </c>
      <c r="AKC2" s="116">
        <f>Prop17Cause</f>
        <v>0</v>
      </c>
      <c r="AKD2" s="128">
        <f>Prop17AccountNumber1</f>
        <v>0</v>
      </c>
      <c r="AKE2" s="128">
        <f>Prop17AccountNumber2</f>
        <v>0</v>
      </c>
      <c r="AKF2" s="128">
        <f>Prop17AccountNumber3</f>
        <v>0</v>
      </c>
      <c r="AKG2" s="128">
        <f>Prop17AccountNumber4</f>
        <v>0</v>
      </c>
      <c r="AKH2">
        <f>Prop17Address</f>
        <v>0</v>
      </c>
      <c r="AKI2" s="119">
        <f>Prop17AmountDue1</f>
        <v>0</v>
      </c>
      <c r="AKJ2" s="119">
        <f>Prop17AmountDue2</f>
        <v>0</v>
      </c>
      <c r="AKK2" s="119">
        <f>Prop17AmountDue3</f>
        <v>0</v>
      </c>
      <c r="AKL2" s="119">
        <f>Prop17AmountDue4</f>
        <v>0</v>
      </c>
      <c r="AKM2" s="121">
        <f>Prop17TotalAmountDue</f>
        <v>0</v>
      </c>
      <c r="AKN2" s="119">
        <f>Prop17CADImprovementValue</f>
        <v>0</v>
      </c>
      <c r="AKO2" s="119">
        <f>Prop17CADLandValue</f>
        <v>0</v>
      </c>
      <c r="AKP2">
        <f>Prop17City</f>
        <v>0</v>
      </c>
      <c r="AKQ2">
        <f>Prop17County</f>
        <v>0</v>
      </c>
      <c r="AKR2">
        <f>Prop17Foreclosure</f>
        <v>0</v>
      </c>
      <c r="AKS2" s="119">
        <f>Prop17HKValue</f>
        <v>0</v>
      </c>
      <c r="AKT2">
        <f>Prop17Legal</f>
        <v>0</v>
      </c>
      <c r="AKU2">
        <f>Prop17MobileHome</f>
        <v>0</v>
      </c>
      <c r="AKV2">
        <f>Prop17MortgageHolder</f>
        <v>0</v>
      </c>
      <c r="AKW2">
        <f>Prop17State</f>
        <v>0</v>
      </c>
      <c r="AKX2">
        <f>Prop17TaxingEntity1</f>
        <v>0</v>
      </c>
      <c r="AKY2">
        <f>Prop17TaxingEntity2</f>
        <v>0</v>
      </c>
      <c r="AKZ2">
        <f>Prop17TaxingEntity3</f>
        <v>0</v>
      </c>
      <c r="ALA2">
        <f>Prop17TaxingEntity4</f>
        <v>0</v>
      </c>
      <c r="ALB2">
        <f>Prop17TaxLiens</f>
        <v>0</v>
      </c>
      <c r="ALC2">
        <f>Prop17Years1</f>
        <v>0</v>
      </c>
      <c r="ALD2">
        <f>Prop17Years2</f>
        <v>0</v>
      </c>
      <c r="ALE2">
        <f>Prop17Years3</f>
        <v>0</v>
      </c>
      <c r="ALF2">
        <f>Prop17Years4</f>
        <v>0</v>
      </c>
      <c r="ALG2">
        <f>Prop17Name1</f>
        <v>0</v>
      </c>
      <c r="ALH2">
        <f>Prop17Name2</f>
        <v>0</v>
      </c>
      <c r="ALI2">
        <f>Prop17Name3</f>
        <v>0</v>
      </c>
      <c r="ALJ2">
        <f>Prop17Name4</f>
        <v>0</v>
      </c>
      <c r="ALK2">
        <f>Prop17Title1</f>
        <v>0</v>
      </c>
      <c r="ALL2">
        <f>Prop17Title2</f>
        <v>0</v>
      </c>
      <c r="ALM2">
        <f>Prop17Title3</f>
        <v>0</v>
      </c>
      <c r="ALN2">
        <f>Prop17Title4</f>
        <v>0</v>
      </c>
      <c r="ALO2">
        <f>Prop17ZIP</f>
        <v>0</v>
      </c>
      <c r="ALP2">
        <f>Prop17Attached</f>
        <v>0</v>
      </c>
      <c r="ALQ2" s="116">
        <f>Prop18MortgageWith</f>
        <v>0</v>
      </c>
      <c r="ALR2" s="116">
        <f>Prop18TaxLoan</f>
        <v>0</v>
      </c>
      <c r="ALS2" s="116">
        <f>Prop18TaxLoanWith</f>
        <v>0</v>
      </c>
      <c r="ALT2" s="116">
        <f>Prop18LoanDate</f>
        <v>0</v>
      </c>
      <c r="ALU2" s="116">
        <f>Prop18LoanBalance</f>
        <v>0</v>
      </c>
      <c r="ALV2" s="116">
        <f>Prop18TDHCA</f>
        <v>0</v>
      </c>
      <c r="ALW2" s="116">
        <f>Prop18FDate</f>
        <v>0</v>
      </c>
      <c r="ALX2" s="116">
        <f>Prop18Lawsuit</f>
        <v>0</v>
      </c>
      <c r="ALY2" s="116">
        <f>Prop18Cause</f>
        <v>0</v>
      </c>
      <c r="ALZ2" s="128">
        <f>Prop18AccountNumber1</f>
        <v>0</v>
      </c>
      <c r="AMA2" s="128">
        <f>Prop18AccountNumber2</f>
        <v>0</v>
      </c>
      <c r="AMB2" s="128">
        <f>Prop18AccountNumber3</f>
        <v>0</v>
      </c>
      <c r="AMC2" s="128">
        <f>Prop18AccountNumber4</f>
        <v>0</v>
      </c>
      <c r="AMD2">
        <f>Prop18Address</f>
        <v>0</v>
      </c>
      <c r="AME2" s="119">
        <f>Prop18AmountDue1</f>
        <v>0</v>
      </c>
      <c r="AMF2" s="119">
        <f>Prop18AmountDue2</f>
        <v>0</v>
      </c>
      <c r="AMG2" s="119">
        <f>Prop18AmountDue3</f>
        <v>0</v>
      </c>
      <c r="AMH2" s="119">
        <f>Prop18AmountDue4</f>
        <v>0</v>
      </c>
      <c r="AMI2" s="121">
        <f>Prop18TotalAmountDue</f>
        <v>0</v>
      </c>
      <c r="AMJ2" s="119">
        <f>Prop18CADImprovementValue</f>
        <v>0</v>
      </c>
      <c r="AMK2" s="119">
        <f>Prop18CADLandValue</f>
        <v>0</v>
      </c>
      <c r="AML2">
        <f>Prop18City</f>
        <v>0</v>
      </c>
      <c r="AMM2">
        <f>Prop18County</f>
        <v>0</v>
      </c>
      <c r="AMN2">
        <f>Prop18Foreclosure</f>
        <v>0</v>
      </c>
      <c r="AMO2" s="119">
        <f>Prop18HKValue</f>
        <v>0</v>
      </c>
      <c r="AMP2">
        <f>Prop18Legal</f>
        <v>0</v>
      </c>
      <c r="AMQ2">
        <f>Prop18MobileHome</f>
        <v>0</v>
      </c>
      <c r="AMR2">
        <f>Prop18MortgageHolder</f>
        <v>0</v>
      </c>
      <c r="AMS2">
        <f>Prop18State</f>
        <v>0</v>
      </c>
      <c r="AMT2">
        <f>Prop18TaxingEntity1</f>
        <v>0</v>
      </c>
      <c r="AMU2">
        <f>Prop18TaxingEntity2</f>
        <v>0</v>
      </c>
      <c r="AMV2">
        <f>Prop18TaxingEntity3</f>
        <v>0</v>
      </c>
      <c r="AMW2">
        <f>Prop18TaxingEntity4</f>
        <v>0</v>
      </c>
      <c r="AMX2">
        <f>Prop18TaxLiens</f>
        <v>0</v>
      </c>
      <c r="AMY2">
        <f>Prop18Years1</f>
        <v>0</v>
      </c>
      <c r="AMZ2">
        <f>Prop18Years2</f>
        <v>0</v>
      </c>
      <c r="ANA2">
        <f>Prop18Years3</f>
        <v>0</v>
      </c>
      <c r="ANB2">
        <f>Prop18Years4</f>
        <v>0</v>
      </c>
      <c r="ANC2">
        <f>Prop18Name1</f>
        <v>0</v>
      </c>
      <c r="AND2">
        <f>Prop18Name2</f>
        <v>0</v>
      </c>
      <c r="ANE2">
        <f>Prop18Name3</f>
        <v>0</v>
      </c>
      <c r="ANF2">
        <f>Prop18Name4</f>
        <v>0</v>
      </c>
      <c r="ANG2">
        <f>Prop18Title1</f>
        <v>0</v>
      </c>
      <c r="ANH2">
        <f>Prop18Title2</f>
        <v>0</v>
      </c>
      <c r="ANI2">
        <f>Prop18Title3</f>
        <v>0</v>
      </c>
      <c r="ANJ2">
        <f>Prop18Title4</f>
        <v>0</v>
      </c>
      <c r="ANK2">
        <f>Prop18ZIP</f>
        <v>0</v>
      </c>
      <c r="ANL2">
        <f>Prop18Attached</f>
        <v>0</v>
      </c>
      <c r="ANM2" s="116">
        <f>Prop19MortgageWith</f>
        <v>0</v>
      </c>
      <c r="ANN2" s="116">
        <f>Prop19TaxLoan</f>
        <v>0</v>
      </c>
      <c r="ANO2" s="116">
        <f>Prop19TaxLoanWith</f>
        <v>0</v>
      </c>
      <c r="ANP2" s="116">
        <f>Prop19LoanDate</f>
        <v>0</v>
      </c>
      <c r="ANQ2" s="116">
        <f>Prop19LoanBalance</f>
        <v>0</v>
      </c>
      <c r="ANR2" s="116">
        <f>Prop19TDHCA</f>
        <v>0</v>
      </c>
      <c r="ANS2" s="116">
        <f>Prop19FDate</f>
        <v>0</v>
      </c>
      <c r="ANT2" s="116">
        <f>Prop19Lawsuit</f>
        <v>0</v>
      </c>
      <c r="ANU2" s="116">
        <f>Prop19Cause</f>
        <v>0</v>
      </c>
      <c r="ANV2" s="128">
        <f>Prop19AccountNumber1</f>
        <v>0</v>
      </c>
      <c r="ANW2" s="128">
        <f>Prop19AccountNumber2</f>
        <v>0</v>
      </c>
      <c r="ANX2" s="128">
        <f>Prop19AccountNumber3</f>
        <v>0</v>
      </c>
      <c r="ANY2" s="128">
        <f>Prop19AccountNumber4</f>
        <v>0</v>
      </c>
      <c r="ANZ2">
        <f>Prop19Address</f>
        <v>0</v>
      </c>
      <c r="AOA2" s="119">
        <f>Prop19AmountDue1</f>
        <v>0</v>
      </c>
      <c r="AOB2" s="119">
        <f>Prop19AmountDue2</f>
        <v>0</v>
      </c>
      <c r="AOC2" s="119">
        <f>Prop19AmountDue3</f>
        <v>0</v>
      </c>
      <c r="AOD2" s="119">
        <f>Prop19AmountDue4</f>
        <v>0</v>
      </c>
      <c r="AOE2" s="121">
        <f>Prop19TotalAmountDue</f>
        <v>0</v>
      </c>
      <c r="AOF2" s="119">
        <f>Prop19CADImprovementValue</f>
        <v>0</v>
      </c>
      <c r="AOG2" s="119">
        <f>Prop19CADLandValue</f>
        <v>0</v>
      </c>
      <c r="AOH2">
        <f>Prop19City</f>
        <v>0</v>
      </c>
      <c r="AOI2">
        <f>Prop19County</f>
        <v>0</v>
      </c>
      <c r="AOJ2">
        <f>Prop19Foreclosure</f>
        <v>0</v>
      </c>
      <c r="AOK2" s="119">
        <f>Prop19HKValue</f>
        <v>0</v>
      </c>
      <c r="AOL2">
        <f>Prop19Legal</f>
        <v>0</v>
      </c>
      <c r="AOM2">
        <f>Prop19MobileHome</f>
        <v>0</v>
      </c>
      <c r="AON2">
        <f>Prop19MortgageHolder</f>
        <v>0</v>
      </c>
      <c r="AOO2">
        <f>Prop19State</f>
        <v>0</v>
      </c>
      <c r="AOP2">
        <f>Prop19TaxingEntity1</f>
        <v>0</v>
      </c>
      <c r="AOQ2">
        <f>Prop19TaxingEntity2</f>
        <v>0</v>
      </c>
      <c r="AOR2">
        <f>Prop19TaxingEntity3</f>
        <v>0</v>
      </c>
      <c r="AOS2">
        <f>Prop19TaxingEntity4</f>
        <v>0</v>
      </c>
      <c r="AOT2">
        <f>Prop19TaxLiens</f>
        <v>0</v>
      </c>
      <c r="AOU2">
        <f>Prop19Years1</f>
        <v>0</v>
      </c>
      <c r="AOV2">
        <f>Prop19Years2</f>
        <v>0</v>
      </c>
      <c r="AOW2">
        <f>Prop19Years3</f>
        <v>0</v>
      </c>
      <c r="AOX2">
        <f>Prop19Years4</f>
        <v>0</v>
      </c>
      <c r="AOY2">
        <f>Prop19Name1</f>
        <v>0</v>
      </c>
      <c r="AOZ2">
        <f>Prop19Name2</f>
        <v>0</v>
      </c>
      <c r="APA2">
        <f>Prop19Name3</f>
        <v>0</v>
      </c>
      <c r="APB2">
        <f>Prop19Name4</f>
        <v>0</v>
      </c>
      <c r="APC2">
        <f>Prop19Title1</f>
        <v>0</v>
      </c>
      <c r="APD2">
        <f>Prop19Title2</f>
        <v>0</v>
      </c>
      <c r="APE2">
        <f>Prop19Title3</f>
        <v>0</v>
      </c>
      <c r="APF2">
        <f>Prop19Title4</f>
        <v>0</v>
      </c>
      <c r="APG2">
        <f>Prop19ZIP</f>
        <v>0</v>
      </c>
      <c r="APH2">
        <f>Prop19Attached</f>
        <v>0</v>
      </c>
      <c r="API2" s="116">
        <f>Prop20MortgageWith</f>
        <v>0</v>
      </c>
      <c r="APJ2" s="116">
        <f>Prop20TaxLoan</f>
        <v>0</v>
      </c>
      <c r="APK2" s="116">
        <f>Prop20TaxLoanWith</f>
        <v>0</v>
      </c>
      <c r="APL2" s="116">
        <f>Prop20LoanDate</f>
        <v>0</v>
      </c>
      <c r="APM2" s="116">
        <f>Prop20LoanBalance</f>
        <v>0</v>
      </c>
      <c r="APN2" s="116">
        <f>Prop20TDHCA</f>
        <v>0</v>
      </c>
      <c r="APO2" s="116">
        <f>Prop20FDate</f>
        <v>0</v>
      </c>
      <c r="APP2" s="116">
        <f>Prop20Lawsuit</f>
        <v>0</v>
      </c>
      <c r="APQ2" s="116">
        <f>Prop20Cause</f>
        <v>0</v>
      </c>
      <c r="APR2" s="128">
        <f>Prop20AccountNumber1</f>
        <v>0</v>
      </c>
      <c r="APS2" s="128">
        <f>Prop20AccountNumber2</f>
        <v>0</v>
      </c>
      <c r="APT2" s="128">
        <f>Prop20AccountNumber3</f>
        <v>0</v>
      </c>
      <c r="APU2" s="128">
        <f>Prop20AccountNumber4</f>
        <v>0</v>
      </c>
      <c r="APV2">
        <f>Prop20Address</f>
        <v>0</v>
      </c>
      <c r="APW2" s="119">
        <f>Prop20AmountDue1</f>
        <v>0</v>
      </c>
      <c r="APX2" s="119">
        <f>Prop20AmountDue2</f>
        <v>0</v>
      </c>
      <c r="APY2" s="119">
        <f>Prop20AmountDue3</f>
        <v>0</v>
      </c>
      <c r="APZ2" s="119">
        <f>Prop20AmountDue4</f>
        <v>0</v>
      </c>
      <c r="AQA2" s="121">
        <f>Prop20TotalAmountDue</f>
        <v>0</v>
      </c>
      <c r="AQB2" s="119">
        <f>Prop20CADImprovementValue</f>
        <v>0</v>
      </c>
      <c r="AQC2" s="119">
        <f>Prop20CADLandValue</f>
        <v>0</v>
      </c>
      <c r="AQD2">
        <f>Prop20City</f>
        <v>0</v>
      </c>
      <c r="AQE2">
        <f>Prop20County</f>
        <v>0</v>
      </c>
      <c r="AQF2">
        <f>Prop20Foreclosure</f>
        <v>0</v>
      </c>
      <c r="AQG2" s="119">
        <f>Prop20HKValue</f>
        <v>0</v>
      </c>
      <c r="AQH2">
        <f>Prop20Legal</f>
        <v>0</v>
      </c>
      <c r="AQI2">
        <f>Prop20MobileHome</f>
        <v>0</v>
      </c>
      <c r="AQJ2">
        <f>Prop20MortgageHolder</f>
        <v>0</v>
      </c>
      <c r="AQK2">
        <f>Prop20State</f>
        <v>0</v>
      </c>
      <c r="AQL2">
        <f>Prop20TaxingEntity1</f>
        <v>0</v>
      </c>
      <c r="AQM2">
        <f>Prop20TaxingEntity2</f>
        <v>0</v>
      </c>
      <c r="AQN2">
        <f>Prop20TaxingEntity3</f>
        <v>0</v>
      </c>
      <c r="AQO2">
        <f>Prop20TaxingEntity4</f>
        <v>0</v>
      </c>
      <c r="AQP2">
        <f>Prop20TaxLiens</f>
        <v>0</v>
      </c>
      <c r="AQQ2">
        <f>Prop20Years1</f>
        <v>0</v>
      </c>
      <c r="AQR2">
        <f>Prop20Years2</f>
        <v>0</v>
      </c>
      <c r="AQS2">
        <f>Prop20Years3</f>
        <v>0</v>
      </c>
      <c r="AQT2">
        <f>Prop20Years4</f>
        <v>0</v>
      </c>
      <c r="AQU2">
        <f>Prop20Name1</f>
        <v>0</v>
      </c>
      <c r="AQV2">
        <f>Prop20Name2</f>
        <v>0</v>
      </c>
      <c r="AQW2">
        <f>Prop20Name3</f>
        <v>0</v>
      </c>
      <c r="AQX2">
        <f>Prop20Name4</f>
        <v>0</v>
      </c>
      <c r="AQY2">
        <f>Prop20Title1</f>
        <v>0</v>
      </c>
      <c r="AQZ2">
        <f>Prop20Title2</f>
        <v>0</v>
      </c>
      <c r="ARA2">
        <f>Prop20Title3</f>
        <v>0</v>
      </c>
      <c r="ARB2">
        <f>Prop20Title4</f>
        <v>0</v>
      </c>
      <c r="ARC2">
        <f>Prop20ZIP</f>
        <v>0</v>
      </c>
      <c r="ARD2">
        <f>Prop20Attached</f>
        <v>0</v>
      </c>
      <c r="ARE2">
        <f>Prop21MortgageWith</f>
        <v>0</v>
      </c>
      <c r="ARF2">
        <f>Prop21TaxLoan</f>
        <v>0</v>
      </c>
      <c r="ARG2">
        <f>Prop21TaxLoanWith</f>
        <v>0</v>
      </c>
      <c r="ARH2">
        <f>Prop21LoanDate</f>
        <v>0</v>
      </c>
      <c r="ARI2">
        <f>Prop21LoanBalance</f>
        <v>0</v>
      </c>
      <c r="ARJ2">
        <f>Prop21TDHCA</f>
        <v>0</v>
      </c>
      <c r="ARK2">
        <f>Prop21FDate</f>
        <v>0</v>
      </c>
      <c r="ARL2">
        <f>Prop21Lawsuit</f>
        <v>0</v>
      </c>
      <c r="ARM2">
        <f>Prop21Cause</f>
        <v>0</v>
      </c>
      <c r="ARN2" s="128">
        <f>Prop21AccountNumber1</f>
        <v>0</v>
      </c>
      <c r="ARO2" s="128">
        <f>Prop21AccountNumber2</f>
        <v>0</v>
      </c>
      <c r="ARP2" s="128">
        <f>Prop21AccountNumber3</f>
        <v>0</v>
      </c>
      <c r="ARQ2" s="128">
        <f>Prop21AccountNumber4</f>
        <v>0</v>
      </c>
      <c r="ARR2">
        <f>Prop21Address</f>
        <v>0</v>
      </c>
      <c r="ARS2" s="119">
        <f>Prop21AmountDue1</f>
        <v>0</v>
      </c>
      <c r="ART2" s="119">
        <f>Prop21AmountDue2</f>
        <v>0</v>
      </c>
      <c r="ARU2" s="119">
        <f>Prop21AmountDue3</f>
        <v>0</v>
      </c>
      <c r="ARV2" s="119">
        <f>Prop21AmountDue4</f>
        <v>0</v>
      </c>
      <c r="ARW2" s="121">
        <f>Prop21TotalAmountDue</f>
        <v>0</v>
      </c>
      <c r="ARX2" s="119">
        <f>Prop21CADImprovementValue</f>
        <v>0</v>
      </c>
      <c r="ARY2" s="119">
        <f>Prop21CADLandValue</f>
        <v>0</v>
      </c>
      <c r="ARZ2">
        <f>Prop21City</f>
        <v>0</v>
      </c>
      <c r="ASA2">
        <f>Prop21County</f>
        <v>0</v>
      </c>
      <c r="ASB2">
        <f>Prop21Foreclosure</f>
        <v>0</v>
      </c>
      <c r="ASC2" s="119">
        <f>Prop21HKValue</f>
        <v>0</v>
      </c>
      <c r="ASD2">
        <f>Prop21Legal</f>
        <v>0</v>
      </c>
      <c r="ASE2">
        <f>Prop21MobileHome</f>
        <v>0</v>
      </c>
      <c r="ASF2">
        <f>Prop21MortgageHolder</f>
        <v>0</v>
      </c>
      <c r="ASG2">
        <f>Prop21State</f>
        <v>0</v>
      </c>
      <c r="ASH2">
        <f>Prop21TaxingEntity1</f>
        <v>0</v>
      </c>
      <c r="ASI2">
        <f>Prop21TaxingEntity2</f>
        <v>0</v>
      </c>
      <c r="ASJ2">
        <f>Prop21TaxingEntity3</f>
        <v>0</v>
      </c>
      <c r="ASK2">
        <f>Prop21TaxingEntity4</f>
        <v>0</v>
      </c>
      <c r="ASL2">
        <f>Prop21TaxLiens</f>
        <v>0</v>
      </c>
      <c r="ASM2">
        <f>Prop21Years1</f>
        <v>0</v>
      </c>
      <c r="ASN2">
        <f>Prop21Years2</f>
        <v>0</v>
      </c>
      <c r="ASO2">
        <f>Prop21Years3</f>
        <v>0</v>
      </c>
      <c r="ASP2">
        <f>Prop21Years4</f>
        <v>0</v>
      </c>
      <c r="ASQ2">
        <f>Prop21Name1</f>
        <v>0</v>
      </c>
      <c r="ASR2">
        <f>Prop21Name2</f>
        <v>0</v>
      </c>
      <c r="ASS2">
        <f>Prop21Name3</f>
        <v>0</v>
      </c>
      <c r="AST2">
        <f>Prop21Name4</f>
        <v>0</v>
      </c>
      <c r="ASU2">
        <f>Prop21Title1</f>
        <v>0</v>
      </c>
      <c r="ASV2">
        <f>Prop21Title2</f>
        <v>0</v>
      </c>
      <c r="ASW2">
        <f>Prop21Title3</f>
        <v>0</v>
      </c>
      <c r="ASX2">
        <f>Prop21Title4</f>
        <v>0</v>
      </c>
      <c r="ASY2">
        <f>Prop21ZIP</f>
        <v>0</v>
      </c>
      <c r="ASZ2">
        <f>Prop21Attached</f>
        <v>0</v>
      </c>
      <c r="ATA2" s="116">
        <f>Prop22MortgageWith</f>
        <v>0</v>
      </c>
      <c r="ATB2" s="116">
        <f>Prop22TaxLoan</f>
        <v>0</v>
      </c>
      <c r="ATC2" s="116">
        <f>Prop22TaxLoanWith</f>
        <v>0</v>
      </c>
      <c r="ATD2" s="116">
        <f>Prop22LoanDate</f>
        <v>0</v>
      </c>
      <c r="ATE2" s="116">
        <f>Prop22LoanBalance</f>
        <v>0</v>
      </c>
      <c r="ATF2" s="116">
        <f>Prop22TDHCA</f>
        <v>0</v>
      </c>
      <c r="ATG2" s="116">
        <f>Prop22FDate</f>
        <v>0</v>
      </c>
      <c r="ATH2" s="116">
        <f>Prop22Lawsuit</f>
        <v>0</v>
      </c>
      <c r="ATI2" s="116">
        <f>Prop22Cause</f>
        <v>0</v>
      </c>
      <c r="ATJ2" s="128">
        <f>Prop22AccountNumber1</f>
        <v>0</v>
      </c>
      <c r="ATK2" s="128">
        <f>Prop22AccountNumber2</f>
        <v>0</v>
      </c>
      <c r="ATL2" s="128">
        <f>Prop22AccountNumber3</f>
        <v>0</v>
      </c>
      <c r="ATM2" s="128">
        <f>Prop22AccountNumber4</f>
        <v>0</v>
      </c>
      <c r="ATN2">
        <f>Prop22Address</f>
        <v>0</v>
      </c>
      <c r="ATO2" s="119">
        <f>Prop22AmountDue1</f>
        <v>0</v>
      </c>
      <c r="ATP2" s="119">
        <f>Prop22AmountDue2</f>
        <v>0</v>
      </c>
      <c r="ATQ2" s="119">
        <f>Prop22AmountDue3</f>
        <v>0</v>
      </c>
      <c r="ATR2" s="119">
        <f>Prop22AmountDue4</f>
        <v>0</v>
      </c>
      <c r="ATS2" s="121">
        <f>Prop22TotalAmountDue</f>
        <v>0</v>
      </c>
      <c r="ATT2" s="119">
        <f>Prop22CADImprovementValue</f>
        <v>0</v>
      </c>
      <c r="ATU2" s="119">
        <f>Prop22CADLandValue</f>
        <v>0</v>
      </c>
      <c r="ATV2">
        <f>Prop22City</f>
        <v>0</v>
      </c>
      <c r="ATW2">
        <f>Prop22County</f>
        <v>0</v>
      </c>
      <c r="ATX2">
        <f>Prop22Foreclosure</f>
        <v>0</v>
      </c>
      <c r="ATY2" s="119">
        <f>Prop22HKValue</f>
        <v>0</v>
      </c>
      <c r="ATZ2">
        <f>Prop22Legal</f>
        <v>0</v>
      </c>
      <c r="AUA2">
        <f>Prop22MobileHome</f>
        <v>0</v>
      </c>
      <c r="AUB2">
        <f>Prop22MortgageHolder</f>
        <v>0</v>
      </c>
      <c r="AUC2">
        <f>Prop22State</f>
        <v>0</v>
      </c>
      <c r="AUD2">
        <f>Prop22TaxingEntity1</f>
        <v>0</v>
      </c>
      <c r="AUE2">
        <f>Prop22TaxingEntity2</f>
        <v>0</v>
      </c>
      <c r="AUF2">
        <f>Prop22TaxingEntity3</f>
        <v>0</v>
      </c>
      <c r="AUG2">
        <f>Prop22TaxingEntity4</f>
        <v>0</v>
      </c>
      <c r="AUH2">
        <f>Prop22TaxLiens</f>
        <v>0</v>
      </c>
      <c r="AUI2">
        <f>Prop22Years1</f>
        <v>0</v>
      </c>
      <c r="AUJ2">
        <f>Prop22Years2</f>
        <v>0</v>
      </c>
      <c r="AUK2">
        <f>Prop22Years3</f>
        <v>0</v>
      </c>
      <c r="AUL2">
        <f>Prop22Years4</f>
        <v>0</v>
      </c>
      <c r="AUM2">
        <f>Prop22Name1</f>
        <v>0</v>
      </c>
      <c r="AUN2">
        <f>Prop22Name2</f>
        <v>0</v>
      </c>
      <c r="AUO2">
        <f>Prop22Name3</f>
        <v>0</v>
      </c>
      <c r="AUP2">
        <f>Prop22Name4</f>
        <v>0</v>
      </c>
      <c r="AUQ2">
        <f>Prop22Title1</f>
        <v>0</v>
      </c>
      <c r="AUR2">
        <f>Prop22Title2</f>
        <v>0</v>
      </c>
      <c r="AUS2">
        <f>Prop22Title3</f>
        <v>0</v>
      </c>
      <c r="AUT2">
        <f>Prop22Title4</f>
        <v>0</v>
      </c>
      <c r="AUU2">
        <f>Prop22ZIP</f>
        <v>0</v>
      </c>
      <c r="AUV2">
        <f>Prop22Attached</f>
        <v>0</v>
      </c>
      <c r="AUW2" s="116">
        <f>Prop23MortgageWith</f>
        <v>0</v>
      </c>
      <c r="AUX2" s="116">
        <f>Prop23TaxLoan</f>
        <v>0</v>
      </c>
      <c r="AUY2" s="116">
        <f>Prop23TaxLoanWith</f>
        <v>0</v>
      </c>
      <c r="AUZ2" s="116">
        <f>Prop23LoanDate</f>
        <v>0</v>
      </c>
      <c r="AVA2" s="116">
        <f>Prop23LoanBalance</f>
        <v>0</v>
      </c>
      <c r="AVB2" s="116">
        <f>Prop23TDHCA</f>
        <v>0</v>
      </c>
      <c r="AVC2" s="116">
        <f>Prop23FDate</f>
        <v>0</v>
      </c>
      <c r="AVD2" s="116">
        <f>Prop23Lawsuit</f>
        <v>0</v>
      </c>
      <c r="AVE2" s="116">
        <f>Prop23Cause</f>
        <v>0</v>
      </c>
      <c r="AVF2" s="128">
        <f>Prop23AccountNumber1</f>
        <v>0</v>
      </c>
      <c r="AVG2" s="128">
        <f>Prop23AccountNumber2</f>
        <v>0</v>
      </c>
      <c r="AVH2" s="128">
        <f>Prop23AccountNumber3</f>
        <v>0</v>
      </c>
      <c r="AVI2" s="128">
        <f>Prop23AccountNumber4</f>
        <v>0</v>
      </c>
      <c r="AVJ2">
        <f>Prop23Address</f>
        <v>0</v>
      </c>
      <c r="AVK2" s="119">
        <f>Prop23AmountDue1</f>
        <v>0</v>
      </c>
      <c r="AVL2" s="119">
        <f>Prop23AmountDue2</f>
        <v>0</v>
      </c>
      <c r="AVM2" s="119">
        <f>Prop23AmountDue3</f>
        <v>0</v>
      </c>
      <c r="AVN2" s="119">
        <f>Prop23AmountDue4</f>
        <v>0</v>
      </c>
      <c r="AVO2" s="121">
        <f>Prop23TotalAmountDue</f>
        <v>0</v>
      </c>
      <c r="AVP2" s="119">
        <f>Prop23CADImprovementValue</f>
        <v>0</v>
      </c>
      <c r="AVQ2" s="119">
        <f>Prop23CADLandValue</f>
        <v>0</v>
      </c>
      <c r="AVR2">
        <f>Prop23City</f>
        <v>0</v>
      </c>
      <c r="AVS2">
        <f>Prop23County</f>
        <v>0</v>
      </c>
      <c r="AVT2">
        <f>Prop23Foreclosure</f>
        <v>0</v>
      </c>
      <c r="AVU2" s="119">
        <f>Prop23HKValue</f>
        <v>0</v>
      </c>
      <c r="AVV2">
        <f>Prop23Legal</f>
        <v>0</v>
      </c>
      <c r="AVW2">
        <f>Prop23MobileHome</f>
        <v>0</v>
      </c>
      <c r="AVX2">
        <f>Prop23MortgageHolder</f>
        <v>0</v>
      </c>
      <c r="AVY2">
        <f>Prop23State</f>
        <v>0</v>
      </c>
      <c r="AVZ2">
        <f>Prop23TaxingEntity1</f>
        <v>0</v>
      </c>
      <c r="AWA2">
        <f>Prop23TaxingEntity2</f>
        <v>0</v>
      </c>
      <c r="AWB2">
        <f>Prop23TaxingEntity3</f>
        <v>0</v>
      </c>
      <c r="AWC2">
        <f>Prop23TaxingEntity4</f>
        <v>0</v>
      </c>
      <c r="AWD2">
        <f>Prop23TaxLiens</f>
        <v>0</v>
      </c>
      <c r="AWE2">
        <f>Prop23Years1</f>
        <v>0</v>
      </c>
      <c r="AWF2">
        <f>Prop23Years2</f>
        <v>0</v>
      </c>
      <c r="AWG2">
        <f>Prop23Years3</f>
        <v>0</v>
      </c>
      <c r="AWH2">
        <f>Prop23Years4</f>
        <v>0</v>
      </c>
      <c r="AWI2">
        <f>Prop23Name1</f>
        <v>0</v>
      </c>
      <c r="AWJ2">
        <f>Prop23Name2</f>
        <v>0</v>
      </c>
      <c r="AWK2">
        <f>Prop23Name3</f>
        <v>0</v>
      </c>
      <c r="AWL2">
        <f>Prop23Name4</f>
        <v>0</v>
      </c>
      <c r="AWM2">
        <f>Prop23Title1</f>
        <v>0</v>
      </c>
      <c r="AWN2">
        <f>Prop23Title2</f>
        <v>0</v>
      </c>
      <c r="AWO2">
        <f>Prop23Title3</f>
        <v>0</v>
      </c>
      <c r="AWP2">
        <f>Prop23Title4</f>
        <v>0</v>
      </c>
      <c r="AWQ2">
        <f>Prop23ZIP</f>
        <v>0</v>
      </c>
      <c r="AWR2">
        <f>Prop23Attached</f>
        <v>0</v>
      </c>
      <c r="AWS2" s="116">
        <f>Prop24MortgageWith</f>
        <v>0</v>
      </c>
      <c r="AWT2" s="116">
        <f>Prop24TaxLoan</f>
        <v>0</v>
      </c>
      <c r="AWU2" s="116">
        <f>Prop24TaxLoanWith</f>
        <v>0</v>
      </c>
      <c r="AWV2" s="116">
        <f>Prop24LoanDate</f>
        <v>0</v>
      </c>
      <c r="AWW2" s="116">
        <f>Prop24LoanBalance</f>
        <v>0</v>
      </c>
      <c r="AWX2" s="116">
        <f>Prop24TDHCA</f>
        <v>0</v>
      </c>
      <c r="AWY2" s="116">
        <f>Prop24FDate</f>
        <v>0</v>
      </c>
      <c r="AWZ2" s="116">
        <f>Prop24Lawsuit</f>
        <v>0</v>
      </c>
      <c r="AXA2" s="116">
        <f>Prop24Cause</f>
        <v>0</v>
      </c>
      <c r="AXB2" s="128">
        <f>Prop24AccountNumber1</f>
        <v>0</v>
      </c>
      <c r="AXC2" s="128">
        <f>Prop24AccountNumber2</f>
        <v>0</v>
      </c>
      <c r="AXD2" s="128">
        <f>Prop24AccountNumber3</f>
        <v>0</v>
      </c>
      <c r="AXE2" s="128">
        <f>Prop24AccountNumber4</f>
        <v>0</v>
      </c>
      <c r="AXF2">
        <f>Prop24Address</f>
        <v>0</v>
      </c>
      <c r="AXG2" s="119">
        <f>Prop24AmountDue1</f>
        <v>0</v>
      </c>
      <c r="AXH2" s="119">
        <f>Prop24AmountDue2</f>
        <v>0</v>
      </c>
      <c r="AXI2" s="119">
        <f>Prop24AmountDue3</f>
        <v>0</v>
      </c>
      <c r="AXJ2" s="119">
        <f>Prop24AmountDue4</f>
        <v>0</v>
      </c>
      <c r="AXK2" s="121">
        <f>Prop24TotalAmountDue</f>
        <v>0</v>
      </c>
      <c r="AXL2" s="119">
        <f>Prop24CADImprovementValue</f>
        <v>0</v>
      </c>
      <c r="AXM2" s="119">
        <f>Prop24CADLandValue</f>
        <v>0</v>
      </c>
      <c r="AXN2">
        <f>Prop24City</f>
        <v>0</v>
      </c>
      <c r="AXO2">
        <f>Prop24County</f>
        <v>0</v>
      </c>
      <c r="AXP2">
        <f>Prop24Foreclosure</f>
        <v>0</v>
      </c>
      <c r="AXQ2" s="119">
        <f>Prop24HKValue</f>
        <v>0</v>
      </c>
      <c r="AXR2">
        <f>Prop24Legal</f>
        <v>0</v>
      </c>
      <c r="AXS2">
        <f>Prop24MobileHome</f>
        <v>0</v>
      </c>
      <c r="AXT2">
        <f>Prop24MortgageHolder</f>
        <v>0</v>
      </c>
      <c r="AXU2">
        <f>Prop24State</f>
        <v>0</v>
      </c>
      <c r="AXV2">
        <f>Prop24TaxingEntity1</f>
        <v>0</v>
      </c>
      <c r="AXW2">
        <f>Prop24TaxingEntity2</f>
        <v>0</v>
      </c>
      <c r="AXX2">
        <f>Prop24TaxingEntity3</f>
        <v>0</v>
      </c>
      <c r="AXY2">
        <f>Prop24TaxingEntity4</f>
        <v>0</v>
      </c>
      <c r="AXZ2">
        <f>Prop24TaxLiens</f>
        <v>0</v>
      </c>
      <c r="AYA2">
        <f>Prop24Years1</f>
        <v>0</v>
      </c>
      <c r="AYB2">
        <f>Prop24Years2</f>
        <v>0</v>
      </c>
      <c r="AYC2">
        <f>Prop24Years3</f>
        <v>0</v>
      </c>
      <c r="AYD2">
        <f>Prop24Years4</f>
        <v>0</v>
      </c>
      <c r="AYE2">
        <f>Prop24Name1</f>
        <v>0</v>
      </c>
      <c r="AYF2">
        <f>Prop24Name2</f>
        <v>0</v>
      </c>
      <c r="AYG2">
        <f>Prop24Name3</f>
        <v>0</v>
      </c>
      <c r="AYH2">
        <f>Prop24Name4</f>
        <v>0</v>
      </c>
      <c r="AYI2">
        <f>Prop24Title1</f>
        <v>0</v>
      </c>
      <c r="AYJ2">
        <f>Prop24Title2</f>
        <v>0</v>
      </c>
      <c r="AYK2">
        <f>Prop24Title3</f>
        <v>0</v>
      </c>
      <c r="AYL2">
        <f>Prop24Title4</f>
        <v>0</v>
      </c>
      <c r="AYM2">
        <f>Prop24ZIP</f>
        <v>0</v>
      </c>
      <c r="AYN2">
        <f>Prop24Attached</f>
        <v>0</v>
      </c>
      <c r="AYO2" s="116">
        <f>Prop25MortgageWith</f>
        <v>0</v>
      </c>
      <c r="AYP2" s="116">
        <f>Prop25TaxLoan</f>
        <v>0</v>
      </c>
      <c r="AYQ2" s="116">
        <f>Prop25TaxLoanWith</f>
        <v>0</v>
      </c>
      <c r="AYR2" s="116">
        <f>Prop25LoanDate</f>
        <v>0</v>
      </c>
      <c r="AYS2" s="116">
        <f>Prop25LoanBalance</f>
        <v>0</v>
      </c>
      <c r="AYT2" s="116">
        <f>Prop25TDHCA</f>
        <v>0</v>
      </c>
      <c r="AYU2" s="116">
        <f>Prop25FDate</f>
        <v>0</v>
      </c>
      <c r="AYV2" s="116">
        <f>Prop25Lawsuit</f>
        <v>0</v>
      </c>
      <c r="AYW2" s="116">
        <f>Prop25Cause</f>
        <v>0</v>
      </c>
      <c r="AYX2" s="128">
        <f>Prop25AccountNumber1</f>
        <v>0</v>
      </c>
      <c r="AYY2" s="128">
        <f>Prop25AccountNumber2</f>
        <v>0</v>
      </c>
      <c r="AYZ2" s="128">
        <f>Prop25AccountNumber3</f>
        <v>0</v>
      </c>
      <c r="AZA2" s="128">
        <f>Prop25AccountNumber4</f>
        <v>0</v>
      </c>
      <c r="AZB2">
        <f>Prop25Address</f>
        <v>0</v>
      </c>
      <c r="AZC2" s="119">
        <f>Prop25AmountDue1</f>
        <v>0</v>
      </c>
      <c r="AZD2" s="119">
        <f>Prop25AmountDue2</f>
        <v>0</v>
      </c>
      <c r="AZE2" s="119">
        <f>Prop25AmountDue3</f>
        <v>0</v>
      </c>
      <c r="AZF2" s="119">
        <f>Prop25AmountDue4</f>
        <v>0</v>
      </c>
      <c r="AZG2" s="121">
        <f>Prop25TotalAmountDue</f>
        <v>0</v>
      </c>
      <c r="AZH2" s="119">
        <f>Prop25CADImprovementValue</f>
        <v>0</v>
      </c>
      <c r="AZI2" s="119">
        <f>Prop25CADLandValue</f>
        <v>0</v>
      </c>
      <c r="AZJ2">
        <f>Prop25City</f>
        <v>0</v>
      </c>
      <c r="AZK2">
        <f>Prop25County</f>
        <v>0</v>
      </c>
      <c r="AZL2">
        <f>Prop25Foreclosure</f>
        <v>0</v>
      </c>
      <c r="AZM2" s="119">
        <f>Prop25HKValue</f>
        <v>0</v>
      </c>
      <c r="AZN2">
        <f>Prop25Legal</f>
        <v>0</v>
      </c>
      <c r="AZO2">
        <f>Prop25MobileHome</f>
        <v>0</v>
      </c>
      <c r="AZP2">
        <f>Prop25MortgageHolder</f>
        <v>0</v>
      </c>
      <c r="AZQ2">
        <f>Prop25State</f>
        <v>0</v>
      </c>
      <c r="AZR2">
        <f>Prop25TaxingEntity1</f>
        <v>0</v>
      </c>
      <c r="AZS2">
        <f>Prop25TaxingEntity2</f>
        <v>0</v>
      </c>
      <c r="AZT2">
        <f>Prop25TaxingEntity3</f>
        <v>0</v>
      </c>
      <c r="AZU2">
        <f>Prop25TaxingEntity4</f>
        <v>0</v>
      </c>
      <c r="AZV2">
        <f>Prop25TaxLiens</f>
        <v>0</v>
      </c>
      <c r="AZW2">
        <f>Prop25Years1</f>
        <v>0</v>
      </c>
      <c r="AZX2">
        <f>Prop25Years2</f>
        <v>0</v>
      </c>
      <c r="AZY2">
        <f>Prop25Years3</f>
        <v>0</v>
      </c>
      <c r="AZZ2">
        <f>Prop25Years4</f>
        <v>0</v>
      </c>
      <c r="BAA2">
        <f>Prop25Name1</f>
        <v>0</v>
      </c>
      <c r="BAB2">
        <f>Prop25Name2</f>
        <v>0</v>
      </c>
      <c r="BAC2">
        <f>Prop25Name3</f>
        <v>0</v>
      </c>
      <c r="BAD2">
        <f>Prop25Name4</f>
        <v>0</v>
      </c>
      <c r="BAE2">
        <f>Prop25Title1</f>
        <v>0</v>
      </c>
      <c r="BAF2">
        <f>Prop25Title2</f>
        <v>0</v>
      </c>
      <c r="BAG2">
        <f>Prop25Title3</f>
        <v>0</v>
      </c>
      <c r="BAH2">
        <f>Prop25Title4</f>
        <v>0</v>
      </c>
      <c r="BAI2">
        <f>Prop25ZIP</f>
        <v>0</v>
      </c>
      <c r="BAJ2">
        <f>Prop25Attached</f>
        <v>0</v>
      </c>
      <c r="BAK2">
        <f>NMLS</f>
        <v>0</v>
      </c>
      <c r="BAL2" s="120">
        <f>PrincipalPaymentAmount</f>
        <v>900</v>
      </c>
      <c r="BAM2" s="120">
        <f>AmountToTaxCollector</f>
        <v>0</v>
      </c>
      <c r="BAN2" s="120">
        <f>OtherFeesCharged</f>
        <v>900</v>
      </c>
      <c r="BAO2" s="120">
        <f>AbstractFees</f>
        <v>0</v>
      </c>
      <c r="BAP2" s="120">
        <f>OtherFees</f>
        <v>0</v>
      </c>
      <c r="BAQ2" s="120">
        <f>TotalCourtCosts</f>
        <v>0</v>
      </c>
      <c r="BAR2" s="116" t="str">
        <f>Prop1LegalA</f>
        <v>LOT 23 BLK 13 SHANNON CREEK PH 3B</v>
      </c>
      <c r="BAS2" s="116">
        <f>Prop2LegalA</f>
        <v>0</v>
      </c>
      <c r="BAT2" s="116">
        <f>Prop3LegalA</f>
        <v>0</v>
      </c>
      <c r="BAU2" s="116">
        <f>Prop4LegalA</f>
        <v>0</v>
      </c>
      <c r="BAV2" s="116">
        <f>Prop5LegalA</f>
        <v>0</v>
      </c>
      <c r="BAW2" s="116">
        <f>Prop6LegalA</f>
        <v>0</v>
      </c>
      <c r="BAX2" s="116">
        <f>Prop7LegalA</f>
        <v>0</v>
      </c>
      <c r="BAY2" s="116">
        <f>Prop8LegalA</f>
        <v>0</v>
      </c>
      <c r="BAZ2" s="116">
        <f>Prop9LegalA</f>
        <v>0</v>
      </c>
      <c r="BBA2" s="116">
        <f>Prop10LegalA</f>
        <v>0</v>
      </c>
      <c r="BBB2" s="116">
        <f>Prop11LegalA</f>
        <v>0</v>
      </c>
      <c r="BBC2" s="116">
        <f>Prop12LegalA</f>
        <v>0</v>
      </c>
      <c r="BBD2" s="116">
        <f>Prop13LegalA</f>
        <v>0</v>
      </c>
      <c r="BBE2" s="116">
        <f>Prop14LegalA</f>
        <v>0</v>
      </c>
      <c r="BBF2" s="116">
        <f>Prop15LegalA</f>
        <v>0</v>
      </c>
      <c r="BBG2" s="116">
        <f>Prop16LegalA</f>
        <v>0</v>
      </c>
      <c r="BBH2" s="116">
        <f>Prop17LegalA</f>
        <v>0</v>
      </c>
      <c r="BBI2" s="116">
        <f>Prop18LegalA</f>
        <v>0</v>
      </c>
      <c r="BBJ2" s="116">
        <f>Prop19LegalA</f>
        <v>0</v>
      </c>
      <c r="BBK2" s="116">
        <f>Prop20LegalA</f>
        <v>0</v>
      </c>
      <c r="BBL2" s="116">
        <f>Prop21LegalA</f>
        <v>0</v>
      </c>
      <c r="BBM2" s="116">
        <f>Prop22LegalA</f>
        <v>0</v>
      </c>
      <c r="BBN2" s="116">
        <f>Prop23LegalA</f>
        <v>0</v>
      </c>
      <c r="BBO2" s="116">
        <f>Prop24LegalA</f>
        <v>0</v>
      </c>
      <c r="BBP2" s="116">
        <f>Prop25LegalA</f>
        <v>0</v>
      </c>
      <c r="BBQ2" s="116">
        <f>Prop1LegalB</f>
        <v>0</v>
      </c>
      <c r="BBR2" s="116">
        <f>Prop2LegalB</f>
        <v>0</v>
      </c>
      <c r="BBS2" s="116">
        <f>Prop3LegalB</f>
        <v>0</v>
      </c>
      <c r="BBT2" s="116">
        <f>Prop4LegalB</f>
        <v>0</v>
      </c>
      <c r="BBU2" s="116">
        <f>Prop5LegalB</f>
        <v>0</v>
      </c>
      <c r="BBV2" s="116">
        <f>Prop6LegalB</f>
        <v>0</v>
      </c>
      <c r="BBW2" s="116">
        <f>Prop7LegalB</f>
        <v>0</v>
      </c>
      <c r="BBX2" s="116">
        <f>Prop8LegalB</f>
        <v>0</v>
      </c>
      <c r="BBY2" s="116">
        <f>Prop9LegalB</f>
        <v>0</v>
      </c>
      <c r="BBZ2" s="116">
        <f>Prop10LegalB</f>
        <v>0</v>
      </c>
      <c r="BCA2" s="116">
        <f>Prop11LegalB</f>
        <v>0</v>
      </c>
      <c r="BCB2" s="116">
        <f>Prop12LegalB</f>
        <v>0</v>
      </c>
      <c r="BCC2" s="116">
        <f>Prop13LegalB</f>
        <v>0</v>
      </c>
      <c r="BCD2" s="116">
        <f>Prop14LegalB</f>
        <v>0</v>
      </c>
      <c r="BCE2" s="116">
        <f>Prop15LegalB</f>
        <v>0</v>
      </c>
      <c r="BCF2" s="116">
        <f>Prop16LegalB</f>
        <v>0</v>
      </c>
      <c r="BCG2" s="116">
        <f>Prop17LegalB</f>
        <v>0</v>
      </c>
      <c r="BCH2" s="116">
        <f>Prop18LegalB</f>
        <v>0</v>
      </c>
      <c r="BCI2" s="116">
        <f>Prop19LegalB</f>
        <v>0</v>
      </c>
      <c r="BCJ2" s="116">
        <f>Prop20LegalB</f>
        <v>0</v>
      </c>
      <c r="BCK2" s="116">
        <f>Prop21LegalB</f>
        <v>0</v>
      </c>
      <c r="BCL2" s="116">
        <f>Prop22LegalB</f>
        <v>0</v>
      </c>
      <c r="BCM2" s="116">
        <f>Prop23LegalB</f>
        <v>0</v>
      </c>
      <c r="BCN2" s="116">
        <f>Prop24LegalB</f>
        <v>0</v>
      </c>
      <c r="BCO2" s="116">
        <f>Prop25LegalB</f>
        <v>0</v>
      </c>
      <c r="BCP2" s="304">
        <f>B1SSN01</f>
        <v>4</v>
      </c>
      <c r="BCQ2" s="304">
        <f>B1SSN02</f>
        <v>5</v>
      </c>
      <c r="BCR2" s="304">
        <f>B1SSN03</f>
        <v>4</v>
      </c>
      <c r="BCS2" s="304">
        <f>B1SSN04</f>
        <v>9</v>
      </c>
      <c r="BCT2" s="304">
        <f>B1SSN05</f>
        <v>9</v>
      </c>
      <c r="BCU2" s="304">
        <f>B1SSN06</f>
        <v>5</v>
      </c>
      <c r="BCV2" s="304">
        <f>B1SSN07</f>
        <v>4</v>
      </c>
      <c r="BCW2" s="304">
        <f>B1SSN08</f>
        <v>4</v>
      </c>
      <c r="BCX2" s="304">
        <f>B1SSN09</f>
        <v>6</v>
      </c>
      <c r="BCY2" s="304">
        <f>B2SSN01</f>
        <v>2</v>
      </c>
      <c r="BCZ2" s="304">
        <f>B2SSN02</f>
        <v>5</v>
      </c>
      <c r="BDA2" s="304">
        <f>B2SSN03</f>
        <v>7</v>
      </c>
      <c r="BDB2" s="304">
        <f>B2SSN04</f>
        <v>6</v>
      </c>
      <c r="BDC2" s="304">
        <f>B2SSN05</f>
        <v>9</v>
      </c>
      <c r="BDD2" s="304">
        <f>B2SSN06</f>
        <v>3</v>
      </c>
      <c r="BDE2" s="304">
        <f>B2SSN07</f>
        <v>6</v>
      </c>
      <c r="BDF2" s="304">
        <f>B2SSN08</f>
        <v>0</v>
      </c>
      <c r="BDG2" s="304">
        <f>B2SSN09</f>
        <v>4</v>
      </c>
      <c r="BDH2" s="304">
        <f>B3SSN01</f>
        <v>0</v>
      </c>
      <c r="BDI2" s="304">
        <f>B3SSN02</f>
        <v>0</v>
      </c>
      <c r="BDJ2" s="304">
        <f>B3SSN03</f>
        <v>0</v>
      </c>
      <c r="BDK2" s="304">
        <f>B3SSN04</f>
        <v>0</v>
      </c>
      <c r="BDL2" s="304">
        <f>B3SSN05</f>
        <v>0</v>
      </c>
      <c r="BDM2" s="304">
        <f>B3SSN06</f>
        <v>0</v>
      </c>
      <c r="BDN2" s="304">
        <f>B3SSN07</f>
        <v>0</v>
      </c>
      <c r="BDO2" s="304">
        <f>B3SSN08</f>
        <v>0</v>
      </c>
      <c r="BDP2" s="304">
        <f>B3SSN09</f>
        <v>0</v>
      </c>
      <c r="BDQ2">
        <f>Notes</f>
        <v>0</v>
      </c>
      <c r="BDR2">
        <f>PI_1</f>
        <v>0</v>
      </c>
      <c r="BDS2">
        <f>PI_2</f>
        <v>0</v>
      </c>
      <c r="BDT2">
        <f>PI_3</f>
        <v>0</v>
      </c>
      <c r="BDU2">
        <f>PI_4</f>
        <v>0</v>
      </c>
      <c r="BDV2">
        <f>PI_5</f>
        <v>0</v>
      </c>
      <c r="BDW2">
        <f>PI_6</f>
        <v>0</v>
      </c>
      <c r="BDX2">
        <f>PI_7</f>
        <v>0</v>
      </c>
      <c r="BDY2">
        <f>PI_8</f>
        <v>0</v>
      </c>
      <c r="BDZ2">
        <f>PI_9</f>
        <v>0</v>
      </c>
      <c r="BEA2">
        <f>PI_10</f>
        <v>0</v>
      </c>
      <c r="BEB2">
        <f>PI_11</f>
        <v>0</v>
      </c>
      <c r="BEC2">
        <f>PI_12</f>
        <v>0</v>
      </c>
      <c r="BED2">
        <f>PI_13</f>
        <v>0</v>
      </c>
      <c r="BEE2">
        <f>PI_14</f>
        <v>0</v>
      </c>
      <c r="BEF2">
        <f>PI_15</f>
        <v>0</v>
      </c>
      <c r="BEG2">
        <f>PI_16</f>
        <v>0</v>
      </c>
      <c r="BEH2">
        <f>PI_17</f>
        <v>0</v>
      </c>
      <c r="BEI2">
        <f>PI_18</f>
        <v>0</v>
      </c>
      <c r="BEJ2">
        <f>PI_19</f>
        <v>0</v>
      </c>
      <c r="BEK2">
        <f>PI_20</f>
        <v>0</v>
      </c>
      <c r="BEL2">
        <f>PI_21</f>
        <v>0</v>
      </c>
      <c r="BEM2">
        <f>PI_22</f>
        <v>0</v>
      </c>
      <c r="BEN2">
        <f>BQ_1</f>
        <v>0</v>
      </c>
      <c r="BEO2">
        <f>BQ_2</f>
        <v>0</v>
      </c>
      <c r="BEP2">
        <f>BQ_3</f>
        <v>0</v>
      </c>
      <c r="BEQ2">
        <f>BQ_4</f>
        <v>0</v>
      </c>
      <c r="BER2">
        <f>BQ_5</f>
        <v>0</v>
      </c>
      <c r="BES2">
        <f>BQ_6</f>
        <v>0</v>
      </c>
      <c r="BET2">
        <f>BQ_7</f>
        <v>0</v>
      </c>
      <c r="BEU2">
        <f>BQ_8</f>
        <v>0</v>
      </c>
      <c r="BEV2">
        <f>BQ_9</f>
        <v>0</v>
      </c>
      <c r="BEW2">
        <f>BQ_10</f>
        <v>0</v>
      </c>
      <c r="BEX2">
        <f>BQ_11</f>
        <v>0</v>
      </c>
      <c r="BEY2">
        <f>BQ_12</f>
        <v>0</v>
      </c>
      <c r="BEZ2">
        <f>BQ_13</f>
        <v>0</v>
      </c>
      <c r="BFA2">
        <f>BQ_14</f>
        <v>0</v>
      </c>
      <c r="BFB2">
        <f>BQ_15</f>
        <v>0</v>
      </c>
      <c r="BFC2">
        <f>BQ_16</f>
        <v>0</v>
      </c>
      <c r="BFD2" t="b">
        <f>CheckBox01</f>
        <v>0</v>
      </c>
      <c r="BFE2" t="b">
        <f>CheckBox02</f>
        <v>0</v>
      </c>
      <c r="BFF2" t="b">
        <f>CheckBox03</f>
        <v>0</v>
      </c>
      <c r="BFG2" t="b">
        <f>CheckBox04</f>
        <v>0</v>
      </c>
      <c r="BFH2">
        <f>MI_1</f>
        <v>0</v>
      </c>
      <c r="BFI2">
        <f>MI_2</f>
        <v>0</v>
      </c>
      <c r="BFJ2">
        <f>MI_3</f>
        <v>0</v>
      </c>
      <c r="BFK2">
        <f>MI_4</f>
        <v>0</v>
      </c>
      <c r="BFL2">
        <f>MI_5</f>
        <v>0</v>
      </c>
      <c r="BFM2">
        <f>MI_6</f>
        <v>0</v>
      </c>
      <c r="BFN2">
        <f>MI_7</f>
        <v>0</v>
      </c>
      <c r="BFO2">
        <f>MI_8</f>
        <v>0</v>
      </c>
      <c r="BFP2">
        <f>MI_9</f>
        <v>0</v>
      </c>
      <c r="BFQ2">
        <f>MI_10</f>
        <v>0</v>
      </c>
      <c r="BFR2">
        <f>MI_11</f>
        <v>0</v>
      </c>
      <c r="BFS2">
        <f>MI_12</f>
        <v>0</v>
      </c>
      <c r="BFT2">
        <f>MI_13</f>
        <v>0</v>
      </c>
      <c r="BFU2">
        <f>MI_14</f>
        <v>0</v>
      </c>
      <c r="BFV2">
        <f>MI_15</f>
        <v>0</v>
      </c>
      <c r="BFW2">
        <f>MI_16</f>
        <v>0</v>
      </c>
      <c r="BFX2">
        <f>MI_17</f>
        <v>0</v>
      </c>
      <c r="BFY2">
        <f>MI_18</f>
        <v>0</v>
      </c>
    </row>
    <row r="3" spans="1:1533" ht="18.75" customHeight="1" x14ac:dyDescent="0.25">
      <c r="HC3" s="116"/>
      <c r="IC3" s="116"/>
      <c r="ID3" s="116"/>
      <c r="IE3" s="116"/>
      <c r="IF3" s="116"/>
      <c r="IG3" s="116"/>
      <c r="IH3" s="116"/>
      <c r="II3" s="116"/>
      <c r="IJ3" s="116"/>
      <c r="IK3" s="116"/>
      <c r="IU3" s="116"/>
      <c r="JY3" s="116"/>
      <c r="JZ3" s="116"/>
      <c r="KA3" s="116"/>
      <c r="KB3" s="116"/>
      <c r="KC3" s="116"/>
      <c r="KD3" s="116"/>
      <c r="KE3" s="116"/>
      <c r="KF3" s="116"/>
      <c r="KG3" s="116"/>
      <c r="KQ3" s="116"/>
      <c r="LU3" s="116"/>
      <c r="LV3" s="116"/>
      <c r="LW3" s="116"/>
      <c r="LX3" s="116"/>
      <c r="LY3" s="116"/>
      <c r="LZ3" s="116"/>
      <c r="MA3" s="116"/>
      <c r="MB3" s="116"/>
      <c r="MC3" s="116"/>
      <c r="MM3" s="116"/>
      <c r="NQ3" s="116"/>
      <c r="NR3" s="116"/>
      <c r="NS3" s="116"/>
      <c r="NT3" s="116"/>
      <c r="NU3" s="116"/>
      <c r="NV3" s="116"/>
      <c r="NW3" s="116"/>
      <c r="NX3" s="116"/>
      <c r="NY3" s="116"/>
      <c r="OI3" s="116"/>
      <c r="QE3" s="116"/>
      <c r="RI3" s="116"/>
      <c r="RJ3" s="116"/>
      <c r="RK3" s="116"/>
      <c r="RL3" s="116"/>
      <c r="RM3" s="116"/>
      <c r="RN3" s="116"/>
      <c r="RO3" s="116"/>
      <c r="RP3" s="116"/>
      <c r="RQ3" s="116"/>
      <c r="SA3" s="116"/>
      <c r="TE3" s="116"/>
      <c r="TF3" s="116"/>
      <c r="TG3" s="116"/>
      <c r="TH3" s="116"/>
      <c r="TI3" s="116"/>
      <c r="TJ3" s="116"/>
      <c r="TK3" s="116"/>
      <c r="TL3" s="116"/>
      <c r="TM3" s="116"/>
      <c r="TW3" s="116"/>
      <c r="VA3" s="116"/>
      <c r="VB3" s="116"/>
      <c r="VC3" s="116"/>
      <c r="VD3" s="116"/>
      <c r="VE3" s="116"/>
      <c r="VF3" s="116"/>
      <c r="VG3" s="116"/>
      <c r="VH3" s="116"/>
      <c r="VI3" s="116"/>
      <c r="VS3" s="116"/>
      <c r="WW3" s="116"/>
      <c r="WX3" s="116"/>
      <c r="WY3" s="116"/>
      <c r="WZ3" s="116"/>
      <c r="XA3" s="116"/>
      <c r="XB3" s="116"/>
      <c r="XC3" s="116"/>
      <c r="XD3" s="116"/>
      <c r="XE3" s="116"/>
      <c r="XO3" s="116"/>
      <c r="ZK3" s="116"/>
      <c r="AAO3" s="116"/>
      <c r="AAP3" s="116"/>
      <c r="AAQ3" s="116"/>
      <c r="AAR3" s="116"/>
      <c r="AAS3" s="116"/>
      <c r="AAT3" s="116"/>
      <c r="AAU3" s="116"/>
      <c r="AAV3" s="116"/>
      <c r="AAW3" s="116"/>
      <c r="ABG3" s="116"/>
      <c r="ACK3" s="116"/>
      <c r="ACL3" s="116"/>
      <c r="ACM3" s="116"/>
      <c r="ACN3" s="116"/>
      <c r="ACO3" s="116"/>
      <c r="ACP3" s="116"/>
      <c r="ACQ3" s="116"/>
      <c r="ACR3" s="116"/>
      <c r="ACS3" s="116"/>
      <c r="ADC3" s="116"/>
      <c r="AEG3" s="116"/>
      <c r="AEH3" s="116"/>
      <c r="AEI3" s="116"/>
      <c r="AEJ3" s="116"/>
      <c r="AEK3" s="116"/>
      <c r="AEL3" s="116"/>
      <c r="AEM3" s="116"/>
      <c r="AEN3" s="116"/>
      <c r="AEO3" s="116"/>
      <c r="AEY3" s="116"/>
      <c r="AGC3" s="116"/>
      <c r="AGD3" s="116"/>
      <c r="AGE3" s="116"/>
      <c r="AGF3" s="116"/>
      <c r="AGG3" s="116"/>
      <c r="AGH3" s="116"/>
      <c r="AGI3" s="116"/>
      <c r="AGJ3" s="116"/>
      <c r="AGK3" s="116"/>
      <c r="AGU3" s="116"/>
      <c r="ALQ3" s="116"/>
      <c r="ALR3" s="116"/>
      <c r="ALS3" s="116"/>
      <c r="ALT3" s="116"/>
      <c r="ALU3" s="116"/>
      <c r="ALV3" s="116"/>
      <c r="ALW3" s="116"/>
      <c r="ALX3" s="116"/>
      <c r="ALY3" s="116"/>
      <c r="AMI3" s="116"/>
      <c r="ANM3" s="116"/>
      <c r="ANN3" s="116"/>
      <c r="ANO3" s="116"/>
      <c r="ANP3" s="116"/>
      <c r="ANQ3" s="116"/>
      <c r="ANR3" s="116"/>
      <c r="ANS3" s="116"/>
      <c r="ANT3" s="116"/>
      <c r="ANU3" s="116"/>
      <c r="AOE3" s="116"/>
      <c r="API3" s="116"/>
      <c r="APJ3" s="116"/>
      <c r="APK3" s="116"/>
      <c r="APL3" s="116"/>
      <c r="APM3" s="116"/>
      <c r="APN3" s="116"/>
      <c r="APO3" s="116"/>
      <c r="APP3" s="116"/>
      <c r="APQ3" s="116"/>
      <c r="AQA3" s="116"/>
      <c r="ARW3" s="116"/>
      <c r="ATA3" s="116"/>
      <c r="ATB3" s="116"/>
      <c r="ATC3" s="116"/>
      <c r="ATD3" s="116"/>
      <c r="ATE3" s="116"/>
      <c r="ATF3" s="116"/>
      <c r="ATG3" s="116"/>
      <c r="ATH3" s="116"/>
      <c r="ATI3" s="116"/>
      <c r="ATS3" s="116"/>
      <c r="AUW3" s="116"/>
      <c r="AUX3" s="116"/>
      <c r="AUY3" s="116"/>
      <c r="AUZ3" s="116"/>
      <c r="AVA3" s="116"/>
      <c r="AVB3" s="116"/>
      <c r="AVC3" s="116"/>
      <c r="AVD3" s="116"/>
      <c r="AVE3" s="116"/>
      <c r="AVO3" s="116"/>
      <c r="AWS3" s="116"/>
      <c r="AWT3" s="116"/>
      <c r="AWU3" s="116"/>
      <c r="AWV3" s="116"/>
      <c r="AWW3" s="116"/>
      <c r="AWX3" s="116"/>
      <c r="AWY3" s="116"/>
      <c r="AWZ3" s="116"/>
      <c r="AXA3" s="116"/>
      <c r="AXK3" s="116"/>
      <c r="AYO3" s="116"/>
      <c r="AYP3" s="116"/>
      <c r="AYQ3" s="116"/>
      <c r="AYR3" s="116"/>
      <c r="AYS3" s="116"/>
      <c r="AYT3" s="116"/>
      <c r="AYU3" s="116"/>
      <c r="AYV3" s="116"/>
      <c r="AYW3" s="116"/>
      <c r="AZG3" s="116"/>
    </row>
    <row r="4" spans="1:1533" x14ac:dyDescent="0.25">
      <c r="C4" s="120"/>
      <c r="D4" s="120"/>
      <c r="X4" s="120"/>
      <c r="Y4" s="58"/>
      <c r="Z4" s="120"/>
      <c r="AA4" s="120"/>
      <c r="AB4" s="120"/>
      <c r="AD4" s="120"/>
      <c r="AE4" s="120"/>
      <c r="AF4" s="58"/>
      <c r="AG4" s="120"/>
      <c r="AH4" s="119"/>
      <c r="AK4" s="114"/>
      <c r="AL4" s="120"/>
      <c r="AM4" s="120"/>
      <c r="AN4" s="58"/>
      <c r="AO4" s="114"/>
      <c r="AP4" s="120"/>
      <c r="AQ4" s="120"/>
      <c r="AR4" s="120"/>
      <c r="AS4" s="120"/>
      <c r="AT4" s="120"/>
      <c r="AX4" s="120"/>
      <c r="AZ4" s="58"/>
      <c r="BA4" s="120"/>
      <c r="BE4" s="120"/>
      <c r="BF4" s="120"/>
      <c r="BG4" s="58"/>
      <c r="BI4" s="120"/>
      <c r="BJ4" s="120"/>
      <c r="BK4" s="58"/>
      <c r="BT4" s="58"/>
      <c r="CK4" s="118"/>
      <c r="CL4" s="118"/>
      <c r="CM4" s="118"/>
      <c r="CX4" s="58"/>
      <c r="DK4" s="118"/>
      <c r="DL4" s="118"/>
      <c r="DM4" s="118"/>
      <c r="DX4" s="58"/>
      <c r="EK4" s="118"/>
      <c r="EL4" s="118"/>
      <c r="EM4" s="118"/>
      <c r="EP4" s="119"/>
      <c r="FM4" s="119"/>
      <c r="FN4" s="119"/>
      <c r="FO4" s="119"/>
      <c r="FP4" s="119"/>
      <c r="FQ4" s="119"/>
      <c r="FR4" s="119"/>
      <c r="FS4" s="119"/>
      <c r="FT4" s="119"/>
      <c r="FU4" s="119"/>
      <c r="FV4" s="119"/>
      <c r="FW4" s="119"/>
      <c r="FX4" s="119"/>
      <c r="FY4" s="119"/>
      <c r="FZ4" s="119"/>
      <c r="GA4" s="119"/>
      <c r="GB4" s="119"/>
      <c r="GC4" s="119"/>
      <c r="GD4" s="119"/>
      <c r="GE4" s="119"/>
      <c r="GF4" s="119"/>
      <c r="GM4" s="58"/>
      <c r="GP4" s="128"/>
      <c r="GQ4" s="128"/>
      <c r="GR4" s="128"/>
      <c r="GS4" s="128"/>
      <c r="GU4" s="119"/>
      <c r="GV4" s="119"/>
      <c r="GW4" s="119"/>
      <c r="GX4" s="119"/>
      <c r="HC4" s="120"/>
      <c r="HD4" s="119"/>
      <c r="HI4" s="119"/>
      <c r="IL4" s="128"/>
      <c r="IM4" s="128"/>
      <c r="IN4" s="128"/>
      <c r="IO4" s="128"/>
      <c r="IQ4" s="119"/>
      <c r="IR4" s="119"/>
      <c r="IS4" s="119"/>
      <c r="IT4" s="119"/>
      <c r="IU4" s="119"/>
      <c r="JA4" s="119"/>
      <c r="KH4" s="128"/>
      <c r="KI4" s="128"/>
      <c r="KJ4" s="128"/>
      <c r="KK4" s="128"/>
      <c r="KM4" s="119"/>
      <c r="KN4" s="119"/>
      <c r="KO4" s="119"/>
      <c r="KP4" s="119"/>
      <c r="KQ4" s="121"/>
      <c r="KS4" s="119"/>
      <c r="KW4" s="119"/>
      <c r="MD4" s="128"/>
      <c r="ME4" s="128"/>
      <c r="MF4" s="128"/>
      <c r="MG4" s="128"/>
      <c r="MI4" s="119"/>
      <c r="MJ4" s="119"/>
      <c r="MK4" s="119"/>
      <c r="ML4" s="119"/>
      <c r="MM4" s="121"/>
      <c r="MN4" s="119"/>
      <c r="MS4" s="119"/>
      <c r="NQ4" s="116"/>
      <c r="NR4" s="116"/>
      <c r="NS4" s="116"/>
      <c r="NT4" s="116"/>
      <c r="NU4" s="116"/>
      <c r="NV4" s="116"/>
      <c r="NW4" s="116"/>
      <c r="NX4" s="116"/>
      <c r="NY4" s="116"/>
      <c r="NZ4" s="128"/>
      <c r="OA4" s="128"/>
      <c r="OB4" s="128"/>
      <c r="OC4" s="128"/>
      <c r="OE4" s="119"/>
      <c r="OF4" s="119"/>
      <c r="OG4" s="119"/>
      <c r="OH4" s="119"/>
      <c r="OI4" s="121"/>
      <c r="OJ4" s="119"/>
      <c r="OO4" s="119"/>
      <c r="PV4" s="128"/>
      <c r="PW4" s="128"/>
      <c r="PX4" s="128"/>
      <c r="PY4" s="128"/>
      <c r="QA4" s="119"/>
      <c r="QB4" s="119"/>
      <c r="QC4" s="119"/>
      <c r="QD4" s="119"/>
      <c r="QE4" s="121"/>
      <c r="QF4" s="119"/>
      <c r="QK4" s="119"/>
      <c r="RI4" s="116"/>
      <c r="RJ4" s="116"/>
      <c r="RK4" s="116"/>
      <c r="RL4" s="116"/>
      <c r="RM4" s="116"/>
      <c r="RN4" s="116"/>
      <c r="RO4" s="116"/>
      <c r="RP4" s="116"/>
      <c r="RQ4" s="116"/>
      <c r="RR4" s="128"/>
      <c r="RS4" s="128"/>
      <c r="RT4" s="128"/>
      <c r="RU4" s="128"/>
      <c r="RW4" s="119"/>
      <c r="RX4" s="119"/>
      <c r="RY4" s="119"/>
      <c r="RZ4" s="119"/>
      <c r="SA4" s="121"/>
      <c r="SB4" s="119"/>
      <c r="SG4" s="119"/>
      <c r="TE4" s="116"/>
      <c r="TF4" s="116"/>
      <c r="TG4" s="116"/>
      <c r="TH4" s="116"/>
      <c r="TI4" s="116"/>
      <c r="TJ4" s="116"/>
      <c r="TK4" s="116"/>
      <c r="TL4" s="116"/>
      <c r="TM4" s="116"/>
      <c r="TN4" s="128"/>
      <c r="TO4" s="128"/>
      <c r="TP4" s="128"/>
      <c r="TQ4" s="128"/>
      <c r="TS4" s="119"/>
      <c r="TT4" s="119"/>
      <c r="TU4" s="119"/>
      <c r="TV4" s="119"/>
      <c r="TW4" s="121"/>
      <c r="TX4" s="119"/>
      <c r="UC4" s="119"/>
      <c r="VA4" s="116"/>
      <c r="VB4" s="116"/>
      <c r="VC4" s="116"/>
      <c r="VD4" s="116"/>
      <c r="VE4" s="116"/>
      <c r="VF4" s="116"/>
      <c r="VG4" s="116"/>
      <c r="VH4" s="116"/>
      <c r="VI4" s="116"/>
      <c r="VJ4" s="128"/>
      <c r="VK4" s="128"/>
      <c r="VL4" s="128"/>
      <c r="VM4" s="128"/>
      <c r="VO4" s="119"/>
      <c r="VP4" s="119"/>
      <c r="VQ4" s="119"/>
      <c r="VR4" s="119"/>
      <c r="VS4" s="121"/>
      <c r="VT4" s="119"/>
      <c r="VU4" s="119"/>
      <c r="VY4" s="119"/>
      <c r="WW4" s="116"/>
      <c r="WX4" s="116"/>
      <c r="WY4" s="116"/>
      <c r="WZ4" s="116"/>
      <c r="XA4" s="116"/>
      <c r="XB4" s="116"/>
      <c r="XC4" s="116"/>
      <c r="XD4" s="116"/>
      <c r="XE4" s="116"/>
      <c r="XF4" s="128"/>
      <c r="XG4" s="128"/>
      <c r="XH4" s="128"/>
      <c r="XI4" s="128"/>
      <c r="XK4" s="119"/>
      <c r="XL4" s="119"/>
      <c r="XM4" s="119"/>
      <c r="XN4" s="119"/>
      <c r="XO4" s="121"/>
      <c r="XP4" s="119"/>
      <c r="XQ4" s="119"/>
      <c r="XU4" s="119"/>
      <c r="ZB4" s="128"/>
      <c r="ZC4" s="128"/>
      <c r="ZD4" s="128"/>
      <c r="ZE4" s="128"/>
      <c r="ZG4" s="119"/>
      <c r="ZH4" s="119"/>
      <c r="ZI4" s="119"/>
      <c r="ZJ4" s="119"/>
      <c r="ZK4" s="121"/>
      <c r="ZL4" s="119"/>
      <c r="ZM4" s="119"/>
      <c r="ZQ4" s="119"/>
      <c r="AAO4" s="116"/>
      <c r="AAP4" s="116"/>
      <c r="AAQ4" s="116"/>
      <c r="AAR4" s="116"/>
      <c r="AAS4" s="116"/>
      <c r="AAT4" s="116"/>
      <c r="AAU4" s="116"/>
      <c r="AAV4" s="116"/>
      <c r="AAW4" s="116"/>
      <c r="AAX4" s="128"/>
      <c r="AAY4" s="128"/>
      <c r="AAZ4" s="128"/>
      <c r="ABA4" s="128"/>
      <c r="ABC4" s="119"/>
      <c r="ABD4" s="119"/>
      <c r="ABE4" s="119"/>
      <c r="ABF4" s="119"/>
      <c r="ABG4" s="121"/>
      <c r="ABH4" s="119"/>
      <c r="ABI4" s="119"/>
      <c r="ABM4" s="119"/>
      <c r="ACK4" s="116"/>
      <c r="ACL4" s="116"/>
      <c r="ACM4" s="116"/>
      <c r="ACN4" s="116"/>
      <c r="ACO4" s="116"/>
      <c r="ACP4" s="116"/>
      <c r="ACQ4" s="116"/>
      <c r="ACR4" s="116"/>
      <c r="ACS4" s="116"/>
      <c r="ACT4" s="128"/>
      <c r="ACU4" s="128"/>
      <c r="ACV4" s="128"/>
      <c r="ACW4" s="128"/>
      <c r="ACY4" s="119"/>
      <c r="ACZ4" s="119"/>
      <c r="ADA4" s="119"/>
      <c r="ADB4" s="119"/>
      <c r="ADC4" s="121"/>
      <c r="ADD4" s="119"/>
      <c r="ADE4" s="119"/>
      <c r="ADI4" s="119"/>
      <c r="AEG4" s="116"/>
      <c r="AEH4" s="116"/>
      <c r="AEI4" s="116"/>
      <c r="AEJ4" s="116"/>
      <c r="AEK4" s="116"/>
      <c r="AEL4" s="116"/>
      <c r="AEM4" s="116"/>
      <c r="AEN4" s="116"/>
      <c r="AEO4" s="116"/>
      <c r="AEP4" s="128"/>
      <c r="AEQ4" s="128"/>
      <c r="AER4" s="128"/>
      <c r="AES4" s="128"/>
      <c r="AEU4" s="119"/>
      <c r="AEV4" s="119"/>
      <c r="AEW4" s="119"/>
      <c r="AEX4" s="119"/>
      <c r="AEY4" s="121"/>
      <c r="AEZ4" s="119"/>
      <c r="AFA4" s="119"/>
      <c r="AFE4" s="119"/>
      <c r="AGC4" s="116"/>
      <c r="AGD4" s="116"/>
      <c r="AGE4" s="116"/>
      <c r="AGF4" s="116"/>
      <c r="AGG4" s="116"/>
      <c r="AGH4" s="116"/>
      <c r="AGI4" s="116"/>
      <c r="AGJ4" s="116"/>
      <c r="AGK4" s="116"/>
      <c r="AGL4" s="128"/>
      <c r="AGM4" s="128"/>
      <c r="AGN4" s="128"/>
      <c r="AGO4" s="128"/>
      <c r="AGQ4" s="119"/>
      <c r="AGR4" s="119"/>
      <c r="AGS4" s="119"/>
      <c r="AGT4" s="119"/>
      <c r="AGU4" s="121"/>
      <c r="AGV4" s="119"/>
      <c r="AGW4" s="119"/>
      <c r="AHA4" s="119"/>
      <c r="AHZ4" s="120"/>
      <c r="AIA4" s="120"/>
      <c r="AIB4" s="120"/>
      <c r="AIC4" s="120"/>
      <c r="AID4" s="120"/>
      <c r="AIE4" s="120"/>
      <c r="AIF4" s="116"/>
      <c r="AIG4" s="116"/>
      <c r="AIH4" s="116"/>
      <c r="AII4" s="116"/>
      <c r="AIJ4" s="116"/>
      <c r="AIK4" s="116"/>
      <c r="AIL4" s="116"/>
      <c r="AIM4" s="116"/>
      <c r="AIN4" s="116"/>
      <c r="AIO4" s="116"/>
      <c r="AIP4" s="116"/>
      <c r="AIQ4" s="116"/>
      <c r="AIR4" s="116"/>
      <c r="AIS4" s="116"/>
      <c r="AIT4" s="116"/>
      <c r="AIU4" s="116"/>
      <c r="AIV4" s="116"/>
      <c r="AIW4" s="116"/>
      <c r="AIX4" s="116"/>
      <c r="AIY4" s="116"/>
      <c r="AIZ4" s="116"/>
      <c r="AJA4" s="116"/>
      <c r="AJB4" s="116"/>
      <c r="AJC4" s="116"/>
      <c r="AJD4" s="116"/>
      <c r="AJE4" s="116"/>
      <c r="AJF4" s="116"/>
      <c r="AJG4" s="116"/>
      <c r="AJH4" s="116"/>
      <c r="AJI4" s="116"/>
      <c r="AJJ4" s="116"/>
      <c r="AJK4" s="116"/>
      <c r="AJL4" s="116"/>
      <c r="AJM4" s="116"/>
      <c r="AJN4" s="116"/>
      <c r="AJO4" s="116"/>
      <c r="AJP4" s="116"/>
      <c r="AJQ4" s="116"/>
      <c r="AJR4" s="116"/>
      <c r="AJS4" s="116"/>
      <c r="AJT4" s="116"/>
      <c r="AJU4" s="116"/>
      <c r="AJV4" s="116"/>
      <c r="AJW4" s="116"/>
      <c r="AJX4" s="116"/>
      <c r="AJY4" s="116"/>
      <c r="AJZ4" s="116"/>
      <c r="AKA4" s="116"/>
      <c r="AKB4" s="116"/>
      <c r="AKC4" s="116"/>
      <c r="AKD4" s="304"/>
      <c r="AKE4" s="304"/>
      <c r="AKF4" s="304"/>
      <c r="AKG4" s="304"/>
      <c r="AKH4" s="304"/>
      <c r="AKI4" s="304"/>
      <c r="AKJ4" s="304"/>
      <c r="AKK4" s="304"/>
      <c r="AKL4" s="304"/>
      <c r="AKM4" s="304"/>
      <c r="AKN4" s="304"/>
      <c r="AKO4" s="304"/>
      <c r="AKP4" s="304"/>
      <c r="AKQ4" s="304"/>
      <c r="AKR4" s="304"/>
      <c r="AKS4" s="304"/>
      <c r="AKT4" s="304"/>
      <c r="AKU4" s="304"/>
      <c r="AKV4" s="304"/>
      <c r="AKW4" s="304"/>
      <c r="AKX4" s="304"/>
      <c r="AKY4" s="304"/>
      <c r="AKZ4" s="304"/>
      <c r="ALA4" s="304"/>
      <c r="ALB4" s="304"/>
      <c r="ALC4" s="304"/>
      <c r="ALD4" s="304"/>
      <c r="ALQ4" s="116"/>
      <c r="ALR4" s="116"/>
      <c r="ALS4" s="116"/>
      <c r="ALT4" s="116"/>
      <c r="ALU4" s="116"/>
      <c r="ALV4" s="116"/>
      <c r="ALW4" s="116"/>
      <c r="ALX4" s="116"/>
      <c r="ALY4" s="116"/>
      <c r="ALZ4" s="128"/>
      <c r="AMA4" s="128"/>
      <c r="AMB4" s="128"/>
      <c r="AMC4" s="128"/>
      <c r="AME4" s="119"/>
      <c r="AMF4" s="119"/>
      <c r="AMG4" s="119"/>
      <c r="AMH4" s="119"/>
      <c r="AMI4" s="121"/>
      <c r="AMJ4" s="119"/>
      <c r="AMK4" s="119"/>
      <c r="AMO4" s="119"/>
      <c r="ANM4" s="116"/>
      <c r="ANN4" s="116"/>
      <c r="ANO4" s="116"/>
      <c r="ANP4" s="116"/>
      <c r="ANQ4" s="116"/>
      <c r="ANR4" s="116"/>
      <c r="ANS4" s="116"/>
      <c r="ANT4" s="116"/>
      <c r="ANU4" s="116"/>
      <c r="ANV4" s="128"/>
      <c r="ANW4" s="128"/>
      <c r="ANX4" s="128"/>
      <c r="ANY4" s="128"/>
      <c r="AOA4" s="119"/>
      <c r="AOB4" s="119"/>
      <c r="AOC4" s="119"/>
      <c r="AOD4" s="119"/>
      <c r="AOE4" s="121"/>
      <c r="AOF4" s="119"/>
      <c r="AOG4" s="119"/>
      <c r="AOK4" s="119"/>
      <c r="API4" s="116"/>
      <c r="APJ4" s="116"/>
      <c r="APK4" s="116"/>
      <c r="APL4" s="116"/>
      <c r="APM4" s="116"/>
      <c r="APN4" s="116"/>
      <c r="APO4" s="116"/>
      <c r="APP4" s="116"/>
      <c r="APQ4" s="116"/>
      <c r="APR4" s="128"/>
      <c r="APS4" s="128"/>
      <c r="APT4" s="128"/>
      <c r="APU4" s="128"/>
      <c r="APW4" s="119"/>
      <c r="APX4" s="119"/>
      <c r="APY4" s="119"/>
      <c r="APZ4" s="119"/>
      <c r="AQA4" s="121"/>
      <c r="AQB4" s="119"/>
      <c r="AQC4" s="119"/>
      <c r="AQG4" s="119"/>
      <c r="ARN4" s="128"/>
      <c r="ARO4" s="128"/>
      <c r="ARP4" s="128"/>
      <c r="ARQ4" s="128"/>
      <c r="ARS4" s="119"/>
      <c r="ART4" s="119"/>
      <c r="ARU4" s="119"/>
      <c r="ARV4" s="119"/>
      <c r="ARW4" s="121"/>
      <c r="ARX4" s="119"/>
      <c r="ARY4" s="119"/>
      <c r="ASC4" s="119"/>
      <c r="ATA4" s="116"/>
      <c r="ATB4" s="116"/>
      <c r="ATC4" s="116"/>
      <c r="ATD4" s="116"/>
      <c r="ATE4" s="116"/>
      <c r="ATF4" s="116"/>
      <c r="ATG4" s="116"/>
      <c r="ATH4" s="116"/>
      <c r="ATI4" s="116"/>
      <c r="ATJ4" s="128"/>
      <c r="ATK4" s="128"/>
      <c r="ATL4" s="128"/>
      <c r="ATM4" s="128"/>
      <c r="ATO4" s="119"/>
      <c r="ATP4" s="119"/>
      <c r="ATQ4" s="119"/>
      <c r="ATR4" s="119"/>
      <c r="ATS4" s="121"/>
      <c r="ATT4" s="119"/>
      <c r="ATU4" s="119"/>
      <c r="ATY4" s="119"/>
      <c r="AUW4" s="116"/>
      <c r="AUX4" s="116"/>
      <c r="AUY4" s="116"/>
      <c r="AUZ4" s="116"/>
      <c r="AVA4" s="116"/>
      <c r="AVB4" s="116"/>
      <c r="AVC4" s="116"/>
      <c r="AVD4" s="116"/>
      <c r="AVE4" s="116"/>
      <c r="AVF4" s="128"/>
      <c r="AVG4" s="128"/>
      <c r="AVH4" s="128"/>
      <c r="AVI4" s="128"/>
      <c r="AVK4" s="119"/>
      <c r="AVL4" s="119"/>
      <c r="AVM4" s="119"/>
      <c r="AVN4" s="119"/>
      <c r="AVO4" s="121"/>
      <c r="AVP4" s="119"/>
      <c r="AVQ4" s="119"/>
      <c r="AVU4" s="119"/>
      <c r="AWS4" s="116"/>
      <c r="AWT4" s="116"/>
      <c r="AWU4" s="116"/>
      <c r="AWV4" s="116"/>
      <c r="AWW4" s="116"/>
      <c r="AWX4" s="116"/>
      <c r="AWY4" s="116"/>
      <c r="AWZ4" s="116"/>
      <c r="AXA4" s="116"/>
      <c r="AXB4" s="128"/>
      <c r="AXC4" s="128"/>
      <c r="AXD4" s="128"/>
      <c r="AXE4" s="128"/>
      <c r="AXG4" s="119"/>
      <c r="AXH4" s="119"/>
      <c r="AXI4" s="119"/>
      <c r="AXJ4" s="119"/>
      <c r="AXK4" s="121"/>
      <c r="AXL4" s="119"/>
      <c r="AXM4" s="119"/>
      <c r="AXQ4" s="119"/>
      <c r="AYO4" s="116"/>
      <c r="AYP4" s="116"/>
      <c r="AYQ4" s="116"/>
      <c r="AYR4" s="116"/>
      <c r="AYS4" s="116"/>
      <c r="AYT4" s="116"/>
      <c r="AYU4" s="116"/>
      <c r="AYV4" s="116"/>
      <c r="AYW4" s="116"/>
      <c r="AYX4" s="128"/>
      <c r="AYY4" s="128"/>
      <c r="AYZ4" s="128"/>
      <c r="AZA4" s="128"/>
      <c r="AZC4" s="119"/>
      <c r="AZD4" s="119"/>
      <c r="AZE4" s="119"/>
      <c r="AZF4" s="119"/>
      <c r="AZG4" s="121"/>
      <c r="AZH4" s="119"/>
      <c r="AZI4" s="119"/>
      <c r="AZM4" s="119"/>
      <c r="BAL4" s="120"/>
      <c r="BAM4" s="120"/>
      <c r="BAN4" s="120"/>
      <c r="BAO4" s="120"/>
      <c r="BAP4" s="120"/>
      <c r="BAQ4" s="120"/>
      <c r="BAR4" s="116"/>
      <c r="BAS4" s="116"/>
      <c r="BAT4" s="116"/>
      <c r="BAU4" s="116"/>
      <c r="BAV4" s="116"/>
      <c r="BAW4" s="116"/>
      <c r="BAX4" s="116"/>
      <c r="BAY4" s="116"/>
      <c r="BAZ4" s="116"/>
      <c r="BBA4" s="116"/>
      <c r="BBB4" s="116"/>
      <c r="BBC4" s="116"/>
      <c r="BBD4" s="116"/>
      <c r="BBE4" s="116"/>
      <c r="BBF4" s="116"/>
      <c r="BBG4" s="116"/>
      <c r="BBH4" s="116"/>
      <c r="BBI4" s="116"/>
      <c r="BBJ4" s="116"/>
      <c r="BBK4" s="116"/>
      <c r="BBL4" s="116"/>
      <c r="BBM4" s="116"/>
      <c r="BBN4" s="116"/>
      <c r="BBO4" s="116"/>
      <c r="BBP4" s="116"/>
      <c r="BBQ4" s="116"/>
      <c r="BBR4" s="116"/>
      <c r="BBS4" s="116"/>
      <c r="BBT4" s="116"/>
      <c r="BBU4" s="116"/>
      <c r="BBV4" s="116"/>
      <c r="BBW4" s="116"/>
      <c r="BBX4" s="116"/>
      <c r="BBY4" s="116"/>
      <c r="BBZ4" s="116"/>
      <c r="BCA4" s="116"/>
      <c r="BCB4" s="116"/>
      <c r="BCC4" s="116"/>
      <c r="BCD4" s="116"/>
      <c r="BCE4" s="116"/>
      <c r="BCF4" s="116"/>
      <c r="BCG4" s="116"/>
      <c r="BCH4" s="116"/>
      <c r="BCI4" s="116"/>
      <c r="BCJ4" s="116"/>
      <c r="BCK4" s="116"/>
      <c r="BCL4" s="116"/>
      <c r="BCM4" s="116"/>
      <c r="BCN4" s="116"/>
      <c r="BCO4" s="116"/>
    </row>
    <row r="5" spans="1:1533" x14ac:dyDescent="0.25">
      <c r="A5" s="633" t="s">
        <v>1878</v>
      </c>
      <c r="B5" s="633"/>
      <c r="C5" s="633">
        <f>COUNTA(2:2)</f>
        <v>1533</v>
      </c>
      <c r="D5" s="633"/>
      <c r="E5" s="115"/>
    </row>
    <row r="6" spans="1:1533" x14ac:dyDescent="0.25">
      <c r="A6" s="633" t="s">
        <v>328</v>
      </c>
      <c r="B6" s="633"/>
      <c r="C6" s="633">
        <f>LoanNumber</f>
        <v>0</v>
      </c>
      <c r="D6" s="633"/>
    </row>
    <row r="7" spans="1:1533" x14ac:dyDescent="0.25">
      <c r="A7" s="633" t="s">
        <v>2036</v>
      </c>
      <c r="B7" s="633"/>
      <c r="C7" s="633" t="s">
        <v>3432</v>
      </c>
      <c r="D7" s="633"/>
    </row>
    <row r="9" spans="1:1533" x14ac:dyDescent="0.25">
      <c r="A9" t="s">
        <v>1614</v>
      </c>
    </row>
    <row r="10" spans="1:1533" x14ac:dyDescent="0.25">
      <c r="A10" t="s">
        <v>3424</v>
      </c>
      <c r="B10" t="s">
        <v>3432</v>
      </c>
      <c r="C10">
        <v>130</v>
      </c>
      <c r="D10">
        <v>45</v>
      </c>
      <c r="E10">
        <v>0</v>
      </c>
      <c r="F10">
        <v>0</v>
      </c>
      <c r="G10">
        <v>0</v>
      </c>
      <c r="H10" t="s">
        <v>2403</v>
      </c>
      <c r="I10" t="s">
        <v>2403</v>
      </c>
      <c r="J10" t="s">
        <v>2403</v>
      </c>
      <c r="K10" t="s">
        <v>2403</v>
      </c>
      <c r="L10" t="s">
        <v>2403</v>
      </c>
      <c r="M10" t="s">
        <v>1883</v>
      </c>
      <c r="N10" t="s">
        <v>2403</v>
      </c>
      <c r="O10" t="s">
        <v>1883</v>
      </c>
      <c r="P10" t="s">
        <v>1883</v>
      </c>
      <c r="Q10" t="s">
        <v>2403</v>
      </c>
      <c r="R10" t="s">
        <v>1883</v>
      </c>
      <c r="S10" t="s">
        <v>2403</v>
      </c>
      <c r="T10" t="s">
        <v>2404</v>
      </c>
      <c r="U10" t="s">
        <v>2424</v>
      </c>
      <c r="V10" t="s">
        <v>3207</v>
      </c>
      <c r="W10" t="s">
        <v>309</v>
      </c>
      <c r="X10">
        <v>900</v>
      </c>
      <c r="Y10">
        <v>43673</v>
      </c>
      <c r="Z10">
        <v>0</v>
      </c>
      <c r="AA10">
        <v>0</v>
      </c>
      <c r="AB10">
        <v>0</v>
      </c>
      <c r="AC10" t="s">
        <v>272</v>
      </c>
      <c r="AD10">
        <v>25</v>
      </c>
      <c r="AE10">
        <v>0</v>
      </c>
      <c r="AF10">
        <v>43701</v>
      </c>
      <c r="AG10">
        <v>45</v>
      </c>
      <c r="AH10">
        <v>0</v>
      </c>
      <c r="AI10">
        <v>0</v>
      </c>
      <c r="AJ10" t="s">
        <v>271</v>
      </c>
      <c r="AK10">
        <v>0.159</v>
      </c>
      <c r="AL10">
        <v>0</v>
      </c>
      <c r="AM10">
        <v>50</v>
      </c>
      <c r="AN10">
        <v>47323</v>
      </c>
      <c r="AO10" s="114">
        <v>0.17417214211855914</v>
      </c>
      <c r="AP10">
        <v>13178.59</v>
      </c>
      <c r="AQ10">
        <v>14727.030000000053</v>
      </c>
      <c r="AR10">
        <v>27905.620000000054</v>
      </c>
      <c r="AS10">
        <v>232.56</v>
      </c>
      <c r="AT10">
        <v>230.98</v>
      </c>
      <c r="AU10" t="s">
        <v>1910</v>
      </c>
      <c r="AV10" t="s">
        <v>2119</v>
      </c>
      <c r="AW10" t="s">
        <v>2738</v>
      </c>
      <c r="AX10">
        <v>19</v>
      </c>
      <c r="AY10">
        <v>0</v>
      </c>
      <c r="AZ10">
        <v>43665</v>
      </c>
      <c r="BA10">
        <v>100</v>
      </c>
      <c r="BB10">
        <v>2</v>
      </c>
      <c r="BC10">
        <v>1</v>
      </c>
      <c r="BD10" t="s">
        <v>415</v>
      </c>
      <c r="BE10">
        <v>436</v>
      </c>
      <c r="BF10">
        <v>72</v>
      </c>
      <c r="BG10" s="367">
        <v>43670</v>
      </c>
      <c r="BH10">
        <v>120</v>
      </c>
      <c r="BI10">
        <v>0</v>
      </c>
      <c r="BJ10">
        <v>50</v>
      </c>
      <c r="BK10">
        <v>43647</v>
      </c>
      <c r="BL10">
        <v>0</v>
      </c>
      <c r="BM10">
        <v>0</v>
      </c>
      <c r="BN10">
        <v>0</v>
      </c>
      <c r="BO10" t="s">
        <v>3425</v>
      </c>
      <c r="BP10" t="s">
        <v>2403</v>
      </c>
      <c r="BQ10" t="s">
        <v>2403</v>
      </c>
      <c r="BR10" t="s">
        <v>2403</v>
      </c>
      <c r="BS10" s="366">
        <v>454995446</v>
      </c>
      <c r="BT10">
        <v>30306</v>
      </c>
      <c r="BU10" t="s">
        <v>3426</v>
      </c>
      <c r="BV10" t="s">
        <v>31</v>
      </c>
      <c r="BW10" t="s">
        <v>1633</v>
      </c>
      <c r="BX10">
        <v>76028</v>
      </c>
      <c r="BY10" t="s">
        <v>3426</v>
      </c>
      <c r="BZ10" t="s">
        <v>31</v>
      </c>
      <c r="CA10">
        <v>76028</v>
      </c>
      <c r="CB10" t="s">
        <v>1633</v>
      </c>
      <c r="CC10" t="s">
        <v>316</v>
      </c>
      <c r="CD10">
        <v>0</v>
      </c>
      <c r="CE10">
        <v>0</v>
      </c>
      <c r="CF10">
        <v>0</v>
      </c>
      <c r="CG10">
        <v>0</v>
      </c>
      <c r="CH10">
        <v>0</v>
      </c>
      <c r="CI10">
        <v>0</v>
      </c>
      <c r="CJ10">
        <v>0</v>
      </c>
      <c r="CK10">
        <v>0</v>
      </c>
      <c r="CL10">
        <v>9406316212</v>
      </c>
      <c r="CM10">
        <v>4079277222</v>
      </c>
      <c r="CN10" t="s">
        <v>3427</v>
      </c>
      <c r="CO10" t="s">
        <v>3429</v>
      </c>
      <c r="CP10" t="s">
        <v>2403</v>
      </c>
      <c r="CQ10" t="s">
        <v>2403</v>
      </c>
      <c r="CR10" t="s">
        <v>2403</v>
      </c>
      <c r="CS10" t="s">
        <v>3426</v>
      </c>
      <c r="CT10" t="s">
        <v>31</v>
      </c>
      <c r="CU10" t="s">
        <v>1633</v>
      </c>
      <c r="CV10">
        <v>76028</v>
      </c>
      <c r="CW10" s="366">
        <v>257693604</v>
      </c>
      <c r="CX10">
        <v>30445</v>
      </c>
      <c r="CY10" t="s">
        <v>3426</v>
      </c>
      <c r="CZ10" t="s">
        <v>31</v>
      </c>
      <c r="DA10">
        <v>76028</v>
      </c>
      <c r="DB10" t="s">
        <v>1633</v>
      </c>
      <c r="DC10" t="s">
        <v>316</v>
      </c>
      <c r="DD10">
        <v>0</v>
      </c>
      <c r="DE10">
        <v>0</v>
      </c>
      <c r="DF10">
        <v>0</v>
      </c>
      <c r="DG10">
        <v>0</v>
      </c>
      <c r="DH10">
        <v>0</v>
      </c>
      <c r="DI10">
        <v>0</v>
      </c>
      <c r="DJ10">
        <v>0</v>
      </c>
      <c r="DK10">
        <v>0</v>
      </c>
      <c r="DL10">
        <v>0</v>
      </c>
      <c r="DM10">
        <v>0</v>
      </c>
      <c r="DN10" t="s">
        <v>3427</v>
      </c>
      <c r="DO10">
        <v>0</v>
      </c>
      <c r="DP10">
        <v>0</v>
      </c>
      <c r="DQ10">
        <v>0</v>
      </c>
      <c r="DR10">
        <v>0</v>
      </c>
      <c r="DS10">
        <v>0</v>
      </c>
      <c r="DT10">
        <v>0</v>
      </c>
      <c r="DU10">
        <v>0</v>
      </c>
      <c r="DV10">
        <v>0</v>
      </c>
      <c r="DW10" s="366">
        <v>0</v>
      </c>
      <c r="DX10">
        <v>0</v>
      </c>
      <c r="DY10">
        <v>0</v>
      </c>
      <c r="DZ10">
        <v>0</v>
      </c>
      <c r="EA10">
        <v>0</v>
      </c>
      <c r="EB10">
        <v>0</v>
      </c>
      <c r="EC10">
        <v>0</v>
      </c>
      <c r="ED10">
        <v>0</v>
      </c>
      <c r="EE10">
        <v>0</v>
      </c>
      <c r="EF10">
        <v>0</v>
      </c>
      <c r="EG10">
        <v>0</v>
      </c>
      <c r="EH10">
        <v>0</v>
      </c>
      <c r="EI10">
        <v>0</v>
      </c>
      <c r="EJ10">
        <v>0</v>
      </c>
      <c r="EK10">
        <v>0</v>
      </c>
      <c r="EL10">
        <v>0</v>
      </c>
      <c r="EM10">
        <v>0</v>
      </c>
      <c r="EN10">
        <v>0</v>
      </c>
      <c r="EO10">
        <v>900</v>
      </c>
      <c r="EP10">
        <v>12962.58984375</v>
      </c>
      <c r="EQ10">
        <v>1</v>
      </c>
      <c r="ER10">
        <v>1</v>
      </c>
      <c r="ES10" t="s">
        <v>3210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12962.59</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t="s">
        <v>2403</v>
      </c>
      <c r="GI10">
        <v>0</v>
      </c>
      <c r="GJ10">
        <v>0</v>
      </c>
      <c r="GK10">
        <v>0</v>
      </c>
      <c r="GL10" t="s">
        <v>2403</v>
      </c>
      <c r="GM10" s="58">
        <v>0</v>
      </c>
      <c r="GN10" t="s">
        <v>2403</v>
      </c>
      <c r="GO10">
        <v>0</v>
      </c>
      <c r="GP10" s="128" t="s">
        <v>3430</v>
      </c>
      <c r="GQ10">
        <v>0</v>
      </c>
      <c r="GR10">
        <v>0</v>
      </c>
      <c r="GS10">
        <v>0</v>
      </c>
      <c r="GT10" t="s">
        <v>3426</v>
      </c>
      <c r="GU10">
        <v>12962.59</v>
      </c>
      <c r="GV10">
        <v>0</v>
      </c>
      <c r="GW10">
        <v>0</v>
      </c>
      <c r="GX10">
        <v>0</v>
      </c>
      <c r="GY10">
        <v>0</v>
      </c>
      <c r="GZ10">
        <v>0</v>
      </c>
      <c r="HA10">
        <v>0</v>
      </c>
      <c r="HB10">
        <v>0</v>
      </c>
      <c r="HC10">
        <v>12962.58984375</v>
      </c>
      <c r="HD10">
        <v>336048</v>
      </c>
      <c r="HE10">
        <v>54500</v>
      </c>
      <c r="HF10" t="s">
        <v>31</v>
      </c>
      <c r="HG10" t="s">
        <v>131</v>
      </c>
      <c r="HH10" t="s">
        <v>2403</v>
      </c>
      <c r="HI10">
        <v>336048</v>
      </c>
      <c r="HJ10" t="s">
        <v>2403</v>
      </c>
      <c r="HK10">
        <v>0</v>
      </c>
      <c r="HL10">
        <v>0</v>
      </c>
      <c r="HM10">
        <v>0</v>
      </c>
      <c r="HN10">
        <v>0</v>
      </c>
      <c r="HO10" t="s">
        <v>3431</v>
      </c>
      <c r="HP10" t="s">
        <v>2403</v>
      </c>
      <c r="HQ10">
        <v>0</v>
      </c>
      <c r="HR10" t="s">
        <v>1633</v>
      </c>
      <c r="HS10" t="s">
        <v>3210</v>
      </c>
      <c r="HT10">
        <v>0</v>
      </c>
      <c r="HU10">
        <v>0</v>
      </c>
      <c r="HV10">
        <v>0</v>
      </c>
      <c r="HW10">
        <v>2018</v>
      </c>
      <c r="HX10">
        <v>0</v>
      </c>
      <c r="HY10">
        <v>0</v>
      </c>
      <c r="HZ10">
        <v>0</v>
      </c>
      <c r="IA10">
        <v>76028</v>
      </c>
      <c r="IB10" t="s">
        <v>2403</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v>0</v>
      </c>
      <c r="JA10">
        <v>0</v>
      </c>
      <c r="JB10">
        <v>0</v>
      </c>
      <c r="JC10">
        <v>0</v>
      </c>
      <c r="JD10">
        <v>0</v>
      </c>
      <c r="JE10">
        <v>0</v>
      </c>
      <c r="JF10">
        <v>0</v>
      </c>
      <c r="JG10">
        <v>0</v>
      </c>
      <c r="JH10">
        <v>0</v>
      </c>
      <c r="JI10">
        <v>0</v>
      </c>
      <c r="JJ10">
        <v>0</v>
      </c>
      <c r="JK10">
        <v>0</v>
      </c>
      <c r="JL10">
        <v>0</v>
      </c>
      <c r="JM10">
        <v>0</v>
      </c>
      <c r="JN10">
        <v>0</v>
      </c>
      <c r="JO10">
        <v>0</v>
      </c>
      <c r="JP10">
        <v>0</v>
      </c>
      <c r="JQ10">
        <v>0</v>
      </c>
      <c r="JR10">
        <v>0</v>
      </c>
      <c r="JS10">
        <v>0</v>
      </c>
      <c r="JT10">
        <v>0</v>
      </c>
      <c r="JU10">
        <v>0</v>
      </c>
      <c r="JV10">
        <v>0</v>
      </c>
      <c r="JW10">
        <v>0</v>
      </c>
      <c r="JX10">
        <v>0</v>
      </c>
      <c r="JY10">
        <v>0</v>
      </c>
      <c r="JZ10">
        <v>0</v>
      </c>
      <c r="KA10">
        <v>0</v>
      </c>
      <c r="KB10">
        <v>0</v>
      </c>
      <c r="KC10">
        <v>0</v>
      </c>
      <c r="KD10">
        <v>0</v>
      </c>
      <c r="KE10">
        <v>0</v>
      </c>
      <c r="KF10">
        <v>0</v>
      </c>
      <c r="KG10">
        <v>0</v>
      </c>
      <c r="KH10">
        <v>0</v>
      </c>
      <c r="KI10">
        <v>0</v>
      </c>
      <c r="KJ10">
        <v>0</v>
      </c>
      <c r="KK10">
        <v>0</v>
      </c>
      <c r="KL10">
        <v>0</v>
      </c>
      <c r="KM10">
        <v>0</v>
      </c>
      <c r="KN10">
        <v>0</v>
      </c>
      <c r="KO10">
        <v>0</v>
      </c>
      <c r="KP10">
        <v>0</v>
      </c>
      <c r="KQ10">
        <v>0</v>
      </c>
      <c r="KR10">
        <v>0</v>
      </c>
      <c r="KS10">
        <v>0</v>
      </c>
      <c r="KT10">
        <v>0</v>
      </c>
      <c r="KU10">
        <v>0</v>
      </c>
      <c r="KV10">
        <v>0</v>
      </c>
      <c r="KW10">
        <v>0</v>
      </c>
      <c r="KX10">
        <v>0</v>
      </c>
      <c r="KY10">
        <v>0</v>
      </c>
      <c r="KZ10">
        <v>0</v>
      </c>
      <c r="LA10">
        <v>0</v>
      </c>
      <c r="LB10">
        <v>0</v>
      </c>
      <c r="LC10">
        <v>0</v>
      </c>
      <c r="LD10">
        <v>0</v>
      </c>
      <c r="LE10">
        <v>0</v>
      </c>
      <c r="LF10">
        <v>0</v>
      </c>
      <c r="LG10">
        <v>0</v>
      </c>
      <c r="LH10">
        <v>0</v>
      </c>
      <c r="LI10">
        <v>0</v>
      </c>
      <c r="LJ10">
        <v>0</v>
      </c>
      <c r="LK10">
        <v>0</v>
      </c>
      <c r="LL10">
        <v>0</v>
      </c>
      <c r="LM10">
        <v>0</v>
      </c>
      <c r="LN10">
        <v>0</v>
      </c>
      <c r="LO10">
        <v>0</v>
      </c>
      <c r="LP10">
        <v>0</v>
      </c>
      <c r="LQ10">
        <v>0</v>
      </c>
      <c r="LR10">
        <v>0</v>
      </c>
      <c r="LS10">
        <v>0</v>
      </c>
      <c r="LT10">
        <v>0</v>
      </c>
      <c r="LU10">
        <v>0</v>
      </c>
      <c r="LV10">
        <v>0</v>
      </c>
      <c r="LW10">
        <v>0</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I10">
        <v>0</v>
      </c>
      <c r="QJ10">
        <v>0</v>
      </c>
      <c r="QK10">
        <v>0</v>
      </c>
      <c r="QL10">
        <v>0</v>
      </c>
      <c r="QM10">
        <v>0</v>
      </c>
      <c r="QN10">
        <v>0</v>
      </c>
      <c r="QO10">
        <v>0</v>
      </c>
      <c r="QP10">
        <v>0</v>
      </c>
      <c r="QQ10">
        <v>0</v>
      </c>
      <c r="QR10">
        <v>0</v>
      </c>
      <c r="QS10">
        <v>0</v>
      </c>
      <c r="QT10">
        <v>0</v>
      </c>
      <c r="QU10">
        <v>0</v>
      </c>
      <c r="QV10">
        <v>0</v>
      </c>
      <c r="QW10">
        <v>0</v>
      </c>
      <c r="QX10">
        <v>0</v>
      </c>
      <c r="QY10">
        <v>0</v>
      </c>
      <c r="QZ10">
        <v>0</v>
      </c>
      <c r="RA10">
        <v>0</v>
      </c>
      <c r="RB10">
        <v>0</v>
      </c>
      <c r="RC10">
        <v>0</v>
      </c>
      <c r="RD10">
        <v>0</v>
      </c>
      <c r="RE10">
        <v>0</v>
      </c>
      <c r="RF10">
        <v>0</v>
      </c>
      <c r="RG10">
        <v>0</v>
      </c>
      <c r="RH10">
        <v>0</v>
      </c>
      <c r="RI10">
        <v>0</v>
      </c>
      <c r="RJ10">
        <v>0</v>
      </c>
      <c r="RK10">
        <v>0</v>
      </c>
      <c r="RL10">
        <v>0</v>
      </c>
      <c r="RM10">
        <v>0</v>
      </c>
      <c r="RN10">
        <v>0</v>
      </c>
      <c r="RO10">
        <v>0</v>
      </c>
      <c r="RP10">
        <v>0</v>
      </c>
      <c r="RQ10">
        <v>0</v>
      </c>
      <c r="RR10">
        <v>0</v>
      </c>
      <c r="RS10">
        <v>0</v>
      </c>
      <c r="RT10">
        <v>0</v>
      </c>
      <c r="RU10">
        <v>0</v>
      </c>
      <c r="RV10">
        <v>0</v>
      </c>
      <c r="RW10">
        <v>0</v>
      </c>
      <c r="RX10">
        <v>0</v>
      </c>
      <c r="RY10">
        <v>0</v>
      </c>
      <c r="RZ10">
        <v>0</v>
      </c>
      <c r="SA10">
        <v>0</v>
      </c>
      <c r="SB10">
        <v>0</v>
      </c>
      <c r="SC10">
        <v>0</v>
      </c>
      <c r="SD10">
        <v>0</v>
      </c>
      <c r="SE10">
        <v>0</v>
      </c>
      <c r="SF10">
        <v>0</v>
      </c>
      <c r="SG10">
        <v>0</v>
      </c>
      <c r="SH10">
        <v>0</v>
      </c>
      <c r="SI10">
        <v>0</v>
      </c>
      <c r="SJ10">
        <v>0</v>
      </c>
      <c r="SK10">
        <v>0</v>
      </c>
      <c r="SL10">
        <v>0</v>
      </c>
      <c r="SM10">
        <v>0</v>
      </c>
      <c r="SN10">
        <v>0</v>
      </c>
      <c r="SO10">
        <v>0</v>
      </c>
      <c r="SP10">
        <v>0</v>
      </c>
      <c r="SQ10">
        <v>0</v>
      </c>
      <c r="SR10">
        <v>0</v>
      </c>
      <c r="SS10">
        <v>0</v>
      </c>
      <c r="ST10">
        <v>0</v>
      </c>
      <c r="SU10">
        <v>0</v>
      </c>
      <c r="SV10">
        <v>0</v>
      </c>
      <c r="SW10">
        <v>0</v>
      </c>
      <c r="SX10">
        <v>0</v>
      </c>
      <c r="SY10">
        <v>0</v>
      </c>
      <c r="SZ10">
        <v>0</v>
      </c>
      <c r="TA10">
        <v>0</v>
      </c>
      <c r="TB10">
        <v>0</v>
      </c>
      <c r="TC10">
        <v>0</v>
      </c>
      <c r="TD10">
        <v>0</v>
      </c>
      <c r="TE10">
        <v>0</v>
      </c>
      <c r="TF10">
        <v>0</v>
      </c>
      <c r="TG10">
        <v>0</v>
      </c>
      <c r="TH10">
        <v>0</v>
      </c>
      <c r="TI10">
        <v>0</v>
      </c>
      <c r="TJ10">
        <v>0</v>
      </c>
      <c r="TK10">
        <v>0</v>
      </c>
      <c r="TL10">
        <v>0</v>
      </c>
      <c r="TM10">
        <v>0</v>
      </c>
      <c r="TN10">
        <v>0</v>
      </c>
      <c r="TO10">
        <v>0</v>
      </c>
      <c r="TP10">
        <v>0</v>
      </c>
      <c r="TQ10">
        <v>0</v>
      </c>
      <c r="TR10">
        <v>0</v>
      </c>
      <c r="TS10">
        <v>0</v>
      </c>
      <c r="TT10">
        <v>0</v>
      </c>
      <c r="TU10">
        <v>0</v>
      </c>
      <c r="TV10">
        <v>0</v>
      </c>
      <c r="TW10">
        <v>0</v>
      </c>
      <c r="TX10">
        <v>0</v>
      </c>
      <c r="TY10">
        <v>0</v>
      </c>
      <c r="TZ10">
        <v>0</v>
      </c>
      <c r="UA10">
        <v>0</v>
      </c>
      <c r="UB10">
        <v>0</v>
      </c>
      <c r="UC10">
        <v>0</v>
      </c>
      <c r="UD10">
        <v>0</v>
      </c>
      <c r="UE10">
        <v>0</v>
      </c>
      <c r="UF10">
        <v>0</v>
      </c>
      <c r="UG10">
        <v>0</v>
      </c>
      <c r="UH10">
        <v>0</v>
      </c>
      <c r="UI10">
        <v>0</v>
      </c>
      <c r="UJ10">
        <v>0</v>
      </c>
      <c r="UK10">
        <v>0</v>
      </c>
      <c r="UL10">
        <v>0</v>
      </c>
      <c r="UM10">
        <v>0</v>
      </c>
      <c r="UN10">
        <v>0</v>
      </c>
      <c r="UO10">
        <v>0</v>
      </c>
      <c r="UP10">
        <v>0</v>
      </c>
      <c r="UQ10">
        <v>0</v>
      </c>
      <c r="UR10">
        <v>0</v>
      </c>
      <c r="US10">
        <v>0</v>
      </c>
      <c r="UT10">
        <v>0</v>
      </c>
      <c r="UU10">
        <v>0</v>
      </c>
      <c r="UV10">
        <v>0</v>
      </c>
      <c r="UW10">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S10">
        <v>0</v>
      </c>
      <c r="YT10">
        <v>0</v>
      </c>
      <c r="YU10">
        <v>0</v>
      </c>
      <c r="YV10">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c r="ACR10">
        <v>0</v>
      </c>
      <c r="ACS10">
        <v>0</v>
      </c>
      <c r="ACT10">
        <v>0</v>
      </c>
      <c r="ACU10">
        <v>0</v>
      </c>
      <c r="ACV10">
        <v>0</v>
      </c>
      <c r="ACW10">
        <v>0</v>
      </c>
      <c r="ACX10">
        <v>0</v>
      </c>
      <c r="ACY10">
        <v>0</v>
      </c>
      <c r="ACZ10">
        <v>0</v>
      </c>
      <c r="ADA10">
        <v>0</v>
      </c>
      <c r="ADB10">
        <v>0</v>
      </c>
      <c r="ADC10">
        <v>0</v>
      </c>
      <c r="ADD10">
        <v>0</v>
      </c>
      <c r="ADE10">
        <v>0</v>
      </c>
      <c r="ADF10">
        <v>0</v>
      </c>
      <c r="ADG10">
        <v>0</v>
      </c>
      <c r="ADH10">
        <v>0</v>
      </c>
      <c r="ADI10">
        <v>0</v>
      </c>
      <c r="ADJ10">
        <v>0</v>
      </c>
      <c r="ADK10">
        <v>0</v>
      </c>
      <c r="ADL10">
        <v>0</v>
      </c>
      <c r="ADM10">
        <v>0</v>
      </c>
      <c r="ADN10">
        <v>0</v>
      </c>
      <c r="ADO10">
        <v>0</v>
      </c>
      <c r="ADP10">
        <v>0</v>
      </c>
      <c r="ADQ10">
        <v>0</v>
      </c>
      <c r="ADR10">
        <v>0</v>
      </c>
      <c r="ADS10">
        <v>0</v>
      </c>
      <c r="ADT10">
        <v>0</v>
      </c>
      <c r="ADU10">
        <v>0</v>
      </c>
      <c r="ADV10">
        <v>0</v>
      </c>
      <c r="ADW10">
        <v>0</v>
      </c>
      <c r="ADX10">
        <v>0</v>
      </c>
      <c r="ADY10">
        <v>0</v>
      </c>
      <c r="ADZ10">
        <v>0</v>
      </c>
      <c r="AEA10">
        <v>0</v>
      </c>
      <c r="AEB10">
        <v>0</v>
      </c>
      <c r="AEC10">
        <v>0</v>
      </c>
      <c r="AED10">
        <v>0</v>
      </c>
      <c r="AEE10">
        <v>0</v>
      </c>
      <c r="AEF10">
        <v>0</v>
      </c>
      <c r="AEG10">
        <v>0</v>
      </c>
      <c r="AEH10">
        <v>0</v>
      </c>
      <c r="AEI10">
        <v>0</v>
      </c>
      <c r="AEJ10">
        <v>0</v>
      </c>
      <c r="AEK10">
        <v>0</v>
      </c>
      <c r="AEL10">
        <v>0</v>
      </c>
      <c r="AEM10">
        <v>0</v>
      </c>
      <c r="AEN10">
        <v>0</v>
      </c>
      <c r="AEO10">
        <v>0</v>
      </c>
      <c r="AEP10">
        <v>0</v>
      </c>
      <c r="AEQ10">
        <v>0</v>
      </c>
      <c r="AER10">
        <v>0</v>
      </c>
      <c r="AES10">
        <v>0</v>
      </c>
      <c r="AET10">
        <v>0</v>
      </c>
      <c r="AEU10">
        <v>0</v>
      </c>
      <c r="AEV10">
        <v>0</v>
      </c>
      <c r="AEW10">
        <v>0</v>
      </c>
      <c r="AEX10">
        <v>0</v>
      </c>
      <c r="AEY10">
        <v>0</v>
      </c>
      <c r="AEZ10">
        <v>0</v>
      </c>
      <c r="AFA10">
        <v>0</v>
      </c>
      <c r="AFB10">
        <v>0</v>
      </c>
      <c r="AFC10">
        <v>0</v>
      </c>
      <c r="AFD10">
        <v>0</v>
      </c>
      <c r="AFE10">
        <v>0</v>
      </c>
      <c r="AFF10">
        <v>0</v>
      </c>
      <c r="AFG10">
        <v>0</v>
      </c>
      <c r="AFH10">
        <v>0</v>
      </c>
      <c r="AFI10">
        <v>0</v>
      </c>
      <c r="AFJ10">
        <v>0</v>
      </c>
      <c r="AFK10">
        <v>0</v>
      </c>
      <c r="AFL10">
        <v>0</v>
      </c>
      <c r="AFM10">
        <v>0</v>
      </c>
      <c r="AFN10">
        <v>0</v>
      </c>
      <c r="AFO10">
        <v>0</v>
      </c>
      <c r="AFP10">
        <v>0</v>
      </c>
      <c r="AFQ10">
        <v>0</v>
      </c>
      <c r="AFR10">
        <v>0</v>
      </c>
      <c r="AFS10">
        <v>0</v>
      </c>
      <c r="AFT10">
        <v>0</v>
      </c>
      <c r="AFU10">
        <v>0</v>
      </c>
      <c r="AFV10">
        <v>0</v>
      </c>
      <c r="AFW10">
        <v>0</v>
      </c>
      <c r="AFX10">
        <v>0</v>
      </c>
      <c r="AFY10">
        <v>0</v>
      </c>
      <c r="AFZ10">
        <v>0</v>
      </c>
      <c r="AGA10">
        <v>0</v>
      </c>
      <c r="AGB10">
        <v>0</v>
      </c>
      <c r="AGC10">
        <v>0</v>
      </c>
      <c r="AGD10">
        <v>0</v>
      </c>
      <c r="AGE10">
        <v>0</v>
      </c>
      <c r="AGF10">
        <v>0</v>
      </c>
      <c r="AGG10">
        <v>0</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A10">
        <v>0</v>
      </c>
      <c r="AIB10">
        <v>0</v>
      </c>
      <c r="AIC10">
        <v>0</v>
      </c>
      <c r="AID10">
        <v>0</v>
      </c>
      <c r="AIE10">
        <v>0</v>
      </c>
      <c r="AIF10">
        <v>0</v>
      </c>
      <c r="AIG10">
        <v>0</v>
      </c>
      <c r="AIH10">
        <v>0</v>
      </c>
      <c r="AII10">
        <v>0</v>
      </c>
      <c r="AIJ10">
        <v>0</v>
      </c>
      <c r="AIK10">
        <v>0</v>
      </c>
      <c r="AIL10">
        <v>0</v>
      </c>
      <c r="AIM10">
        <v>0</v>
      </c>
      <c r="AIN10">
        <v>0</v>
      </c>
      <c r="AIO10">
        <v>0</v>
      </c>
      <c r="AIP10">
        <v>0</v>
      </c>
      <c r="AIQ10">
        <v>0</v>
      </c>
      <c r="AIR10">
        <v>0</v>
      </c>
      <c r="AIS10">
        <v>0</v>
      </c>
      <c r="AIT10">
        <v>0</v>
      </c>
      <c r="AIU10">
        <v>0</v>
      </c>
      <c r="AIV10">
        <v>0</v>
      </c>
      <c r="AIW10">
        <v>0</v>
      </c>
      <c r="AIX10">
        <v>0</v>
      </c>
      <c r="AIY10">
        <v>0</v>
      </c>
      <c r="AIZ10">
        <v>0</v>
      </c>
      <c r="AJA10">
        <v>0</v>
      </c>
      <c r="AJB10">
        <v>0</v>
      </c>
      <c r="AJC10">
        <v>0</v>
      </c>
      <c r="AJD10">
        <v>0</v>
      </c>
      <c r="AJE10">
        <v>0</v>
      </c>
      <c r="AJF10">
        <v>0</v>
      </c>
      <c r="AJG10">
        <v>0</v>
      </c>
      <c r="AJH10">
        <v>0</v>
      </c>
      <c r="AJI10">
        <v>0</v>
      </c>
      <c r="AJJ10">
        <v>0</v>
      </c>
      <c r="AJK10">
        <v>0</v>
      </c>
      <c r="AJL10">
        <v>0</v>
      </c>
      <c r="AJM10">
        <v>0</v>
      </c>
      <c r="AJN10">
        <v>0</v>
      </c>
      <c r="AJO10">
        <v>0</v>
      </c>
      <c r="AJP10">
        <v>0</v>
      </c>
      <c r="AJQ10">
        <v>0</v>
      </c>
      <c r="AJR10">
        <v>0</v>
      </c>
      <c r="AJS10">
        <v>0</v>
      </c>
      <c r="AJT10">
        <v>0</v>
      </c>
      <c r="AJU10">
        <v>0</v>
      </c>
      <c r="AJV10">
        <v>0</v>
      </c>
      <c r="AJW10">
        <v>0</v>
      </c>
      <c r="AJX10">
        <v>0</v>
      </c>
      <c r="AJY10">
        <v>0</v>
      </c>
      <c r="AJZ10">
        <v>0</v>
      </c>
      <c r="AKA10">
        <v>0</v>
      </c>
      <c r="AKB10">
        <v>0</v>
      </c>
      <c r="AKC10">
        <v>0</v>
      </c>
      <c r="AKD10">
        <v>0</v>
      </c>
      <c r="AKE10">
        <v>0</v>
      </c>
      <c r="AKF10">
        <v>0</v>
      </c>
      <c r="AKG10">
        <v>0</v>
      </c>
      <c r="AKH10">
        <v>0</v>
      </c>
      <c r="AKI10">
        <v>0</v>
      </c>
      <c r="AKJ10">
        <v>0</v>
      </c>
      <c r="AKK10">
        <v>0</v>
      </c>
      <c r="AKL10">
        <v>0</v>
      </c>
      <c r="AKM10">
        <v>0</v>
      </c>
      <c r="AKN10">
        <v>0</v>
      </c>
      <c r="AKO10">
        <v>0</v>
      </c>
      <c r="AKP10">
        <v>0</v>
      </c>
      <c r="AKQ10">
        <v>0</v>
      </c>
      <c r="AKR10">
        <v>0</v>
      </c>
      <c r="AKS10">
        <v>0</v>
      </c>
      <c r="AKT10">
        <v>0</v>
      </c>
      <c r="AKU10">
        <v>0</v>
      </c>
      <c r="AKV10">
        <v>0</v>
      </c>
      <c r="AKW10">
        <v>0</v>
      </c>
      <c r="AKX10">
        <v>0</v>
      </c>
      <c r="AKY10">
        <v>0</v>
      </c>
      <c r="AKZ10">
        <v>0</v>
      </c>
      <c r="ALA10">
        <v>0</v>
      </c>
      <c r="ALB10">
        <v>0</v>
      </c>
      <c r="ALC10">
        <v>0</v>
      </c>
      <c r="ALD10">
        <v>0</v>
      </c>
      <c r="ALE10">
        <v>0</v>
      </c>
      <c r="ALF10">
        <v>0</v>
      </c>
      <c r="ALG10">
        <v>0</v>
      </c>
      <c r="ALH10">
        <v>0</v>
      </c>
      <c r="ALI10">
        <v>0</v>
      </c>
      <c r="ALJ10">
        <v>0</v>
      </c>
      <c r="ALK10">
        <v>0</v>
      </c>
      <c r="ALL10">
        <v>0</v>
      </c>
      <c r="ALM10">
        <v>0</v>
      </c>
      <c r="ALN10">
        <v>0</v>
      </c>
      <c r="ALO10">
        <v>0</v>
      </c>
      <c r="ALP10">
        <v>0</v>
      </c>
      <c r="ALQ10">
        <v>0</v>
      </c>
      <c r="ALR10">
        <v>0</v>
      </c>
      <c r="ALS10">
        <v>0</v>
      </c>
      <c r="ALT10">
        <v>0</v>
      </c>
      <c r="ALU10">
        <v>0</v>
      </c>
      <c r="ALV10">
        <v>0</v>
      </c>
      <c r="ALW10">
        <v>0</v>
      </c>
      <c r="ALX10">
        <v>0</v>
      </c>
      <c r="ALY10">
        <v>0</v>
      </c>
      <c r="ALZ10">
        <v>0</v>
      </c>
      <c r="AMA10">
        <v>0</v>
      </c>
      <c r="AMB10">
        <v>0</v>
      </c>
      <c r="AMC10">
        <v>0</v>
      </c>
      <c r="AMD10">
        <v>0</v>
      </c>
      <c r="AME10">
        <v>0</v>
      </c>
      <c r="AMF10">
        <v>0</v>
      </c>
      <c r="AMG10">
        <v>0</v>
      </c>
      <c r="AMH10">
        <v>0</v>
      </c>
      <c r="AMI10">
        <v>0</v>
      </c>
      <c r="AMJ10">
        <v>0</v>
      </c>
      <c r="AMK10">
        <v>0</v>
      </c>
      <c r="AML10">
        <v>0</v>
      </c>
      <c r="AMM10">
        <v>0</v>
      </c>
      <c r="AMN10">
        <v>0</v>
      </c>
      <c r="AMO10">
        <v>0</v>
      </c>
      <c r="AMP10">
        <v>0</v>
      </c>
      <c r="AMQ10">
        <v>0</v>
      </c>
      <c r="AMR10">
        <v>0</v>
      </c>
      <c r="AMS10">
        <v>0</v>
      </c>
      <c r="AMT10">
        <v>0</v>
      </c>
      <c r="AMU10">
        <v>0</v>
      </c>
      <c r="AMV10">
        <v>0</v>
      </c>
      <c r="AMW10">
        <v>0</v>
      </c>
      <c r="AMX10">
        <v>0</v>
      </c>
      <c r="AMY10">
        <v>0</v>
      </c>
      <c r="AMZ10">
        <v>0</v>
      </c>
      <c r="ANA10">
        <v>0</v>
      </c>
      <c r="ANB10">
        <v>0</v>
      </c>
      <c r="ANC10">
        <v>0</v>
      </c>
      <c r="AND10">
        <v>0</v>
      </c>
      <c r="ANE10">
        <v>0</v>
      </c>
      <c r="ANF10">
        <v>0</v>
      </c>
      <c r="ANG10">
        <v>0</v>
      </c>
      <c r="ANH10">
        <v>0</v>
      </c>
      <c r="ANI10">
        <v>0</v>
      </c>
      <c r="ANJ10">
        <v>0</v>
      </c>
      <c r="ANK10">
        <v>0</v>
      </c>
      <c r="ANL10">
        <v>0</v>
      </c>
      <c r="ANM10">
        <v>0</v>
      </c>
      <c r="ANN10">
        <v>0</v>
      </c>
      <c r="ANO10">
        <v>0</v>
      </c>
      <c r="ANP10">
        <v>0</v>
      </c>
      <c r="ANQ10">
        <v>0</v>
      </c>
      <c r="ANR10">
        <v>0</v>
      </c>
      <c r="ANS10">
        <v>0</v>
      </c>
      <c r="ANT10">
        <v>0</v>
      </c>
      <c r="ANU10">
        <v>0</v>
      </c>
      <c r="ANV10">
        <v>0</v>
      </c>
      <c r="ANW10">
        <v>0</v>
      </c>
      <c r="ANX10">
        <v>0</v>
      </c>
      <c r="ANY10">
        <v>0</v>
      </c>
      <c r="ANZ10">
        <v>0</v>
      </c>
      <c r="AOA10">
        <v>0</v>
      </c>
      <c r="AOB10">
        <v>0</v>
      </c>
      <c r="AOC10">
        <v>0</v>
      </c>
      <c r="AOD10">
        <v>0</v>
      </c>
      <c r="AOE10">
        <v>0</v>
      </c>
      <c r="AOF10">
        <v>0</v>
      </c>
      <c r="AOG10">
        <v>0</v>
      </c>
      <c r="AOH10">
        <v>0</v>
      </c>
      <c r="AOI10">
        <v>0</v>
      </c>
      <c r="AOJ10">
        <v>0</v>
      </c>
      <c r="AOK10">
        <v>0</v>
      </c>
      <c r="AOL10">
        <v>0</v>
      </c>
      <c r="AOM10">
        <v>0</v>
      </c>
      <c r="AON10">
        <v>0</v>
      </c>
      <c r="AOO10">
        <v>0</v>
      </c>
      <c r="AOP10">
        <v>0</v>
      </c>
      <c r="AOQ10">
        <v>0</v>
      </c>
      <c r="AOR10">
        <v>0</v>
      </c>
      <c r="AOS10">
        <v>0</v>
      </c>
      <c r="AOT10">
        <v>0</v>
      </c>
      <c r="AOU10">
        <v>0</v>
      </c>
      <c r="AOV10">
        <v>0</v>
      </c>
      <c r="AOW10">
        <v>0</v>
      </c>
      <c r="AOX10">
        <v>0</v>
      </c>
      <c r="AOY10">
        <v>0</v>
      </c>
      <c r="AOZ10">
        <v>0</v>
      </c>
      <c r="APA10">
        <v>0</v>
      </c>
      <c r="APB10">
        <v>0</v>
      </c>
      <c r="APC10">
        <v>0</v>
      </c>
      <c r="APD10">
        <v>0</v>
      </c>
      <c r="APE10">
        <v>0</v>
      </c>
      <c r="APF10">
        <v>0</v>
      </c>
      <c r="APG10">
        <v>0</v>
      </c>
      <c r="APH10">
        <v>0</v>
      </c>
      <c r="API10">
        <v>0</v>
      </c>
      <c r="APJ10">
        <v>0</v>
      </c>
      <c r="APK10">
        <v>0</v>
      </c>
      <c r="APL10">
        <v>0</v>
      </c>
      <c r="APM10">
        <v>0</v>
      </c>
      <c r="APN10">
        <v>0</v>
      </c>
      <c r="APO10">
        <v>0</v>
      </c>
      <c r="APP10">
        <v>0</v>
      </c>
      <c r="APQ10">
        <v>0</v>
      </c>
      <c r="APR10">
        <v>0</v>
      </c>
      <c r="APS10">
        <v>0</v>
      </c>
      <c r="APT10">
        <v>0</v>
      </c>
      <c r="APU10">
        <v>0</v>
      </c>
      <c r="APV10">
        <v>0</v>
      </c>
      <c r="APW10">
        <v>0</v>
      </c>
      <c r="APX10">
        <v>0</v>
      </c>
      <c r="APY10">
        <v>0</v>
      </c>
      <c r="APZ10">
        <v>0</v>
      </c>
      <c r="AQA10">
        <v>0</v>
      </c>
      <c r="AQB10">
        <v>0</v>
      </c>
      <c r="AQC10">
        <v>0</v>
      </c>
      <c r="AQD10">
        <v>0</v>
      </c>
      <c r="AQE10">
        <v>0</v>
      </c>
      <c r="AQF10">
        <v>0</v>
      </c>
      <c r="AQG10">
        <v>0</v>
      </c>
      <c r="AQH10">
        <v>0</v>
      </c>
      <c r="AQI10">
        <v>0</v>
      </c>
      <c r="AQJ10">
        <v>0</v>
      </c>
      <c r="AQK10">
        <v>0</v>
      </c>
      <c r="AQL10">
        <v>0</v>
      </c>
      <c r="AQM10">
        <v>0</v>
      </c>
      <c r="AQN10">
        <v>0</v>
      </c>
      <c r="AQO10">
        <v>0</v>
      </c>
      <c r="AQP10">
        <v>0</v>
      </c>
      <c r="AQQ10">
        <v>0</v>
      </c>
      <c r="AQR10">
        <v>0</v>
      </c>
      <c r="AQS10">
        <v>0</v>
      </c>
      <c r="AQT10">
        <v>0</v>
      </c>
      <c r="AQU10">
        <v>0</v>
      </c>
      <c r="AQV10">
        <v>0</v>
      </c>
      <c r="AQW10">
        <v>0</v>
      </c>
      <c r="AQX10">
        <v>0</v>
      </c>
      <c r="AQY10">
        <v>0</v>
      </c>
      <c r="AQZ10">
        <v>0</v>
      </c>
      <c r="ARA10">
        <v>0</v>
      </c>
      <c r="ARB10">
        <v>0</v>
      </c>
      <c r="ARC10">
        <v>0</v>
      </c>
      <c r="ARD10">
        <v>0</v>
      </c>
      <c r="ARE10">
        <v>0</v>
      </c>
      <c r="ARF10">
        <v>0</v>
      </c>
      <c r="ARG10">
        <v>0</v>
      </c>
      <c r="ARH10">
        <v>0</v>
      </c>
      <c r="ARI10">
        <v>0</v>
      </c>
      <c r="ARJ10">
        <v>0</v>
      </c>
      <c r="ARK10">
        <v>0</v>
      </c>
      <c r="ARL10">
        <v>0</v>
      </c>
      <c r="ARM10">
        <v>0</v>
      </c>
      <c r="ARN10">
        <v>0</v>
      </c>
      <c r="ARO10">
        <v>0</v>
      </c>
      <c r="ARP10">
        <v>0</v>
      </c>
      <c r="ARQ10">
        <v>0</v>
      </c>
      <c r="ARR10">
        <v>0</v>
      </c>
      <c r="ARS10">
        <v>0</v>
      </c>
      <c r="ART10">
        <v>0</v>
      </c>
      <c r="ARU10">
        <v>0</v>
      </c>
      <c r="ARV10">
        <v>0</v>
      </c>
      <c r="ARW10">
        <v>0</v>
      </c>
      <c r="ARX10">
        <v>0</v>
      </c>
      <c r="ARY10">
        <v>0</v>
      </c>
      <c r="ARZ10">
        <v>0</v>
      </c>
      <c r="ASA10">
        <v>0</v>
      </c>
      <c r="ASB10">
        <v>0</v>
      </c>
      <c r="ASC10">
        <v>0</v>
      </c>
      <c r="ASD10">
        <v>0</v>
      </c>
      <c r="ASE10">
        <v>0</v>
      </c>
      <c r="ASF10">
        <v>0</v>
      </c>
      <c r="ASG10">
        <v>0</v>
      </c>
      <c r="ASH10">
        <v>0</v>
      </c>
      <c r="ASI10">
        <v>0</v>
      </c>
      <c r="ASJ10">
        <v>0</v>
      </c>
      <c r="ASK10">
        <v>0</v>
      </c>
      <c r="ASL10">
        <v>0</v>
      </c>
      <c r="ASM10">
        <v>0</v>
      </c>
      <c r="ASN10">
        <v>0</v>
      </c>
      <c r="ASO10">
        <v>0</v>
      </c>
      <c r="ASP10">
        <v>0</v>
      </c>
      <c r="ASQ10">
        <v>0</v>
      </c>
      <c r="ASR10">
        <v>0</v>
      </c>
      <c r="ASS10">
        <v>0</v>
      </c>
      <c r="AST10">
        <v>0</v>
      </c>
      <c r="ASU10">
        <v>0</v>
      </c>
      <c r="ASV10">
        <v>0</v>
      </c>
      <c r="ASW10">
        <v>0</v>
      </c>
      <c r="ASX10">
        <v>0</v>
      </c>
      <c r="ASY10">
        <v>0</v>
      </c>
      <c r="ASZ10">
        <v>0</v>
      </c>
      <c r="ATA10">
        <v>0</v>
      </c>
      <c r="ATB10">
        <v>0</v>
      </c>
      <c r="ATC10">
        <v>0</v>
      </c>
      <c r="ATD10">
        <v>0</v>
      </c>
      <c r="ATE10">
        <v>0</v>
      </c>
      <c r="ATF10">
        <v>0</v>
      </c>
      <c r="ATG10">
        <v>0</v>
      </c>
      <c r="ATH10">
        <v>0</v>
      </c>
      <c r="ATI10">
        <v>0</v>
      </c>
      <c r="ATJ10">
        <v>0</v>
      </c>
      <c r="ATK10">
        <v>0</v>
      </c>
      <c r="ATL10">
        <v>0</v>
      </c>
      <c r="ATM10">
        <v>0</v>
      </c>
      <c r="ATN10">
        <v>0</v>
      </c>
      <c r="ATO10">
        <v>0</v>
      </c>
      <c r="ATP10">
        <v>0</v>
      </c>
      <c r="ATQ10">
        <v>0</v>
      </c>
      <c r="ATR10">
        <v>0</v>
      </c>
      <c r="ATS10">
        <v>0</v>
      </c>
      <c r="ATT10">
        <v>0</v>
      </c>
      <c r="ATU10">
        <v>0</v>
      </c>
      <c r="ATV10">
        <v>0</v>
      </c>
      <c r="ATW10">
        <v>0</v>
      </c>
      <c r="ATX10">
        <v>0</v>
      </c>
      <c r="ATY10">
        <v>0</v>
      </c>
      <c r="ATZ10">
        <v>0</v>
      </c>
      <c r="AUA10">
        <v>0</v>
      </c>
      <c r="AUB10">
        <v>0</v>
      </c>
      <c r="AUC10">
        <v>0</v>
      </c>
      <c r="AUD10">
        <v>0</v>
      </c>
      <c r="AUE10">
        <v>0</v>
      </c>
      <c r="AUF10">
        <v>0</v>
      </c>
      <c r="AUG10">
        <v>0</v>
      </c>
      <c r="AUH10">
        <v>0</v>
      </c>
      <c r="AUI10">
        <v>0</v>
      </c>
      <c r="AUJ10">
        <v>0</v>
      </c>
      <c r="AUK10">
        <v>0</v>
      </c>
      <c r="AUL10">
        <v>0</v>
      </c>
      <c r="AUM10">
        <v>0</v>
      </c>
      <c r="AUN10">
        <v>0</v>
      </c>
      <c r="AUO10">
        <v>0</v>
      </c>
      <c r="AUP10">
        <v>0</v>
      </c>
      <c r="AUQ10">
        <v>0</v>
      </c>
      <c r="AUR10">
        <v>0</v>
      </c>
      <c r="AUS10">
        <v>0</v>
      </c>
      <c r="AUT10">
        <v>0</v>
      </c>
      <c r="AUU10">
        <v>0</v>
      </c>
      <c r="AUV10">
        <v>0</v>
      </c>
      <c r="AUW10">
        <v>0</v>
      </c>
      <c r="AUX10">
        <v>0</v>
      </c>
      <c r="AUY10">
        <v>0</v>
      </c>
      <c r="AUZ10">
        <v>0</v>
      </c>
      <c r="AVA10">
        <v>0</v>
      </c>
      <c r="AVB10">
        <v>0</v>
      </c>
      <c r="AVC10">
        <v>0</v>
      </c>
      <c r="AVD10">
        <v>0</v>
      </c>
      <c r="AVE10">
        <v>0</v>
      </c>
      <c r="AVF10">
        <v>0</v>
      </c>
      <c r="AVG10">
        <v>0</v>
      </c>
      <c r="AVH10">
        <v>0</v>
      </c>
      <c r="AVI10">
        <v>0</v>
      </c>
      <c r="AVJ10">
        <v>0</v>
      </c>
      <c r="AVK10">
        <v>0</v>
      </c>
      <c r="AVL10">
        <v>0</v>
      </c>
      <c r="AVM10">
        <v>0</v>
      </c>
      <c r="AVN10">
        <v>0</v>
      </c>
      <c r="AVO10">
        <v>0</v>
      </c>
      <c r="AVP10">
        <v>0</v>
      </c>
      <c r="AVQ10">
        <v>0</v>
      </c>
      <c r="AVR10">
        <v>0</v>
      </c>
      <c r="AVS10">
        <v>0</v>
      </c>
      <c r="AVT10">
        <v>0</v>
      </c>
      <c r="AVU10">
        <v>0</v>
      </c>
      <c r="AVV10">
        <v>0</v>
      </c>
      <c r="AVW10">
        <v>0</v>
      </c>
      <c r="AVX10">
        <v>0</v>
      </c>
      <c r="AVY10">
        <v>0</v>
      </c>
      <c r="AVZ10">
        <v>0</v>
      </c>
      <c r="AWA10">
        <v>0</v>
      </c>
      <c r="AWB10">
        <v>0</v>
      </c>
      <c r="AWC10">
        <v>0</v>
      </c>
      <c r="AWD10">
        <v>0</v>
      </c>
      <c r="AWE10">
        <v>0</v>
      </c>
      <c r="AWF10">
        <v>0</v>
      </c>
      <c r="AWG10">
        <v>0</v>
      </c>
      <c r="AWH10">
        <v>0</v>
      </c>
      <c r="AWI10">
        <v>0</v>
      </c>
      <c r="AWJ10">
        <v>0</v>
      </c>
      <c r="AWK10">
        <v>0</v>
      </c>
      <c r="AWL10">
        <v>0</v>
      </c>
      <c r="AWM10">
        <v>0</v>
      </c>
      <c r="AWN10">
        <v>0</v>
      </c>
      <c r="AWO10">
        <v>0</v>
      </c>
      <c r="AWP10">
        <v>0</v>
      </c>
      <c r="AWQ10">
        <v>0</v>
      </c>
      <c r="AWR10">
        <v>0</v>
      </c>
      <c r="AWS10">
        <v>0</v>
      </c>
      <c r="AWT10">
        <v>0</v>
      </c>
      <c r="AWU10">
        <v>0</v>
      </c>
      <c r="AWV10">
        <v>0</v>
      </c>
      <c r="AWW10">
        <v>0</v>
      </c>
      <c r="AWX10">
        <v>0</v>
      </c>
      <c r="AWY10">
        <v>0</v>
      </c>
      <c r="AWZ10">
        <v>0</v>
      </c>
      <c r="AXA10">
        <v>0</v>
      </c>
      <c r="AXB10">
        <v>0</v>
      </c>
      <c r="AXC10">
        <v>0</v>
      </c>
      <c r="AXD10">
        <v>0</v>
      </c>
      <c r="AXE10">
        <v>0</v>
      </c>
      <c r="AXF10">
        <v>0</v>
      </c>
      <c r="AXG10">
        <v>0</v>
      </c>
      <c r="AXH10">
        <v>0</v>
      </c>
      <c r="AXI10">
        <v>0</v>
      </c>
      <c r="AXJ10">
        <v>0</v>
      </c>
      <c r="AXK10">
        <v>0</v>
      </c>
      <c r="AXL10">
        <v>0</v>
      </c>
      <c r="AXM10">
        <v>0</v>
      </c>
      <c r="AXN10">
        <v>0</v>
      </c>
      <c r="AXO10">
        <v>0</v>
      </c>
      <c r="AXP10">
        <v>0</v>
      </c>
      <c r="AXQ10">
        <v>0</v>
      </c>
      <c r="AXR10">
        <v>0</v>
      </c>
      <c r="AXS10">
        <v>0</v>
      </c>
      <c r="AXT10">
        <v>0</v>
      </c>
      <c r="AXU10">
        <v>0</v>
      </c>
      <c r="AXV10">
        <v>0</v>
      </c>
      <c r="AXW10">
        <v>0</v>
      </c>
      <c r="AXX10">
        <v>0</v>
      </c>
      <c r="AXY10">
        <v>0</v>
      </c>
      <c r="AXZ10">
        <v>0</v>
      </c>
      <c r="AYA10">
        <v>0</v>
      </c>
      <c r="AYB10">
        <v>0</v>
      </c>
      <c r="AYC10">
        <v>0</v>
      </c>
      <c r="AYD10">
        <v>0</v>
      </c>
      <c r="AYE10">
        <v>0</v>
      </c>
      <c r="AYF10">
        <v>0</v>
      </c>
      <c r="AYG10">
        <v>0</v>
      </c>
      <c r="AYH10">
        <v>0</v>
      </c>
      <c r="AYI10">
        <v>0</v>
      </c>
      <c r="AYJ10">
        <v>0</v>
      </c>
      <c r="AYK10">
        <v>0</v>
      </c>
      <c r="AYL10">
        <v>0</v>
      </c>
      <c r="AYM10">
        <v>0</v>
      </c>
      <c r="AYN10">
        <v>0</v>
      </c>
      <c r="AYO10">
        <v>0</v>
      </c>
      <c r="AYP10">
        <v>0</v>
      </c>
      <c r="AYQ10">
        <v>0</v>
      </c>
      <c r="AYR10">
        <v>0</v>
      </c>
      <c r="AYS10">
        <v>0</v>
      </c>
      <c r="AYT10">
        <v>0</v>
      </c>
      <c r="AYU10">
        <v>0</v>
      </c>
      <c r="AYV10">
        <v>0</v>
      </c>
      <c r="AYW10">
        <v>0</v>
      </c>
      <c r="AYX10">
        <v>0</v>
      </c>
      <c r="AYY10">
        <v>0</v>
      </c>
      <c r="AYZ10">
        <v>0</v>
      </c>
      <c r="AZA10">
        <v>0</v>
      </c>
      <c r="AZB10">
        <v>0</v>
      </c>
      <c r="AZC10">
        <v>0</v>
      </c>
      <c r="AZD10">
        <v>0</v>
      </c>
      <c r="AZE10">
        <v>0</v>
      </c>
      <c r="AZF10">
        <v>0</v>
      </c>
      <c r="AZG10">
        <v>0</v>
      </c>
      <c r="AZH10">
        <v>0</v>
      </c>
      <c r="AZI10">
        <v>0</v>
      </c>
      <c r="AZJ10">
        <v>0</v>
      </c>
      <c r="AZK10">
        <v>0</v>
      </c>
      <c r="AZL10">
        <v>0</v>
      </c>
      <c r="AZM10">
        <v>0</v>
      </c>
      <c r="AZN10">
        <v>0</v>
      </c>
      <c r="AZO10">
        <v>0</v>
      </c>
      <c r="AZP10">
        <v>0</v>
      </c>
      <c r="AZQ10">
        <v>0</v>
      </c>
      <c r="AZR10">
        <v>0</v>
      </c>
      <c r="AZS10">
        <v>0</v>
      </c>
      <c r="AZT10">
        <v>0</v>
      </c>
      <c r="AZU10">
        <v>0</v>
      </c>
      <c r="AZV10">
        <v>0</v>
      </c>
      <c r="AZW10">
        <v>0</v>
      </c>
      <c r="AZX10">
        <v>0</v>
      </c>
      <c r="AZY10">
        <v>0</v>
      </c>
      <c r="AZZ10">
        <v>0</v>
      </c>
      <c r="BAA10">
        <v>0</v>
      </c>
      <c r="BAB10">
        <v>0</v>
      </c>
      <c r="BAC10">
        <v>0</v>
      </c>
      <c r="BAD10">
        <v>0</v>
      </c>
      <c r="BAE10">
        <v>0</v>
      </c>
      <c r="BAF10">
        <v>0</v>
      </c>
      <c r="BAG10">
        <v>0</v>
      </c>
      <c r="BAH10">
        <v>0</v>
      </c>
      <c r="BAI10">
        <v>0</v>
      </c>
      <c r="BAJ10">
        <v>0</v>
      </c>
      <c r="BAK10">
        <v>833650</v>
      </c>
      <c r="BAL10">
        <v>13934.59</v>
      </c>
      <c r="BAM10">
        <v>12962.59</v>
      </c>
      <c r="BAN10">
        <v>972</v>
      </c>
      <c r="BAO10">
        <v>0</v>
      </c>
      <c r="BAP10">
        <v>0</v>
      </c>
      <c r="BAQ10">
        <v>0</v>
      </c>
      <c r="BAR10" t="s">
        <v>3431</v>
      </c>
      <c r="BAS10">
        <v>0</v>
      </c>
      <c r="BAT10">
        <v>0</v>
      </c>
      <c r="BAU10">
        <v>0</v>
      </c>
      <c r="BAV10">
        <v>0</v>
      </c>
      <c r="BAW10">
        <v>0</v>
      </c>
      <c r="BAX10">
        <v>0</v>
      </c>
      <c r="BAY10">
        <v>0</v>
      </c>
      <c r="BAZ10">
        <v>0</v>
      </c>
      <c r="BBA10">
        <v>0</v>
      </c>
      <c r="BBB10">
        <v>0</v>
      </c>
      <c r="BBC10">
        <v>0</v>
      </c>
      <c r="BBD10">
        <v>0</v>
      </c>
      <c r="BBE10">
        <v>0</v>
      </c>
      <c r="BBF10">
        <v>0</v>
      </c>
      <c r="BBG10">
        <v>0</v>
      </c>
      <c r="BBH10">
        <v>0</v>
      </c>
      <c r="BBI10">
        <v>0</v>
      </c>
      <c r="BBJ10">
        <v>0</v>
      </c>
      <c r="BBK10">
        <v>0</v>
      </c>
      <c r="BBL10">
        <v>0</v>
      </c>
      <c r="BBM10">
        <v>0</v>
      </c>
      <c r="BBN10">
        <v>0</v>
      </c>
      <c r="BBO10">
        <v>0</v>
      </c>
      <c r="BBP10">
        <v>0</v>
      </c>
      <c r="BBQ10">
        <v>0</v>
      </c>
      <c r="BBR10">
        <v>0</v>
      </c>
      <c r="BBS10">
        <v>0</v>
      </c>
      <c r="BBT10">
        <v>0</v>
      </c>
      <c r="BBU10">
        <v>0</v>
      </c>
      <c r="BBV10">
        <v>0</v>
      </c>
      <c r="BBW10">
        <v>0</v>
      </c>
      <c r="BBX10">
        <v>0</v>
      </c>
      <c r="BBY10">
        <v>0</v>
      </c>
      <c r="BBZ10">
        <v>0</v>
      </c>
      <c r="BCA10">
        <v>0</v>
      </c>
      <c r="BCB10">
        <v>0</v>
      </c>
      <c r="BCC10">
        <v>0</v>
      </c>
      <c r="BCD10">
        <v>0</v>
      </c>
      <c r="BCE10">
        <v>0</v>
      </c>
      <c r="BCF10">
        <v>0</v>
      </c>
      <c r="BCG10">
        <v>0</v>
      </c>
      <c r="BCH10">
        <v>0</v>
      </c>
      <c r="BCI10">
        <v>0</v>
      </c>
      <c r="BCJ10">
        <v>0</v>
      </c>
      <c r="BCK10">
        <v>0</v>
      </c>
      <c r="BCL10">
        <v>0</v>
      </c>
      <c r="BCM10">
        <v>0</v>
      </c>
      <c r="BCN10">
        <v>0</v>
      </c>
      <c r="BCO10">
        <v>0</v>
      </c>
      <c r="BCP10">
        <v>4</v>
      </c>
      <c r="BCQ10">
        <v>6</v>
      </c>
      <c r="BCR10">
        <v>1</v>
      </c>
      <c r="BCS10">
        <v>2</v>
      </c>
      <c r="BCT10">
        <v>5</v>
      </c>
      <c r="BCU10">
        <v>8</v>
      </c>
      <c r="BCV10">
        <v>8</v>
      </c>
      <c r="BCW10">
        <v>3</v>
      </c>
      <c r="BCX10">
        <v>6</v>
      </c>
      <c r="BCY10">
        <v>0</v>
      </c>
      <c r="BCZ10">
        <v>0</v>
      </c>
      <c r="BDA10">
        <v>0</v>
      </c>
      <c r="BDB10">
        <v>0</v>
      </c>
      <c r="BDC10">
        <v>0</v>
      </c>
      <c r="BDD10">
        <v>0</v>
      </c>
      <c r="BDE10">
        <v>0</v>
      </c>
      <c r="BDF10">
        <v>0</v>
      </c>
      <c r="BDG10">
        <v>0</v>
      </c>
      <c r="BDH10">
        <v>0</v>
      </c>
      <c r="BDI10">
        <v>0</v>
      </c>
      <c r="BDJ10">
        <v>0</v>
      </c>
      <c r="BDK10">
        <v>0</v>
      </c>
      <c r="BDL10">
        <v>0</v>
      </c>
      <c r="BDM10">
        <v>0</v>
      </c>
      <c r="BDN10">
        <v>0</v>
      </c>
      <c r="BDO10">
        <v>0</v>
      </c>
      <c r="BDP10">
        <v>0</v>
      </c>
      <c r="BDQ10" t="s">
        <v>3428</v>
      </c>
      <c r="BDR10">
        <v>0</v>
      </c>
      <c r="BDS10">
        <v>0</v>
      </c>
      <c r="BDT10">
        <v>0</v>
      </c>
      <c r="BDU10">
        <v>0</v>
      </c>
      <c r="BDV10">
        <v>0</v>
      </c>
      <c r="BDW10">
        <v>0</v>
      </c>
      <c r="BDX10">
        <v>0</v>
      </c>
      <c r="BDY10">
        <v>0</v>
      </c>
      <c r="BDZ10">
        <v>0</v>
      </c>
      <c r="BEA10">
        <v>0</v>
      </c>
      <c r="BEB10">
        <v>0</v>
      </c>
      <c r="BEC10">
        <v>0</v>
      </c>
      <c r="BED10">
        <v>0</v>
      </c>
      <c r="BEE10">
        <v>0</v>
      </c>
      <c r="BEF10">
        <v>0</v>
      </c>
      <c r="BEG10">
        <v>0</v>
      </c>
      <c r="BEH10">
        <v>0</v>
      </c>
      <c r="BEI10">
        <v>0</v>
      </c>
      <c r="BEJ10">
        <v>0</v>
      </c>
      <c r="BEK10">
        <v>0</v>
      </c>
      <c r="BEL10">
        <v>0</v>
      </c>
      <c r="BEM10">
        <v>0</v>
      </c>
      <c r="BEN10">
        <v>0</v>
      </c>
      <c r="BEO10">
        <v>0</v>
      </c>
      <c r="BEP10">
        <v>0</v>
      </c>
      <c r="BEQ10">
        <v>0</v>
      </c>
      <c r="BER10">
        <v>0</v>
      </c>
      <c r="BES10">
        <v>0</v>
      </c>
      <c r="BET10">
        <v>0</v>
      </c>
      <c r="BEU10">
        <v>0</v>
      </c>
      <c r="BEV10">
        <v>0</v>
      </c>
      <c r="BEW10">
        <v>0</v>
      </c>
      <c r="BEX10">
        <v>0</v>
      </c>
      <c r="BEY10">
        <v>0</v>
      </c>
      <c r="BEZ10">
        <v>0</v>
      </c>
      <c r="BFA10">
        <v>0</v>
      </c>
      <c r="BFB10">
        <v>0</v>
      </c>
      <c r="BFC10">
        <v>0</v>
      </c>
      <c r="BFD10" t="b">
        <v>1</v>
      </c>
      <c r="BFE10" t="b">
        <v>1</v>
      </c>
      <c r="BFF10" t="b">
        <v>1</v>
      </c>
      <c r="BFG10" t="b">
        <v>0</v>
      </c>
      <c r="BFH10">
        <v>0</v>
      </c>
      <c r="BFI10">
        <v>0</v>
      </c>
      <c r="BFJ10">
        <v>0</v>
      </c>
      <c r="BFK10">
        <v>0</v>
      </c>
      <c r="BFL10">
        <v>0</v>
      </c>
      <c r="BFM10">
        <v>0</v>
      </c>
      <c r="BFN10">
        <v>0</v>
      </c>
      <c r="BFO10">
        <v>0</v>
      </c>
      <c r="BFP10">
        <v>0</v>
      </c>
      <c r="BFQ10">
        <v>0</v>
      </c>
      <c r="BFR10">
        <v>0</v>
      </c>
      <c r="BFS10">
        <v>0</v>
      </c>
      <c r="BFT10">
        <v>0</v>
      </c>
      <c r="BFU10">
        <v>0</v>
      </c>
      <c r="BFV10">
        <v>0</v>
      </c>
      <c r="BFW10">
        <v>0</v>
      </c>
      <c r="BFX10">
        <v>0</v>
      </c>
      <c r="BFY10">
        <v>0</v>
      </c>
    </row>
    <row r="13" spans="1:1533" x14ac:dyDescent="0.25">
      <c r="A13" s="628" t="s">
        <v>2035</v>
      </c>
      <c r="B13" s="629"/>
      <c r="C13" s="628">
        <f>COUNTA(NewDatabase!A1:A99) - 1</f>
        <v>33</v>
      </c>
      <c r="D13" s="630"/>
      <c r="E13" s="131" t="s">
        <v>3074</v>
      </c>
      <c r="F13" s="365">
        <f>Borrower1SSN</f>
        <v>0</v>
      </c>
      <c r="H13" s="67">
        <v>4</v>
      </c>
      <c r="I13" s="40">
        <v>5</v>
      </c>
      <c r="J13" s="40">
        <v>4</v>
      </c>
      <c r="K13" s="40">
        <v>9</v>
      </c>
      <c r="L13" s="40">
        <v>9</v>
      </c>
      <c r="M13" s="40">
        <v>5</v>
      </c>
      <c r="N13" s="40">
        <v>4</v>
      </c>
      <c r="O13" s="40">
        <v>4</v>
      </c>
      <c r="P13" s="41">
        <v>6</v>
      </c>
    </row>
    <row r="14" spans="1:1533" x14ac:dyDescent="0.25">
      <c r="A14" s="628" t="s">
        <v>2037</v>
      </c>
      <c r="B14" s="629"/>
      <c r="C14" s="628" t="s">
        <v>3470</v>
      </c>
      <c r="D14" s="630"/>
      <c r="E14" s="131" t="s">
        <v>3075</v>
      </c>
      <c r="F14" s="365">
        <f>Borrower2SSN</f>
        <v>0</v>
      </c>
      <c r="H14" s="6">
        <v>2</v>
      </c>
      <c r="I14" s="303">
        <v>5</v>
      </c>
      <c r="J14" s="303">
        <v>7</v>
      </c>
      <c r="K14" s="303">
        <v>6</v>
      </c>
      <c r="L14" s="303">
        <v>9</v>
      </c>
      <c r="M14" s="303">
        <v>3</v>
      </c>
      <c r="N14" s="303">
        <v>6</v>
      </c>
      <c r="O14" s="303">
        <v>0</v>
      </c>
      <c r="P14" s="7">
        <v>4</v>
      </c>
      <c r="AL14" s="114"/>
    </row>
    <row r="15" spans="1:1533" x14ac:dyDescent="0.25">
      <c r="A15" s="628" t="s">
        <v>2039</v>
      </c>
      <c r="B15" s="629"/>
      <c r="C15" s="628" t="s">
        <v>2043</v>
      </c>
      <c r="D15" s="630"/>
      <c r="E15" s="131" t="s">
        <v>3076</v>
      </c>
      <c r="F15" s="365">
        <f>Borrower3SSN</f>
        <v>0</v>
      </c>
      <c r="H15" s="47">
        <v>0</v>
      </c>
      <c r="I15" s="9">
        <v>0</v>
      </c>
      <c r="J15" s="9">
        <v>0</v>
      </c>
      <c r="K15" s="9">
        <v>0</v>
      </c>
      <c r="L15" s="9">
        <v>0</v>
      </c>
      <c r="M15" s="9">
        <v>0</v>
      </c>
      <c r="N15" s="9">
        <v>0</v>
      </c>
      <c r="O15" s="9">
        <v>0</v>
      </c>
      <c r="P15" s="8">
        <v>0</v>
      </c>
    </row>
    <row r="16" spans="1:1533" x14ac:dyDescent="0.25">
      <c r="A16" s="130" t="s">
        <v>2443</v>
      </c>
      <c r="B16" s="130"/>
      <c r="C16" s="628">
        <v>1</v>
      </c>
      <c r="D16" s="630"/>
      <c r="E16" s="370"/>
      <c r="F16" s="40"/>
      <c r="AL16" s="114"/>
    </row>
    <row r="17" spans="1:1472" x14ac:dyDescent="0.25">
      <c r="A17" s="628" t="s">
        <v>2919</v>
      </c>
      <c r="B17" s="629"/>
      <c r="C17" s="628" t="s">
        <v>2738</v>
      </c>
      <c r="D17" s="630"/>
      <c r="CD17" s="128"/>
    </row>
    <row r="18" spans="1:1472" x14ac:dyDescent="0.25">
      <c r="A18" s="628" t="s">
        <v>2937</v>
      </c>
      <c r="B18" s="629"/>
      <c r="C18" s="628">
        <v>0</v>
      </c>
      <c r="D18" s="630"/>
      <c r="E18" s="628"/>
      <c r="F18" s="630"/>
      <c r="G18" s="131">
        <v>0</v>
      </c>
    </row>
    <row r="19" spans="1:1472" x14ac:dyDescent="0.25">
      <c r="A19" s="628" t="s">
        <v>2938</v>
      </c>
      <c r="B19" s="629"/>
      <c r="C19" s="628">
        <v>0</v>
      </c>
      <c r="D19" s="630"/>
      <c r="E19" s="628"/>
      <c r="F19" s="630"/>
      <c r="G19" s="131">
        <v>0</v>
      </c>
    </row>
    <row r="20" spans="1:1472" x14ac:dyDescent="0.25">
      <c r="A20" s="628" t="s">
        <v>2939</v>
      </c>
      <c r="B20" s="629"/>
      <c r="C20" s="628">
        <v>0</v>
      </c>
      <c r="D20" s="630"/>
      <c r="E20" s="628"/>
      <c r="F20" s="630"/>
      <c r="G20" s="131">
        <v>0</v>
      </c>
      <c r="HC20" s="116"/>
      <c r="IC20" s="116"/>
      <c r="ID20" s="116"/>
      <c r="IE20" s="116"/>
      <c r="IF20" s="116"/>
      <c r="IG20" s="116"/>
      <c r="IH20" s="116"/>
      <c r="II20" s="116"/>
      <c r="IJ20" s="116"/>
      <c r="IK20" s="116"/>
      <c r="IU20" s="116"/>
      <c r="JY20" s="116"/>
      <c r="JZ20" s="116"/>
      <c r="KA20" s="116"/>
      <c r="KB20" s="116"/>
      <c r="KC20" s="116"/>
      <c r="KD20" s="116"/>
      <c r="KE20" s="116"/>
      <c r="KF20" s="116"/>
      <c r="KG20" s="116"/>
      <c r="KQ20" s="116"/>
      <c r="LU20" s="116"/>
      <c r="LV20" s="116"/>
      <c r="LW20" s="116"/>
      <c r="LX20" s="116"/>
      <c r="LY20" s="116"/>
      <c r="LZ20" s="116"/>
      <c r="MA20" s="116"/>
      <c r="MB20" s="116"/>
      <c r="MC20" s="116"/>
      <c r="MM20" s="116"/>
      <c r="NQ20" s="116"/>
      <c r="NR20" s="116"/>
      <c r="NS20" s="116"/>
      <c r="NT20" s="116"/>
      <c r="NU20" s="116"/>
      <c r="NV20" s="116"/>
      <c r="NW20" s="116"/>
      <c r="NX20" s="116"/>
      <c r="NY20" s="116"/>
      <c r="OI20" s="116"/>
      <c r="QE20" s="116"/>
      <c r="RI20" s="116"/>
      <c r="RJ20" s="116"/>
      <c r="RK20" s="116"/>
      <c r="RL20" s="116"/>
      <c r="RM20" s="116"/>
      <c r="RN20" s="116"/>
      <c r="RO20" s="116"/>
      <c r="RP20" s="116"/>
      <c r="RQ20" s="116"/>
      <c r="SA20" s="116"/>
      <c r="TE20" s="116"/>
      <c r="TF20" s="116"/>
      <c r="TG20" s="116"/>
      <c r="TH20" s="116"/>
      <c r="TI20" s="116"/>
      <c r="TJ20" s="116"/>
      <c r="TK20" s="116"/>
      <c r="TL20" s="116"/>
      <c r="TM20" s="116"/>
      <c r="TW20" s="116"/>
      <c r="VA20" s="116"/>
      <c r="VB20" s="116"/>
      <c r="VC20" s="116"/>
      <c r="VD20" s="116"/>
      <c r="VE20" s="116"/>
      <c r="VF20" s="116"/>
      <c r="VG20" s="116"/>
      <c r="VH20" s="116"/>
      <c r="VI20" s="116"/>
      <c r="VS20" s="116"/>
      <c r="WW20" s="116"/>
      <c r="WX20" s="116"/>
      <c r="WY20" s="116"/>
      <c r="WZ20" s="116"/>
      <c r="XA20" s="116"/>
      <c r="XB20" s="116"/>
      <c r="XC20" s="116"/>
      <c r="XD20" s="116"/>
      <c r="XE20" s="116"/>
      <c r="XO20" s="116"/>
      <c r="ZK20" s="116"/>
      <c r="AAO20" s="116"/>
      <c r="AAP20" s="116"/>
      <c r="AAQ20" s="116"/>
      <c r="AAR20" s="116"/>
      <c r="AAS20" s="116"/>
      <c r="AAT20" s="116"/>
      <c r="AAU20" s="116"/>
      <c r="AAV20" s="116"/>
      <c r="AAW20" s="116"/>
      <c r="ABG20" s="116"/>
      <c r="ACK20" s="116"/>
      <c r="ACL20" s="116"/>
      <c r="ACM20" s="116"/>
      <c r="ACN20" s="116"/>
      <c r="ACO20" s="116"/>
      <c r="ACP20" s="116"/>
      <c r="ACQ20" s="116"/>
      <c r="ACR20" s="116"/>
      <c r="ACS20" s="116"/>
      <c r="ADC20" s="116"/>
      <c r="AEG20" s="116"/>
      <c r="AEH20" s="116"/>
      <c r="AEI20" s="116"/>
      <c r="AEJ20" s="116"/>
      <c r="AEK20" s="116"/>
      <c r="AEL20" s="116"/>
      <c r="AEM20" s="116"/>
      <c r="AEN20" s="116"/>
      <c r="AEO20" s="116"/>
      <c r="AEY20" s="116"/>
      <c r="AGC20" s="116"/>
      <c r="AGD20" s="116"/>
      <c r="AGE20" s="116"/>
      <c r="AGF20" s="116"/>
      <c r="AGG20" s="116"/>
      <c r="AGH20" s="116"/>
      <c r="AGI20" s="116"/>
      <c r="AGJ20" s="116"/>
      <c r="AGK20" s="116"/>
      <c r="AGU20" s="116"/>
      <c r="AIQ20" s="116"/>
      <c r="AJU20" s="116"/>
      <c r="AJV20" s="116"/>
      <c r="AJW20" s="116"/>
      <c r="AJX20" s="116"/>
      <c r="AJY20" s="116"/>
      <c r="AJZ20" s="116"/>
      <c r="AKA20" s="116"/>
      <c r="AKB20" s="116"/>
      <c r="AKC20" s="116"/>
      <c r="AKM20" s="116"/>
      <c r="ALQ20" s="116"/>
      <c r="ALR20" s="116"/>
      <c r="ALS20" s="116"/>
      <c r="ALT20" s="116"/>
      <c r="ALU20" s="116"/>
      <c r="ALV20" s="116"/>
      <c r="ALW20" s="116"/>
      <c r="ALX20" s="116"/>
      <c r="ALY20" s="116"/>
      <c r="AMI20" s="116"/>
      <c r="ANM20" s="116"/>
      <c r="ANN20" s="116"/>
      <c r="ANO20" s="116"/>
      <c r="ANP20" s="116"/>
      <c r="ANQ20" s="116"/>
      <c r="ANR20" s="116"/>
      <c r="ANS20" s="116"/>
      <c r="ANT20" s="116"/>
      <c r="ANU20" s="116"/>
      <c r="AOE20" s="116"/>
      <c r="API20" s="116"/>
      <c r="APJ20" s="116"/>
      <c r="APK20" s="116"/>
      <c r="APL20" s="116"/>
      <c r="APM20" s="116"/>
      <c r="APN20" s="116"/>
      <c r="APO20" s="116"/>
      <c r="APP20" s="116"/>
      <c r="APQ20" s="116"/>
      <c r="AQA20" s="116"/>
      <c r="ARW20" s="116"/>
      <c r="ATA20" s="116"/>
      <c r="ATB20" s="116"/>
      <c r="ATC20" s="116"/>
      <c r="ATD20" s="116"/>
      <c r="ATE20" s="116"/>
      <c r="ATF20" s="116"/>
      <c r="ATG20" s="116"/>
      <c r="ATH20" s="116"/>
      <c r="ATI20" s="116"/>
      <c r="ATS20" s="116"/>
      <c r="AUW20" s="116"/>
      <c r="AUX20" s="116"/>
      <c r="AUY20" s="116"/>
      <c r="AUZ20" s="116"/>
      <c r="AVA20" s="116"/>
      <c r="AVB20" s="116"/>
      <c r="AVC20" s="116"/>
      <c r="AVD20" s="116"/>
      <c r="AVE20" s="116"/>
      <c r="AVO20" s="116"/>
      <c r="AWS20" s="116"/>
      <c r="AWT20" s="116"/>
      <c r="AWU20" s="116"/>
      <c r="AWV20" s="116"/>
      <c r="AWW20" s="116"/>
      <c r="AWX20" s="116"/>
      <c r="AWY20" s="116"/>
      <c r="AWZ20" s="116"/>
      <c r="AXA20" s="116"/>
      <c r="AXK20" s="116"/>
      <c r="AYO20" s="116"/>
      <c r="AYP20" s="116"/>
      <c r="AYQ20" s="116"/>
      <c r="AYR20" s="116"/>
      <c r="AYS20" s="116"/>
      <c r="AYT20" s="116"/>
      <c r="AYU20" s="116"/>
      <c r="AYV20" s="116"/>
      <c r="AYW20" s="116"/>
      <c r="AZG20" s="116"/>
    </row>
    <row r="21" spans="1:1472" x14ac:dyDescent="0.25">
      <c r="A21" s="631"/>
      <c r="B21" s="631"/>
      <c r="C21" s="632"/>
      <c r="D21" s="632"/>
      <c r="F21" s="368"/>
      <c r="X21" s="120"/>
      <c r="Y21" s="58"/>
      <c r="Z21" s="120"/>
      <c r="AA21" s="120"/>
      <c r="AB21" s="120"/>
      <c r="AD21" s="120"/>
      <c r="AE21" s="120"/>
      <c r="AF21" s="58"/>
      <c r="AG21" s="120"/>
      <c r="AH21" s="119"/>
      <c r="AK21" s="114"/>
      <c r="AL21" s="120"/>
      <c r="AM21" s="120"/>
      <c r="AN21" s="58"/>
      <c r="AO21" s="114"/>
      <c r="AP21" s="120"/>
      <c r="AQ21" s="120"/>
      <c r="AR21" s="120"/>
      <c r="AS21" s="120"/>
      <c r="AT21" s="120"/>
      <c r="AX21" s="120"/>
      <c r="AZ21" s="58"/>
      <c r="BA21" s="120"/>
      <c r="BE21" s="120"/>
      <c r="BF21" s="120"/>
      <c r="BG21" s="58"/>
      <c r="BI21" s="120"/>
      <c r="BJ21" s="120"/>
      <c r="BT21" s="58"/>
      <c r="CK21" s="118"/>
      <c r="CL21" s="118"/>
      <c r="CM21" s="118"/>
      <c r="CX21" s="58"/>
      <c r="DK21" s="118"/>
      <c r="DL21" s="118"/>
      <c r="DM21" s="118"/>
      <c r="DX21" s="58"/>
      <c r="EK21" s="118"/>
      <c r="EL21" s="118"/>
      <c r="EM21" s="118"/>
      <c r="EP21" s="119"/>
      <c r="FM21" s="119"/>
      <c r="FN21" s="119"/>
      <c r="FO21" s="119"/>
      <c r="FP21" s="119"/>
      <c r="FQ21" s="119"/>
      <c r="FR21" s="119"/>
      <c r="FS21" s="119"/>
      <c r="FT21" s="119"/>
      <c r="FU21" s="119"/>
      <c r="FV21" s="119"/>
      <c r="FW21" s="119"/>
      <c r="FX21" s="119"/>
      <c r="FY21" s="119"/>
      <c r="FZ21" s="119"/>
      <c r="GA21" s="119"/>
      <c r="GB21" s="119"/>
      <c r="GC21" s="119"/>
      <c r="GD21" s="119"/>
      <c r="GE21" s="119"/>
      <c r="GF21" s="119"/>
      <c r="GM21" s="58"/>
      <c r="GP21" s="128"/>
      <c r="GQ21" s="128"/>
      <c r="GR21" s="128"/>
      <c r="GS21" s="128"/>
      <c r="GU21" s="119"/>
      <c r="GV21" s="119"/>
      <c r="GW21" s="119"/>
      <c r="GX21" s="119"/>
      <c r="HC21" s="120"/>
      <c r="HD21" s="119"/>
      <c r="HI21" s="119"/>
      <c r="IL21" s="128"/>
      <c r="IM21" s="128"/>
      <c r="IN21" s="128"/>
      <c r="IO21" s="128"/>
      <c r="IQ21" s="119"/>
      <c r="IR21" s="119"/>
      <c r="IS21" s="119"/>
      <c r="IT21" s="119"/>
      <c r="IU21" s="119"/>
      <c r="JA21" s="119"/>
      <c r="KH21" s="128"/>
      <c r="KI21" s="128"/>
      <c r="KJ21" s="128"/>
      <c r="KK21" s="128"/>
      <c r="KM21" s="119"/>
      <c r="KN21" s="119"/>
      <c r="KO21" s="119"/>
      <c r="KP21" s="119"/>
      <c r="KQ21" s="121"/>
      <c r="KS21" s="119"/>
      <c r="KW21" s="119"/>
      <c r="MD21" s="128"/>
      <c r="ME21" s="128"/>
      <c r="MF21" s="128"/>
      <c r="MG21" s="128"/>
      <c r="MI21" s="119"/>
      <c r="MJ21" s="119"/>
      <c r="MK21" s="119"/>
      <c r="ML21" s="119"/>
      <c r="MM21" s="121"/>
      <c r="MN21" s="119"/>
      <c r="MS21" s="119"/>
      <c r="NQ21" s="116"/>
      <c r="NR21" s="116"/>
      <c r="NS21" s="116"/>
      <c r="NT21" s="116"/>
      <c r="NU21" s="116"/>
      <c r="NV21" s="116"/>
      <c r="NW21" s="116"/>
      <c r="NX21" s="116"/>
      <c r="NY21" s="116"/>
      <c r="NZ21" s="128"/>
      <c r="OA21" s="128"/>
      <c r="OB21" s="128"/>
      <c r="OC21" s="128"/>
      <c r="OE21" s="119"/>
      <c r="OF21" s="119"/>
      <c r="OG21" s="119"/>
      <c r="OH21" s="119"/>
      <c r="OI21" s="121"/>
      <c r="OJ21" s="119"/>
      <c r="OO21" s="119"/>
      <c r="PV21" s="128"/>
      <c r="PW21" s="128"/>
      <c r="PX21" s="128"/>
      <c r="PY21" s="128"/>
      <c r="QA21" s="119"/>
      <c r="QB21" s="119"/>
      <c r="QC21" s="119"/>
      <c r="QD21" s="119"/>
      <c r="QE21" s="121"/>
      <c r="QF21" s="119"/>
      <c r="QK21" s="119"/>
      <c r="RI21" s="116"/>
      <c r="RJ21" s="116"/>
      <c r="RK21" s="116"/>
      <c r="RL21" s="116"/>
      <c r="RM21" s="116"/>
      <c r="RN21" s="116"/>
      <c r="RO21" s="116"/>
      <c r="RP21" s="116"/>
      <c r="RQ21" s="116"/>
      <c r="RR21" s="128"/>
      <c r="RS21" s="128"/>
      <c r="RT21" s="128"/>
      <c r="RU21" s="128"/>
      <c r="RW21" s="119"/>
      <c r="RX21" s="119"/>
      <c r="RY21" s="119"/>
      <c r="RZ21" s="119"/>
      <c r="SA21" s="121"/>
      <c r="SB21" s="119"/>
      <c r="SG21" s="119"/>
      <c r="TE21" s="116"/>
      <c r="TF21" s="116"/>
      <c r="TG21" s="116"/>
      <c r="TH21" s="116"/>
      <c r="TI21" s="116"/>
      <c r="TJ21" s="116"/>
      <c r="TK21" s="116"/>
      <c r="TL21" s="116"/>
      <c r="TM21" s="116"/>
      <c r="TN21" s="128"/>
      <c r="TO21" s="128"/>
      <c r="TP21" s="128"/>
      <c r="TQ21" s="128"/>
      <c r="TS21" s="119"/>
      <c r="TT21" s="119"/>
      <c r="TU21" s="119"/>
      <c r="TV21" s="119"/>
      <c r="TW21" s="121"/>
      <c r="TX21" s="119"/>
      <c r="UC21" s="119"/>
      <c r="VA21" s="116"/>
      <c r="VB21" s="116"/>
      <c r="VC21" s="116"/>
      <c r="VD21" s="116"/>
      <c r="VE21" s="116"/>
      <c r="VF21" s="116"/>
      <c r="VG21" s="116"/>
      <c r="VH21" s="116"/>
      <c r="VI21" s="116"/>
      <c r="VJ21" s="128"/>
      <c r="VK21" s="128"/>
      <c r="VL21" s="128"/>
      <c r="VM21" s="128"/>
      <c r="VO21" s="119"/>
      <c r="VP21" s="119"/>
      <c r="VQ21" s="119"/>
      <c r="VR21" s="119"/>
      <c r="VS21" s="121"/>
      <c r="VT21" s="119"/>
      <c r="VU21" s="119"/>
      <c r="VY21" s="119"/>
      <c r="WW21" s="116"/>
      <c r="WX21" s="116"/>
      <c r="WY21" s="116"/>
      <c r="WZ21" s="116"/>
      <c r="XA21" s="116"/>
      <c r="XB21" s="116"/>
      <c r="XC21" s="116"/>
      <c r="XD21" s="116"/>
      <c r="XE21" s="116"/>
      <c r="XF21" s="128"/>
      <c r="XG21" s="128"/>
      <c r="XH21" s="128"/>
      <c r="XI21" s="128"/>
      <c r="XK21" s="119"/>
      <c r="XL21" s="119"/>
      <c r="XM21" s="119"/>
      <c r="XN21" s="119"/>
      <c r="XO21" s="121"/>
      <c r="XP21" s="119"/>
      <c r="XQ21" s="119"/>
      <c r="XU21" s="119"/>
      <c r="ZB21" s="128"/>
      <c r="ZC21" s="128"/>
      <c r="ZD21" s="128"/>
      <c r="ZE21" s="128"/>
      <c r="ZG21" s="119"/>
      <c r="ZH21" s="119"/>
      <c r="ZI21" s="119"/>
      <c r="ZJ21" s="119"/>
      <c r="ZK21" s="121"/>
      <c r="ZL21" s="119"/>
      <c r="ZM21" s="119"/>
      <c r="ZQ21" s="119"/>
      <c r="AAO21" s="116"/>
      <c r="AAP21" s="116"/>
      <c r="AAQ21" s="116"/>
      <c r="AAR21" s="116"/>
      <c r="AAS21" s="116"/>
      <c r="AAT21" s="116"/>
      <c r="AAU21" s="116"/>
      <c r="AAV21" s="116"/>
      <c r="AAW21" s="116"/>
      <c r="AAX21" s="128"/>
      <c r="AAY21" s="128"/>
      <c r="AAZ21" s="128"/>
      <c r="ABA21" s="128"/>
      <c r="ABC21" s="119"/>
      <c r="ABD21" s="119"/>
      <c r="ABE21" s="119"/>
      <c r="ABF21" s="119"/>
      <c r="ABG21" s="121"/>
      <c r="ABH21" s="119"/>
      <c r="ABI21" s="119"/>
      <c r="ABM21" s="119"/>
      <c r="ACK21" s="116"/>
      <c r="ACL21" s="116"/>
      <c r="ACM21" s="116"/>
      <c r="ACN21" s="116"/>
      <c r="ACO21" s="116"/>
      <c r="ACP21" s="116"/>
      <c r="ACQ21" s="116"/>
      <c r="ACR21" s="116"/>
      <c r="ACS21" s="116"/>
      <c r="ACT21" s="128"/>
      <c r="ACU21" s="128"/>
      <c r="ACV21" s="128"/>
      <c r="ACW21" s="128"/>
      <c r="ACY21" s="119"/>
      <c r="ACZ21" s="119"/>
      <c r="ADA21" s="119"/>
      <c r="ADB21" s="119"/>
      <c r="ADC21" s="121"/>
      <c r="ADD21" s="119"/>
      <c r="ADE21" s="119"/>
      <c r="ADI21" s="119"/>
      <c r="AEG21" s="116"/>
      <c r="AEH21" s="116"/>
      <c r="AEI21" s="116"/>
      <c r="AEJ21" s="116"/>
      <c r="AEK21" s="116"/>
      <c r="AEL21" s="116"/>
      <c r="AEM21" s="116"/>
      <c r="AEN21" s="116"/>
      <c r="AEO21" s="116"/>
      <c r="AEP21" s="128"/>
      <c r="AEQ21" s="128"/>
      <c r="AER21" s="128"/>
      <c r="AES21" s="128"/>
      <c r="AEU21" s="119"/>
      <c r="AEV21" s="119"/>
      <c r="AEW21" s="119"/>
      <c r="AEX21" s="119"/>
      <c r="AEY21" s="121"/>
      <c r="AEZ21" s="119"/>
      <c r="AFA21" s="119"/>
      <c r="AFE21" s="119"/>
      <c r="AGC21" s="116"/>
      <c r="AGD21" s="116"/>
      <c r="AGE21" s="116"/>
      <c r="AGF21" s="116"/>
      <c r="AGG21" s="116"/>
      <c r="AGH21" s="116"/>
      <c r="AGI21" s="116"/>
      <c r="AGJ21" s="116"/>
      <c r="AGK21" s="116"/>
      <c r="AGL21" s="128"/>
      <c r="AGM21" s="128"/>
      <c r="AGN21" s="128"/>
      <c r="AGO21" s="128"/>
      <c r="AGQ21" s="119"/>
      <c r="AGR21" s="119"/>
      <c r="AGS21" s="119"/>
      <c r="AGT21" s="119"/>
      <c r="AGU21" s="121"/>
      <c r="AGV21" s="119"/>
      <c r="AGW21" s="119"/>
      <c r="AHA21" s="119"/>
      <c r="AIH21" s="128"/>
      <c r="AII21" s="128"/>
      <c r="AIJ21" s="128"/>
      <c r="AIK21" s="128"/>
      <c r="AIM21" s="119"/>
      <c r="AIN21" s="119"/>
      <c r="AIO21" s="119"/>
      <c r="AIP21" s="119"/>
      <c r="AIQ21" s="121"/>
      <c r="AIR21" s="119"/>
      <c r="AIS21" s="119"/>
      <c r="AIW21" s="119"/>
      <c r="AJU21" s="116"/>
      <c r="AJV21" s="116"/>
      <c r="AJW21" s="116"/>
      <c r="AJX21" s="116"/>
      <c r="AJY21" s="116"/>
      <c r="AJZ21" s="116"/>
      <c r="AKA21" s="116"/>
      <c r="AKB21" s="116"/>
      <c r="AKC21" s="116"/>
      <c r="AKD21" s="128"/>
      <c r="AKE21" s="128"/>
      <c r="AKF21" s="128"/>
      <c r="AKG21" s="128"/>
      <c r="AKI21" s="119"/>
      <c r="AKJ21" s="119"/>
      <c r="AKK21" s="119"/>
      <c r="AKL21" s="119"/>
      <c r="AKM21" s="121"/>
      <c r="AKN21" s="119"/>
      <c r="AKO21" s="119"/>
      <c r="AKS21" s="119"/>
      <c r="ALQ21" s="116"/>
      <c r="ALR21" s="116"/>
      <c r="ALS21" s="116"/>
      <c r="ALT21" s="116"/>
      <c r="ALU21" s="116"/>
      <c r="ALV21" s="116"/>
      <c r="ALW21" s="116"/>
      <c r="ALX21" s="116"/>
      <c r="ALY21" s="116"/>
      <c r="ALZ21" s="128"/>
      <c r="AMA21" s="128"/>
      <c r="AMB21" s="128"/>
      <c r="AMC21" s="128"/>
      <c r="AME21" s="119"/>
      <c r="AMF21" s="119"/>
      <c r="AMG21" s="119"/>
      <c r="AMH21" s="119"/>
      <c r="AMI21" s="121"/>
      <c r="AMJ21" s="119"/>
      <c r="AMK21" s="119"/>
      <c r="AMO21" s="119"/>
      <c r="ANM21" s="116"/>
      <c r="ANN21" s="116"/>
      <c r="ANO21" s="116"/>
      <c r="ANP21" s="116"/>
      <c r="ANQ21" s="116"/>
      <c r="ANR21" s="116"/>
      <c r="ANS21" s="116"/>
      <c r="ANT21" s="116"/>
      <c r="ANU21" s="116"/>
      <c r="ANV21" s="128"/>
      <c r="ANW21" s="128"/>
      <c r="ANX21" s="128"/>
      <c r="ANY21" s="128"/>
      <c r="AOA21" s="119"/>
      <c r="AOB21" s="119"/>
      <c r="AOC21" s="119"/>
      <c r="AOD21" s="119"/>
      <c r="AOE21" s="121"/>
      <c r="AOF21" s="119"/>
      <c r="AOG21" s="119"/>
      <c r="AOK21" s="119"/>
      <c r="API21" s="116"/>
      <c r="APJ21" s="116"/>
      <c r="APK21" s="116"/>
      <c r="APL21" s="116"/>
      <c r="APM21" s="116"/>
      <c r="APN21" s="116"/>
      <c r="APO21" s="116"/>
      <c r="APP21" s="116"/>
      <c r="APQ21" s="116"/>
      <c r="APR21" s="128"/>
      <c r="APS21" s="128"/>
      <c r="APT21" s="128"/>
      <c r="APU21" s="128"/>
      <c r="APW21" s="119"/>
      <c r="APX21" s="119"/>
      <c r="APY21" s="119"/>
      <c r="APZ21" s="119"/>
      <c r="AQA21" s="121"/>
      <c r="AQB21" s="119"/>
      <c r="AQC21" s="119"/>
      <c r="AQG21" s="119"/>
      <c r="ARN21" s="128"/>
      <c r="ARO21" s="128"/>
      <c r="ARP21" s="128"/>
      <c r="ARQ21" s="128"/>
      <c r="ARS21" s="119"/>
      <c r="ART21" s="119"/>
      <c r="ARU21" s="119"/>
      <c r="ARV21" s="119"/>
      <c r="ARW21" s="121"/>
      <c r="ARX21" s="119"/>
      <c r="ARY21" s="119"/>
      <c r="ASC21" s="119"/>
      <c r="ATA21" s="116"/>
      <c r="ATB21" s="116"/>
      <c r="ATC21" s="116"/>
      <c r="ATD21" s="116"/>
      <c r="ATE21" s="116"/>
      <c r="ATF21" s="116"/>
      <c r="ATG21" s="116"/>
      <c r="ATH21" s="116"/>
      <c r="ATI21" s="116"/>
      <c r="ATJ21" s="128"/>
      <c r="ATK21" s="128"/>
      <c r="ATL21" s="128"/>
      <c r="ATM21" s="128"/>
      <c r="ATO21" s="119"/>
      <c r="ATP21" s="119"/>
      <c r="ATQ21" s="119"/>
      <c r="ATR21" s="119"/>
      <c r="ATS21" s="121"/>
      <c r="ATT21" s="119"/>
      <c r="ATU21" s="119"/>
      <c r="ATY21" s="119"/>
      <c r="AUW21" s="116"/>
      <c r="AUX21" s="116"/>
      <c r="AUY21" s="116"/>
      <c r="AUZ21" s="116"/>
      <c r="AVA21" s="116"/>
      <c r="AVB21" s="116"/>
      <c r="AVC21" s="116"/>
      <c r="AVD21" s="116"/>
      <c r="AVE21" s="116"/>
      <c r="AVF21" s="128"/>
      <c r="AVG21" s="128"/>
      <c r="AVH21" s="128"/>
      <c r="AVI21" s="128"/>
      <c r="AVK21" s="119"/>
      <c r="AVL21" s="119"/>
      <c r="AVM21" s="119"/>
      <c r="AVN21" s="119"/>
      <c r="AVO21" s="121"/>
      <c r="AVP21" s="119"/>
      <c r="AVQ21" s="119"/>
      <c r="AVU21" s="119"/>
      <c r="AWS21" s="116"/>
      <c r="AWT21" s="116"/>
      <c r="AWU21" s="116"/>
      <c r="AWV21" s="116"/>
      <c r="AWW21" s="116"/>
      <c r="AWX21" s="116"/>
      <c r="AWY21" s="116"/>
      <c r="AWZ21" s="116"/>
      <c r="AXA21" s="116"/>
      <c r="AXB21" s="128"/>
      <c r="AXC21" s="128"/>
      <c r="AXD21" s="128"/>
      <c r="AXE21" s="128"/>
      <c r="AXG21" s="119"/>
      <c r="AXH21" s="119"/>
      <c r="AXI21" s="119"/>
      <c r="AXJ21" s="119"/>
      <c r="AXK21" s="121"/>
      <c r="AXL21" s="119"/>
      <c r="AXM21" s="119"/>
      <c r="AXQ21" s="119"/>
      <c r="AYO21" s="116"/>
      <c r="AYP21" s="116"/>
      <c r="AYQ21" s="116"/>
      <c r="AYR21" s="116"/>
      <c r="AYS21" s="116"/>
      <c r="AYT21" s="116"/>
      <c r="AYU21" s="116"/>
      <c r="AYV21" s="116"/>
      <c r="AYW21" s="116"/>
      <c r="AYX21" s="128"/>
      <c r="AYY21" s="128"/>
      <c r="AYZ21" s="128"/>
      <c r="AZA21" s="128"/>
      <c r="AZC21" s="119"/>
      <c r="AZD21" s="119"/>
      <c r="AZE21" s="119"/>
      <c r="AZF21" s="119"/>
      <c r="AZG21" s="121"/>
      <c r="AZH21" s="119"/>
      <c r="AZI21" s="119"/>
      <c r="AZM21" s="119"/>
      <c r="BAL21" s="120"/>
      <c r="BAM21" s="120"/>
      <c r="BAN21" s="120"/>
      <c r="BAO21" s="120"/>
      <c r="BAP21" s="120"/>
      <c r="BAQ21" s="120"/>
      <c r="BCP21" s="120"/>
      <c r="BCQ21" s="120"/>
      <c r="BCR21" s="120"/>
      <c r="BCS21" s="120"/>
      <c r="BCT21" s="120"/>
      <c r="BCU21" s="120"/>
      <c r="BCV21" s="120"/>
      <c r="BCW21" s="120"/>
      <c r="BCX21" s="120"/>
      <c r="BCY21" s="120"/>
      <c r="BCZ21" s="120"/>
      <c r="BDA21" s="120"/>
      <c r="BDB21" s="120"/>
      <c r="BDC21" s="120"/>
      <c r="BDD21" s="120"/>
      <c r="BDE21" s="120"/>
      <c r="BDF21" s="120"/>
      <c r="BDG21" s="120"/>
      <c r="BDH21" s="120"/>
      <c r="BDI21" s="120"/>
      <c r="BDJ21" s="120"/>
      <c r="BDK21" s="120"/>
      <c r="BDL21" s="120"/>
      <c r="BDM21" s="120"/>
      <c r="BDN21" s="120"/>
      <c r="BDO21" s="120"/>
      <c r="BDP21" s="120"/>
    </row>
    <row r="22" spans="1:1472" x14ac:dyDescent="0.25">
      <c r="A22" s="631"/>
      <c r="B22" s="631"/>
      <c r="C22" s="632"/>
      <c r="D22" s="632"/>
    </row>
    <row r="23" spans="1:1472" x14ac:dyDescent="0.25">
      <c r="A23" s="631"/>
      <c r="B23" s="631"/>
      <c r="C23" s="632"/>
      <c r="D23" s="632"/>
      <c r="P23" s="111"/>
      <c r="S23" s="366"/>
    </row>
    <row r="24" spans="1:1472" x14ac:dyDescent="0.25">
      <c r="A24" s="631" t="s">
        <v>2943</v>
      </c>
      <c r="B24" s="631"/>
      <c r="C24" s="632" t="b">
        <v>1</v>
      </c>
      <c r="D24" s="632"/>
      <c r="F24" t="s">
        <v>3315</v>
      </c>
      <c r="G24" t="s">
        <v>3479</v>
      </c>
    </row>
    <row r="29" spans="1:1472" x14ac:dyDescent="0.25">
      <c r="J29" s="178"/>
      <c r="K29" s="178"/>
      <c r="L29" s="178"/>
      <c r="M29" s="178"/>
      <c r="N29" s="178"/>
      <c r="O29" s="178"/>
      <c r="P29" s="178"/>
      <c r="Q29" s="178"/>
      <c r="R29" s="178"/>
      <c r="S29" s="178"/>
      <c r="T29" s="178"/>
      <c r="U29" s="178"/>
      <c r="V29" s="178"/>
      <c r="W29" s="178"/>
      <c r="X29" s="178"/>
      <c r="Y29" s="178"/>
      <c r="Z29" s="178"/>
      <c r="AA29" s="178"/>
      <c r="AB29" s="178"/>
      <c r="AC29" s="178"/>
      <c r="AD29" s="178"/>
      <c r="AE29" s="178"/>
      <c r="AF29" s="178"/>
      <c r="AN29" s="178"/>
      <c r="AO29" s="178"/>
      <c r="AP29" s="178"/>
      <c r="AQ29" s="178"/>
      <c r="AR29" s="178"/>
      <c r="AS29" s="178"/>
      <c r="AT29" s="178"/>
    </row>
    <row r="30" spans="1:1472" x14ac:dyDescent="0.25">
      <c r="J30" s="178"/>
      <c r="K30" s="178"/>
      <c r="L30" s="178"/>
      <c r="M30" s="178"/>
      <c r="N30" s="178"/>
      <c r="O30" s="178"/>
      <c r="P30" s="178"/>
      <c r="Q30" s="178"/>
      <c r="R30" s="178"/>
      <c r="S30" s="183"/>
      <c r="U30" s="183"/>
      <c r="V30" s="183"/>
      <c r="W30" s="183"/>
      <c r="X30" s="183"/>
      <c r="Y30" s="183"/>
      <c r="Z30" s="183"/>
      <c r="AA30" s="183"/>
      <c r="AB30" s="183"/>
      <c r="AC30" s="183"/>
      <c r="AD30" s="183"/>
      <c r="AE30" s="183"/>
      <c r="AF30" s="178"/>
      <c r="AN30" s="178"/>
      <c r="AO30" s="178"/>
      <c r="AP30" s="178"/>
      <c r="AQ30" s="178"/>
      <c r="AR30" s="178"/>
      <c r="AS30" s="178"/>
      <c r="AT30" s="178"/>
    </row>
    <row r="31" spans="1:1472" x14ac:dyDescent="0.25">
      <c r="A31" s="178"/>
      <c r="B31" s="178" t="s">
        <v>1901</v>
      </c>
      <c r="C31" s="178"/>
      <c r="D31" s="178"/>
      <c r="E31" s="178"/>
      <c r="F31" s="178"/>
      <c r="G31" s="178" t="s">
        <v>1902</v>
      </c>
      <c r="H31" s="178"/>
      <c r="I31" s="178"/>
      <c r="J31" s="178"/>
      <c r="K31" s="178"/>
      <c r="L31" s="178"/>
      <c r="M31" s="178"/>
      <c r="N31" s="178"/>
      <c r="O31" s="178"/>
      <c r="P31" s="178"/>
      <c r="Q31" s="178"/>
      <c r="R31" s="178"/>
      <c r="S31" s="178"/>
      <c r="U31" s="183"/>
      <c r="V31" s="183"/>
      <c r="W31" s="183"/>
      <c r="X31" s="183"/>
      <c r="Y31" s="183"/>
      <c r="Z31" s="183"/>
      <c r="AA31" s="183"/>
      <c r="AB31" s="183"/>
      <c r="AC31" s="183"/>
      <c r="AD31" s="183"/>
      <c r="AE31" s="183"/>
      <c r="AF31" s="178"/>
      <c r="AN31" s="178"/>
      <c r="AO31" s="178"/>
      <c r="AP31" s="178"/>
      <c r="AQ31" s="178"/>
      <c r="AR31" s="178"/>
      <c r="AS31" s="178"/>
      <c r="AT31" s="178"/>
    </row>
    <row r="32" spans="1:1472" x14ac:dyDescent="0.25">
      <c r="A32" s="178">
        <v>1</v>
      </c>
      <c r="B32" s="178" t="s">
        <v>1891</v>
      </c>
      <c r="C32" s="178"/>
      <c r="D32" s="183" t="s">
        <v>1894</v>
      </c>
      <c r="E32" s="178"/>
      <c r="F32" s="198">
        <v>900</v>
      </c>
      <c r="G32" s="178" t="s">
        <v>1898</v>
      </c>
      <c r="H32" s="178"/>
      <c r="J32" s="178"/>
      <c r="K32" s="178"/>
      <c r="L32" s="178"/>
      <c r="M32" s="178"/>
      <c r="N32" s="178"/>
      <c r="O32" s="178"/>
      <c r="P32" s="178"/>
      <c r="Q32" s="178"/>
      <c r="R32" s="183"/>
      <c r="S32" s="183"/>
      <c r="U32" s="183"/>
      <c r="V32" s="183"/>
      <c r="W32" s="183"/>
      <c r="X32" s="183"/>
      <c r="Y32" s="183"/>
      <c r="Z32" s="183"/>
      <c r="AA32" s="183"/>
      <c r="AB32" s="183"/>
      <c r="AC32" s="183"/>
      <c r="AD32" s="183"/>
      <c r="AE32" s="183"/>
      <c r="AF32" s="178"/>
      <c r="AN32" s="178"/>
      <c r="AO32" s="178"/>
      <c r="AP32" s="178"/>
      <c r="AQ32" s="178"/>
      <c r="AR32" s="178"/>
      <c r="AS32" s="178"/>
      <c r="AT32" s="178"/>
    </row>
    <row r="33" spans="1:73" x14ac:dyDescent="0.25">
      <c r="A33" s="178">
        <v>2</v>
      </c>
      <c r="B33" s="178" t="s">
        <v>1892</v>
      </c>
      <c r="C33" s="178"/>
      <c r="D33" s="183" t="s">
        <v>1895</v>
      </c>
      <c r="E33" s="178"/>
      <c r="F33" s="198">
        <v>0</v>
      </c>
      <c r="G33" s="178" t="s">
        <v>1899</v>
      </c>
      <c r="H33" s="178"/>
      <c r="J33" s="178"/>
      <c r="K33" s="178"/>
      <c r="L33" s="178"/>
      <c r="M33" s="178"/>
      <c r="N33" s="178"/>
      <c r="O33" s="178"/>
      <c r="P33" s="178"/>
      <c r="Q33" s="178"/>
      <c r="R33" s="178"/>
      <c r="S33" s="178"/>
      <c r="T33" s="178"/>
      <c r="U33" s="178"/>
      <c r="V33" s="178"/>
      <c r="W33" s="178"/>
      <c r="X33" s="178"/>
      <c r="Y33" s="178"/>
      <c r="Z33" s="178"/>
      <c r="AA33" s="178"/>
      <c r="AB33" s="178"/>
      <c r="AC33" s="178"/>
      <c r="AD33" s="178"/>
      <c r="AE33" s="178"/>
      <c r="AF33" s="178"/>
      <c r="AN33" s="178"/>
      <c r="AO33" s="178"/>
      <c r="AP33" s="178"/>
      <c r="AQ33" s="178"/>
      <c r="AR33" s="178"/>
      <c r="AS33" s="178"/>
      <c r="AT33" s="178"/>
      <c r="BC33" s="116"/>
      <c r="BD33" s="116"/>
      <c r="BE33" s="116"/>
      <c r="BF33" s="116"/>
      <c r="BG33" s="116"/>
      <c r="BH33" s="116"/>
      <c r="BI33" s="116"/>
      <c r="BJ33" s="116"/>
      <c r="BO33" s="116"/>
      <c r="BP33" s="116"/>
      <c r="BQ33" s="116"/>
      <c r="BR33" s="116"/>
      <c r="BS33" s="116"/>
      <c r="BT33" s="116"/>
      <c r="BU33" s="116"/>
    </row>
    <row r="34" spans="1:73" x14ac:dyDescent="0.25">
      <c r="A34" s="178">
        <v>3</v>
      </c>
      <c r="B34" s="178" t="s">
        <v>1893</v>
      </c>
      <c r="C34" s="178"/>
      <c r="D34" s="183" t="s">
        <v>1907</v>
      </c>
      <c r="E34" s="178"/>
      <c r="F34" s="198">
        <v>900</v>
      </c>
      <c r="G34" s="178" t="s">
        <v>1900</v>
      </c>
      <c r="H34" s="178"/>
      <c r="J34" s="178"/>
      <c r="K34" s="178"/>
      <c r="L34" s="178"/>
      <c r="M34" s="178"/>
      <c r="N34" s="178"/>
      <c r="O34" s="178"/>
      <c r="P34" s="178"/>
      <c r="Q34" s="178"/>
      <c r="R34" s="178"/>
      <c r="S34" s="178"/>
      <c r="T34" s="178"/>
      <c r="U34" s="178"/>
      <c r="V34" s="178"/>
      <c r="W34" s="178"/>
      <c r="X34" s="178"/>
      <c r="Y34" s="178"/>
      <c r="Z34" s="178"/>
      <c r="AA34" s="178"/>
      <c r="AB34" s="178"/>
      <c r="AC34" s="178"/>
      <c r="AD34" s="178"/>
      <c r="AE34" s="178"/>
      <c r="AF34" s="178"/>
      <c r="AN34" s="178"/>
      <c r="AO34" s="178"/>
      <c r="AP34" s="178"/>
      <c r="AQ34" s="178"/>
      <c r="AR34" s="178"/>
      <c r="AS34" s="178"/>
      <c r="AT34" s="178"/>
    </row>
    <row r="35" spans="1:73" x14ac:dyDescent="0.25">
      <c r="A35" s="178"/>
      <c r="B35" s="199" t="s">
        <v>1879</v>
      </c>
      <c r="C35" s="199"/>
      <c r="D35" s="199"/>
      <c r="E35" s="199"/>
      <c r="F35" s="198">
        <v>900</v>
      </c>
      <c r="G35" s="198"/>
      <c r="H35" s="178"/>
      <c r="J35" s="178"/>
      <c r="K35" s="178"/>
      <c r="L35" s="178"/>
    </row>
    <row r="36" spans="1:73" x14ac:dyDescent="0.25">
      <c r="A36" s="178"/>
      <c r="B36" s="199" t="s">
        <v>1880</v>
      </c>
      <c r="C36" s="199"/>
      <c r="D36" s="199"/>
      <c r="E36" s="199"/>
      <c r="F36" s="198">
        <v>0</v>
      </c>
      <c r="G36" s="198"/>
      <c r="H36" s="178"/>
      <c r="I36" s="178"/>
    </row>
    <row r="37" spans="1:73" x14ac:dyDescent="0.25">
      <c r="B37" s="199"/>
      <c r="E37" s="116"/>
      <c r="F37" s="119"/>
      <c r="G37" s="198"/>
      <c r="H37" s="178"/>
      <c r="I37" s="178"/>
    </row>
    <row r="38" spans="1:73" x14ac:dyDescent="0.25">
      <c r="A38" t="s">
        <v>3197</v>
      </c>
      <c r="B38" s="58">
        <v>43647</v>
      </c>
      <c r="E38" s="116"/>
      <c r="F38" s="116"/>
    </row>
    <row r="39" spans="1:73" x14ac:dyDescent="0.25">
      <c r="A39" t="s">
        <v>3199</v>
      </c>
      <c r="B39">
        <v>1</v>
      </c>
      <c r="F39" s="116"/>
    </row>
    <row r="40" spans="1:73" x14ac:dyDescent="0.25">
      <c r="E40" s="116"/>
      <c r="F40" s="116"/>
    </row>
    <row r="41" spans="1:73" x14ac:dyDescent="0.25">
      <c r="E41" s="116"/>
      <c r="F41" s="116"/>
    </row>
    <row r="42" spans="1:73" x14ac:dyDescent="0.25">
      <c r="E42" s="116"/>
      <c r="F42" s="116"/>
    </row>
    <row r="43" spans="1:73" x14ac:dyDescent="0.25">
      <c r="E43" s="116"/>
      <c r="F43" s="116"/>
    </row>
    <row r="44" spans="1:73" x14ac:dyDescent="0.25">
      <c r="E44" s="116"/>
      <c r="F44" s="116"/>
    </row>
    <row r="45" spans="1:73" x14ac:dyDescent="0.25">
      <c r="E45" s="116"/>
      <c r="F45" s="116"/>
    </row>
    <row r="46" spans="1:73" x14ac:dyDescent="0.25">
      <c r="E46" s="116"/>
      <c r="F46" s="116"/>
    </row>
    <row r="47" spans="1:73" x14ac:dyDescent="0.25">
      <c r="E47" s="116"/>
      <c r="F47" s="116"/>
    </row>
    <row r="48" spans="1:73" ht="15" customHeight="1" x14ac:dyDescent="0.25">
      <c r="E48" s="116"/>
      <c r="F48" s="116"/>
    </row>
    <row r="49" spans="5:6" ht="15" customHeight="1" x14ac:dyDescent="0.25">
      <c r="E49" s="116"/>
      <c r="F49" s="116"/>
    </row>
    <row r="50" spans="5:6" ht="15" customHeight="1" x14ac:dyDescent="0.25">
      <c r="E50" s="116"/>
      <c r="F50" s="116"/>
    </row>
    <row r="51" spans="5:6" ht="15" customHeight="1" x14ac:dyDescent="0.25">
      <c r="E51" s="116"/>
      <c r="F51" s="116"/>
    </row>
    <row r="52" spans="5:6" ht="15" customHeight="1" x14ac:dyDescent="0.25">
      <c r="E52" s="116"/>
      <c r="F52" s="116"/>
    </row>
    <row r="53" spans="5:6" ht="15" customHeight="1" x14ac:dyDescent="0.25">
      <c r="E53" s="116"/>
      <c r="F53" s="116"/>
    </row>
    <row r="54" spans="5:6" ht="15" customHeight="1" x14ac:dyDescent="0.25">
      <c r="E54" s="116"/>
      <c r="F54" s="116"/>
    </row>
    <row r="55" spans="5:6" ht="15" customHeight="1" x14ac:dyDescent="0.25">
      <c r="F55" s="116"/>
    </row>
    <row r="56" spans="5:6" ht="15" customHeight="1" x14ac:dyDescent="0.25"/>
    <row r="57" spans="5:6" ht="15" customHeight="1" x14ac:dyDescent="0.25"/>
    <row r="73" spans="6:6" x14ac:dyDescent="0.25">
      <c r="F73" s="116"/>
    </row>
    <row r="74" spans="6:6" x14ac:dyDescent="0.25">
      <c r="F74" s="116"/>
    </row>
    <row r="75" spans="6:6" x14ac:dyDescent="0.25">
      <c r="F75" s="116"/>
    </row>
    <row r="76" spans="6:6" x14ac:dyDescent="0.25">
      <c r="F76" s="116"/>
    </row>
    <row r="77" spans="6:6" x14ac:dyDescent="0.25">
      <c r="F77" s="116"/>
    </row>
    <row r="78" spans="6:6" x14ac:dyDescent="0.25">
      <c r="F78" s="116"/>
    </row>
    <row r="79" spans="6:6" x14ac:dyDescent="0.25">
      <c r="F79" s="116"/>
    </row>
    <row r="80" spans="6:6" x14ac:dyDescent="0.25">
      <c r="F80" s="116"/>
    </row>
  </sheetData>
  <mergeCells count="32">
    <mergeCell ref="E18:F18"/>
    <mergeCell ref="E19:F19"/>
    <mergeCell ref="E20:F20"/>
    <mergeCell ref="A24:B24"/>
    <mergeCell ref="C24:D24"/>
    <mergeCell ref="A22:B22"/>
    <mergeCell ref="C22:D22"/>
    <mergeCell ref="A23:B23"/>
    <mergeCell ref="C23:D23"/>
    <mergeCell ref="C16:D16"/>
    <mergeCell ref="C5:D5"/>
    <mergeCell ref="A7:B7"/>
    <mergeCell ref="C7:D7"/>
    <mergeCell ref="A15:B15"/>
    <mergeCell ref="A13:B13"/>
    <mergeCell ref="A14:B14"/>
    <mergeCell ref="A6:B6"/>
    <mergeCell ref="C6:D6"/>
    <mergeCell ref="A5:B5"/>
    <mergeCell ref="C14:D14"/>
    <mergeCell ref="C13:D13"/>
    <mergeCell ref="C15:D15"/>
    <mergeCell ref="A17:B17"/>
    <mergeCell ref="C17:D17"/>
    <mergeCell ref="A21:B21"/>
    <mergeCell ref="C21:D21"/>
    <mergeCell ref="A18:B18"/>
    <mergeCell ref="C18:D18"/>
    <mergeCell ref="A19:B19"/>
    <mergeCell ref="C19:D19"/>
    <mergeCell ref="A20:B20"/>
    <mergeCell ref="C20:D20"/>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UpdateSaveLocation">
                <anchor moveWithCells="1" sizeWithCells="1">
                  <from>
                    <xdr:col>1</xdr:col>
                    <xdr:colOff>0</xdr:colOff>
                    <xdr:row>25</xdr:row>
                    <xdr:rowOff>0</xdr:rowOff>
                  </from>
                  <to>
                    <xdr:col>2</xdr:col>
                    <xdr:colOff>0</xdr:colOff>
                    <xdr:row>29</xdr:row>
                    <xdr:rowOff>0</xdr:rowOff>
                  </to>
                </anchor>
              </controlPr>
            </control>
          </mc:Choice>
        </mc:AlternateContent>
        <mc:AlternateContent xmlns:mc="http://schemas.openxmlformats.org/markup-compatibility/2006">
          <mc:Choice Requires="x14">
            <control shapeId="9220" r:id="rId5" name="Button 4">
              <controlPr defaultSize="0" print="0" autoFill="0" autoPict="0" macro="[0]!UpdateFileLocation">
                <anchor moveWithCells="1" sizeWithCells="1">
                  <from>
                    <xdr:col>2</xdr:col>
                    <xdr:colOff>0</xdr:colOff>
                    <xdr:row>25</xdr:row>
                    <xdr:rowOff>0</xdr:rowOff>
                  </from>
                  <to>
                    <xdr:col>3</xdr:col>
                    <xdr:colOff>0</xdr:colOff>
                    <xdr:row>29</xdr:row>
                    <xdr:rowOff>0</xdr:rowOff>
                  </to>
                </anchor>
              </controlPr>
            </control>
          </mc:Choice>
        </mc:AlternateContent>
        <mc:AlternateContent xmlns:mc="http://schemas.openxmlformats.org/markup-compatibility/2006">
          <mc:Choice Requires="x14">
            <control shapeId="9221" r:id="rId6" name="Button 5">
              <controlPr defaultSize="0" print="0" autoFill="0" autoPict="0" macro="[0]!UpdateDatabaseMergeLocation">
                <anchor moveWithCells="1" sizeWithCells="1">
                  <from>
                    <xdr:col>3</xdr:col>
                    <xdr:colOff>0</xdr:colOff>
                    <xdr:row>25</xdr:row>
                    <xdr:rowOff>0</xdr:rowOff>
                  </from>
                  <to>
                    <xdr:col>4</xdr:col>
                    <xdr:colOff>0</xdr:colOff>
                    <xdr:row>29</xdr:row>
                    <xdr:rowOff>0</xdr:rowOff>
                  </to>
                </anchor>
              </controlPr>
            </control>
          </mc:Choice>
        </mc:AlternateContent>
        <mc:AlternateContent xmlns:mc="http://schemas.openxmlformats.org/markup-compatibility/2006">
          <mc:Choice Requires="x14">
            <control shapeId="9222" r:id="rId7" name="Button 6">
              <controlPr defaultSize="0" print="0" autoFill="0" autoPict="0" macro="[0]!PointToWDrive">
                <anchor moveWithCells="1" sizeWithCells="1">
                  <from>
                    <xdr:col>5</xdr:col>
                    <xdr:colOff>0</xdr:colOff>
                    <xdr:row>25</xdr:row>
                    <xdr:rowOff>0</xdr:rowOff>
                  </from>
                  <to>
                    <xdr:col>7</xdr:col>
                    <xdr:colOff>0</xdr:colOff>
                    <xdr:row>29</xdr:row>
                    <xdr:rowOff>0</xdr:rowOff>
                  </to>
                </anchor>
              </controlPr>
            </control>
          </mc:Choice>
        </mc:AlternateContent>
        <mc:AlternateContent xmlns:mc="http://schemas.openxmlformats.org/markup-compatibility/2006">
          <mc:Choice Requires="x14">
            <control shapeId="9223" r:id="rId8" name="Button 7">
              <controlPr defaultSize="0" print="0" autoFill="0" autoPict="0" macro="[0]!PointToBensDesktop">
                <anchor moveWithCells="1" sizeWithCells="1">
                  <from>
                    <xdr:col>8</xdr:col>
                    <xdr:colOff>0</xdr:colOff>
                    <xdr:row>25</xdr:row>
                    <xdr:rowOff>0</xdr:rowOff>
                  </from>
                  <to>
                    <xdr:col>10</xdr:col>
                    <xdr:colOff>0</xdr:colOff>
                    <xdr:row>29</xdr:row>
                    <xdr:rowOff>0</xdr:rowOff>
                  </to>
                </anchor>
              </controlPr>
            </control>
          </mc:Choice>
        </mc:AlternateContent>
        <mc:AlternateContent xmlns:mc="http://schemas.openxmlformats.org/markup-compatibility/2006">
          <mc:Choice Requires="x14">
            <control shapeId="9224" r:id="rId9" name="Button 8">
              <controlPr defaultSize="0" print="0" autoFill="0" autoPict="0" macro="[0]!ExportModules">
                <anchor moveWithCells="1" sizeWithCells="1">
                  <from>
                    <xdr:col>11</xdr:col>
                    <xdr:colOff>600075</xdr:colOff>
                    <xdr:row>25</xdr:row>
                    <xdr:rowOff>0</xdr:rowOff>
                  </from>
                  <to>
                    <xdr:col>14</xdr:col>
                    <xdr:colOff>600075</xdr:colOff>
                    <xdr:row>28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F8768-CAD5-447E-A302-8FB55AB7240C}">
  <sheetPr codeName="Sheet14"/>
  <dimension ref="A1:EB5"/>
  <sheetViews>
    <sheetView workbookViewId="0">
      <selection activeCell="Q2" sqref="Q2"/>
    </sheetView>
  </sheetViews>
  <sheetFormatPr defaultRowHeight="15" x14ac:dyDescent="0.25"/>
  <cols>
    <col min="2" max="2" width="9.7109375" bestFit="1" customWidth="1"/>
    <col min="5" max="5" width="11.5703125" bestFit="1" customWidth="1"/>
    <col min="6" max="6" width="17" bestFit="1" customWidth="1"/>
  </cols>
  <sheetData>
    <row r="1" spans="1:132" x14ac:dyDescent="0.25">
      <c r="A1" t="s">
        <v>854</v>
      </c>
      <c r="B1" t="s">
        <v>1922</v>
      </c>
      <c r="C1" t="s">
        <v>855</v>
      </c>
      <c r="D1" t="s">
        <v>2048</v>
      </c>
      <c r="E1" t="s">
        <v>1583</v>
      </c>
      <c r="F1" t="s">
        <v>846</v>
      </c>
      <c r="G1" t="s">
        <v>843</v>
      </c>
      <c r="H1" t="s">
        <v>856</v>
      </c>
      <c r="I1" t="s">
        <v>380</v>
      </c>
      <c r="J1" t="s">
        <v>850</v>
      </c>
      <c r="K1" t="s">
        <v>1628</v>
      </c>
      <c r="L1" t="s">
        <v>808</v>
      </c>
      <c r="M1" t="s">
        <v>806</v>
      </c>
      <c r="N1" t="s">
        <v>809</v>
      </c>
      <c r="O1" t="s">
        <v>3433</v>
      </c>
      <c r="P1" t="s">
        <v>822</v>
      </c>
      <c r="Q1" t="s">
        <v>820</v>
      </c>
      <c r="R1" t="s">
        <v>823</v>
      </c>
      <c r="S1" t="s">
        <v>3434</v>
      </c>
      <c r="T1" t="s">
        <v>2163</v>
      </c>
      <c r="U1" t="s">
        <v>2161</v>
      </c>
      <c r="V1" t="s">
        <v>2162</v>
      </c>
      <c r="W1" t="s">
        <v>1157</v>
      </c>
      <c r="X1" t="s">
        <v>1163</v>
      </c>
      <c r="Y1" t="s">
        <v>1178</v>
      </c>
      <c r="Z1" t="s">
        <v>1164</v>
      </c>
      <c r="AA1" t="s">
        <v>1162</v>
      </c>
      <c r="AB1" t="s">
        <v>3438</v>
      </c>
      <c r="AC1" t="s">
        <v>1166</v>
      </c>
      <c r="AD1" t="s">
        <v>1586</v>
      </c>
      <c r="AE1" t="s">
        <v>2183</v>
      </c>
      <c r="AF1" t="s">
        <v>1588</v>
      </c>
      <c r="AG1" t="s">
        <v>1168</v>
      </c>
      <c r="AH1" t="s">
        <v>2178</v>
      </c>
      <c r="AI1" t="s">
        <v>2179</v>
      </c>
      <c r="AJ1" t="s">
        <v>2180</v>
      </c>
      <c r="AK1" t="s">
        <v>2181</v>
      </c>
      <c r="AL1" t="s">
        <v>2182</v>
      </c>
      <c r="AM1" t="s">
        <v>1165</v>
      </c>
      <c r="AN1" t="s">
        <v>2184</v>
      </c>
      <c r="AO1" t="s">
        <v>2185</v>
      </c>
      <c r="AP1" t="s">
        <v>2186</v>
      </c>
      <c r="AQ1" t="s">
        <v>3435</v>
      </c>
      <c r="AR1" t="s">
        <v>799</v>
      </c>
      <c r="AS1" t="s">
        <v>801</v>
      </c>
      <c r="AT1" t="s">
        <v>1985</v>
      </c>
      <c r="AU1" t="s">
        <v>1986</v>
      </c>
      <c r="AV1" t="s">
        <v>1988</v>
      </c>
      <c r="AW1" t="s">
        <v>1617</v>
      </c>
      <c r="AX1" t="s">
        <v>1618</v>
      </c>
      <c r="AY1" t="s">
        <v>1615</v>
      </c>
      <c r="AZ1" t="s">
        <v>1616</v>
      </c>
      <c r="BA1" t="s">
        <v>1622</v>
      </c>
      <c r="BB1" t="s">
        <v>1619</v>
      </c>
      <c r="BC1" t="s">
        <v>1620</v>
      </c>
      <c r="BD1" t="s">
        <v>1170</v>
      </c>
      <c r="BE1" t="s">
        <v>1171</v>
      </c>
      <c r="BF1" t="s">
        <v>1172</v>
      </c>
      <c r="BG1" t="s">
        <v>1173</v>
      </c>
      <c r="BH1" t="s">
        <v>1153</v>
      </c>
      <c r="BI1" t="s">
        <v>1154</v>
      </c>
      <c r="BJ1" t="s">
        <v>1155</v>
      </c>
      <c r="BK1" t="s">
        <v>1156</v>
      </c>
      <c r="BL1" t="s">
        <v>1174</v>
      </c>
      <c r="BM1" t="s">
        <v>1175</v>
      </c>
      <c r="BN1" t="s">
        <v>1176</v>
      </c>
      <c r="BO1" t="s">
        <v>1177</v>
      </c>
      <c r="BP1" t="s">
        <v>1158</v>
      </c>
      <c r="BQ1" t="s">
        <v>1159</v>
      </c>
      <c r="BR1" t="s">
        <v>1160</v>
      </c>
      <c r="BS1" t="s">
        <v>1161</v>
      </c>
      <c r="BT1" t="s">
        <v>840</v>
      </c>
      <c r="BU1" t="s">
        <v>1903</v>
      </c>
      <c r="BV1" t="s">
        <v>1904</v>
      </c>
      <c r="BW1" t="s">
        <v>839</v>
      </c>
      <c r="BX1" t="s">
        <v>1582</v>
      </c>
      <c r="BY1" t="s">
        <v>3026</v>
      </c>
      <c r="BZ1" t="s">
        <v>2556</v>
      </c>
      <c r="CA1" t="s">
        <v>2557</v>
      </c>
      <c r="CB1" t="s">
        <v>2558</v>
      </c>
      <c r="CC1" t="s">
        <v>2559</v>
      </c>
      <c r="CD1" t="s">
        <v>2560</v>
      </c>
      <c r="CE1" t="s">
        <v>2561</v>
      </c>
      <c r="CF1" t="s">
        <v>2562</v>
      </c>
      <c r="CG1" t="s">
        <v>2563</v>
      </c>
      <c r="CH1" t="s">
        <v>2564</v>
      </c>
      <c r="CI1" t="s">
        <v>2565</v>
      </c>
      <c r="CJ1" t="s">
        <v>2566</v>
      </c>
      <c r="CK1" t="s">
        <v>2567</v>
      </c>
      <c r="CL1" t="s">
        <v>2568</v>
      </c>
      <c r="CM1" t="s">
        <v>2569</v>
      </c>
      <c r="CN1" t="s">
        <v>2570</v>
      </c>
      <c r="CO1" t="s">
        <v>2571</v>
      </c>
      <c r="CP1" t="s">
        <v>2572</v>
      </c>
      <c r="CQ1" t="s">
        <v>2573</v>
      </c>
      <c r="CR1" t="s">
        <v>2574</v>
      </c>
      <c r="CS1" t="s">
        <v>2575</v>
      </c>
      <c r="CT1" t="s">
        <v>2576</v>
      </c>
      <c r="CU1" t="s">
        <v>2577</v>
      </c>
      <c r="CV1" t="s">
        <v>2578</v>
      </c>
      <c r="CW1" t="s">
        <v>2579</v>
      </c>
      <c r="CX1" t="s">
        <v>2580</v>
      </c>
      <c r="CY1" t="s">
        <v>2581</v>
      </c>
      <c r="CZ1" t="s">
        <v>2582</v>
      </c>
      <c r="DA1" t="s">
        <v>2583</v>
      </c>
      <c r="DB1" t="s">
        <v>2584</v>
      </c>
      <c r="DC1" t="s">
        <v>2585</v>
      </c>
      <c r="DD1" t="s">
        <v>2586</v>
      </c>
      <c r="DE1" t="s">
        <v>2587</v>
      </c>
      <c r="DF1" t="s">
        <v>2588</v>
      </c>
      <c r="DG1" t="s">
        <v>2589</v>
      </c>
      <c r="DH1" t="s">
        <v>2590</v>
      </c>
      <c r="DI1" t="s">
        <v>2591</v>
      </c>
      <c r="DJ1" t="s">
        <v>2592</v>
      </c>
      <c r="DK1" t="s">
        <v>2593</v>
      </c>
      <c r="DL1" t="s">
        <v>2594</v>
      </c>
      <c r="DM1" t="s">
        <v>2595</v>
      </c>
      <c r="DN1" t="s">
        <v>2596</v>
      </c>
      <c r="DO1" t="s">
        <v>2597</v>
      </c>
      <c r="DP1" t="s">
        <v>2598</v>
      </c>
      <c r="DQ1" t="s">
        <v>2599</v>
      </c>
      <c r="DR1" t="s">
        <v>2600</v>
      </c>
      <c r="DS1" t="s">
        <v>2601</v>
      </c>
      <c r="DT1" t="s">
        <v>2602</v>
      </c>
      <c r="DU1" t="s">
        <v>2603</v>
      </c>
      <c r="DV1" t="s">
        <v>2604</v>
      </c>
      <c r="DW1" t="s">
        <v>2605</v>
      </c>
      <c r="DX1" t="s">
        <v>2606</v>
      </c>
      <c r="DY1" t="s">
        <v>2607</v>
      </c>
      <c r="DZ1" t="s">
        <v>2608</v>
      </c>
      <c r="EA1" t="s">
        <v>2609</v>
      </c>
      <c r="EB1" t="s">
        <v>2610</v>
      </c>
    </row>
    <row r="2" spans="1:132" x14ac:dyDescent="0.25">
      <c r="A2" t="s">
        <v>3453</v>
      </c>
      <c r="B2" s="58">
        <v>43670</v>
      </c>
      <c r="C2" t="s">
        <v>1910</v>
      </c>
      <c r="D2" t="s">
        <v>3207</v>
      </c>
      <c r="E2" s="58">
        <v>43676</v>
      </c>
      <c r="F2" s="58">
        <v>43707</v>
      </c>
      <c r="G2" t="s">
        <v>272</v>
      </c>
      <c r="H2" t="s">
        <v>2119</v>
      </c>
      <c r="I2">
        <v>51</v>
      </c>
      <c r="J2">
        <v>0.17899999999999999</v>
      </c>
      <c r="K2">
        <v>207.15</v>
      </c>
      <c r="L2" t="s">
        <v>3454</v>
      </c>
      <c r="M2" s="58">
        <v>21555</v>
      </c>
      <c r="N2">
        <v>417963397</v>
      </c>
      <c r="O2" t="s">
        <v>2040</v>
      </c>
      <c r="Q2" s="58"/>
      <c r="T2" t="s">
        <v>2403</v>
      </c>
      <c r="U2" t="s">
        <v>2403</v>
      </c>
      <c r="V2" t="s">
        <v>2403</v>
      </c>
      <c r="W2" t="s">
        <v>3455</v>
      </c>
      <c r="X2" t="s">
        <v>3456</v>
      </c>
      <c r="Y2">
        <v>78109</v>
      </c>
      <c r="Z2" t="s">
        <v>20</v>
      </c>
      <c r="AA2" s="377">
        <v>25780</v>
      </c>
      <c r="AB2" s="377">
        <v>167560</v>
      </c>
      <c r="AC2" s="377">
        <v>167560</v>
      </c>
      <c r="AD2" t="s">
        <v>2403</v>
      </c>
      <c r="AE2" t="s">
        <v>2403</v>
      </c>
      <c r="AF2" t="s">
        <v>2403</v>
      </c>
      <c r="AG2" t="s">
        <v>2403</v>
      </c>
      <c r="AI2" t="s">
        <v>2403</v>
      </c>
      <c r="AM2" t="s">
        <v>2403</v>
      </c>
      <c r="AO2" t="s">
        <v>2403</v>
      </c>
      <c r="AQ2" t="s">
        <v>3455</v>
      </c>
      <c r="AR2" t="s">
        <v>3456</v>
      </c>
      <c r="AS2">
        <v>78109</v>
      </c>
      <c r="AT2" t="s">
        <v>3455</v>
      </c>
      <c r="AU2" t="s">
        <v>3456</v>
      </c>
      <c r="AV2">
        <v>78109</v>
      </c>
      <c r="AW2">
        <v>2108430271</v>
      </c>
      <c r="AX2">
        <v>2107239037</v>
      </c>
      <c r="AY2">
        <v>2108430271</v>
      </c>
      <c r="AZ2" t="s">
        <v>3457</v>
      </c>
      <c r="BA2">
        <v>0</v>
      </c>
      <c r="BB2">
        <v>0</v>
      </c>
      <c r="BC2" t="s">
        <v>3457</v>
      </c>
      <c r="BD2" t="s">
        <v>2824</v>
      </c>
      <c r="BE2">
        <v>0</v>
      </c>
      <c r="BF2">
        <v>0</v>
      </c>
      <c r="BG2">
        <v>0</v>
      </c>
      <c r="BH2">
        <v>50704050070</v>
      </c>
      <c r="BI2">
        <v>0</v>
      </c>
      <c r="BJ2">
        <v>0</v>
      </c>
      <c r="BK2">
        <v>0</v>
      </c>
      <c r="BL2">
        <v>2018</v>
      </c>
      <c r="BM2">
        <v>0</v>
      </c>
      <c r="BN2">
        <v>0</v>
      </c>
      <c r="BO2">
        <v>0</v>
      </c>
      <c r="BP2" s="378">
        <v>6388.81</v>
      </c>
      <c r="BQ2" s="378">
        <v>0</v>
      </c>
      <c r="BR2" s="378">
        <v>0</v>
      </c>
      <c r="BS2" s="378">
        <v>0</v>
      </c>
      <c r="BT2" s="378">
        <v>0</v>
      </c>
      <c r="BU2" s="378">
        <v>0</v>
      </c>
      <c r="BV2" s="378">
        <v>0</v>
      </c>
      <c r="BW2" s="378">
        <v>900</v>
      </c>
      <c r="BX2" s="378">
        <v>72</v>
      </c>
      <c r="BY2">
        <v>0</v>
      </c>
      <c r="BZ2" t="s">
        <v>2403</v>
      </c>
      <c r="CA2" t="s">
        <v>2403</v>
      </c>
      <c r="CB2" t="s">
        <v>2403</v>
      </c>
      <c r="CD2" t="s">
        <v>2403</v>
      </c>
      <c r="CE2" t="s">
        <v>2403</v>
      </c>
      <c r="CF2" t="s">
        <v>2403</v>
      </c>
      <c r="CH2" t="s">
        <v>2403</v>
      </c>
      <c r="CL2" t="s">
        <v>2403</v>
      </c>
      <c r="CM2" t="s">
        <v>2403</v>
      </c>
      <c r="CP2" t="s">
        <v>2403</v>
      </c>
      <c r="CQ2" t="s">
        <v>3290</v>
      </c>
      <c r="CR2" t="s">
        <v>2403</v>
      </c>
      <c r="CS2" t="s">
        <v>2403</v>
      </c>
      <c r="CU2" t="s">
        <v>2403</v>
      </c>
      <c r="CV2" t="s">
        <v>2403</v>
      </c>
      <c r="DF2" t="s">
        <v>2403</v>
      </c>
      <c r="DG2" t="s">
        <v>2404</v>
      </c>
      <c r="DH2" t="s">
        <v>2424</v>
      </c>
      <c r="DI2" t="s">
        <v>2404</v>
      </c>
      <c r="DJ2" t="s">
        <v>2404</v>
      </c>
      <c r="DZ2" t="s">
        <v>2403</v>
      </c>
      <c r="EA2" t="s">
        <v>2403</v>
      </c>
      <c r="EB2" t="s">
        <v>3468</v>
      </c>
    </row>
    <row r="3" spans="1:132" x14ac:dyDescent="0.25">
      <c r="C3" s="60"/>
    </row>
    <row r="4" spans="1:132" x14ac:dyDescent="0.25">
      <c r="A4" t="s">
        <v>3436</v>
      </c>
      <c r="C4" s="60">
        <f>COUNTA(1:1)</f>
        <v>132</v>
      </c>
    </row>
    <row r="5" spans="1:132" x14ac:dyDescent="0.25">
      <c r="A5" t="s">
        <v>3452</v>
      </c>
      <c r="B5" s="374" t="s">
        <v>3471</v>
      </c>
    </row>
  </sheetData>
  <hyperlinks>
    <hyperlink ref="B5" r:id="rId1" xr:uid="{48D8427F-3816-4612-92EA-B93FEB5BFC1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45745-5696-48BB-A9F1-6BB57BF38688}">
  <sheetPr codeName="Sheet11"/>
  <dimension ref="A1:BFY570"/>
  <sheetViews>
    <sheetView topLeftCell="BC1" workbookViewId="0">
      <selection activeCell="D1" sqref="D1:F1"/>
    </sheetView>
  </sheetViews>
  <sheetFormatPr defaultRowHeight="15" x14ac:dyDescent="0.25"/>
  <cols>
    <col min="1" max="1" width="12.42578125" bestFit="1" customWidth="1"/>
    <col min="2" max="2" width="33.140625" bestFit="1" customWidth="1"/>
    <col min="3" max="3" width="9.28515625" customWidth="1"/>
    <col min="4" max="4" width="16.85546875" bestFit="1" customWidth="1"/>
    <col min="5" max="5" width="13.7109375" bestFit="1" customWidth="1"/>
    <col min="6" max="6" width="12.140625" bestFit="1" customWidth="1"/>
    <col min="7" max="7" width="7.28515625" bestFit="1" customWidth="1"/>
    <col min="8" max="8" width="9.7109375" bestFit="1" customWidth="1"/>
    <col min="9" max="9" width="13.7109375" bestFit="1" customWidth="1"/>
    <col min="10" max="10" width="24.28515625" bestFit="1" customWidth="1"/>
    <col min="11" max="11" width="25.85546875" bestFit="1" customWidth="1"/>
    <col min="12" max="12" width="19.140625" bestFit="1" customWidth="1"/>
    <col min="13" max="13" width="18.42578125" bestFit="1" customWidth="1"/>
    <col min="14" max="14" width="17" bestFit="1" customWidth="1"/>
    <col min="15" max="15" width="9.28515625" bestFit="1" customWidth="1"/>
    <col min="16" max="16" width="17.42578125" bestFit="1" customWidth="1"/>
    <col min="17" max="17" width="9.5703125" bestFit="1" customWidth="1"/>
    <col min="18" max="18" width="12" bestFit="1" customWidth="1"/>
    <col min="19" max="19" width="18.85546875" bestFit="1" customWidth="1"/>
    <col min="20" max="20" width="18.140625" bestFit="1" customWidth="1"/>
    <col min="21" max="21" width="16.5703125" bestFit="1" customWidth="1"/>
    <col min="22" max="22" width="11.28515625" bestFit="1" customWidth="1"/>
    <col min="23" max="23" width="9.42578125" bestFit="1" customWidth="1"/>
    <col min="24" max="24" width="11" bestFit="1" customWidth="1"/>
    <col min="25" max="25" width="13.85546875" bestFit="1" customWidth="1"/>
    <col min="26" max="26" width="15.42578125" bestFit="1" customWidth="1"/>
    <col min="27" max="27" width="10.28515625" bestFit="1" customWidth="1"/>
    <col min="28" max="28" width="19.85546875" bestFit="1" customWidth="1"/>
    <col min="29" max="29" width="20" bestFit="1" customWidth="1"/>
    <col min="30" max="30" width="13.28515625" bestFit="1" customWidth="1"/>
    <col min="31" max="31" width="13.85546875" bestFit="1" customWidth="1"/>
    <col min="32" max="32" width="17.5703125" bestFit="1" customWidth="1"/>
    <col min="33" max="33" width="13.28515625" bestFit="1" customWidth="1"/>
    <col min="34" max="34" width="13.85546875" bestFit="1" customWidth="1"/>
    <col min="35" max="35" width="11.5703125" bestFit="1" customWidth="1"/>
    <col min="36" max="36" width="5.5703125" bestFit="1" customWidth="1"/>
    <col min="37" max="37" width="15.85546875" bestFit="1" customWidth="1"/>
    <col min="38" max="38" width="16.28515625" bestFit="1" customWidth="1"/>
    <col min="39" max="39" width="15.7109375" bestFit="1" customWidth="1"/>
    <col min="40" max="40" width="13.85546875" bestFit="1" customWidth="1"/>
    <col min="41" max="41" width="14.28515625" bestFit="1" customWidth="1"/>
    <col min="42" max="42" width="23.28515625" bestFit="1" customWidth="1"/>
    <col min="43" max="43" width="21.140625" bestFit="1" customWidth="1"/>
    <col min="44" max="44" width="20.42578125" bestFit="1" customWidth="1"/>
    <col min="45" max="45" width="22.42578125" bestFit="1" customWidth="1"/>
    <col min="46" max="46" width="13.85546875" bestFit="1" customWidth="1"/>
    <col min="47" max="47" width="14.28515625" bestFit="1" customWidth="1"/>
    <col min="48" max="48" width="23.28515625" bestFit="1" customWidth="1"/>
    <col min="49" max="49" width="21.140625" bestFit="1" customWidth="1"/>
    <col min="50" max="50" width="20.42578125" bestFit="1" customWidth="1"/>
    <col min="51" max="51" width="22.42578125" bestFit="1" customWidth="1"/>
    <col min="52" max="52" width="24.140625" bestFit="1" customWidth="1"/>
    <col min="53" max="53" width="22.5703125" bestFit="1" customWidth="1"/>
    <col min="54" max="54" width="22.42578125" bestFit="1" customWidth="1"/>
    <col min="55" max="55" width="20.42578125" bestFit="1" customWidth="1"/>
    <col min="56" max="56" width="16.7109375" bestFit="1" customWidth="1"/>
    <col min="57" max="57" width="18.28515625" bestFit="1" customWidth="1"/>
    <col min="58" max="58" width="13.85546875" bestFit="1" customWidth="1"/>
    <col min="59" max="64" width="15.140625" bestFit="1" customWidth="1"/>
    <col min="65" max="65" width="9.85546875" bestFit="1" customWidth="1"/>
    <col min="66" max="66" width="7.5703125" bestFit="1" customWidth="1"/>
    <col min="67" max="67" width="7.7109375" bestFit="1" customWidth="1"/>
    <col min="68" max="68" width="10.7109375" bestFit="1" customWidth="1"/>
    <col min="69" max="72" width="22" bestFit="1" customWidth="1"/>
    <col min="73" max="73" width="13.42578125" bestFit="1" customWidth="1"/>
    <col min="74" max="77" width="18.140625" bestFit="1" customWidth="1"/>
    <col min="78" max="78" width="27.7109375" bestFit="1" customWidth="1"/>
    <col min="79" max="79" width="19.42578125" bestFit="1" customWidth="1"/>
    <col min="80" max="80" width="9.5703125" bestFit="1" customWidth="1"/>
    <col min="81" max="81" width="12.42578125" bestFit="1" customWidth="1"/>
    <col min="82" max="82" width="10.42578125" bestFit="1" customWidth="1"/>
    <col min="83" max="83" width="16.7109375" bestFit="1" customWidth="1"/>
    <col min="84" max="84" width="13.85546875" bestFit="1" customWidth="1"/>
    <col min="85" max="85" width="18.140625" bestFit="1" customWidth="1"/>
    <col min="86" max="86" width="10.7109375" bestFit="1" customWidth="1"/>
    <col min="87" max="87" width="12.5703125" bestFit="1" customWidth="1"/>
    <col min="88" max="88" width="21" bestFit="1" customWidth="1"/>
    <col min="89" max="89" width="19.140625" bestFit="1" customWidth="1"/>
    <col min="90" max="90" width="10.7109375" bestFit="1" customWidth="1"/>
    <col min="91" max="94" width="18.28515625" bestFit="1" customWidth="1"/>
    <col min="95" max="98" width="12" bestFit="1" customWidth="1"/>
    <col min="99" max="99" width="8.85546875" bestFit="1" customWidth="1"/>
    <col min="100" max="100" width="14.28515625" bestFit="1" customWidth="1"/>
    <col min="101" max="101" width="10.7109375" bestFit="1" customWidth="1"/>
    <col min="102" max="105" width="22" bestFit="1" customWidth="1"/>
    <col min="106" max="106" width="13.42578125" bestFit="1" customWidth="1"/>
    <col min="107" max="110" width="18.140625" bestFit="1" customWidth="1"/>
    <col min="111" max="111" width="27.7109375" bestFit="1" customWidth="1"/>
    <col min="112" max="112" width="19.42578125" bestFit="1" customWidth="1"/>
    <col min="113" max="113" width="9.5703125" bestFit="1" customWidth="1"/>
    <col min="114" max="114" width="12.42578125" bestFit="1" customWidth="1"/>
    <col min="115" max="115" width="10.42578125" bestFit="1" customWidth="1"/>
    <col min="116" max="116" width="16.7109375" bestFit="1" customWidth="1"/>
    <col min="117" max="117" width="13.85546875" bestFit="1" customWidth="1"/>
    <col min="118" max="118" width="18.140625" bestFit="1" customWidth="1"/>
    <col min="119" max="119" width="10.7109375" bestFit="1" customWidth="1"/>
    <col min="120" max="120" width="12.5703125" bestFit="1" customWidth="1"/>
    <col min="121" max="121" width="21" bestFit="1" customWidth="1"/>
    <col min="122" max="122" width="19.140625" bestFit="1" customWidth="1"/>
    <col min="123" max="123" width="10.7109375" bestFit="1" customWidth="1"/>
    <col min="124" max="127" width="18.28515625" bestFit="1" customWidth="1"/>
    <col min="128" max="131" width="12" bestFit="1" customWidth="1"/>
    <col min="132" max="132" width="8.85546875" bestFit="1" customWidth="1"/>
    <col min="133" max="133" width="14.28515625" bestFit="1" customWidth="1"/>
    <col min="134" max="134" width="10.7109375" bestFit="1" customWidth="1"/>
    <col min="135" max="138" width="22" bestFit="1" customWidth="1"/>
    <col min="139" max="139" width="13.42578125" bestFit="1" customWidth="1"/>
    <col min="140" max="143" width="18.140625" bestFit="1" customWidth="1"/>
    <col min="144" max="144" width="26.5703125" bestFit="1" customWidth="1"/>
    <col min="145" max="145" width="19.42578125" bestFit="1" customWidth="1"/>
    <col min="146" max="146" width="9.5703125" bestFit="1" customWidth="1"/>
    <col min="147" max="147" width="12.42578125" bestFit="1" customWidth="1"/>
    <col min="148" max="148" width="10.42578125" bestFit="1" customWidth="1"/>
    <col min="149" max="149" width="16.7109375" bestFit="1" customWidth="1"/>
    <col min="150" max="150" width="13.85546875" bestFit="1" customWidth="1"/>
    <col min="151" max="151" width="10.7109375" bestFit="1" customWidth="1"/>
    <col min="152" max="152" width="12.5703125" bestFit="1" customWidth="1"/>
    <col min="153" max="153" width="18.140625" bestFit="1" customWidth="1"/>
    <col min="154" max="154" width="21" bestFit="1" customWidth="1"/>
    <col min="155" max="155" width="10.7109375" bestFit="1" customWidth="1"/>
    <col min="156" max="159" width="18.28515625" bestFit="1" customWidth="1"/>
    <col min="160" max="160" width="13.85546875" bestFit="1" customWidth="1"/>
    <col min="161" max="164" width="12" bestFit="1" customWidth="1"/>
    <col min="165" max="165" width="8.85546875" bestFit="1" customWidth="1"/>
    <col min="166" max="166" width="14.28515625" bestFit="1" customWidth="1"/>
    <col min="167" max="167" width="10.7109375" bestFit="1" customWidth="1"/>
    <col min="168" max="171" width="22" bestFit="1" customWidth="1"/>
    <col min="172" max="172" width="13.42578125" bestFit="1" customWidth="1"/>
    <col min="173" max="176" width="18.140625" bestFit="1" customWidth="1"/>
    <col min="177" max="177" width="27.7109375" bestFit="1" customWidth="1"/>
    <col min="178" max="178" width="20.28515625" bestFit="1" customWidth="1"/>
    <col min="179" max="179" width="9.5703125" bestFit="1" customWidth="1"/>
    <col min="180" max="180" width="12.42578125" bestFit="1" customWidth="1"/>
    <col min="181" max="181" width="10.42578125" bestFit="1" customWidth="1"/>
    <col min="182" max="182" width="16.7109375" bestFit="1" customWidth="1"/>
    <col min="183" max="183" width="13.85546875" bestFit="1" customWidth="1"/>
    <col min="184" max="184" width="10.7109375" bestFit="1" customWidth="1"/>
    <col min="185" max="185" width="12.5703125" bestFit="1" customWidth="1"/>
    <col min="186" max="186" width="18.140625" bestFit="1" customWidth="1"/>
    <col min="187" max="187" width="21" bestFit="1" customWidth="1"/>
    <col min="188" max="188" width="10.7109375" bestFit="1" customWidth="1"/>
    <col min="189" max="192" width="18.28515625" bestFit="1" customWidth="1"/>
    <col min="193" max="193" width="12.85546875" bestFit="1" customWidth="1"/>
    <col min="194" max="197" width="12" bestFit="1" customWidth="1"/>
    <col min="198" max="198" width="8.85546875" bestFit="1" customWidth="1"/>
    <col min="199" max="199" width="14.28515625" bestFit="1" customWidth="1"/>
    <col min="200" max="200" width="10.7109375" bestFit="1" customWidth="1"/>
    <col min="201" max="204" width="22" bestFit="1" customWidth="1"/>
    <col min="205" max="205" width="13.42578125" bestFit="1" customWidth="1"/>
    <col min="206" max="209" width="18.140625" bestFit="1" customWidth="1"/>
    <col min="210" max="210" width="27.7109375" bestFit="1" customWidth="1"/>
    <col min="211" max="211" width="19.42578125" bestFit="1" customWidth="1"/>
    <col min="212" max="212" width="9.5703125" bestFit="1" customWidth="1"/>
    <col min="213" max="213" width="12.42578125" bestFit="1" customWidth="1"/>
    <col min="214" max="214" width="10.42578125" bestFit="1" customWidth="1"/>
    <col min="215" max="215" width="16.7109375" bestFit="1" customWidth="1"/>
    <col min="216" max="216" width="13.85546875" bestFit="1" customWidth="1"/>
    <col min="217" max="217" width="10.7109375" bestFit="1" customWidth="1"/>
    <col min="218" max="218" width="12.5703125" bestFit="1" customWidth="1"/>
    <col min="219" max="219" width="18.140625" bestFit="1" customWidth="1"/>
    <col min="220" max="220" width="21" bestFit="1" customWidth="1"/>
    <col min="221" max="221" width="10.7109375" bestFit="1" customWidth="1"/>
    <col min="222" max="225" width="18.28515625" bestFit="1" customWidth="1"/>
    <col min="226" max="226" width="13.85546875" bestFit="1" customWidth="1"/>
    <col min="227" max="230" width="12" bestFit="1" customWidth="1"/>
    <col min="231" max="231" width="8.85546875" bestFit="1" customWidth="1"/>
    <col min="232" max="232" width="14.28515625" bestFit="1" customWidth="1"/>
    <col min="233" max="233" width="10.7109375" bestFit="1" customWidth="1"/>
    <col min="234" max="237" width="22" bestFit="1" customWidth="1"/>
    <col min="238" max="238" width="13.42578125" bestFit="1" customWidth="1"/>
    <col min="239" max="242" width="18.140625" bestFit="1" customWidth="1"/>
    <col min="243" max="243" width="27.7109375" bestFit="1" customWidth="1"/>
    <col min="244" max="244" width="19.42578125" bestFit="1" customWidth="1"/>
    <col min="245" max="245" width="9.5703125" bestFit="1" customWidth="1"/>
    <col min="246" max="246" width="12.42578125" bestFit="1" customWidth="1"/>
    <col min="247" max="247" width="10.42578125" bestFit="1" customWidth="1"/>
    <col min="248" max="248" width="16.7109375" bestFit="1" customWidth="1"/>
    <col min="249" max="249" width="13.85546875" bestFit="1" customWidth="1"/>
    <col min="250" max="250" width="10.7109375" bestFit="1" customWidth="1"/>
    <col min="251" max="251" width="12.5703125" bestFit="1" customWidth="1"/>
    <col min="252" max="252" width="18.140625" bestFit="1" customWidth="1"/>
    <col min="253" max="253" width="21" bestFit="1" customWidth="1"/>
    <col min="254" max="254" width="10.7109375" bestFit="1" customWidth="1"/>
    <col min="255" max="258" width="18.28515625" bestFit="1" customWidth="1"/>
    <col min="259" max="259" width="13.85546875" bestFit="1" customWidth="1"/>
    <col min="260" max="263" width="12" bestFit="1" customWidth="1"/>
    <col min="264" max="264" width="8.85546875" bestFit="1" customWidth="1"/>
    <col min="265" max="265" width="14.28515625" bestFit="1" customWidth="1"/>
    <col min="266" max="266" width="10.7109375" bestFit="1" customWidth="1"/>
    <col min="267" max="270" width="22" bestFit="1" customWidth="1"/>
    <col min="271" max="271" width="13.42578125" bestFit="1" customWidth="1"/>
    <col min="272" max="275" width="18.140625" bestFit="1" customWidth="1"/>
    <col min="276" max="276" width="27.7109375" bestFit="1" customWidth="1"/>
    <col min="277" max="277" width="19.42578125" bestFit="1" customWidth="1"/>
    <col min="278" max="278" width="9.5703125" bestFit="1" customWidth="1"/>
    <col min="279" max="279" width="12.42578125" bestFit="1" customWidth="1"/>
    <col min="280" max="280" width="10.42578125" bestFit="1" customWidth="1"/>
    <col min="281" max="281" width="16.7109375" bestFit="1" customWidth="1"/>
    <col min="282" max="282" width="13.85546875" bestFit="1" customWidth="1"/>
    <col min="283" max="283" width="10.7109375" bestFit="1" customWidth="1"/>
    <col min="284" max="284" width="12.5703125" bestFit="1" customWidth="1"/>
    <col min="285" max="285" width="18.140625" bestFit="1" customWidth="1"/>
    <col min="286" max="286" width="21" bestFit="1" customWidth="1"/>
    <col min="287" max="287" width="10.7109375" bestFit="1" customWidth="1"/>
    <col min="288" max="291" width="18.28515625" bestFit="1" customWidth="1"/>
    <col min="292" max="292" width="13.85546875" bestFit="1" customWidth="1"/>
    <col min="293" max="296" width="12" bestFit="1" customWidth="1"/>
    <col min="297" max="297" width="8.85546875" bestFit="1" customWidth="1"/>
    <col min="298" max="298" width="14.28515625" bestFit="1" customWidth="1"/>
    <col min="299" max="299" width="10.7109375" bestFit="1" customWidth="1"/>
    <col min="300" max="303" width="22" bestFit="1" customWidth="1"/>
    <col min="304" max="304" width="13.42578125" bestFit="1" customWidth="1"/>
    <col min="305" max="308" width="18.140625" bestFit="1" customWidth="1"/>
    <col min="309" max="309" width="27.7109375" bestFit="1" customWidth="1"/>
    <col min="310" max="310" width="19.42578125" bestFit="1" customWidth="1"/>
    <col min="311" max="311" width="9.5703125" bestFit="1" customWidth="1"/>
    <col min="312" max="312" width="12.42578125" bestFit="1" customWidth="1"/>
    <col min="313" max="313" width="10.42578125" bestFit="1" customWidth="1"/>
    <col min="314" max="314" width="16.7109375" bestFit="1" customWidth="1"/>
    <col min="315" max="315" width="13.85546875" bestFit="1" customWidth="1"/>
    <col min="316" max="316" width="10.7109375" bestFit="1" customWidth="1"/>
    <col min="317" max="317" width="12.5703125" bestFit="1" customWidth="1"/>
    <col min="318" max="318" width="18.140625" bestFit="1" customWidth="1"/>
    <col min="319" max="319" width="21" bestFit="1" customWidth="1"/>
    <col min="320" max="320" width="10.7109375" bestFit="1" customWidth="1"/>
    <col min="321" max="324" width="18.28515625" bestFit="1" customWidth="1"/>
    <col min="325" max="325" width="13.85546875" bestFit="1" customWidth="1"/>
    <col min="326" max="329" width="12" bestFit="1" customWidth="1"/>
    <col min="330" max="330" width="8.85546875" bestFit="1" customWidth="1"/>
    <col min="331" max="331" width="14.28515625" bestFit="1" customWidth="1"/>
    <col min="332" max="332" width="10.7109375" bestFit="1" customWidth="1"/>
    <col min="333" max="336" width="22" bestFit="1" customWidth="1"/>
    <col min="337" max="337" width="13.42578125" bestFit="1" customWidth="1"/>
    <col min="338" max="341" width="18.140625" bestFit="1" customWidth="1"/>
    <col min="342" max="342" width="27.7109375" bestFit="1" customWidth="1"/>
    <col min="343" max="343" width="19.42578125" bestFit="1" customWidth="1"/>
    <col min="344" max="344" width="9.5703125" bestFit="1" customWidth="1"/>
    <col min="345" max="345" width="12.42578125" bestFit="1" customWidth="1"/>
    <col min="346" max="346" width="10.42578125" bestFit="1" customWidth="1"/>
    <col min="347" max="347" width="16.7109375" bestFit="1" customWidth="1"/>
    <col min="348" max="348" width="13.85546875" bestFit="1" customWidth="1"/>
    <col min="349" max="349" width="10.7109375" bestFit="1" customWidth="1"/>
    <col min="350" max="350" width="12.5703125" bestFit="1" customWidth="1"/>
    <col min="351" max="351" width="18.140625" bestFit="1" customWidth="1"/>
    <col min="352" max="352" width="21" bestFit="1" customWidth="1"/>
    <col min="353" max="353" width="10.7109375" bestFit="1" customWidth="1"/>
    <col min="354" max="357" width="18.28515625" bestFit="1" customWidth="1"/>
    <col min="358" max="358" width="13.85546875" bestFit="1" customWidth="1"/>
    <col min="359" max="362" width="12" bestFit="1" customWidth="1"/>
    <col min="363" max="363" width="8.85546875" bestFit="1" customWidth="1"/>
    <col min="364" max="364" width="14.28515625" bestFit="1" customWidth="1"/>
    <col min="365" max="365" width="11.7109375" bestFit="1" customWidth="1"/>
    <col min="366" max="369" width="23" bestFit="1" customWidth="1"/>
    <col min="370" max="370" width="14.42578125" bestFit="1" customWidth="1"/>
    <col min="371" max="374" width="19.140625" bestFit="1" customWidth="1"/>
    <col min="375" max="375" width="28.7109375" bestFit="1" customWidth="1"/>
    <col min="376" max="376" width="20.42578125" bestFit="1" customWidth="1"/>
    <col min="377" max="377" width="10.5703125" bestFit="1" customWidth="1"/>
    <col min="378" max="378" width="13.5703125" bestFit="1" customWidth="1"/>
    <col min="379" max="379" width="11.42578125" bestFit="1" customWidth="1"/>
    <col min="380" max="380" width="17.85546875" bestFit="1" customWidth="1"/>
    <col min="381" max="381" width="14.85546875" bestFit="1" customWidth="1"/>
    <col min="382" max="382" width="11.7109375" bestFit="1" customWidth="1"/>
    <col min="383" max="383" width="13.7109375" bestFit="1" customWidth="1"/>
    <col min="384" max="384" width="19.140625" bestFit="1" customWidth="1"/>
    <col min="385" max="385" width="22.140625" bestFit="1" customWidth="1"/>
    <col min="386" max="386" width="11.7109375" bestFit="1" customWidth="1"/>
    <col min="387" max="390" width="19.28515625" bestFit="1" customWidth="1"/>
    <col min="391" max="391" width="14.85546875" bestFit="1" customWidth="1"/>
    <col min="392" max="395" width="13.140625" bestFit="1" customWidth="1"/>
    <col min="396" max="396" width="9.85546875" bestFit="1" customWidth="1"/>
    <col min="397" max="397" width="15.28515625" bestFit="1" customWidth="1"/>
    <col min="399" max="399" width="11.7109375" bestFit="1" customWidth="1"/>
    <col min="400" max="403" width="23" bestFit="1" customWidth="1"/>
    <col min="404" max="404" width="14.42578125" bestFit="1" customWidth="1"/>
    <col min="405" max="408" width="19.140625" bestFit="1" customWidth="1"/>
    <col min="409" max="409" width="28.7109375" bestFit="1" customWidth="1"/>
    <col min="410" max="410" width="20.42578125" bestFit="1" customWidth="1"/>
    <col min="411" max="411" width="10.5703125" bestFit="1" customWidth="1"/>
    <col min="412" max="412" width="13.5703125" bestFit="1" customWidth="1"/>
    <col min="413" max="413" width="11.42578125" bestFit="1" customWidth="1"/>
    <col min="414" max="414" width="17.85546875" bestFit="1" customWidth="1"/>
    <col min="415" max="415" width="14.85546875" bestFit="1" customWidth="1"/>
    <col min="416" max="416" width="11.7109375" bestFit="1" customWidth="1"/>
    <col min="417" max="417" width="13.7109375" bestFit="1" customWidth="1"/>
    <col min="418" max="418" width="19.140625" bestFit="1" customWidth="1"/>
    <col min="419" max="419" width="22.140625" bestFit="1" customWidth="1"/>
    <col min="420" max="420" width="11.7109375" bestFit="1" customWidth="1"/>
    <col min="421" max="424" width="19.28515625" bestFit="1" customWidth="1"/>
    <col min="425" max="425" width="14.85546875" bestFit="1" customWidth="1"/>
    <col min="426" max="429" width="13.140625" bestFit="1" customWidth="1"/>
    <col min="430" max="430" width="9.85546875" bestFit="1" customWidth="1"/>
    <col min="431" max="431" width="15.28515625" bestFit="1" customWidth="1"/>
    <col min="432" max="432" width="11.7109375" bestFit="1" customWidth="1"/>
    <col min="433" max="436" width="23" bestFit="1" customWidth="1"/>
    <col min="437" max="437" width="14.42578125" bestFit="1" customWidth="1"/>
    <col min="438" max="441" width="19.140625" bestFit="1" customWidth="1"/>
    <col min="442" max="442" width="28.7109375" bestFit="1" customWidth="1"/>
    <col min="443" max="443" width="20.42578125" bestFit="1" customWidth="1"/>
    <col min="444" max="444" width="10.5703125" bestFit="1" customWidth="1"/>
    <col min="445" max="445" width="13.5703125" bestFit="1" customWidth="1"/>
    <col min="446" max="446" width="11.42578125" bestFit="1" customWidth="1"/>
    <col min="447" max="447" width="17.85546875" bestFit="1" customWidth="1"/>
    <col min="448" max="448" width="14.85546875" bestFit="1" customWidth="1"/>
    <col min="449" max="449" width="11.7109375" bestFit="1" customWidth="1"/>
    <col min="450" max="450" width="13.7109375" bestFit="1" customWidth="1"/>
    <col min="451" max="451" width="19.140625" bestFit="1" customWidth="1"/>
    <col min="452" max="452" width="22.140625" bestFit="1" customWidth="1"/>
    <col min="453" max="453" width="11.7109375" bestFit="1" customWidth="1"/>
    <col min="454" max="457" width="19.28515625" bestFit="1" customWidth="1"/>
    <col min="458" max="458" width="14.85546875" bestFit="1" customWidth="1"/>
    <col min="459" max="462" width="13.140625" bestFit="1" customWidth="1"/>
    <col min="463" max="463" width="9.85546875" bestFit="1" customWidth="1"/>
    <col min="464" max="464" width="15.28515625" bestFit="1" customWidth="1"/>
    <col min="465" max="465" width="11.7109375" bestFit="1" customWidth="1"/>
    <col min="466" max="469" width="23" bestFit="1" customWidth="1"/>
    <col min="470" max="470" width="14.42578125" bestFit="1" customWidth="1"/>
    <col min="471" max="474" width="19.140625" bestFit="1" customWidth="1"/>
    <col min="475" max="475" width="28.7109375" bestFit="1" customWidth="1"/>
    <col min="476" max="476" width="20.42578125" bestFit="1" customWidth="1"/>
    <col min="477" max="477" width="10.5703125" bestFit="1" customWidth="1"/>
    <col min="478" max="478" width="13.5703125" bestFit="1" customWidth="1"/>
    <col min="479" max="479" width="11.42578125" bestFit="1" customWidth="1"/>
    <col min="480" max="480" width="17.85546875" bestFit="1" customWidth="1"/>
    <col min="481" max="481" width="14.85546875" bestFit="1" customWidth="1"/>
    <col min="482" max="482" width="11.7109375" bestFit="1" customWidth="1"/>
    <col min="483" max="483" width="13.7109375" bestFit="1" customWidth="1"/>
    <col min="484" max="484" width="19.140625" bestFit="1" customWidth="1"/>
    <col min="485" max="485" width="22.140625" bestFit="1" customWidth="1"/>
    <col min="486" max="486" width="11.7109375" bestFit="1" customWidth="1"/>
    <col min="487" max="490" width="19.28515625" bestFit="1" customWidth="1"/>
    <col min="491" max="491" width="14.85546875" bestFit="1" customWidth="1"/>
    <col min="492" max="495" width="13.140625" bestFit="1" customWidth="1"/>
    <col min="496" max="496" width="9.85546875" bestFit="1" customWidth="1"/>
    <col min="497" max="497" width="15.28515625" bestFit="1" customWidth="1"/>
    <col min="498" max="498" width="11.7109375" bestFit="1" customWidth="1"/>
    <col min="499" max="502" width="23" bestFit="1" customWidth="1"/>
    <col min="503" max="503" width="14.42578125" bestFit="1" customWidth="1"/>
    <col min="504" max="507" width="19.140625" bestFit="1" customWidth="1"/>
    <col min="508" max="508" width="28.7109375" bestFit="1" customWidth="1"/>
    <col min="509" max="509" width="20.42578125" bestFit="1" customWidth="1"/>
    <col min="510" max="510" width="10.5703125" bestFit="1" customWidth="1"/>
    <col min="511" max="511" width="13.5703125" bestFit="1" customWidth="1"/>
    <col min="512" max="512" width="11.42578125" bestFit="1" customWidth="1"/>
    <col min="513" max="513" width="17.85546875" bestFit="1" customWidth="1"/>
    <col min="514" max="514" width="14.85546875" bestFit="1" customWidth="1"/>
    <col min="515" max="515" width="11.7109375" bestFit="1" customWidth="1"/>
    <col min="516" max="516" width="13.7109375" bestFit="1" customWidth="1"/>
    <col min="517" max="517" width="19.140625" bestFit="1" customWidth="1"/>
    <col min="518" max="518" width="22.140625" bestFit="1" customWidth="1"/>
    <col min="519" max="519" width="11.7109375" bestFit="1" customWidth="1"/>
    <col min="520" max="523" width="19.28515625" bestFit="1" customWidth="1"/>
    <col min="524" max="524" width="14.85546875" bestFit="1" customWidth="1"/>
    <col min="525" max="528" width="13.140625" bestFit="1" customWidth="1"/>
    <col min="529" max="529" width="9.85546875" bestFit="1" customWidth="1"/>
    <col min="530" max="530" width="15.28515625" bestFit="1" customWidth="1"/>
    <col min="531" max="531" width="11.7109375" bestFit="1" customWidth="1"/>
    <col min="532" max="535" width="23" bestFit="1" customWidth="1"/>
    <col min="536" max="536" width="14.42578125" bestFit="1" customWidth="1"/>
    <col min="537" max="540" width="19.140625" bestFit="1" customWidth="1"/>
    <col min="541" max="541" width="28.7109375" bestFit="1" customWidth="1"/>
    <col min="542" max="542" width="20.42578125" bestFit="1" customWidth="1"/>
    <col min="543" max="543" width="10.5703125" bestFit="1" customWidth="1"/>
    <col min="544" max="544" width="13.5703125" bestFit="1" customWidth="1"/>
    <col min="545" max="545" width="11.42578125" bestFit="1" customWidth="1"/>
    <col min="546" max="546" width="17.85546875" bestFit="1" customWidth="1"/>
    <col min="547" max="547" width="14.85546875" bestFit="1" customWidth="1"/>
    <col min="548" max="548" width="11.7109375" bestFit="1" customWidth="1"/>
    <col min="549" max="549" width="13.7109375" bestFit="1" customWidth="1"/>
    <col min="550" max="550" width="19.140625" bestFit="1" customWidth="1"/>
    <col min="551" max="551" width="22.140625" bestFit="1" customWidth="1"/>
    <col min="552" max="552" width="11.7109375" bestFit="1" customWidth="1"/>
    <col min="553" max="556" width="19.28515625" bestFit="1" customWidth="1"/>
    <col min="557" max="557" width="14.85546875" bestFit="1" customWidth="1"/>
    <col min="558" max="561" width="13.140625" bestFit="1" customWidth="1"/>
    <col min="562" max="562" width="9.85546875" bestFit="1" customWidth="1"/>
    <col min="563" max="563" width="15.28515625" bestFit="1" customWidth="1"/>
    <col min="564" max="564" width="11.7109375" bestFit="1" customWidth="1"/>
    <col min="565" max="568" width="23" bestFit="1" customWidth="1"/>
    <col min="569" max="569" width="14.42578125" bestFit="1" customWidth="1"/>
    <col min="570" max="573" width="19.140625" bestFit="1" customWidth="1"/>
    <col min="574" max="574" width="28.7109375" bestFit="1" customWidth="1"/>
    <col min="575" max="575" width="20.42578125" bestFit="1" customWidth="1"/>
    <col min="576" max="576" width="10.5703125" bestFit="1" customWidth="1"/>
    <col min="577" max="577" width="13.5703125" bestFit="1" customWidth="1"/>
    <col min="578" max="578" width="11.42578125" bestFit="1" customWidth="1"/>
    <col min="579" max="579" width="17.85546875" bestFit="1" customWidth="1"/>
    <col min="580" max="580" width="14.85546875" bestFit="1" customWidth="1"/>
    <col min="581" max="581" width="11.7109375" bestFit="1" customWidth="1"/>
    <col min="582" max="582" width="13.7109375" bestFit="1" customWidth="1"/>
    <col min="583" max="583" width="19.140625" bestFit="1" customWidth="1"/>
    <col min="584" max="584" width="22.140625" bestFit="1" customWidth="1"/>
    <col min="585" max="585" width="11.7109375" bestFit="1" customWidth="1"/>
    <col min="586" max="589" width="19.28515625" bestFit="1" customWidth="1"/>
    <col min="590" max="590" width="14.85546875" bestFit="1" customWidth="1"/>
    <col min="591" max="594" width="13.140625" bestFit="1" customWidth="1"/>
    <col min="595" max="595" width="9.85546875" bestFit="1" customWidth="1"/>
    <col min="596" max="596" width="15.28515625" bestFit="1" customWidth="1"/>
    <col min="597" max="597" width="11.7109375" bestFit="1" customWidth="1"/>
    <col min="598" max="601" width="23" bestFit="1" customWidth="1"/>
    <col min="602" max="602" width="14.42578125" bestFit="1" customWidth="1"/>
    <col min="603" max="606" width="19.140625" bestFit="1" customWidth="1"/>
    <col min="607" max="607" width="28.7109375" bestFit="1" customWidth="1"/>
    <col min="608" max="608" width="20.42578125" bestFit="1" customWidth="1"/>
    <col min="609" max="609" width="10.5703125" bestFit="1" customWidth="1"/>
    <col min="610" max="610" width="13.5703125" bestFit="1" customWidth="1"/>
    <col min="611" max="611" width="11.42578125" bestFit="1" customWidth="1"/>
    <col min="612" max="612" width="17.85546875" bestFit="1" customWidth="1"/>
    <col min="613" max="613" width="14.85546875" bestFit="1" customWidth="1"/>
    <col min="614" max="614" width="11.7109375" bestFit="1" customWidth="1"/>
    <col min="615" max="615" width="13.7109375" bestFit="1" customWidth="1"/>
    <col min="616" max="616" width="19.140625" bestFit="1" customWidth="1"/>
    <col min="617" max="617" width="22.140625" bestFit="1" customWidth="1"/>
    <col min="618" max="618" width="11.7109375" bestFit="1" customWidth="1"/>
    <col min="619" max="622" width="19.28515625" bestFit="1" customWidth="1"/>
    <col min="623" max="623" width="14.85546875" bestFit="1" customWidth="1"/>
    <col min="624" max="627" width="13.140625" bestFit="1" customWidth="1"/>
    <col min="628" max="628" width="9.85546875" bestFit="1" customWidth="1"/>
    <col min="629" max="629" width="15.28515625" bestFit="1" customWidth="1"/>
    <col min="630" max="630" width="11.7109375" bestFit="1" customWidth="1"/>
    <col min="631" max="634" width="23" bestFit="1" customWidth="1"/>
    <col min="635" max="635" width="14.42578125" bestFit="1" customWidth="1"/>
    <col min="636" max="639" width="19.140625" bestFit="1" customWidth="1"/>
    <col min="640" max="640" width="28.7109375" bestFit="1" customWidth="1"/>
    <col min="641" max="641" width="20.42578125" bestFit="1" customWidth="1"/>
    <col min="642" max="642" width="10.5703125" bestFit="1" customWidth="1"/>
    <col min="643" max="643" width="13.5703125" bestFit="1" customWidth="1"/>
    <col min="644" max="644" width="11.42578125" bestFit="1" customWidth="1"/>
    <col min="645" max="645" width="17.85546875" bestFit="1" customWidth="1"/>
    <col min="646" max="646" width="14.85546875" bestFit="1" customWidth="1"/>
    <col min="647" max="647" width="11.7109375" bestFit="1" customWidth="1"/>
    <col min="648" max="648" width="13.7109375" bestFit="1" customWidth="1"/>
    <col min="649" max="649" width="19.140625" bestFit="1" customWidth="1"/>
    <col min="650" max="650" width="22.140625" bestFit="1" customWidth="1"/>
    <col min="651" max="651" width="11.7109375" bestFit="1" customWidth="1"/>
    <col min="652" max="655" width="19.28515625" bestFit="1" customWidth="1"/>
    <col min="656" max="656" width="14.85546875" bestFit="1" customWidth="1"/>
    <col min="657" max="660" width="13.140625" bestFit="1" customWidth="1"/>
    <col min="661" max="661" width="9.85546875" bestFit="1" customWidth="1"/>
    <col min="662" max="662" width="15.28515625" bestFit="1" customWidth="1"/>
    <col min="663" max="663" width="11.7109375" bestFit="1" customWidth="1"/>
    <col min="664" max="667" width="23" bestFit="1" customWidth="1"/>
    <col min="668" max="668" width="14.42578125" bestFit="1" customWidth="1"/>
    <col min="669" max="672" width="19.140625" bestFit="1" customWidth="1"/>
    <col min="673" max="673" width="28.7109375" bestFit="1" customWidth="1"/>
    <col min="674" max="674" width="20.42578125" bestFit="1" customWidth="1"/>
    <col min="675" max="675" width="10.5703125" bestFit="1" customWidth="1"/>
    <col min="676" max="676" width="13.5703125" bestFit="1" customWidth="1"/>
    <col min="677" max="677" width="11.42578125" bestFit="1" customWidth="1"/>
    <col min="678" max="678" width="17.85546875" bestFit="1" customWidth="1"/>
    <col min="679" max="679" width="14.85546875" bestFit="1" customWidth="1"/>
    <col min="680" max="680" width="11.7109375" bestFit="1" customWidth="1"/>
    <col min="681" max="681" width="13.7109375" bestFit="1" customWidth="1"/>
    <col min="682" max="682" width="19.140625" bestFit="1" customWidth="1"/>
    <col min="683" max="683" width="22.140625" bestFit="1" customWidth="1"/>
    <col min="684" max="684" width="11.7109375" bestFit="1" customWidth="1"/>
    <col min="685" max="688" width="19.28515625" bestFit="1" customWidth="1"/>
    <col min="689" max="689" width="14.85546875" bestFit="1" customWidth="1"/>
    <col min="690" max="693" width="13.140625" bestFit="1" customWidth="1"/>
    <col min="694" max="694" width="9.85546875" bestFit="1" customWidth="1"/>
    <col min="695" max="695" width="15.28515625" bestFit="1" customWidth="1"/>
    <col min="696" max="696" width="11.7109375" bestFit="1" customWidth="1"/>
    <col min="697" max="700" width="23" bestFit="1" customWidth="1"/>
    <col min="701" max="701" width="14.42578125" bestFit="1" customWidth="1"/>
    <col min="702" max="705" width="19.140625" bestFit="1" customWidth="1"/>
    <col min="706" max="706" width="28.7109375" bestFit="1" customWidth="1"/>
    <col min="707" max="707" width="20.42578125" bestFit="1" customWidth="1"/>
    <col min="708" max="708" width="10.5703125" bestFit="1" customWidth="1"/>
    <col min="709" max="709" width="13.5703125" bestFit="1" customWidth="1"/>
    <col min="710" max="710" width="11.42578125" bestFit="1" customWidth="1"/>
    <col min="711" max="711" width="17.85546875" bestFit="1" customWidth="1"/>
    <col min="712" max="712" width="14.85546875" bestFit="1" customWidth="1"/>
    <col min="713" max="713" width="11.7109375" bestFit="1" customWidth="1"/>
    <col min="714" max="714" width="13.7109375" bestFit="1" customWidth="1"/>
    <col min="715" max="715" width="19.140625" bestFit="1" customWidth="1"/>
    <col min="716" max="716" width="22.140625" bestFit="1" customWidth="1"/>
    <col min="717" max="717" width="11.7109375" bestFit="1" customWidth="1"/>
    <col min="718" max="721" width="19.28515625" bestFit="1" customWidth="1"/>
    <col min="722" max="722" width="14.85546875" bestFit="1" customWidth="1"/>
    <col min="723" max="726" width="13.140625" bestFit="1" customWidth="1"/>
    <col min="727" max="727" width="9.85546875" bestFit="1" customWidth="1"/>
    <col min="728" max="728" width="15.28515625" bestFit="1" customWidth="1"/>
    <col min="729" max="729" width="11.7109375" bestFit="1" customWidth="1"/>
    <col min="730" max="733" width="23" bestFit="1" customWidth="1"/>
    <col min="734" max="734" width="14.42578125" bestFit="1" customWidth="1"/>
    <col min="735" max="738" width="19.140625" bestFit="1" customWidth="1"/>
    <col min="739" max="739" width="28.7109375" bestFit="1" customWidth="1"/>
    <col min="740" max="740" width="20.42578125" bestFit="1" customWidth="1"/>
    <col min="741" max="741" width="10.5703125" bestFit="1" customWidth="1"/>
    <col min="742" max="742" width="13.5703125" bestFit="1" customWidth="1"/>
    <col min="743" max="743" width="11.42578125" bestFit="1" customWidth="1"/>
    <col min="744" max="744" width="17.85546875" bestFit="1" customWidth="1"/>
    <col min="745" max="745" width="14.85546875" bestFit="1" customWidth="1"/>
    <col min="746" max="746" width="11.7109375" bestFit="1" customWidth="1"/>
    <col min="747" max="747" width="13.7109375" bestFit="1" customWidth="1"/>
    <col min="748" max="748" width="19.140625" bestFit="1" customWidth="1"/>
    <col min="749" max="749" width="22.140625" bestFit="1" customWidth="1"/>
    <col min="750" max="750" width="11.7109375" bestFit="1" customWidth="1"/>
    <col min="751" max="754" width="19.28515625" bestFit="1" customWidth="1"/>
    <col min="755" max="755" width="14.85546875" bestFit="1" customWidth="1"/>
    <col min="756" max="759" width="13.140625" bestFit="1" customWidth="1"/>
    <col min="760" max="760" width="9.85546875" bestFit="1" customWidth="1"/>
    <col min="761" max="761" width="15.28515625" bestFit="1" customWidth="1"/>
    <col min="762" max="762" width="11.7109375" bestFit="1" customWidth="1"/>
    <col min="763" max="766" width="23" bestFit="1" customWidth="1"/>
    <col min="767" max="767" width="14.42578125" bestFit="1" customWidth="1"/>
    <col min="768" max="771" width="19.140625" bestFit="1" customWidth="1"/>
    <col min="772" max="772" width="28.7109375" bestFit="1" customWidth="1"/>
    <col min="773" max="773" width="20.42578125" bestFit="1" customWidth="1"/>
    <col min="774" max="774" width="10.5703125" bestFit="1" customWidth="1"/>
    <col min="775" max="775" width="13.5703125" bestFit="1" customWidth="1"/>
    <col min="776" max="776" width="11.42578125" bestFit="1" customWidth="1"/>
    <col min="777" max="777" width="17.85546875" bestFit="1" customWidth="1"/>
    <col min="778" max="778" width="14.85546875" bestFit="1" customWidth="1"/>
    <col min="779" max="779" width="11.7109375" bestFit="1" customWidth="1"/>
    <col min="780" max="780" width="13.7109375" bestFit="1" customWidth="1"/>
    <col min="781" max="781" width="19.140625" bestFit="1" customWidth="1"/>
    <col min="782" max="782" width="22.140625" bestFit="1" customWidth="1"/>
    <col min="783" max="783" width="11.7109375" bestFit="1" customWidth="1"/>
    <col min="784" max="787" width="19.28515625" bestFit="1" customWidth="1"/>
    <col min="788" max="788" width="14.85546875" bestFit="1" customWidth="1"/>
    <col min="789" max="792" width="13.140625" bestFit="1" customWidth="1"/>
    <col min="793" max="793" width="9.85546875" bestFit="1" customWidth="1"/>
    <col min="794" max="794" width="15.28515625" bestFit="1" customWidth="1"/>
    <col min="795" max="795" width="11.7109375" bestFit="1" customWidth="1"/>
    <col min="796" max="799" width="23" bestFit="1" customWidth="1"/>
    <col min="800" max="800" width="14.42578125" bestFit="1" customWidth="1"/>
    <col min="801" max="804" width="19.140625" bestFit="1" customWidth="1"/>
    <col min="805" max="805" width="28.7109375" bestFit="1" customWidth="1"/>
    <col min="806" max="806" width="20.42578125" bestFit="1" customWidth="1"/>
    <col min="807" max="807" width="10.5703125" bestFit="1" customWidth="1"/>
    <col min="808" max="808" width="13.5703125" bestFit="1" customWidth="1"/>
    <col min="809" max="809" width="11.42578125" bestFit="1" customWidth="1"/>
    <col min="810" max="810" width="17.85546875" bestFit="1" customWidth="1"/>
    <col min="811" max="811" width="14.85546875" bestFit="1" customWidth="1"/>
    <col min="812" max="812" width="11.7109375" bestFit="1" customWidth="1"/>
    <col min="813" max="813" width="13.7109375" bestFit="1" customWidth="1"/>
    <col min="814" max="814" width="19.140625" bestFit="1" customWidth="1"/>
    <col min="815" max="815" width="22.140625" bestFit="1" customWidth="1"/>
    <col min="816" max="816" width="11.7109375" bestFit="1" customWidth="1"/>
    <col min="817" max="820" width="19.28515625" bestFit="1" customWidth="1"/>
    <col min="821" max="821" width="14.85546875" bestFit="1" customWidth="1"/>
    <col min="822" max="825" width="13.140625" bestFit="1" customWidth="1"/>
    <col min="826" max="826" width="9.85546875" bestFit="1" customWidth="1"/>
    <col min="827" max="827" width="15.28515625" bestFit="1" customWidth="1"/>
    <col min="828" max="828" width="11.7109375" bestFit="1" customWidth="1"/>
    <col min="829" max="832" width="23" bestFit="1" customWidth="1"/>
    <col min="833" max="833" width="14.42578125" bestFit="1" customWidth="1"/>
    <col min="834" max="837" width="19.140625" bestFit="1" customWidth="1"/>
    <col min="838" max="838" width="28.7109375" bestFit="1" customWidth="1"/>
    <col min="839" max="839" width="20.42578125" bestFit="1" customWidth="1"/>
    <col min="840" max="840" width="10.5703125" bestFit="1" customWidth="1"/>
    <col min="841" max="841" width="13.5703125" bestFit="1" customWidth="1"/>
    <col min="842" max="842" width="11.42578125" bestFit="1" customWidth="1"/>
    <col min="843" max="843" width="17.85546875" bestFit="1" customWidth="1"/>
    <col min="844" max="844" width="14.85546875" bestFit="1" customWidth="1"/>
    <col min="845" max="845" width="11.7109375" bestFit="1" customWidth="1"/>
    <col min="846" max="846" width="13.7109375" bestFit="1" customWidth="1"/>
    <col min="847" max="847" width="19.140625" bestFit="1" customWidth="1"/>
    <col min="848" max="848" width="22.140625" bestFit="1" customWidth="1"/>
    <col min="849" max="849" width="11.7109375" bestFit="1" customWidth="1"/>
    <col min="850" max="853" width="19.28515625" bestFit="1" customWidth="1"/>
    <col min="854" max="854" width="14.85546875" bestFit="1" customWidth="1"/>
    <col min="855" max="858" width="13.140625" bestFit="1" customWidth="1"/>
    <col min="859" max="859" width="9.85546875" bestFit="1" customWidth="1"/>
    <col min="860" max="860" width="15.28515625" bestFit="1" customWidth="1"/>
    <col min="861" max="861" width="11.7109375" bestFit="1" customWidth="1"/>
    <col min="862" max="865" width="23" bestFit="1" customWidth="1"/>
    <col min="866" max="866" width="14.42578125" bestFit="1" customWidth="1"/>
    <col min="867" max="870" width="19.140625" bestFit="1" customWidth="1"/>
    <col min="871" max="871" width="28.7109375" bestFit="1" customWidth="1"/>
    <col min="872" max="872" width="20.42578125" bestFit="1" customWidth="1"/>
    <col min="873" max="873" width="10.5703125" bestFit="1" customWidth="1"/>
    <col min="874" max="874" width="13.5703125" bestFit="1" customWidth="1"/>
    <col min="875" max="875" width="11.42578125" bestFit="1" customWidth="1"/>
    <col min="876" max="876" width="17.85546875" bestFit="1" customWidth="1"/>
    <col min="877" max="877" width="14.85546875" bestFit="1" customWidth="1"/>
    <col min="878" max="878" width="11.7109375" bestFit="1" customWidth="1"/>
    <col min="879" max="879" width="13.7109375" bestFit="1" customWidth="1"/>
    <col min="880" max="880" width="19.140625" bestFit="1" customWidth="1"/>
    <col min="881" max="881" width="22.140625" bestFit="1" customWidth="1"/>
    <col min="882" max="882" width="11.7109375" bestFit="1" customWidth="1"/>
    <col min="883" max="886" width="19.28515625" bestFit="1" customWidth="1"/>
    <col min="887" max="887" width="14.85546875" bestFit="1" customWidth="1"/>
    <col min="888" max="891" width="13.140625" bestFit="1" customWidth="1"/>
    <col min="892" max="892" width="9.85546875" bestFit="1" customWidth="1"/>
    <col min="893" max="893" width="15.28515625" bestFit="1" customWidth="1"/>
  </cols>
  <sheetData>
    <row r="1" spans="1:1533" x14ac:dyDescent="0.25">
      <c r="D1" s="132" t="s">
        <v>854</v>
      </c>
      <c r="E1" s="132" t="s">
        <v>3432</v>
      </c>
      <c r="F1" s="132">
        <v>35</v>
      </c>
    </row>
    <row r="3" spans="1:1533" s="113" customFormat="1" ht="22.5" customHeight="1" x14ac:dyDescent="0.25"/>
    <row r="4" spans="1:1533" ht="18.75" customHeight="1" x14ac:dyDescent="0.25">
      <c r="A4" t="s">
        <v>854</v>
      </c>
      <c r="B4" t="s">
        <v>2038</v>
      </c>
      <c r="C4" t="s">
        <v>797</v>
      </c>
      <c r="D4" t="s">
        <v>798</v>
      </c>
      <c r="E4" t="s">
        <v>1634</v>
      </c>
      <c r="F4" t="s">
        <v>1635</v>
      </c>
      <c r="G4" t="s">
        <v>1636</v>
      </c>
      <c r="H4" t="s">
        <v>3407</v>
      </c>
      <c r="I4" t="s">
        <v>2159</v>
      </c>
      <c r="J4" t="s">
        <v>2160</v>
      </c>
      <c r="K4" t="s">
        <v>2432</v>
      </c>
      <c r="L4" t="s">
        <v>2429</v>
      </c>
      <c r="M4" t="s">
        <v>2433</v>
      </c>
      <c r="N4" t="s">
        <v>2430</v>
      </c>
      <c r="O4" t="s">
        <v>2434</v>
      </c>
      <c r="P4" t="s">
        <v>2435</v>
      </c>
      <c r="Q4" t="s">
        <v>2431</v>
      </c>
      <c r="R4" t="s">
        <v>2436</v>
      </c>
      <c r="S4" t="s">
        <v>2437</v>
      </c>
      <c r="T4" t="s">
        <v>2438</v>
      </c>
      <c r="U4" t="s">
        <v>2439</v>
      </c>
      <c r="V4" t="s">
        <v>2048</v>
      </c>
      <c r="W4" t="s">
        <v>838</v>
      </c>
      <c r="X4" t="s">
        <v>839</v>
      </c>
      <c r="Y4" t="s">
        <v>1923</v>
      </c>
      <c r="Z4" t="s">
        <v>840</v>
      </c>
      <c r="AA4" t="s">
        <v>841</v>
      </c>
      <c r="AB4" t="s">
        <v>842</v>
      </c>
      <c r="AC4" t="s">
        <v>843</v>
      </c>
      <c r="AD4" t="s">
        <v>844</v>
      </c>
      <c r="AE4" t="s">
        <v>845</v>
      </c>
      <c r="AF4" t="s">
        <v>846</v>
      </c>
      <c r="AG4" t="s">
        <v>847</v>
      </c>
      <c r="AH4" t="s">
        <v>848</v>
      </c>
      <c r="AI4" t="s">
        <v>849</v>
      </c>
      <c r="AJ4" t="s">
        <v>2530</v>
      </c>
      <c r="AK4" t="s">
        <v>850</v>
      </c>
      <c r="AL4" t="s">
        <v>851</v>
      </c>
      <c r="AM4" t="s">
        <v>852</v>
      </c>
      <c r="AN4" t="s">
        <v>853</v>
      </c>
      <c r="AO4" t="s">
        <v>385</v>
      </c>
      <c r="AP4" t="s">
        <v>1629</v>
      </c>
      <c r="AQ4" t="s">
        <v>1630</v>
      </c>
      <c r="AR4" t="s">
        <v>1631</v>
      </c>
      <c r="AS4" t="s">
        <v>1628</v>
      </c>
      <c r="AT4" t="s">
        <v>1627</v>
      </c>
      <c r="AU4" t="s">
        <v>855</v>
      </c>
      <c r="AV4" t="s">
        <v>856</v>
      </c>
      <c r="AW4" t="s">
        <v>2525</v>
      </c>
      <c r="AX4" t="s">
        <v>857</v>
      </c>
      <c r="AY4" t="s">
        <v>1613</v>
      </c>
      <c r="AZ4" t="s">
        <v>1922</v>
      </c>
      <c r="BA4" t="s">
        <v>858</v>
      </c>
      <c r="BB4" t="s">
        <v>859</v>
      </c>
      <c r="BC4" t="s">
        <v>860</v>
      </c>
      <c r="BD4" t="s">
        <v>861</v>
      </c>
      <c r="BE4" t="s">
        <v>862</v>
      </c>
      <c r="BF4" t="s">
        <v>1582</v>
      </c>
      <c r="BG4" t="s">
        <v>1583</v>
      </c>
      <c r="BH4" t="s">
        <v>380</v>
      </c>
      <c r="BI4" t="s">
        <v>1584</v>
      </c>
      <c r="BJ4" t="s">
        <v>1585</v>
      </c>
      <c r="BK4" t="s">
        <v>3198</v>
      </c>
      <c r="BL4" t="s">
        <v>3404</v>
      </c>
      <c r="BM4" t="s">
        <v>3405</v>
      </c>
      <c r="BN4" t="s">
        <v>3406</v>
      </c>
      <c r="BO4" t="s">
        <v>808</v>
      </c>
      <c r="BP4" t="s">
        <v>2161</v>
      </c>
      <c r="BQ4" t="s">
        <v>2162</v>
      </c>
      <c r="BR4" t="s">
        <v>2163</v>
      </c>
      <c r="BS4" t="s">
        <v>809</v>
      </c>
      <c r="BT4" t="s">
        <v>806</v>
      </c>
      <c r="BU4" t="s">
        <v>1985</v>
      </c>
      <c r="BV4" t="s">
        <v>1986</v>
      </c>
      <c r="BW4" t="s">
        <v>1987</v>
      </c>
      <c r="BX4" t="s">
        <v>1988</v>
      </c>
      <c r="BY4" t="s">
        <v>3435</v>
      </c>
      <c r="BZ4" t="s">
        <v>799</v>
      </c>
      <c r="CA4" t="s">
        <v>801</v>
      </c>
      <c r="CB4" t="s">
        <v>800</v>
      </c>
      <c r="CC4" t="s">
        <v>3433</v>
      </c>
      <c r="CD4" t="s">
        <v>807</v>
      </c>
      <c r="CE4" t="s">
        <v>802</v>
      </c>
      <c r="CF4" t="s">
        <v>2408</v>
      </c>
      <c r="CG4" t="s">
        <v>2409</v>
      </c>
      <c r="CH4" t="s">
        <v>803</v>
      </c>
      <c r="CI4" t="s">
        <v>804</v>
      </c>
      <c r="CJ4" t="s">
        <v>805</v>
      </c>
      <c r="CK4" t="s">
        <v>1617</v>
      </c>
      <c r="CL4" t="s">
        <v>1618</v>
      </c>
      <c r="CM4" t="s">
        <v>1615</v>
      </c>
      <c r="CN4" t="s">
        <v>1616</v>
      </c>
      <c r="CO4" t="s">
        <v>822</v>
      </c>
      <c r="CP4" t="s">
        <v>2164</v>
      </c>
      <c r="CQ4" t="s">
        <v>2165</v>
      </c>
      <c r="CR4" t="s">
        <v>2166</v>
      </c>
      <c r="CS4" t="s">
        <v>2167</v>
      </c>
      <c r="CT4" t="s">
        <v>2168</v>
      </c>
      <c r="CU4" t="s">
        <v>2169</v>
      </c>
      <c r="CV4" t="s">
        <v>2170</v>
      </c>
      <c r="CW4" t="s">
        <v>823</v>
      </c>
      <c r="CX4" t="s">
        <v>820</v>
      </c>
      <c r="CY4" t="s">
        <v>812</v>
      </c>
      <c r="CZ4" t="s">
        <v>810</v>
      </c>
      <c r="DA4" t="s">
        <v>813</v>
      </c>
      <c r="DB4" t="s">
        <v>811</v>
      </c>
      <c r="DC4" t="s">
        <v>3434</v>
      </c>
      <c r="DD4" t="s">
        <v>821</v>
      </c>
      <c r="DE4" t="s">
        <v>814</v>
      </c>
      <c r="DF4" t="s">
        <v>815</v>
      </c>
      <c r="DG4" t="s">
        <v>816</v>
      </c>
      <c r="DH4" t="s">
        <v>817</v>
      </c>
      <c r="DI4" t="s">
        <v>818</v>
      </c>
      <c r="DJ4" t="s">
        <v>819</v>
      </c>
      <c r="DK4" t="s">
        <v>1621</v>
      </c>
      <c r="DL4" t="s">
        <v>1622</v>
      </c>
      <c r="DM4" t="s">
        <v>1619</v>
      </c>
      <c r="DN4" t="s">
        <v>1620</v>
      </c>
      <c r="DO4" t="s">
        <v>836</v>
      </c>
      <c r="DP4" t="s">
        <v>2171</v>
      </c>
      <c r="DQ4" t="s">
        <v>2172</v>
      </c>
      <c r="DR4" t="s">
        <v>2173</v>
      </c>
      <c r="DS4" t="s">
        <v>2174</v>
      </c>
      <c r="DT4" t="s">
        <v>2175</v>
      </c>
      <c r="DU4" t="s">
        <v>2176</v>
      </c>
      <c r="DV4" t="s">
        <v>2177</v>
      </c>
      <c r="DW4" t="s">
        <v>837</v>
      </c>
      <c r="DX4" t="s">
        <v>834</v>
      </c>
      <c r="DY4" t="s">
        <v>826</v>
      </c>
      <c r="DZ4" t="s">
        <v>824</v>
      </c>
      <c r="EA4" t="s">
        <v>827</v>
      </c>
      <c r="EB4" t="s">
        <v>825</v>
      </c>
      <c r="EC4" t="s">
        <v>3437</v>
      </c>
      <c r="ED4" t="s">
        <v>835</v>
      </c>
      <c r="EE4" t="s">
        <v>828</v>
      </c>
      <c r="EF4" t="s">
        <v>829</v>
      </c>
      <c r="EG4" t="s">
        <v>830</v>
      </c>
      <c r="EH4" t="s">
        <v>831</v>
      </c>
      <c r="EI4" t="s">
        <v>832</v>
      </c>
      <c r="EJ4" t="s">
        <v>833</v>
      </c>
      <c r="EK4" t="s">
        <v>1625</v>
      </c>
      <c r="EL4" s="116" t="s">
        <v>1626</v>
      </c>
      <c r="EM4" t="s">
        <v>1623</v>
      </c>
      <c r="EN4" t="s">
        <v>1624</v>
      </c>
      <c r="EO4" t="s">
        <v>1881</v>
      </c>
      <c r="EP4" t="s">
        <v>1882</v>
      </c>
      <c r="EQ4" t="s">
        <v>2442</v>
      </c>
      <c r="ER4" t="s">
        <v>2612</v>
      </c>
      <c r="ES4" t="s">
        <v>2446</v>
      </c>
      <c r="ET4" t="s">
        <v>2448</v>
      </c>
      <c r="EU4" t="s">
        <v>2449</v>
      </c>
      <c r="EV4" t="s">
        <v>2450</v>
      </c>
      <c r="EW4" t="s">
        <v>2451</v>
      </c>
      <c r="EX4" t="s">
        <v>2452</v>
      </c>
      <c r="EY4" t="s">
        <v>2453</v>
      </c>
      <c r="EZ4" t="s">
        <v>2454</v>
      </c>
      <c r="FA4" t="s">
        <v>2455</v>
      </c>
      <c r="FB4" t="s">
        <v>2456</v>
      </c>
      <c r="FC4" t="s">
        <v>2457</v>
      </c>
      <c r="FD4" t="s">
        <v>2458</v>
      </c>
      <c r="FE4" t="s">
        <v>2459</v>
      </c>
      <c r="FF4" t="s">
        <v>2460</v>
      </c>
      <c r="FG4" t="s">
        <v>2461</v>
      </c>
      <c r="FH4" t="s">
        <v>2462</v>
      </c>
      <c r="FI4" t="s">
        <v>2463</v>
      </c>
      <c r="FJ4" t="s">
        <v>2464</v>
      </c>
      <c r="FK4" t="s">
        <v>2465</v>
      </c>
      <c r="FL4" t="s">
        <v>2466</v>
      </c>
      <c r="FM4" t="s">
        <v>2447</v>
      </c>
      <c r="FN4" t="s">
        <v>2467</v>
      </c>
      <c r="FO4" t="s">
        <v>2468</v>
      </c>
      <c r="FP4" t="s">
        <v>2469</v>
      </c>
      <c r="FQ4" t="s">
        <v>2470</v>
      </c>
      <c r="FR4" t="s">
        <v>2471</v>
      </c>
      <c r="FS4" t="s">
        <v>2472</v>
      </c>
      <c r="FT4" t="s">
        <v>2473</v>
      </c>
      <c r="FU4" s="116" t="s">
        <v>2474</v>
      </c>
      <c r="FV4" t="s">
        <v>2475</v>
      </c>
      <c r="FW4" t="s">
        <v>2476</v>
      </c>
      <c r="FX4" t="s">
        <v>2477</v>
      </c>
      <c r="FY4" t="s">
        <v>2478</v>
      </c>
      <c r="FZ4" t="s">
        <v>2479</v>
      </c>
      <c r="GA4" t="s">
        <v>2480</v>
      </c>
      <c r="GB4" t="s">
        <v>2481</v>
      </c>
      <c r="GC4" t="s">
        <v>2482</v>
      </c>
      <c r="GD4" t="s">
        <v>2483</v>
      </c>
      <c r="GE4" t="s">
        <v>2484</v>
      </c>
      <c r="GF4" t="s">
        <v>2485</v>
      </c>
      <c r="GG4" t="s">
        <v>2178</v>
      </c>
      <c r="GH4" t="s">
        <v>2179</v>
      </c>
      <c r="GI4" t="s">
        <v>2180</v>
      </c>
      <c r="GJ4" t="s">
        <v>2181</v>
      </c>
      <c r="GK4" t="s">
        <v>2182</v>
      </c>
      <c r="GL4" t="s">
        <v>2183</v>
      </c>
      <c r="GM4" t="s">
        <v>2184</v>
      </c>
      <c r="GN4" t="s">
        <v>2185</v>
      </c>
      <c r="GO4" t="s">
        <v>2186</v>
      </c>
      <c r="GP4" t="s">
        <v>1153</v>
      </c>
      <c r="GQ4" t="s">
        <v>1154</v>
      </c>
      <c r="GR4" t="s">
        <v>1155</v>
      </c>
      <c r="GS4" t="s">
        <v>1156</v>
      </c>
      <c r="GT4" t="s">
        <v>1157</v>
      </c>
      <c r="GU4" t="s">
        <v>1158</v>
      </c>
      <c r="GV4" t="s">
        <v>1159</v>
      </c>
      <c r="GW4" t="s">
        <v>1160</v>
      </c>
      <c r="GX4" t="s">
        <v>1161</v>
      </c>
      <c r="GY4" t="s">
        <v>1681</v>
      </c>
      <c r="GZ4" t="s">
        <v>1682</v>
      </c>
      <c r="HA4" t="s">
        <v>1683</v>
      </c>
      <c r="HB4" t="s">
        <v>1684</v>
      </c>
      <c r="HC4" t="s">
        <v>1650</v>
      </c>
      <c r="HD4" t="s">
        <v>3438</v>
      </c>
      <c r="HE4" t="s">
        <v>1162</v>
      </c>
      <c r="HF4" t="s">
        <v>1163</v>
      </c>
      <c r="HG4" t="s">
        <v>1164</v>
      </c>
      <c r="HH4" s="116" t="s">
        <v>1165</v>
      </c>
      <c r="HI4" t="s">
        <v>1166</v>
      </c>
      <c r="HJ4" t="s">
        <v>1586</v>
      </c>
      <c r="HK4" t="s">
        <v>1677</v>
      </c>
      <c r="HL4" t="s">
        <v>1678</v>
      </c>
      <c r="HM4" t="s">
        <v>1679</v>
      </c>
      <c r="HN4" t="s">
        <v>1680</v>
      </c>
      <c r="HO4" t="s">
        <v>1167</v>
      </c>
      <c r="HP4" t="s">
        <v>1168</v>
      </c>
      <c r="HQ4" t="s">
        <v>2407</v>
      </c>
      <c r="HR4" t="s">
        <v>1169</v>
      </c>
      <c r="HS4" t="s">
        <v>1170</v>
      </c>
      <c r="HT4" t="s">
        <v>1171</v>
      </c>
      <c r="HU4" t="s">
        <v>1172</v>
      </c>
      <c r="HV4" t="s">
        <v>1173</v>
      </c>
      <c r="HW4" t="s">
        <v>1174</v>
      </c>
      <c r="HX4" t="s">
        <v>1175</v>
      </c>
      <c r="HY4" t="s">
        <v>1176</v>
      </c>
      <c r="HZ4" t="s">
        <v>1177</v>
      </c>
      <c r="IA4" t="s">
        <v>1178</v>
      </c>
      <c r="IB4" t="s">
        <v>1588</v>
      </c>
      <c r="IC4" t="s">
        <v>2187</v>
      </c>
      <c r="ID4" t="s">
        <v>2188</v>
      </c>
      <c r="IE4" t="s">
        <v>2189</v>
      </c>
      <c r="IF4" t="s">
        <v>2190</v>
      </c>
      <c r="IG4" t="s">
        <v>2191</v>
      </c>
      <c r="IH4" t="s">
        <v>2192</v>
      </c>
      <c r="II4" t="s">
        <v>2193</v>
      </c>
      <c r="IJ4" t="s">
        <v>2194</v>
      </c>
      <c r="IK4" t="s">
        <v>2195</v>
      </c>
      <c r="IL4" t="s">
        <v>1353</v>
      </c>
      <c r="IM4" t="s">
        <v>1354</v>
      </c>
      <c r="IN4" t="s">
        <v>1355</v>
      </c>
      <c r="IO4" t="s">
        <v>1356</v>
      </c>
      <c r="IP4" t="s">
        <v>1357</v>
      </c>
      <c r="IQ4" t="s">
        <v>1358</v>
      </c>
      <c r="IR4" t="s">
        <v>1359</v>
      </c>
      <c r="IS4" t="s">
        <v>1360</v>
      </c>
      <c r="IT4" t="s">
        <v>1361</v>
      </c>
      <c r="IU4" s="116" t="s">
        <v>1651</v>
      </c>
      <c r="IV4" t="s">
        <v>1362</v>
      </c>
      <c r="IW4" t="s">
        <v>1363</v>
      </c>
      <c r="IX4" t="s">
        <v>1364</v>
      </c>
      <c r="IY4" t="s">
        <v>1365</v>
      </c>
      <c r="IZ4" t="s">
        <v>1366</v>
      </c>
      <c r="JA4" t="s">
        <v>1367</v>
      </c>
      <c r="JB4" t="s">
        <v>1587</v>
      </c>
      <c r="JC4" t="s">
        <v>1368</v>
      </c>
      <c r="JD4" t="s">
        <v>1369</v>
      </c>
      <c r="JE4" t="s">
        <v>2406</v>
      </c>
      <c r="JF4" t="s">
        <v>1370</v>
      </c>
      <c r="JG4" t="s">
        <v>1371</v>
      </c>
      <c r="JH4" t="s">
        <v>1372</v>
      </c>
      <c r="JI4" t="s">
        <v>1373</v>
      </c>
      <c r="JJ4" t="s">
        <v>1374</v>
      </c>
      <c r="JK4" t="s">
        <v>1375</v>
      </c>
      <c r="JL4" t="s">
        <v>1376</v>
      </c>
      <c r="JM4" t="s">
        <v>1377</v>
      </c>
      <c r="JN4" t="s">
        <v>1378</v>
      </c>
      <c r="JO4" t="s">
        <v>1685</v>
      </c>
      <c r="JP4" t="s">
        <v>1686</v>
      </c>
      <c r="JQ4" t="s">
        <v>1687</v>
      </c>
      <c r="JR4" t="s">
        <v>1688</v>
      </c>
      <c r="JS4" t="s">
        <v>1689</v>
      </c>
      <c r="JT4" t="s">
        <v>1690</v>
      </c>
      <c r="JU4" t="s">
        <v>1691</v>
      </c>
      <c r="JV4" t="s">
        <v>1692</v>
      </c>
      <c r="JW4" t="s">
        <v>1379</v>
      </c>
      <c r="JX4" t="s">
        <v>1589</v>
      </c>
      <c r="JY4" t="s">
        <v>2196</v>
      </c>
      <c r="JZ4" t="s">
        <v>2197</v>
      </c>
      <c r="KA4" t="s">
        <v>2198</v>
      </c>
      <c r="KB4" t="s">
        <v>2199</v>
      </c>
      <c r="KC4" t="s">
        <v>2200</v>
      </c>
      <c r="KD4" t="s">
        <v>2201</v>
      </c>
      <c r="KE4" t="s">
        <v>2202</v>
      </c>
      <c r="KF4" t="s">
        <v>2203</v>
      </c>
      <c r="KG4" t="s">
        <v>2204</v>
      </c>
      <c r="KH4" s="116" t="s">
        <v>1380</v>
      </c>
      <c r="KI4" t="s">
        <v>1381</v>
      </c>
      <c r="KJ4" t="s">
        <v>1382</v>
      </c>
      <c r="KK4" t="s">
        <v>1383</v>
      </c>
      <c r="KL4" t="s">
        <v>1384</v>
      </c>
      <c r="KM4" t="s">
        <v>1385</v>
      </c>
      <c r="KN4" t="s">
        <v>1386</v>
      </c>
      <c r="KO4" t="s">
        <v>1387</v>
      </c>
      <c r="KP4" t="s">
        <v>1388</v>
      </c>
      <c r="KQ4" t="s">
        <v>1652</v>
      </c>
      <c r="KR4" t="s">
        <v>1389</v>
      </c>
      <c r="KS4" t="s">
        <v>1390</v>
      </c>
      <c r="KT4" t="s">
        <v>1391</v>
      </c>
      <c r="KU4" t="s">
        <v>1392</v>
      </c>
      <c r="KV4" t="s">
        <v>1393</v>
      </c>
      <c r="KW4" t="s">
        <v>1394</v>
      </c>
      <c r="KX4" t="s">
        <v>1395</v>
      </c>
      <c r="KY4" t="s">
        <v>1396</v>
      </c>
      <c r="KZ4" t="s">
        <v>1397</v>
      </c>
      <c r="LA4" t="s">
        <v>1398</v>
      </c>
      <c r="LB4" t="s">
        <v>1399</v>
      </c>
      <c r="LC4" t="s">
        <v>1400</v>
      </c>
      <c r="LD4" t="s">
        <v>1401</v>
      </c>
      <c r="LE4" t="s">
        <v>1402</v>
      </c>
      <c r="LF4" t="s">
        <v>1403</v>
      </c>
      <c r="LG4" t="s">
        <v>1404</v>
      </c>
      <c r="LH4" t="s">
        <v>1405</v>
      </c>
      <c r="LI4" t="s">
        <v>1406</v>
      </c>
      <c r="LJ4" t="s">
        <v>1407</v>
      </c>
      <c r="LK4" t="s">
        <v>1408</v>
      </c>
      <c r="LL4" t="s">
        <v>1693</v>
      </c>
      <c r="LM4" t="s">
        <v>1694</v>
      </c>
      <c r="LN4" t="s">
        <v>1695</v>
      </c>
      <c r="LO4" t="s">
        <v>1696</v>
      </c>
      <c r="LP4" t="s">
        <v>1697</v>
      </c>
      <c r="LQ4" t="s">
        <v>1698</v>
      </c>
      <c r="LR4" t="s">
        <v>1699</v>
      </c>
      <c r="LS4" t="s">
        <v>1700</v>
      </c>
      <c r="LT4" t="s">
        <v>1590</v>
      </c>
      <c r="LU4" s="116" t="s">
        <v>2205</v>
      </c>
      <c r="LV4" t="s">
        <v>2206</v>
      </c>
      <c r="LW4" t="s">
        <v>2207</v>
      </c>
      <c r="LX4" t="s">
        <v>2208</v>
      </c>
      <c r="LY4" t="s">
        <v>2209</v>
      </c>
      <c r="LZ4" t="s">
        <v>2210</v>
      </c>
      <c r="MA4" t="s">
        <v>2211</v>
      </c>
      <c r="MB4" t="s">
        <v>2212</v>
      </c>
      <c r="MC4" t="s">
        <v>2213</v>
      </c>
      <c r="MD4" t="s">
        <v>1409</v>
      </c>
      <c r="ME4" t="s">
        <v>1410</v>
      </c>
      <c r="MF4" t="s">
        <v>1411</v>
      </c>
      <c r="MG4" t="s">
        <v>1412</v>
      </c>
      <c r="MH4" t="s">
        <v>1413</v>
      </c>
      <c r="MI4" t="s">
        <v>1414</v>
      </c>
      <c r="MJ4" t="s">
        <v>1415</v>
      </c>
      <c r="MK4" t="s">
        <v>1416</v>
      </c>
      <c r="ML4" t="s">
        <v>1417</v>
      </c>
      <c r="MM4" t="s">
        <v>1653</v>
      </c>
      <c r="MN4" t="s">
        <v>1418</v>
      </c>
      <c r="MO4" t="s">
        <v>1419</v>
      </c>
      <c r="MP4" t="s">
        <v>1420</v>
      </c>
      <c r="MQ4" t="s">
        <v>1421</v>
      </c>
      <c r="MR4" t="s">
        <v>1422</v>
      </c>
      <c r="MS4" t="s">
        <v>1423</v>
      </c>
      <c r="MT4" t="s">
        <v>1424</v>
      </c>
      <c r="MU4" t="s">
        <v>1425</v>
      </c>
      <c r="MV4" t="s">
        <v>1426</v>
      </c>
      <c r="MW4" t="s">
        <v>1427</v>
      </c>
      <c r="MX4" t="s">
        <v>1428</v>
      </c>
      <c r="MY4" t="s">
        <v>1429</v>
      </c>
      <c r="MZ4" t="s">
        <v>1430</v>
      </c>
      <c r="NA4" t="s">
        <v>1431</v>
      </c>
      <c r="NB4" t="s">
        <v>2405</v>
      </c>
      <c r="NC4" t="s">
        <v>1432</v>
      </c>
      <c r="ND4" t="s">
        <v>1433</v>
      </c>
      <c r="NE4" t="s">
        <v>1434</v>
      </c>
      <c r="NF4" t="s">
        <v>1435</v>
      </c>
      <c r="NG4" t="s">
        <v>1701</v>
      </c>
      <c r="NH4" s="116" t="s">
        <v>1702</v>
      </c>
      <c r="NI4" t="s">
        <v>1703</v>
      </c>
      <c r="NJ4" t="s">
        <v>1704</v>
      </c>
      <c r="NK4" t="s">
        <v>1705</v>
      </c>
      <c r="NL4" t="s">
        <v>1706</v>
      </c>
      <c r="NM4" t="s">
        <v>1707</v>
      </c>
      <c r="NN4" t="s">
        <v>1708</v>
      </c>
      <c r="NO4" t="s">
        <v>1436</v>
      </c>
      <c r="NP4" t="s">
        <v>1591</v>
      </c>
      <c r="NQ4" t="s">
        <v>2214</v>
      </c>
      <c r="NR4" t="s">
        <v>2215</v>
      </c>
      <c r="NS4" t="s">
        <v>2216</v>
      </c>
      <c r="NT4" t="s">
        <v>2217</v>
      </c>
      <c r="NU4" t="s">
        <v>2218</v>
      </c>
      <c r="NV4" t="s">
        <v>2219</v>
      </c>
      <c r="NW4" t="s">
        <v>2220</v>
      </c>
      <c r="NX4" t="s">
        <v>2221</v>
      </c>
      <c r="NY4" t="s">
        <v>2222</v>
      </c>
      <c r="NZ4" t="s">
        <v>1437</v>
      </c>
      <c r="OA4" t="s">
        <v>1438</v>
      </c>
      <c r="OB4" t="s">
        <v>1439</v>
      </c>
      <c r="OC4" t="s">
        <v>1440</v>
      </c>
      <c r="OD4" t="s">
        <v>1441</v>
      </c>
      <c r="OE4" t="s">
        <v>1442</v>
      </c>
      <c r="OF4" t="s">
        <v>1443</v>
      </c>
      <c r="OG4" t="s">
        <v>1444</v>
      </c>
      <c r="OH4" t="s">
        <v>1445</v>
      </c>
      <c r="OI4" t="s">
        <v>1654</v>
      </c>
      <c r="OJ4" t="s">
        <v>1446</v>
      </c>
      <c r="OK4" t="s">
        <v>1447</v>
      </c>
      <c r="OL4" t="s">
        <v>1448</v>
      </c>
      <c r="OM4" t="s">
        <v>1449</v>
      </c>
      <c r="ON4" t="s">
        <v>1450</v>
      </c>
      <c r="OO4" t="s">
        <v>1451</v>
      </c>
      <c r="OP4" t="s">
        <v>1452</v>
      </c>
      <c r="OQ4" t="s">
        <v>1453</v>
      </c>
      <c r="OR4" t="s">
        <v>1454</v>
      </c>
      <c r="OS4" t="s">
        <v>1455</v>
      </c>
      <c r="OT4" t="s">
        <v>1456</v>
      </c>
      <c r="OU4" s="116" t="s">
        <v>1457</v>
      </c>
      <c r="OV4" t="s">
        <v>1458</v>
      </c>
      <c r="OW4" t="s">
        <v>1459</v>
      </c>
      <c r="OX4" t="s">
        <v>1460</v>
      </c>
      <c r="OY4" t="s">
        <v>1461</v>
      </c>
      <c r="OZ4" t="s">
        <v>1462</v>
      </c>
      <c r="PA4" t="s">
        <v>1463</v>
      </c>
      <c r="PB4" t="s">
        <v>1464</v>
      </c>
      <c r="PC4" t="s">
        <v>1709</v>
      </c>
      <c r="PD4" t="s">
        <v>1710</v>
      </c>
      <c r="PE4" t="s">
        <v>1711</v>
      </c>
      <c r="PF4" t="s">
        <v>1712</v>
      </c>
      <c r="PG4" t="s">
        <v>1713</v>
      </c>
      <c r="PH4" t="s">
        <v>1714</v>
      </c>
      <c r="PI4" t="s">
        <v>1715</v>
      </c>
      <c r="PJ4" t="s">
        <v>1716</v>
      </c>
      <c r="PK4" t="s">
        <v>1465</v>
      </c>
      <c r="PL4" t="s">
        <v>1612</v>
      </c>
      <c r="PM4" t="s">
        <v>2223</v>
      </c>
      <c r="PN4" t="s">
        <v>2224</v>
      </c>
      <c r="PO4" t="s">
        <v>2225</v>
      </c>
      <c r="PP4" t="s">
        <v>2226</v>
      </c>
      <c r="PQ4" t="s">
        <v>2227</v>
      </c>
      <c r="PR4" t="s">
        <v>2228</v>
      </c>
      <c r="PS4" t="s">
        <v>2229</v>
      </c>
      <c r="PT4" t="s">
        <v>2230</v>
      </c>
      <c r="PU4" t="s">
        <v>2231</v>
      </c>
      <c r="PV4" t="s">
        <v>1466</v>
      </c>
      <c r="PW4" t="s">
        <v>1467</v>
      </c>
      <c r="PX4" t="s">
        <v>1468</v>
      </c>
      <c r="PY4" t="s">
        <v>1469</v>
      </c>
      <c r="PZ4" t="s">
        <v>1470</v>
      </c>
      <c r="QA4" t="s">
        <v>1471</v>
      </c>
      <c r="QB4" t="s">
        <v>1472</v>
      </c>
      <c r="QC4" t="s">
        <v>1473</v>
      </c>
      <c r="QD4" t="s">
        <v>1474</v>
      </c>
      <c r="QE4" t="s">
        <v>1655</v>
      </c>
      <c r="QF4" t="s">
        <v>1475</v>
      </c>
      <c r="QG4" t="s">
        <v>1476</v>
      </c>
      <c r="QH4" s="116" t="s">
        <v>1477</v>
      </c>
      <c r="QI4" t="s">
        <v>1478</v>
      </c>
      <c r="QJ4" t="s">
        <v>1479</v>
      </c>
      <c r="QK4" t="s">
        <v>1480</v>
      </c>
      <c r="QL4" t="s">
        <v>1481</v>
      </c>
      <c r="QM4" t="s">
        <v>1482</v>
      </c>
      <c r="QN4" t="s">
        <v>1483</v>
      </c>
      <c r="QO4" t="s">
        <v>1484</v>
      </c>
      <c r="QP4" t="s">
        <v>1485</v>
      </c>
      <c r="QQ4" t="s">
        <v>1486</v>
      </c>
      <c r="QR4" t="s">
        <v>1487</v>
      </c>
      <c r="QS4" t="s">
        <v>1488</v>
      </c>
      <c r="QT4" t="s">
        <v>1489</v>
      </c>
      <c r="QU4" t="s">
        <v>1490</v>
      </c>
      <c r="QV4" t="s">
        <v>1491</v>
      </c>
      <c r="QW4" t="s">
        <v>1492</v>
      </c>
      <c r="QX4" t="s">
        <v>1493</v>
      </c>
      <c r="QY4" t="s">
        <v>1717</v>
      </c>
      <c r="QZ4" t="s">
        <v>1718</v>
      </c>
      <c r="RA4" t="s">
        <v>1719</v>
      </c>
      <c r="RB4" t="s">
        <v>1720</v>
      </c>
      <c r="RC4" t="s">
        <v>1721</v>
      </c>
      <c r="RD4" t="s">
        <v>1722</v>
      </c>
      <c r="RE4" t="s">
        <v>1723</v>
      </c>
      <c r="RF4" t="s">
        <v>1724</v>
      </c>
      <c r="RG4" t="s">
        <v>1494</v>
      </c>
      <c r="RH4" t="s">
        <v>1611</v>
      </c>
      <c r="RI4" t="s">
        <v>2232</v>
      </c>
      <c r="RJ4" t="s">
        <v>2233</v>
      </c>
      <c r="RK4" t="s">
        <v>2234</v>
      </c>
      <c r="RL4" t="s">
        <v>2235</v>
      </c>
      <c r="RM4" t="s">
        <v>2236</v>
      </c>
      <c r="RN4" t="s">
        <v>2237</v>
      </c>
      <c r="RO4" t="s">
        <v>2238</v>
      </c>
      <c r="RP4" t="s">
        <v>2239</v>
      </c>
      <c r="RQ4" t="s">
        <v>2240</v>
      </c>
      <c r="RR4" t="s">
        <v>1495</v>
      </c>
      <c r="RS4" t="s">
        <v>1496</v>
      </c>
      <c r="RT4" t="s">
        <v>1497</v>
      </c>
      <c r="RU4" s="116" t="s">
        <v>1498</v>
      </c>
      <c r="RV4" t="s">
        <v>1499</v>
      </c>
      <c r="RW4" t="s">
        <v>1500</v>
      </c>
      <c r="RX4" t="s">
        <v>1501</v>
      </c>
      <c r="RY4" t="s">
        <v>1502</v>
      </c>
      <c r="RZ4" t="s">
        <v>1503</v>
      </c>
      <c r="SA4" t="s">
        <v>1656</v>
      </c>
      <c r="SB4" t="s">
        <v>1504</v>
      </c>
      <c r="SC4" t="s">
        <v>1505</v>
      </c>
      <c r="SD4" t="s">
        <v>1506</v>
      </c>
      <c r="SE4" t="s">
        <v>1507</v>
      </c>
      <c r="SF4" t="s">
        <v>1508</v>
      </c>
      <c r="SG4" t="s">
        <v>1509</v>
      </c>
      <c r="SH4" t="s">
        <v>1510</v>
      </c>
      <c r="SI4" t="s">
        <v>1511</v>
      </c>
      <c r="SJ4" t="s">
        <v>1512</v>
      </c>
      <c r="SK4" t="s">
        <v>1513</v>
      </c>
      <c r="SL4" t="s">
        <v>1514</v>
      </c>
      <c r="SM4" t="s">
        <v>1515</v>
      </c>
      <c r="SN4" t="s">
        <v>1516</v>
      </c>
      <c r="SO4" t="s">
        <v>1517</v>
      </c>
      <c r="SP4" t="s">
        <v>1518</v>
      </c>
      <c r="SQ4" t="s">
        <v>1519</v>
      </c>
      <c r="SR4" t="s">
        <v>1520</v>
      </c>
      <c r="SS4" t="s">
        <v>1521</v>
      </c>
      <c r="ST4" t="s">
        <v>1522</v>
      </c>
      <c r="SU4" t="s">
        <v>1725</v>
      </c>
      <c r="SV4" t="s">
        <v>1726</v>
      </c>
      <c r="SW4" t="s">
        <v>1727</v>
      </c>
      <c r="SX4" t="s">
        <v>1728</v>
      </c>
      <c r="SY4" t="s">
        <v>1729</v>
      </c>
      <c r="SZ4" t="s">
        <v>1730</v>
      </c>
      <c r="TA4" t="s">
        <v>1731</v>
      </c>
      <c r="TB4" t="s">
        <v>1732</v>
      </c>
      <c r="TC4" t="s">
        <v>1523</v>
      </c>
      <c r="TD4" t="s">
        <v>1610</v>
      </c>
      <c r="TE4" t="s">
        <v>2241</v>
      </c>
      <c r="TF4" t="s">
        <v>2242</v>
      </c>
      <c r="TG4" t="s">
        <v>2243</v>
      </c>
      <c r="TH4" s="116" t="s">
        <v>2244</v>
      </c>
      <c r="TI4" t="s">
        <v>2245</v>
      </c>
      <c r="TJ4" t="s">
        <v>2246</v>
      </c>
      <c r="TK4" t="s">
        <v>2247</v>
      </c>
      <c r="TL4" t="s">
        <v>2248</v>
      </c>
      <c r="TM4" t="s">
        <v>2249</v>
      </c>
      <c r="TN4" t="s">
        <v>1524</v>
      </c>
      <c r="TO4" t="s">
        <v>1525</v>
      </c>
      <c r="TP4" t="s">
        <v>1526</v>
      </c>
      <c r="TQ4" t="s">
        <v>1527</v>
      </c>
      <c r="TR4" t="s">
        <v>1528</v>
      </c>
      <c r="TS4" t="s">
        <v>1529</v>
      </c>
      <c r="TT4" t="s">
        <v>1530</v>
      </c>
      <c r="TU4" t="s">
        <v>1531</v>
      </c>
      <c r="TV4" t="s">
        <v>1532</v>
      </c>
      <c r="TW4" t="s">
        <v>1657</v>
      </c>
      <c r="TX4" t="s">
        <v>1533</v>
      </c>
      <c r="TY4" t="s">
        <v>1534</v>
      </c>
      <c r="TZ4" t="s">
        <v>1535</v>
      </c>
      <c r="UA4" t="s">
        <v>1536</v>
      </c>
      <c r="UB4" t="s">
        <v>1537</v>
      </c>
      <c r="UC4" t="s">
        <v>1538</v>
      </c>
      <c r="UD4" t="s">
        <v>1539</v>
      </c>
      <c r="UE4" t="s">
        <v>1540</v>
      </c>
      <c r="UF4" t="s">
        <v>1541</v>
      </c>
      <c r="UG4" t="s">
        <v>1542</v>
      </c>
      <c r="UH4" t="s">
        <v>1543</v>
      </c>
      <c r="UI4" t="s">
        <v>1544</v>
      </c>
      <c r="UJ4" t="s">
        <v>1545</v>
      </c>
      <c r="UK4" t="s">
        <v>1546</v>
      </c>
      <c r="UL4" t="s">
        <v>1547</v>
      </c>
      <c r="UM4" t="s">
        <v>1548</v>
      </c>
      <c r="UN4" t="s">
        <v>1549</v>
      </c>
      <c r="UO4" t="s">
        <v>1550</v>
      </c>
      <c r="UP4" t="s">
        <v>1551</v>
      </c>
      <c r="UQ4" t="s">
        <v>1733</v>
      </c>
      <c r="UR4" t="s">
        <v>1734</v>
      </c>
      <c r="US4" t="s">
        <v>1735</v>
      </c>
      <c r="UT4" t="s">
        <v>1736</v>
      </c>
      <c r="UU4" s="116" t="s">
        <v>1737</v>
      </c>
      <c r="UV4" t="s">
        <v>1738</v>
      </c>
      <c r="UW4" t="s">
        <v>1739</v>
      </c>
      <c r="UX4" t="s">
        <v>1740</v>
      </c>
      <c r="UY4" t="s">
        <v>1552</v>
      </c>
      <c r="UZ4" t="s">
        <v>1609</v>
      </c>
      <c r="VA4" t="s">
        <v>2250</v>
      </c>
      <c r="VB4" t="s">
        <v>2251</v>
      </c>
      <c r="VC4" t="s">
        <v>2252</v>
      </c>
      <c r="VD4" t="s">
        <v>2253</v>
      </c>
      <c r="VE4" t="s">
        <v>2254</v>
      </c>
      <c r="VF4" t="s">
        <v>2255</v>
      </c>
      <c r="VG4" t="s">
        <v>2256</v>
      </c>
      <c r="VH4" t="s">
        <v>2257</v>
      </c>
      <c r="VI4" t="s">
        <v>2258</v>
      </c>
      <c r="VJ4" t="s">
        <v>1553</v>
      </c>
      <c r="VK4" t="s">
        <v>1554</v>
      </c>
      <c r="VL4" t="s">
        <v>1555</v>
      </c>
      <c r="VM4" t="s">
        <v>1556</v>
      </c>
      <c r="VN4" t="s">
        <v>1557</v>
      </c>
      <c r="VO4" t="s">
        <v>1558</v>
      </c>
      <c r="VP4" t="s">
        <v>1559</v>
      </c>
      <c r="VQ4" t="s">
        <v>1560</v>
      </c>
      <c r="VR4" t="s">
        <v>1561</v>
      </c>
      <c r="VS4" t="s">
        <v>1658</v>
      </c>
      <c r="VT4" t="s">
        <v>1562</v>
      </c>
      <c r="VU4" t="s">
        <v>1563</v>
      </c>
      <c r="VV4" t="s">
        <v>1564</v>
      </c>
      <c r="VW4" t="s">
        <v>1565</v>
      </c>
      <c r="VX4" t="s">
        <v>1566</v>
      </c>
      <c r="VY4" t="s">
        <v>1567</v>
      </c>
      <c r="VZ4" t="s">
        <v>1568</v>
      </c>
      <c r="WA4" t="s">
        <v>1569</v>
      </c>
      <c r="WB4" t="s">
        <v>1570</v>
      </c>
      <c r="WC4" t="s">
        <v>1571</v>
      </c>
      <c r="WD4" t="s">
        <v>1572</v>
      </c>
      <c r="WE4" t="s">
        <v>1573</v>
      </c>
      <c r="WF4" t="s">
        <v>1574</v>
      </c>
      <c r="WG4" t="s">
        <v>1575</v>
      </c>
      <c r="WH4" s="116" t="s">
        <v>1576</v>
      </c>
      <c r="WI4" t="s">
        <v>1577</v>
      </c>
      <c r="WJ4" t="s">
        <v>1578</v>
      </c>
      <c r="WK4" t="s">
        <v>1579</v>
      </c>
      <c r="WL4" t="s">
        <v>1580</v>
      </c>
      <c r="WM4" t="s">
        <v>1741</v>
      </c>
      <c r="WN4" t="s">
        <v>1742</v>
      </c>
      <c r="WO4" t="s">
        <v>1743</v>
      </c>
      <c r="WP4" t="s">
        <v>1744</v>
      </c>
      <c r="WQ4" t="s">
        <v>1745</v>
      </c>
      <c r="WR4" t="s">
        <v>1746</v>
      </c>
      <c r="WS4" t="s">
        <v>1747</v>
      </c>
      <c r="WT4" t="s">
        <v>1748</v>
      </c>
      <c r="WU4" t="s">
        <v>1581</v>
      </c>
      <c r="WV4" t="s">
        <v>1608</v>
      </c>
      <c r="WW4" t="s">
        <v>2259</v>
      </c>
      <c r="WX4" t="s">
        <v>2260</v>
      </c>
      <c r="WY4" t="s">
        <v>2261</v>
      </c>
      <c r="WZ4" t="s">
        <v>2262</v>
      </c>
      <c r="XA4" t="s">
        <v>2263</v>
      </c>
      <c r="XB4" t="s">
        <v>2264</v>
      </c>
      <c r="XC4" t="s">
        <v>2265</v>
      </c>
      <c r="XD4" t="s">
        <v>2266</v>
      </c>
      <c r="XE4" t="s">
        <v>2267</v>
      </c>
      <c r="XF4" t="s">
        <v>863</v>
      </c>
      <c r="XG4" t="s">
        <v>864</v>
      </c>
      <c r="XH4" t="s">
        <v>865</v>
      </c>
      <c r="XI4" t="s">
        <v>866</v>
      </c>
      <c r="XJ4" t="s">
        <v>867</v>
      </c>
      <c r="XK4" t="s">
        <v>868</v>
      </c>
      <c r="XL4" t="s">
        <v>869</v>
      </c>
      <c r="XM4" t="s">
        <v>870</v>
      </c>
      <c r="XN4" t="s">
        <v>871</v>
      </c>
      <c r="XO4" t="s">
        <v>1659</v>
      </c>
      <c r="XP4" t="s">
        <v>872</v>
      </c>
      <c r="XQ4" t="s">
        <v>873</v>
      </c>
      <c r="XR4" t="s">
        <v>874</v>
      </c>
      <c r="XS4" t="s">
        <v>875</v>
      </c>
      <c r="XT4" t="s">
        <v>876</v>
      </c>
      <c r="XU4" s="116" t="s">
        <v>877</v>
      </c>
      <c r="XV4" t="s">
        <v>878</v>
      </c>
      <c r="XW4" t="s">
        <v>879</v>
      </c>
      <c r="XX4" t="s">
        <v>880</v>
      </c>
      <c r="XY4" t="s">
        <v>881</v>
      </c>
      <c r="XZ4" t="s">
        <v>882</v>
      </c>
      <c r="YA4" t="s">
        <v>883</v>
      </c>
      <c r="YB4" t="s">
        <v>884</v>
      </c>
      <c r="YC4" t="s">
        <v>885</v>
      </c>
      <c r="YD4" t="s">
        <v>886</v>
      </c>
      <c r="YE4" t="s">
        <v>887</v>
      </c>
      <c r="YF4" t="s">
        <v>888</v>
      </c>
      <c r="YG4" t="s">
        <v>889</v>
      </c>
      <c r="YH4" t="s">
        <v>890</v>
      </c>
      <c r="YI4" t="s">
        <v>1749</v>
      </c>
      <c r="YJ4" t="s">
        <v>1750</v>
      </c>
      <c r="YK4" t="s">
        <v>1751</v>
      </c>
      <c r="YL4" t="s">
        <v>1752</v>
      </c>
      <c r="YM4" t="s">
        <v>1753</v>
      </c>
      <c r="YN4" t="s">
        <v>1754</v>
      </c>
      <c r="YO4" t="s">
        <v>1755</v>
      </c>
      <c r="YP4" t="s">
        <v>1756</v>
      </c>
      <c r="YQ4" t="s">
        <v>891</v>
      </c>
      <c r="YR4" t="s">
        <v>1607</v>
      </c>
      <c r="YS4" t="s">
        <v>2268</v>
      </c>
      <c r="YT4" t="s">
        <v>2269</v>
      </c>
      <c r="YU4" t="s">
        <v>2270</v>
      </c>
      <c r="YV4" t="s">
        <v>2271</v>
      </c>
      <c r="YW4" t="s">
        <v>2272</v>
      </c>
      <c r="YX4" t="s">
        <v>2273</v>
      </c>
      <c r="YY4" t="s">
        <v>2274</v>
      </c>
      <c r="YZ4" t="s">
        <v>2275</v>
      </c>
      <c r="ZA4" t="s">
        <v>2276</v>
      </c>
      <c r="ZB4" t="s">
        <v>892</v>
      </c>
      <c r="ZC4" t="s">
        <v>893</v>
      </c>
      <c r="ZD4" t="s">
        <v>894</v>
      </c>
      <c r="ZE4" t="s">
        <v>895</v>
      </c>
      <c r="ZF4" t="s">
        <v>896</v>
      </c>
      <c r="ZG4" t="s">
        <v>897</v>
      </c>
      <c r="ZH4" s="116" t="s">
        <v>898</v>
      </c>
      <c r="ZI4" t="s">
        <v>899</v>
      </c>
      <c r="ZJ4" t="s">
        <v>900</v>
      </c>
      <c r="ZK4" t="s">
        <v>1660</v>
      </c>
      <c r="ZL4" t="s">
        <v>901</v>
      </c>
      <c r="ZM4" t="s">
        <v>902</v>
      </c>
      <c r="ZN4" t="s">
        <v>903</v>
      </c>
      <c r="ZO4" t="s">
        <v>904</v>
      </c>
      <c r="ZP4" t="s">
        <v>905</v>
      </c>
      <c r="ZQ4" t="s">
        <v>906</v>
      </c>
      <c r="ZR4" t="s">
        <v>907</v>
      </c>
      <c r="ZS4" t="s">
        <v>908</v>
      </c>
      <c r="ZT4" t="s">
        <v>909</v>
      </c>
      <c r="ZU4" t="s">
        <v>910</v>
      </c>
      <c r="ZV4" t="s">
        <v>911</v>
      </c>
      <c r="ZW4" t="s">
        <v>912</v>
      </c>
      <c r="ZX4" t="s">
        <v>913</v>
      </c>
      <c r="ZY4" t="s">
        <v>914</v>
      </c>
      <c r="ZZ4" t="s">
        <v>915</v>
      </c>
      <c r="AAA4" t="s">
        <v>916</v>
      </c>
      <c r="AAB4" t="s">
        <v>917</v>
      </c>
      <c r="AAC4" t="s">
        <v>918</v>
      </c>
      <c r="AAD4" t="s">
        <v>919</v>
      </c>
      <c r="AAE4" t="s">
        <v>1757</v>
      </c>
      <c r="AAF4" t="s">
        <v>1758</v>
      </c>
      <c r="AAG4" t="s">
        <v>1759</v>
      </c>
      <c r="AAH4" t="s">
        <v>1760</v>
      </c>
      <c r="AAI4" t="s">
        <v>1761</v>
      </c>
      <c r="AAJ4" t="s">
        <v>1762</v>
      </c>
      <c r="AAK4" t="s">
        <v>1763</v>
      </c>
      <c r="AAL4" t="s">
        <v>1764</v>
      </c>
      <c r="AAM4" t="s">
        <v>920</v>
      </c>
      <c r="AAN4" t="s">
        <v>1606</v>
      </c>
      <c r="AAO4" t="s">
        <v>2277</v>
      </c>
      <c r="AAP4" t="s">
        <v>2278</v>
      </c>
      <c r="AAQ4" t="s">
        <v>2279</v>
      </c>
      <c r="AAR4" t="s">
        <v>2280</v>
      </c>
      <c r="AAS4" t="s">
        <v>2281</v>
      </c>
      <c r="AAT4" t="s">
        <v>2282</v>
      </c>
      <c r="AAU4" s="116" t="s">
        <v>2283</v>
      </c>
      <c r="AAV4" t="s">
        <v>2284</v>
      </c>
      <c r="AAW4" t="s">
        <v>2285</v>
      </c>
      <c r="AAX4" t="s">
        <v>921</v>
      </c>
      <c r="AAY4" t="s">
        <v>922</v>
      </c>
      <c r="AAZ4" t="s">
        <v>923</v>
      </c>
      <c r="ABA4" t="s">
        <v>924</v>
      </c>
      <c r="ABB4" t="s">
        <v>925</v>
      </c>
      <c r="ABC4" t="s">
        <v>926</v>
      </c>
      <c r="ABD4" t="s">
        <v>927</v>
      </c>
      <c r="ABE4" t="s">
        <v>928</v>
      </c>
      <c r="ABF4" t="s">
        <v>929</v>
      </c>
      <c r="ABG4" t="s">
        <v>1661</v>
      </c>
      <c r="ABH4" t="s">
        <v>930</v>
      </c>
      <c r="ABI4" t="s">
        <v>931</v>
      </c>
      <c r="ABJ4" t="s">
        <v>932</v>
      </c>
      <c r="ABK4" t="s">
        <v>933</v>
      </c>
      <c r="ABL4" t="s">
        <v>934</v>
      </c>
      <c r="ABM4" t="s">
        <v>935</v>
      </c>
      <c r="ABN4" t="s">
        <v>936</v>
      </c>
      <c r="ABO4" t="s">
        <v>937</v>
      </c>
      <c r="ABP4" t="s">
        <v>938</v>
      </c>
      <c r="ABQ4" t="s">
        <v>939</v>
      </c>
      <c r="ABR4" t="s">
        <v>940</v>
      </c>
      <c r="ABS4" t="s">
        <v>941</v>
      </c>
      <c r="ABT4" t="s">
        <v>942</v>
      </c>
      <c r="ABU4" t="s">
        <v>943</v>
      </c>
      <c r="ABV4" t="s">
        <v>944</v>
      </c>
      <c r="ABW4" t="s">
        <v>945</v>
      </c>
      <c r="ABX4" t="s">
        <v>946</v>
      </c>
      <c r="ABY4" t="s">
        <v>947</v>
      </c>
      <c r="ABZ4" t="s">
        <v>948</v>
      </c>
      <c r="ACA4" t="s">
        <v>1765</v>
      </c>
      <c r="ACB4" t="s">
        <v>1766</v>
      </c>
      <c r="ACC4" t="s">
        <v>1767</v>
      </c>
      <c r="ACD4" t="s">
        <v>1768</v>
      </c>
      <c r="ACE4" t="s">
        <v>1769</v>
      </c>
      <c r="ACF4" t="s">
        <v>1770</v>
      </c>
      <c r="ACG4" t="s">
        <v>1771</v>
      </c>
      <c r="ACH4" s="116" t="s">
        <v>1772</v>
      </c>
      <c r="ACI4" t="s">
        <v>949</v>
      </c>
      <c r="ACJ4" t="s">
        <v>1605</v>
      </c>
      <c r="ACK4" t="s">
        <v>2286</v>
      </c>
      <c r="ACL4" t="s">
        <v>2287</v>
      </c>
      <c r="ACM4" t="s">
        <v>2288</v>
      </c>
      <c r="ACN4" t="s">
        <v>2289</v>
      </c>
      <c r="ACO4" t="s">
        <v>2290</v>
      </c>
      <c r="ACP4" t="s">
        <v>2291</v>
      </c>
      <c r="ACQ4" t="s">
        <v>2292</v>
      </c>
      <c r="ACR4" t="s">
        <v>2293</v>
      </c>
      <c r="ACS4" t="s">
        <v>2294</v>
      </c>
      <c r="ACT4" t="s">
        <v>950</v>
      </c>
      <c r="ACU4" t="s">
        <v>951</v>
      </c>
      <c r="ACV4" t="s">
        <v>952</v>
      </c>
      <c r="ACW4" t="s">
        <v>953</v>
      </c>
      <c r="ACX4" t="s">
        <v>954</v>
      </c>
      <c r="ACY4" t="s">
        <v>955</v>
      </c>
      <c r="ACZ4" t="s">
        <v>956</v>
      </c>
      <c r="ADA4" t="s">
        <v>957</v>
      </c>
      <c r="ADB4" t="s">
        <v>958</v>
      </c>
      <c r="ADC4" t="s">
        <v>1662</v>
      </c>
      <c r="ADD4" t="s">
        <v>959</v>
      </c>
      <c r="ADE4" t="s">
        <v>960</v>
      </c>
      <c r="ADF4" t="s">
        <v>961</v>
      </c>
      <c r="ADG4" t="s">
        <v>962</v>
      </c>
      <c r="ADH4" t="s">
        <v>963</v>
      </c>
      <c r="ADI4" t="s">
        <v>964</v>
      </c>
      <c r="ADJ4" t="s">
        <v>965</v>
      </c>
      <c r="ADK4" t="s">
        <v>966</v>
      </c>
      <c r="ADL4" t="s">
        <v>967</v>
      </c>
      <c r="ADM4" t="s">
        <v>968</v>
      </c>
      <c r="ADN4" t="s">
        <v>969</v>
      </c>
      <c r="ADO4" t="s">
        <v>970</v>
      </c>
      <c r="ADP4" t="s">
        <v>971</v>
      </c>
      <c r="ADQ4" t="s">
        <v>972</v>
      </c>
      <c r="ADR4" t="s">
        <v>973</v>
      </c>
      <c r="ADS4" t="s">
        <v>974</v>
      </c>
      <c r="ADT4" t="s">
        <v>975</v>
      </c>
      <c r="ADU4" s="116" t="s">
        <v>976</v>
      </c>
      <c r="ADV4" t="s">
        <v>977</v>
      </c>
      <c r="ADW4" t="s">
        <v>1773</v>
      </c>
      <c r="ADX4" t="s">
        <v>1774</v>
      </c>
      <c r="ADY4" t="s">
        <v>1775</v>
      </c>
      <c r="ADZ4" t="s">
        <v>1776</v>
      </c>
      <c r="AEA4" t="s">
        <v>1777</v>
      </c>
      <c r="AEB4" t="s">
        <v>1778</v>
      </c>
      <c r="AEC4" t="s">
        <v>1779</v>
      </c>
      <c r="AED4" t="s">
        <v>1780</v>
      </c>
      <c r="AEE4" t="s">
        <v>978</v>
      </c>
      <c r="AEF4" t="s">
        <v>1604</v>
      </c>
      <c r="AEG4" t="s">
        <v>2295</v>
      </c>
      <c r="AEH4" t="s">
        <v>2296</v>
      </c>
      <c r="AEI4" t="s">
        <v>2297</v>
      </c>
      <c r="AEJ4" t="s">
        <v>2298</v>
      </c>
      <c r="AEK4" t="s">
        <v>2299</v>
      </c>
      <c r="AEL4" t="s">
        <v>2300</v>
      </c>
      <c r="AEM4" t="s">
        <v>2301</v>
      </c>
      <c r="AEN4" t="s">
        <v>2302</v>
      </c>
      <c r="AEO4" t="s">
        <v>2303</v>
      </c>
      <c r="AEP4" t="s">
        <v>979</v>
      </c>
      <c r="AEQ4" t="s">
        <v>980</v>
      </c>
      <c r="AER4" t="s">
        <v>981</v>
      </c>
      <c r="AES4" t="s">
        <v>982</v>
      </c>
      <c r="AET4" t="s">
        <v>983</v>
      </c>
      <c r="AEU4" t="s">
        <v>984</v>
      </c>
      <c r="AEV4" t="s">
        <v>985</v>
      </c>
      <c r="AEW4" t="s">
        <v>986</v>
      </c>
      <c r="AEX4" t="s">
        <v>987</v>
      </c>
      <c r="AEY4" t="s">
        <v>1663</v>
      </c>
      <c r="AEZ4" t="s">
        <v>988</v>
      </c>
      <c r="AFA4" t="s">
        <v>989</v>
      </c>
      <c r="AFB4" t="s">
        <v>990</v>
      </c>
      <c r="AFC4" t="s">
        <v>991</v>
      </c>
      <c r="AFD4" t="s">
        <v>992</v>
      </c>
      <c r="AFE4" t="s">
        <v>993</v>
      </c>
      <c r="AFF4" t="s">
        <v>994</v>
      </c>
      <c r="AFG4" t="s">
        <v>995</v>
      </c>
      <c r="AFH4" s="116" t="s">
        <v>996</v>
      </c>
      <c r="AFI4" t="s">
        <v>997</v>
      </c>
      <c r="AFJ4" t="s">
        <v>998</v>
      </c>
      <c r="AFK4" t="s">
        <v>999</v>
      </c>
      <c r="AFL4" t="s">
        <v>1000</v>
      </c>
      <c r="AFM4" t="s">
        <v>1001</v>
      </c>
      <c r="AFN4" t="s">
        <v>1002</v>
      </c>
      <c r="AFO4" t="s">
        <v>1003</v>
      </c>
      <c r="AFP4" t="s">
        <v>1004</v>
      </c>
      <c r="AFQ4" t="s">
        <v>1005</v>
      </c>
      <c r="AFR4" t="s">
        <v>1006</v>
      </c>
      <c r="AFS4" t="s">
        <v>1781</v>
      </c>
      <c r="AFT4" t="s">
        <v>1782</v>
      </c>
      <c r="AFU4" t="s">
        <v>1783</v>
      </c>
      <c r="AFV4" t="s">
        <v>1784</v>
      </c>
      <c r="AFW4" t="s">
        <v>1785</v>
      </c>
      <c r="AFX4" t="s">
        <v>1786</v>
      </c>
      <c r="AFY4" t="s">
        <v>1787</v>
      </c>
      <c r="AFZ4" t="s">
        <v>1788</v>
      </c>
      <c r="AGA4" t="s">
        <v>1007</v>
      </c>
      <c r="AGB4" t="s">
        <v>1603</v>
      </c>
      <c r="AGC4" t="s">
        <v>2304</v>
      </c>
      <c r="AGD4" t="s">
        <v>2305</v>
      </c>
      <c r="AGE4" t="s">
        <v>2306</v>
      </c>
      <c r="AGF4" t="s">
        <v>2307</v>
      </c>
      <c r="AGG4" t="s">
        <v>2308</v>
      </c>
      <c r="AGH4" t="s">
        <v>2309</v>
      </c>
      <c r="AGI4" t="s">
        <v>2310</v>
      </c>
      <c r="AGJ4" t="s">
        <v>2311</v>
      </c>
      <c r="AGK4" t="s">
        <v>2312</v>
      </c>
      <c r="AGL4" t="s">
        <v>1008</v>
      </c>
      <c r="AGM4" t="s">
        <v>1009</v>
      </c>
      <c r="AGN4" t="s">
        <v>1010</v>
      </c>
      <c r="AGO4" t="s">
        <v>1011</v>
      </c>
      <c r="AGP4" t="s">
        <v>1012</v>
      </c>
      <c r="AGQ4" t="s">
        <v>1013</v>
      </c>
      <c r="AGR4" t="s">
        <v>1014</v>
      </c>
      <c r="AGS4" t="s">
        <v>1015</v>
      </c>
      <c r="AGT4" t="s">
        <v>1016</v>
      </c>
      <c r="AGU4" s="116" t="s">
        <v>1664</v>
      </c>
      <c r="AGV4" t="s">
        <v>1017</v>
      </c>
      <c r="AGW4" t="s">
        <v>1018</v>
      </c>
      <c r="AGX4" t="s">
        <v>1019</v>
      </c>
      <c r="AGY4" t="s">
        <v>1020</v>
      </c>
      <c r="AGZ4" t="s">
        <v>1021</v>
      </c>
      <c r="AHA4" t="s">
        <v>1022</v>
      </c>
      <c r="AHB4" t="s">
        <v>1023</v>
      </c>
      <c r="AHC4" t="s">
        <v>1024</v>
      </c>
      <c r="AHD4" t="s">
        <v>1025</v>
      </c>
      <c r="AHE4" t="s">
        <v>1026</v>
      </c>
      <c r="AHF4" t="s">
        <v>1027</v>
      </c>
      <c r="AHG4" t="s">
        <v>1028</v>
      </c>
      <c r="AHH4" t="s">
        <v>1029</v>
      </c>
      <c r="AHI4" t="s">
        <v>1030</v>
      </c>
      <c r="AHJ4" t="s">
        <v>1031</v>
      </c>
      <c r="AHK4" t="s">
        <v>1032</v>
      </c>
      <c r="AHL4" t="s">
        <v>1033</v>
      </c>
      <c r="AHM4" t="s">
        <v>1034</v>
      </c>
      <c r="AHN4" t="s">
        <v>1035</v>
      </c>
      <c r="AHO4" t="s">
        <v>1789</v>
      </c>
      <c r="AHP4" t="s">
        <v>1790</v>
      </c>
      <c r="AHQ4" t="s">
        <v>1791</v>
      </c>
      <c r="AHR4" t="s">
        <v>1792</v>
      </c>
      <c r="AHS4" t="s">
        <v>1793</v>
      </c>
      <c r="AHT4" t="s">
        <v>1794</v>
      </c>
      <c r="AHU4" t="s">
        <v>1795</v>
      </c>
      <c r="AHV4" t="s">
        <v>1796</v>
      </c>
      <c r="AHW4" t="s">
        <v>1036</v>
      </c>
      <c r="AHX4" t="s">
        <v>1602</v>
      </c>
      <c r="AHY4" t="s">
        <v>2313</v>
      </c>
      <c r="AHZ4" t="s">
        <v>2314</v>
      </c>
      <c r="AIA4" t="s">
        <v>2315</v>
      </c>
      <c r="AIB4" t="s">
        <v>2316</v>
      </c>
      <c r="AIC4" t="s">
        <v>2317</v>
      </c>
      <c r="AID4" t="s">
        <v>2318</v>
      </c>
      <c r="AIE4" t="s">
        <v>2319</v>
      </c>
      <c r="AIF4" t="s">
        <v>2320</v>
      </c>
      <c r="AIG4" t="s">
        <v>2321</v>
      </c>
      <c r="AIH4" s="116" t="s">
        <v>1037</v>
      </c>
      <c r="AII4" t="s">
        <v>1038</v>
      </c>
      <c r="AIJ4" t="s">
        <v>1039</v>
      </c>
      <c r="AIK4" t="s">
        <v>1040</v>
      </c>
      <c r="AIL4" t="s">
        <v>1041</v>
      </c>
      <c r="AIM4" t="s">
        <v>1042</v>
      </c>
      <c r="AIN4" t="s">
        <v>1043</v>
      </c>
      <c r="AIO4" t="s">
        <v>1044</v>
      </c>
      <c r="AIP4" t="s">
        <v>1045</v>
      </c>
      <c r="AIQ4" t="s">
        <v>1665</v>
      </c>
      <c r="AIR4" t="s">
        <v>1046</v>
      </c>
      <c r="AIS4" t="s">
        <v>1047</v>
      </c>
      <c r="AIT4" t="s">
        <v>1048</v>
      </c>
      <c r="AIU4" t="s">
        <v>1049</v>
      </c>
      <c r="AIV4" t="s">
        <v>1050</v>
      </c>
      <c r="AIW4" t="s">
        <v>1051</v>
      </c>
      <c r="AIX4" t="s">
        <v>1052</v>
      </c>
      <c r="AIY4" t="s">
        <v>1053</v>
      </c>
      <c r="AIZ4" t="s">
        <v>1054</v>
      </c>
      <c r="AJA4" t="s">
        <v>1055</v>
      </c>
      <c r="AJB4" t="s">
        <v>1056</v>
      </c>
      <c r="AJC4" t="s">
        <v>1057</v>
      </c>
      <c r="AJD4" t="s">
        <v>1058</v>
      </c>
      <c r="AJE4" t="s">
        <v>1059</v>
      </c>
      <c r="AJF4" t="s">
        <v>1060</v>
      </c>
      <c r="AJG4" t="s">
        <v>1061</v>
      </c>
      <c r="AJH4" t="s">
        <v>1062</v>
      </c>
      <c r="AJI4" t="s">
        <v>1063</v>
      </c>
      <c r="AJJ4" t="s">
        <v>1064</v>
      </c>
      <c r="AJK4" t="s">
        <v>1797</v>
      </c>
      <c r="AJL4" t="s">
        <v>1798</v>
      </c>
      <c r="AJM4" t="s">
        <v>1799</v>
      </c>
      <c r="AJN4" t="s">
        <v>1800</v>
      </c>
      <c r="AJO4" t="s">
        <v>1801</v>
      </c>
      <c r="AJP4" t="s">
        <v>1802</v>
      </c>
      <c r="AJQ4" t="s">
        <v>1803</v>
      </c>
      <c r="AJR4" t="s">
        <v>1804</v>
      </c>
      <c r="AJS4" t="s">
        <v>1065</v>
      </c>
      <c r="AJT4" t="s">
        <v>1601</v>
      </c>
      <c r="AJU4" s="116" t="s">
        <v>2322</v>
      </c>
      <c r="AJV4" t="s">
        <v>2323</v>
      </c>
      <c r="AJW4" t="s">
        <v>2324</v>
      </c>
      <c r="AJX4" t="s">
        <v>2325</v>
      </c>
      <c r="AJY4" t="s">
        <v>2326</v>
      </c>
      <c r="AJZ4" t="s">
        <v>2327</v>
      </c>
      <c r="AKA4" t="s">
        <v>2328</v>
      </c>
      <c r="AKB4" t="s">
        <v>2329</v>
      </c>
      <c r="AKC4" t="s">
        <v>2330</v>
      </c>
      <c r="AKD4" t="s">
        <v>1066</v>
      </c>
      <c r="AKE4" t="s">
        <v>1067</v>
      </c>
      <c r="AKF4" t="s">
        <v>1068</v>
      </c>
      <c r="AKG4" t="s">
        <v>1069</v>
      </c>
      <c r="AKH4" t="s">
        <v>1070</v>
      </c>
      <c r="AKI4" t="s">
        <v>1071</v>
      </c>
      <c r="AKJ4" t="s">
        <v>1072</v>
      </c>
      <c r="AKK4" t="s">
        <v>1073</v>
      </c>
      <c r="AKL4" t="s">
        <v>1074</v>
      </c>
      <c r="AKM4" t="s">
        <v>1666</v>
      </c>
      <c r="AKN4" t="s">
        <v>1075</v>
      </c>
      <c r="AKO4" t="s">
        <v>1076</v>
      </c>
      <c r="AKP4" t="s">
        <v>1077</v>
      </c>
      <c r="AKQ4" t="s">
        <v>1078</v>
      </c>
      <c r="AKR4" t="s">
        <v>1079</v>
      </c>
      <c r="AKS4" t="s">
        <v>1080</v>
      </c>
      <c r="AKT4" t="s">
        <v>1081</v>
      </c>
      <c r="AKU4" t="s">
        <v>1082</v>
      </c>
      <c r="AKV4" t="s">
        <v>1083</v>
      </c>
      <c r="AKW4" t="s">
        <v>1084</v>
      </c>
      <c r="AKX4" t="s">
        <v>1085</v>
      </c>
      <c r="AKY4" t="s">
        <v>1086</v>
      </c>
      <c r="AKZ4" t="s">
        <v>1087</v>
      </c>
      <c r="ALA4" t="s">
        <v>1088</v>
      </c>
      <c r="ALB4" t="s">
        <v>1089</v>
      </c>
      <c r="ALC4" t="s">
        <v>1090</v>
      </c>
      <c r="ALD4" t="s">
        <v>1091</v>
      </c>
      <c r="ALE4" t="s">
        <v>1092</v>
      </c>
      <c r="ALF4" t="s">
        <v>1093</v>
      </c>
      <c r="ALG4" t="s">
        <v>1805</v>
      </c>
      <c r="ALH4" s="116" t="s">
        <v>1806</v>
      </c>
      <c r="ALI4" t="s">
        <v>1807</v>
      </c>
      <c r="ALJ4" t="s">
        <v>1808</v>
      </c>
      <c r="ALK4" t="s">
        <v>1809</v>
      </c>
      <c r="ALL4" t="s">
        <v>1810</v>
      </c>
      <c r="ALM4" t="s">
        <v>1811</v>
      </c>
      <c r="ALN4" t="s">
        <v>1812</v>
      </c>
      <c r="ALO4" t="s">
        <v>1094</v>
      </c>
      <c r="ALP4" t="s">
        <v>1600</v>
      </c>
      <c r="ALQ4" t="s">
        <v>2331</v>
      </c>
      <c r="ALR4" t="s">
        <v>2332</v>
      </c>
      <c r="ALS4" t="s">
        <v>2333</v>
      </c>
      <c r="ALT4" t="s">
        <v>2334</v>
      </c>
      <c r="ALU4" t="s">
        <v>2335</v>
      </c>
      <c r="ALV4" t="s">
        <v>2336</v>
      </c>
      <c r="ALW4" t="s">
        <v>2337</v>
      </c>
      <c r="ALX4" t="s">
        <v>2338</v>
      </c>
      <c r="ALY4" t="s">
        <v>2339</v>
      </c>
      <c r="ALZ4" t="s">
        <v>1095</v>
      </c>
      <c r="AMA4" t="s">
        <v>1096</v>
      </c>
      <c r="AMB4" t="s">
        <v>1097</v>
      </c>
      <c r="AMC4" t="s">
        <v>1098</v>
      </c>
      <c r="AMD4" t="s">
        <v>1099</v>
      </c>
      <c r="AME4" t="s">
        <v>1100</v>
      </c>
      <c r="AMF4" t="s">
        <v>1101</v>
      </c>
      <c r="AMG4" t="s">
        <v>1102</v>
      </c>
      <c r="AMH4" t="s">
        <v>1103</v>
      </c>
      <c r="AMI4" t="s">
        <v>1667</v>
      </c>
      <c r="AMJ4" t="s">
        <v>1104</v>
      </c>
      <c r="AMK4" t="s">
        <v>1105</v>
      </c>
      <c r="AML4" t="s">
        <v>1106</v>
      </c>
      <c r="AMM4" t="s">
        <v>1107</v>
      </c>
      <c r="AMN4" t="s">
        <v>1108</v>
      </c>
      <c r="AMO4" t="s">
        <v>1109</v>
      </c>
      <c r="AMP4" t="s">
        <v>1110</v>
      </c>
      <c r="AMQ4" t="s">
        <v>1111</v>
      </c>
      <c r="AMR4" t="s">
        <v>1112</v>
      </c>
      <c r="AMS4" t="s">
        <v>1113</v>
      </c>
      <c r="AMT4" t="s">
        <v>1114</v>
      </c>
      <c r="AMU4" s="116" t="s">
        <v>1115</v>
      </c>
      <c r="AMV4" t="s">
        <v>1116</v>
      </c>
      <c r="AMW4" t="s">
        <v>1117</v>
      </c>
      <c r="AMX4" t="s">
        <v>1118</v>
      </c>
      <c r="AMY4" t="s">
        <v>1119</v>
      </c>
      <c r="AMZ4" t="s">
        <v>1120</v>
      </c>
      <c r="ANA4" t="s">
        <v>1121</v>
      </c>
      <c r="ANB4" t="s">
        <v>1122</v>
      </c>
      <c r="ANC4" t="s">
        <v>1813</v>
      </c>
      <c r="AND4" t="s">
        <v>1814</v>
      </c>
      <c r="ANE4" t="s">
        <v>1815</v>
      </c>
      <c r="ANF4" t="s">
        <v>1816</v>
      </c>
      <c r="ANG4" t="s">
        <v>1817</v>
      </c>
      <c r="ANH4" t="s">
        <v>1818</v>
      </c>
      <c r="ANI4" t="s">
        <v>1819</v>
      </c>
      <c r="ANJ4" t="s">
        <v>1820</v>
      </c>
      <c r="ANK4" t="s">
        <v>1123</v>
      </c>
      <c r="ANL4" t="s">
        <v>1599</v>
      </c>
      <c r="ANM4" t="s">
        <v>2340</v>
      </c>
      <c r="ANN4" t="s">
        <v>2341</v>
      </c>
      <c r="ANO4" t="s">
        <v>2342</v>
      </c>
      <c r="ANP4" t="s">
        <v>2343</v>
      </c>
      <c r="ANQ4" t="s">
        <v>2344</v>
      </c>
      <c r="ANR4" t="s">
        <v>2345</v>
      </c>
      <c r="ANS4" t="s">
        <v>2346</v>
      </c>
      <c r="ANT4" t="s">
        <v>2347</v>
      </c>
      <c r="ANU4" t="s">
        <v>2348</v>
      </c>
      <c r="ANV4" t="s">
        <v>1124</v>
      </c>
      <c r="ANW4" t="s">
        <v>1125</v>
      </c>
      <c r="ANX4" t="s">
        <v>1126</v>
      </c>
      <c r="ANY4" t="s">
        <v>1127</v>
      </c>
      <c r="ANZ4" t="s">
        <v>1128</v>
      </c>
      <c r="AOA4" t="s">
        <v>1129</v>
      </c>
      <c r="AOB4" t="s">
        <v>1130</v>
      </c>
      <c r="AOC4" t="s">
        <v>1131</v>
      </c>
      <c r="AOD4" t="s">
        <v>1132</v>
      </c>
      <c r="AOE4" t="s">
        <v>1668</v>
      </c>
      <c r="AOF4" t="s">
        <v>1133</v>
      </c>
      <c r="AOG4" t="s">
        <v>1134</v>
      </c>
      <c r="AOH4" s="116" t="s">
        <v>1135</v>
      </c>
      <c r="AOI4" t="s">
        <v>1136</v>
      </c>
      <c r="AOJ4" t="s">
        <v>1137</v>
      </c>
      <c r="AOK4" t="s">
        <v>1138</v>
      </c>
      <c r="AOL4" t="s">
        <v>1139</v>
      </c>
      <c r="AOM4" t="s">
        <v>1140</v>
      </c>
      <c r="AON4" t="s">
        <v>1141</v>
      </c>
      <c r="AOO4" t="s">
        <v>1142</v>
      </c>
      <c r="AOP4" t="s">
        <v>1143</v>
      </c>
      <c r="AOQ4" t="s">
        <v>1144</v>
      </c>
      <c r="AOR4" t="s">
        <v>1145</v>
      </c>
      <c r="AOS4" t="s">
        <v>1146</v>
      </c>
      <c r="AOT4" t="s">
        <v>1147</v>
      </c>
      <c r="AOU4" t="s">
        <v>1148</v>
      </c>
      <c r="AOV4" t="s">
        <v>1149</v>
      </c>
      <c r="AOW4" t="s">
        <v>1150</v>
      </c>
      <c r="AOX4" t="s">
        <v>1151</v>
      </c>
      <c r="AOY4" t="s">
        <v>1821</v>
      </c>
      <c r="AOZ4" t="s">
        <v>1822</v>
      </c>
      <c r="APA4" t="s">
        <v>1823</v>
      </c>
      <c r="APB4" t="s">
        <v>1824</v>
      </c>
      <c r="APC4" t="s">
        <v>1825</v>
      </c>
      <c r="APD4" t="s">
        <v>1826</v>
      </c>
      <c r="APE4" t="s">
        <v>1827</v>
      </c>
      <c r="APF4" t="s">
        <v>1828</v>
      </c>
      <c r="APG4" t="s">
        <v>1152</v>
      </c>
      <c r="APH4" t="s">
        <v>1598</v>
      </c>
      <c r="API4" t="s">
        <v>2349</v>
      </c>
      <c r="APJ4" t="s">
        <v>2350</v>
      </c>
      <c r="APK4" t="s">
        <v>2351</v>
      </c>
      <c r="APL4" t="s">
        <v>2352</v>
      </c>
      <c r="APM4" t="s">
        <v>2353</v>
      </c>
      <c r="APN4" t="s">
        <v>2354</v>
      </c>
      <c r="APO4" t="s">
        <v>2355</v>
      </c>
      <c r="APP4" t="s">
        <v>2356</v>
      </c>
      <c r="APQ4" t="s">
        <v>2357</v>
      </c>
      <c r="APR4" t="s">
        <v>1179</v>
      </c>
      <c r="APS4" t="s">
        <v>1180</v>
      </c>
      <c r="APT4" t="s">
        <v>1181</v>
      </c>
      <c r="APU4" t="s">
        <v>1182</v>
      </c>
      <c r="APV4" t="s">
        <v>1183</v>
      </c>
      <c r="APW4" t="s">
        <v>1184</v>
      </c>
      <c r="APX4" t="s">
        <v>1185</v>
      </c>
      <c r="APY4" t="s">
        <v>1186</v>
      </c>
      <c r="APZ4" t="s">
        <v>1187</v>
      </c>
      <c r="AQA4" t="s">
        <v>1669</v>
      </c>
      <c r="AQB4" t="s">
        <v>1188</v>
      </c>
      <c r="AQC4" t="s">
        <v>1189</v>
      </c>
      <c r="AQD4" t="s">
        <v>1190</v>
      </c>
      <c r="AQE4" t="s">
        <v>1191</v>
      </c>
      <c r="AQF4" t="s">
        <v>1192</v>
      </c>
      <c r="AQG4" t="s">
        <v>1193</v>
      </c>
      <c r="AQH4" t="s">
        <v>1194</v>
      </c>
      <c r="AQI4" t="s">
        <v>1195</v>
      </c>
      <c r="AQJ4" t="s">
        <v>1196</v>
      </c>
      <c r="AQK4" t="s">
        <v>1197</v>
      </c>
      <c r="AQL4" t="s">
        <v>1198</v>
      </c>
      <c r="AQM4" t="s">
        <v>1199</v>
      </c>
      <c r="AQN4" t="s">
        <v>1200</v>
      </c>
      <c r="AQO4" t="s">
        <v>1201</v>
      </c>
      <c r="AQP4" t="s">
        <v>1202</v>
      </c>
      <c r="AQQ4" t="s">
        <v>1203</v>
      </c>
      <c r="AQR4" t="s">
        <v>1204</v>
      </c>
      <c r="AQS4" t="s">
        <v>1205</v>
      </c>
      <c r="AQT4" t="s">
        <v>1206</v>
      </c>
      <c r="AQU4" t="s">
        <v>1829</v>
      </c>
      <c r="AQV4" t="s">
        <v>1830</v>
      </c>
      <c r="AQW4" t="s">
        <v>1831</v>
      </c>
      <c r="AQX4" t="s">
        <v>1832</v>
      </c>
      <c r="AQY4" t="s">
        <v>1833</v>
      </c>
      <c r="AQZ4" t="s">
        <v>1834</v>
      </c>
      <c r="ARA4" t="s">
        <v>1835</v>
      </c>
      <c r="ARB4" t="s">
        <v>1836</v>
      </c>
      <c r="ARC4" t="s">
        <v>1207</v>
      </c>
      <c r="ARD4" t="s">
        <v>1597</v>
      </c>
      <c r="ARE4" t="s">
        <v>2358</v>
      </c>
      <c r="ARF4" t="s">
        <v>2359</v>
      </c>
      <c r="ARG4" t="s">
        <v>2360</v>
      </c>
      <c r="ARH4" t="s">
        <v>2361</v>
      </c>
      <c r="ARI4" t="s">
        <v>2362</v>
      </c>
      <c r="ARJ4" t="s">
        <v>2363</v>
      </c>
      <c r="ARK4" t="s">
        <v>2364</v>
      </c>
      <c r="ARL4" t="s">
        <v>2365</v>
      </c>
      <c r="ARM4" t="s">
        <v>2366</v>
      </c>
      <c r="ARN4" t="s">
        <v>1208</v>
      </c>
      <c r="ARO4" t="s">
        <v>1209</v>
      </c>
      <c r="ARP4" t="s">
        <v>1210</v>
      </c>
      <c r="ARQ4" t="s">
        <v>1211</v>
      </c>
      <c r="ARR4" t="s">
        <v>1212</v>
      </c>
      <c r="ARS4" t="s">
        <v>1213</v>
      </c>
      <c r="ART4" t="s">
        <v>1214</v>
      </c>
      <c r="ARU4" t="s">
        <v>1215</v>
      </c>
      <c r="ARV4" t="s">
        <v>1216</v>
      </c>
      <c r="ARW4" t="s">
        <v>1670</v>
      </c>
      <c r="ARX4" t="s">
        <v>1217</v>
      </c>
      <c r="ARY4" t="s">
        <v>1218</v>
      </c>
      <c r="ARZ4" t="s">
        <v>1219</v>
      </c>
      <c r="ASA4" t="s">
        <v>1220</v>
      </c>
      <c r="ASB4" t="s">
        <v>1221</v>
      </c>
      <c r="ASC4" t="s">
        <v>1222</v>
      </c>
      <c r="ASD4" t="s">
        <v>1223</v>
      </c>
      <c r="ASE4" t="s">
        <v>1224</v>
      </c>
      <c r="ASF4" t="s">
        <v>1225</v>
      </c>
      <c r="ASG4" t="s">
        <v>1226</v>
      </c>
      <c r="ASH4" t="s">
        <v>1227</v>
      </c>
      <c r="ASI4" t="s">
        <v>1228</v>
      </c>
      <c r="ASJ4" t="s">
        <v>1229</v>
      </c>
      <c r="ASK4" t="s">
        <v>1230</v>
      </c>
      <c r="ASL4" t="s">
        <v>1231</v>
      </c>
      <c r="ASM4" t="s">
        <v>1232</v>
      </c>
      <c r="ASN4" t="s">
        <v>1233</v>
      </c>
      <c r="ASO4" t="s">
        <v>1234</v>
      </c>
      <c r="ASP4" t="s">
        <v>1235</v>
      </c>
      <c r="ASQ4" t="s">
        <v>1837</v>
      </c>
      <c r="ASR4" t="s">
        <v>1838</v>
      </c>
      <c r="ASS4" t="s">
        <v>1839</v>
      </c>
      <c r="AST4" t="s">
        <v>1840</v>
      </c>
      <c r="ASU4" t="s">
        <v>1841</v>
      </c>
      <c r="ASV4" t="s">
        <v>1842</v>
      </c>
      <c r="ASW4" t="s">
        <v>1843</v>
      </c>
      <c r="ASX4" t="s">
        <v>1844</v>
      </c>
      <c r="ASY4" t="s">
        <v>1236</v>
      </c>
      <c r="ASZ4" t="s">
        <v>1596</v>
      </c>
      <c r="ATA4" t="s">
        <v>2367</v>
      </c>
      <c r="ATB4" t="s">
        <v>2368</v>
      </c>
      <c r="ATC4" t="s">
        <v>2369</v>
      </c>
      <c r="ATD4" t="s">
        <v>2370</v>
      </c>
      <c r="ATE4" t="s">
        <v>2371</v>
      </c>
      <c r="ATF4" t="s">
        <v>2372</v>
      </c>
      <c r="ATG4" t="s">
        <v>2373</v>
      </c>
      <c r="ATH4" t="s">
        <v>2374</v>
      </c>
      <c r="ATI4" t="s">
        <v>2375</v>
      </c>
      <c r="ATJ4" t="s">
        <v>1237</v>
      </c>
      <c r="ATK4" t="s">
        <v>1238</v>
      </c>
      <c r="ATL4" t="s">
        <v>1239</v>
      </c>
      <c r="ATM4" t="s">
        <v>1240</v>
      </c>
      <c r="ATN4" t="s">
        <v>1241</v>
      </c>
      <c r="ATO4" t="s">
        <v>1242</v>
      </c>
      <c r="ATP4" t="s">
        <v>1243</v>
      </c>
      <c r="ATQ4" t="s">
        <v>1244</v>
      </c>
      <c r="ATR4" t="s">
        <v>1245</v>
      </c>
      <c r="ATS4" t="s">
        <v>1671</v>
      </c>
      <c r="ATT4" t="s">
        <v>1246</v>
      </c>
      <c r="ATU4" t="s">
        <v>1247</v>
      </c>
      <c r="ATV4" t="s">
        <v>1248</v>
      </c>
      <c r="ATW4" t="s">
        <v>1249</v>
      </c>
      <c r="ATX4" t="s">
        <v>1250</v>
      </c>
      <c r="ATY4" t="s">
        <v>1251</v>
      </c>
      <c r="ATZ4" t="s">
        <v>1252</v>
      </c>
      <c r="AUA4" t="s">
        <v>1253</v>
      </c>
      <c r="AUB4" t="s">
        <v>1254</v>
      </c>
      <c r="AUC4" t="s">
        <v>1255</v>
      </c>
      <c r="AUD4" t="s">
        <v>1256</v>
      </c>
      <c r="AUE4" t="s">
        <v>1257</v>
      </c>
      <c r="AUF4" t="s">
        <v>1258</v>
      </c>
      <c r="AUG4" t="s">
        <v>1259</v>
      </c>
      <c r="AUH4" t="s">
        <v>1260</v>
      </c>
      <c r="AUI4" t="s">
        <v>1261</v>
      </c>
      <c r="AUJ4" t="s">
        <v>1262</v>
      </c>
      <c r="AUK4" t="s">
        <v>1263</v>
      </c>
      <c r="AUL4" t="s">
        <v>1264</v>
      </c>
      <c r="AUM4" t="s">
        <v>1845</v>
      </c>
      <c r="AUN4" t="s">
        <v>1846</v>
      </c>
      <c r="AUO4" t="s">
        <v>1847</v>
      </c>
      <c r="AUP4" t="s">
        <v>1848</v>
      </c>
      <c r="AUQ4" t="s">
        <v>1849</v>
      </c>
      <c r="AUR4" t="s">
        <v>1850</v>
      </c>
      <c r="AUS4" t="s">
        <v>1851</v>
      </c>
      <c r="AUT4" t="s">
        <v>1852</v>
      </c>
      <c r="AUU4" t="s">
        <v>1265</v>
      </c>
      <c r="AUV4" t="s">
        <v>1595</v>
      </c>
      <c r="AUW4" t="s">
        <v>2376</v>
      </c>
      <c r="AUX4" t="s">
        <v>2377</v>
      </c>
      <c r="AUY4" t="s">
        <v>2378</v>
      </c>
      <c r="AUZ4" t="s">
        <v>2379</v>
      </c>
      <c r="AVA4" t="s">
        <v>2380</v>
      </c>
      <c r="AVB4" t="s">
        <v>2381</v>
      </c>
      <c r="AVC4" t="s">
        <v>2382</v>
      </c>
      <c r="AVD4" t="s">
        <v>2383</v>
      </c>
      <c r="AVE4" t="s">
        <v>2384</v>
      </c>
      <c r="AVF4" t="s">
        <v>1266</v>
      </c>
      <c r="AVG4" t="s">
        <v>1267</v>
      </c>
      <c r="AVH4" t="s">
        <v>1268</v>
      </c>
      <c r="AVI4" t="s">
        <v>1269</v>
      </c>
      <c r="AVJ4" t="s">
        <v>1270</v>
      </c>
      <c r="AVK4" t="s">
        <v>1271</v>
      </c>
      <c r="AVL4" t="s">
        <v>1272</v>
      </c>
      <c r="AVM4" t="s">
        <v>1273</v>
      </c>
      <c r="AVN4" t="s">
        <v>1274</v>
      </c>
      <c r="AVO4" t="s">
        <v>1672</v>
      </c>
      <c r="AVP4" t="s">
        <v>1275</v>
      </c>
      <c r="AVQ4" t="s">
        <v>1276</v>
      </c>
      <c r="AVR4" t="s">
        <v>1277</v>
      </c>
      <c r="AVS4" t="s">
        <v>1278</v>
      </c>
      <c r="AVT4" t="s">
        <v>1279</v>
      </c>
      <c r="AVU4" t="s">
        <v>1280</v>
      </c>
      <c r="AVV4" t="s">
        <v>1281</v>
      </c>
      <c r="AVW4" t="s">
        <v>1282</v>
      </c>
      <c r="AVX4" t="s">
        <v>1283</v>
      </c>
      <c r="AVY4" t="s">
        <v>1284</v>
      </c>
      <c r="AVZ4" t="s">
        <v>1285</v>
      </c>
      <c r="AWA4" t="s">
        <v>1286</v>
      </c>
      <c r="AWB4" t="s">
        <v>1287</v>
      </c>
      <c r="AWC4" t="s">
        <v>1288</v>
      </c>
      <c r="AWD4" t="s">
        <v>1289</v>
      </c>
      <c r="AWE4" t="s">
        <v>1290</v>
      </c>
      <c r="AWF4" t="s">
        <v>1291</v>
      </c>
      <c r="AWG4" t="s">
        <v>1292</v>
      </c>
      <c r="AWH4" t="s">
        <v>1293</v>
      </c>
      <c r="AWI4" t="s">
        <v>1853</v>
      </c>
      <c r="AWJ4" t="s">
        <v>1854</v>
      </c>
      <c r="AWK4" t="s">
        <v>1855</v>
      </c>
      <c r="AWL4" t="s">
        <v>1856</v>
      </c>
      <c r="AWM4" t="s">
        <v>1857</v>
      </c>
      <c r="AWN4" t="s">
        <v>1858</v>
      </c>
      <c r="AWO4" t="s">
        <v>1859</v>
      </c>
      <c r="AWP4" t="s">
        <v>1860</v>
      </c>
      <c r="AWQ4" t="s">
        <v>1294</v>
      </c>
      <c r="AWR4" t="s">
        <v>1594</v>
      </c>
      <c r="AWS4" t="s">
        <v>2385</v>
      </c>
      <c r="AWT4" t="s">
        <v>2386</v>
      </c>
      <c r="AWU4" t="s">
        <v>2387</v>
      </c>
      <c r="AWV4" t="s">
        <v>2388</v>
      </c>
      <c r="AWW4" t="s">
        <v>2389</v>
      </c>
      <c r="AWX4" t="s">
        <v>2390</v>
      </c>
      <c r="AWY4" t="s">
        <v>2391</v>
      </c>
      <c r="AWZ4" t="s">
        <v>2392</v>
      </c>
      <c r="AXA4" t="s">
        <v>2393</v>
      </c>
      <c r="AXB4" t="s">
        <v>1295</v>
      </c>
      <c r="AXC4" t="s">
        <v>1296</v>
      </c>
      <c r="AXD4" t="s">
        <v>1297</v>
      </c>
      <c r="AXE4" t="s">
        <v>1298</v>
      </c>
      <c r="AXF4" t="s">
        <v>1299</v>
      </c>
      <c r="AXG4" t="s">
        <v>1300</v>
      </c>
      <c r="AXH4" t="s">
        <v>1301</v>
      </c>
      <c r="AXI4" t="s">
        <v>1302</v>
      </c>
      <c r="AXJ4" t="s">
        <v>1303</v>
      </c>
      <c r="AXK4" t="s">
        <v>1673</v>
      </c>
      <c r="AXL4" t="s">
        <v>1304</v>
      </c>
      <c r="AXM4" t="s">
        <v>1305</v>
      </c>
      <c r="AXN4" t="s">
        <v>1306</v>
      </c>
      <c r="AXO4" t="s">
        <v>1307</v>
      </c>
      <c r="AXP4" t="s">
        <v>1308</v>
      </c>
      <c r="AXQ4" t="s">
        <v>1309</v>
      </c>
      <c r="AXR4" t="s">
        <v>1310</v>
      </c>
      <c r="AXS4" t="s">
        <v>1311</v>
      </c>
      <c r="AXT4" t="s">
        <v>1312</v>
      </c>
      <c r="AXU4" t="s">
        <v>1313</v>
      </c>
      <c r="AXV4" t="s">
        <v>1314</v>
      </c>
      <c r="AXW4" t="s">
        <v>1315</v>
      </c>
      <c r="AXX4" t="s">
        <v>1316</v>
      </c>
      <c r="AXY4" t="s">
        <v>1317</v>
      </c>
      <c r="AXZ4" t="s">
        <v>1318</v>
      </c>
      <c r="AYA4" t="s">
        <v>1319</v>
      </c>
      <c r="AYB4" t="s">
        <v>1320</v>
      </c>
      <c r="AYC4" t="s">
        <v>1321</v>
      </c>
      <c r="AYD4" t="s">
        <v>1322</v>
      </c>
      <c r="AYE4" t="s">
        <v>1861</v>
      </c>
      <c r="AYF4" t="s">
        <v>1862</v>
      </c>
      <c r="AYG4" t="s">
        <v>1863</v>
      </c>
      <c r="AYH4" t="s">
        <v>1864</v>
      </c>
      <c r="AYI4" t="s">
        <v>1865</v>
      </c>
      <c r="AYJ4" t="s">
        <v>1866</v>
      </c>
      <c r="AYK4" t="s">
        <v>1867</v>
      </c>
      <c r="AYL4" t="s">
        <v>1868</v>
      </c>
      <c r="AYM4" t="s">
        <v>1323</v>
      </c>
      <c r="AYN4" t="s">
        <v>1593</v>
      </c>
      <c r="AYO4" t="s">
        <v>2394</v>
      </c>
      <c r="AYP4" t="s">
        <v>2395</v>
      </c>
      <c r="AYQ4" t="s">
        <v>2396</v>
      </c>
      <c r="AYR4" t="s">
        <v>2397</v>
      </c>
      <c r="AYS4" t="s">
        <v>2398</v>
      </c>
      <c r="AYT4" t="s">
        <v>2399</v>
      </c>
      <c r="AYU4" t="s">
        <v>2400</v>
      </c>
      <c r="AYV4" t="s">
        <v>2401</v>
      </c>
      <c r="AYW4" t="s">
        <v>2402</v>
      </c>
      <c r="AYX4" t="s">
        <v>1324</v>
      </c>
      <c r="AYY4" t="s">
        <v>1325</v>
      </c>
      <c r="AYZ4" t="s">
        <v>1326</v>
      </c>
      <c r="AZA4" t="s">
        <v>1327</v>
      </c>
      <c r="AZB4" t="s">
        <v>1328</v>
      </c>
      <c r="AZC4" t="s">
        <v>1329</v>
      </c>
      <c r="AZD4" t="s">
        <v>1330</v>
      </c>
      <c r="AZE4" t="s">
        <v>1331</v>
      </c>
      <c r="AZF4" t="s">
        <v>1332</v>
      </c>
      <c r="AZG4" t="s">
        <v>1674</v>
      </c>
      <c r="AZH4" t="s">
        <v>1333</v>
      </c>
      <c r="AZI4" t="s">
        <v>1334</v>
      </c>
      <c r="AZJ4" t="s">
        <v>1335</v>
      </c>
      <c r="AZK4" t="s">
        <v>1336</v>
      </c>
      <c r="AZL4" t="s">
        <v>1337</v>
      </c>
      <c r="AZM4" t="s">
        <v>1338</v>
      </c>
      <c r="AZN4" t="s">
        <v>1339</v>
      </c>
      <c r="AZO4" t="s">
        <v>1340</v>
      </c>
      <c r="AZP4" t="s">
        <v>1341</v>
      </c>
      <c r="AZQ4" t="s">
        <v>1342</v>
      </c>
      <c r="AZR4" t="s">
        <v>1343</v>
      </c>
      <c r="AZS4" t="s">
        <v>1344</v>
      </c>
      <c r="AZT4" t="s">
        <v>1345</v>
      </c>
      <c r="AZU4" t="s">
        <v>1346</v>
      </c>
      <c r="AZV4" t="s">
        <v>1347</v>
      </c>
      <c r="AZW4" t="s">
        <v>1348</v>
      </c>
      <c r="AZX4" t="s">
        <v>1349</v>
      </c>
      <c r="AZY4" t="s">
        <v>1350</v>
      </c>
      <c r="AZZ4" t="s">
        <v>1351</v>
      </c>
      <c r="BAA4" t="s">
        <v>1869</v>
      </c>
      <c r="BAB4" t="s">
        <v>1870</v>
      </c>
      <c r="BAC4" t="s">
        <v>1871</v>
      </c>
      <c r="BAD4" t="s">
        <v>1872</v>
      </c>
      <c r="BAE4" t="s">
        <v>1873</v>
      </c>
      <c r="BAF4" t="s">
        <v>1874</v>
      </c>
      <c r="BAG4" t="s">
        <v>1875</v>
      </c>
      <c r="BAH4" t="s">
        <v>1876</v>
      </c>
      <c r="BAI4" t="s">
        <v>1352</v>
      </c>
      <c r="BAJ4" t="s">
        <v>1592</v>
      </c>
      <c r="BAK4" t="s">
        <v>1918</v>
      </c>
      <c r="BAL4" t="s">
        <v>1898</v>
      </c>
      <c r="BAM4" t="s">
        <v>1899</v>
      </c>
      <c r="BAN4" t="s">
        <v>1900</v>
      </c>
      <c r="BAO4" t="s">
        <v>1903</v>
      </c>
      <c r="BAP4" t="s">
        <v>1904</v>
      </c>
      <c r="BAQ4" t="s">
        <v>1905</v>
      </c>
      <c r="BAR4" t="s">
        <v>3132</v>
      </c>
      <c r="BAS4" t="s">
        <v>3134</v>
      </c>
      <c r="BAT4" t="s">
        <v>3136</v>
      </c>
      <c r="BAU4" t="s">
        <v>3138</v>
      </c>
      <c r="BAV4" t="s">
        <v>3140</v>
      </c>
      <c r="BAW4" t="s">
        <v>3142</v>
      </c>
      <c r="BAX4" t="s">
        <v>3144</v>
      </c>
      <c r="BAY4" t="s">
        <v>3146</v>
      </c>
      <c r="BAZ4" t="s">
        <v>3148</v>
      </c>
      <c r="BBA4" t="s">
        <v>3150</v>
      </c>
      <c r="BBB4" t="s">
        <v>3152</v>
      </c>
      <c r="BBC4" t="s">
        <v>3154</v>
      </c>
      <c r="BBD4" t="s">
        <v>3156</v>
      </c>
      <c r="BBE4" t="s">
        <v>3158</v>
      </c>
      <c r="BBF4" t="s">
        <v>3160</v>
      </c>
      <c r="BBG4" t="s">
        <v>3162</v>
      </c>
      <c r="BBH4" t="s">
        <v>3164</v>
      </c>
      <c r="BBI4" t="s">
        <v>3166</v>
      </c>
      <c r="BBJ4" t="s">
        <v>3168</v>
      </c>
      <c r="BBK4" t="s">
        <v>3170</v>
      </c>
      <c r="BBL4" t="s">
        <v>3172</v>
      </c>
      <c r="BBM4" t="s">
        <v>3174</v>
      </c>
      <c r="BBN4" t="s">
        <v>3176</v>
      </c>
      <c r="BBO4" t="s">
        <v>3178</v>
      </c>
      <c r="BBP4" t="s">
        <v>3180</v>
      </c>
      <c r="BBQ4" t="s">
        <v>3133</v>
      </c>
      <c r="BBR4" t="s">
        <v>3135</v>
      </c>
      <c r="BBS4" t="s">
        <v>3137</v>
      </c>
      <c r="BBT4" t="s">
        <v>3139</v>
      </c>
      <c r="BBU4" t="s">
        <v>3141</v>
      </c>
      <c r="BBV4" t="s">
        <v>3143</v>
      </c>
      <c r="BBW4" t="s">
        <v>3145</v>
      </c>
      <c r="BBX4" t="s">
        <v>3147</v>
      </c>
      <c r="BBY4" t="s">
        <v>3149</v>
      </c>
      <c r="BBZ4" t="s">
        <v>3151</v>
      </c>
      <c r="BCA4" t="s">
        <v>3153</v>
      </c>
      <c r="BCB4" t="s">
        <v>3155</v>
      </c>
      <c r="BCC4" t="s">
        <v>3157</v>
      </c>
      <c r="BCD4" t="s">
        <v>3159</v>
      </c>
      <c r="BCE4" t="s">
        <v>3161</v>
      </c>
      <c r="BCF4" t="s">
        <v>3163</v>
      </c>
      <c r="BCG4" t="s">
        <v>3165</v>
      </c>
      <c r="BCH4" t="s">
        <v>3167</v>
      </c>
      <c r="BCI4" t="s">
        <v>3169</v>
      </c>
      <c r="BCJ4" t="s">
        <v>3171</v>
      </c>
      <c r="BCK4" t="s">
        <v>3173</v>
      </c>
      <c r="BCL4" t="s">
        <v>3175</v>
      </c>
      <c r="BCM4" t="s">
        <v>3177</v>
      </c>
      <c r="BCN4" t="s">
        <v>3179</v>
      </c>
      <c r="BCO4" t="s">
        <v>3181</v>
      </c>
      <c r="BCP4" t="s">
        <v>3077</v>
      </c>
      <c r="BCQ4" t="s">
        <v>3078</v>
      </c>
      <c r="BCR4" t="s">
        <v>3079</v>
      </c>
      <c r="BCS4" t="s">
        <v>3080</v>
      </c>
      <c r="BCT4" t="s">
        <v>3081</v>
      </c>
      <c r="BCU4" t="s">
        <v>3082</v>
      </c>
      <c r="BCV4" t="s">
        <v>3083</v>
      </c>
      <c r="BCW4" t="s">
        <v>3084</v>
      </c>
      <c r="BCX4" t="s">
        <v>3085</v>
      </c>
      <c r="BCY4" t="s">
        <v>3086</v>
      </c>
      <c r="BCZ4" t="s">
        <v>3087</v>
      </c>
      <c r="BDA4" t="s">
        <v>3088</v>
      </c>
      <c r="BDB4" t="s">
        <v>3089</v>
      </c>
      <c r="BDC4" t="s">
        <v>3090</v>
      </c>
      <c r="BDD4" t="s">
        <v>3091</v>
      </c>
      <c r="BDE4" t="s">
        <v>3092</v>
      </c>
      <c r="BDF4" t="s">
        <v>3093</v>
      </c>
      <c r="BDG4" t="s">
        <v>3094</v>
      </c>
      <c r="BDH4" t="s">
        <v>3095</v>
      </c>
      <c r="BDI4" t="s">
        <v>3096</v>
      </c>
      <c r="BDJ4" t="s">
        <v>3097</v>
      </c>
      <c r="BDK4" t="s">
        <v>3098</v>
      </c>
      <c r="BDL4" t="s">
        <v>3099</v>
      </c>
      <c r="BDM4" t="s">
        <v>3100</v>
      </c>
      <c r="BDN4" t="s">
        <v>3101</v>
      </c>
      <c r="BDO4" t="s">
        <v>3102</v>
      </c>
      <c r="BDP4" t="s">
        <v>3103</v>
      </c>
      <c r="BDQ4" t="s">
        <v>3026</v>
      </c>
      <c r="BDR4" t="s">
        <v>2556</v>
      </c>
      <c r="BDS4" t="s">
        <v>2557</v>
      </c>
      <c r="BDT4" t="s">
        <v>2558</v>
      </c>
      <c r="BDU4" t="s">
        <v>2559</v>
      </c>
      <c r="BDV4" t="s">
        <v>2560</v>
      </c>
      <c r="BDW4" t="s">
        <v>2561</v>
      </c>
      <c r="BDX4" t="s">
        <v>2562</v>
      </c>
      <c r="BDY4" t="s">
        <v>2563</v>
      </c>
      <c r="BDZ4" t="s">
        <v>2564</v>
      </c>
      <c r="BEA4" t="s">
        <v>2565</v>
      </c>
      <c r="BEB4" t="s">
        <v>2566</v>
      </c>
      <c r="BEC4" t="s">
        <v>2567</v>
      </c>
      <c r="BED4" t="s">
        <v>2568</v>
      </c>
      <c r="BEE4" t="s">
        <v>2569</v>
      </c>
      <c r="BEF4" t="s">
        <v>2570</v>
      </c>
      <c r="BEG4" t="s">
        <v>2571</v>
      </c>
      <c r="BEH4" t="s">
        <v>2572</v>
      </c>
      <c r="BEI4" t="s">
        <v>2573</v>
      </c>
      <c r="BEJ4" t="s">
        <v>2574</v>
      </c>
      <c r="BEK4" t="s">
        <v>2575</v>
      </c>
      <c r="BEL4" t="s">
        <v>2576</v>
      </c>
      <c r="BEM4" t="s">
        <v>2577</v>
      </c>
      <c r="BEN4" t="s">
        <v>2578</v>
      </c>
      <c r="BEO4" t="s">
        <v>2579</v>
      </c>
      <c r="BEP4" t="s">
        <v>2580</v>
      </c>
      <c r="BEQ4" t="s">
        <v>2581</v>
      </c>
      <c r="BER4" t="s">
        <v>2582</v>
      </c>
      <c r="BES4" t="s">
        <v>2583</v>
      </c>
      <c r="BET4" t="s">
        <v>2584</v>
      </c>
      <c r="BEU4" t="s">
        <v>2585</v>
      </c>
      <c r="BEV4" t="s">
        <v>2586</v>
      </c>
      <c r="BEW4" t="s">
        <v>2587</v>
      </c>
      <c r="BEX4" t="s">
        <v>2588</v>
      </c>
      <c r="BEY4" t="s">
        <v>2589</v>
      </c>
      <c r="BEZ4" t="s">
        <v>2590</v>
      </c>
      <c r="BFA4" t="s">
        <v>2591</v>
      </c>
      <c r="BFB4" t="s">
        <v>2592</v>
      </c>
      <c r="BFC4" t="s">
        <v>2593</v>
      </c>
      <c r="BFD4" t="s">
        <v>3311</v>
      </c>
      <c r="BFE4" t="s">
        <v>3312</v>
      </c>
      <c r="BFF4" t="s">
        <v>3313</v>
      </c>
      <c r="BFG4" t="s">
        <v>3314</v>
      </c>
      <c r="BFH4" t="s">
        <v>2594</v>
      </c>
      <c r="BFI4" t="s">
        <v>2595</v>
      </c>
      <c r="BFJ4" t="s">
        <v>2596</v>
      </c>
      <c r="BFK4" t="s">
        <v>2597</v>
      </c>
      <c r="BFL4" t="s">
        <v>2598</v>
      </c>
      <c r="BFM4" t="s">
        <v>2599</v>
      </c>
      <c r="BFN4" t="s">
        <v>2600</v>
      </c>
      <c r="BFO4" t="s">
        <v>2601</v>
      </c>
      <c r="BFP4" t="s">
        <v>2602</v>
      </c>
      <c r="BFQ4" t="s">
        <v>2603</v>
      </c>
      <c r="BFR4" t="s">
        <v>2604</v>
      </c>
      <c r="BFS4" t="s">
        <v>2605</v>
      </c>
      <c r="BFT4" t="s">
        <v>2606</v>
      </c>
      <c r="BFU4" t="s">
        <v>2607</v>
      </c>
      <c r="BFV4" t="s">
        <v>2608</v>
      </c>
      <c r="BFW4" t="s">
        <v>2609</v>
      </c>
      <c r="BFX4" t="s">
        <v>2610</v>
      </c>
      <c r="BFY4" t="s">
        <v>2611</v>
      </c>
    </row>
    <row r="5" spans="1:1533" x14ac:dyDescent="0.25">
      <c r="A5">
        <v>33333</v>
      </c>
      <c r="B5" t="s">
        <v>3347</v>
      </c>
      <c r="C5" s="120">
        <v>10</v>
      </c>
      <c r="D5" s="120">
        <v>10</v>
      </c>
      <c r="E5" t="s">
        <v>2613</v>
      </c>
      <c r="F5">
        <v>234234</v>
      </c>
      <c r="G5">
        <v>123123</v>
      </c>
      <c r="H5" t="s">
        <v>2614</v>
      </c>
      <c r="I5" t="s">
        <v>2403</v>
      </c>
      <c r="J5" t="s">
        <v>2403</v>
      </c>
      <c r="K5" t="s">
        <v>2403</v>
      </c>
      <c r="L5" t="s">
        <v>2403</v>
      </c>
      <c r="M5" t="s">
        <v>1883</v>
      </c>
      <c r="N5" t="s">
        <v>2403</v>
      </c>
      <c r="O5" t="s">
        <v>1883</v>
      </c>
      <c r="P5" t="s">
        <v>1883</v>
      </c>
      <c r="Q5" t="s">
        <v>2403</v>
      </c>
      <c r="R5" t="s">
        <v>1883</v>
      </c>
      <c r="S5" t="s">
        <v>1639</v>
      </c>
      <c r="T5" t="s">
        <v>2404</v>
      </c>
      <c r="U5" t="s">
        <v>2424</v>
      </c>
      <c r="V5" t="s">
        <v>2614</v>
      </c>
      <c r="W5" t="s">
        <v>309</v>
      </c>
      <c r="X5">
        <v>10</v>
      </c>
      <c r="Y5">
        <v>43418</v>
      </c>
      <c r="Z5">
        <v>10</v>
      </c>
      <c r="AA5">
        <v>10</v>
      </c>
      <c r="AB5" s="120">
        <v>10</v>
      </c>
      <c r="AC5" s="58" t="s">
        <v>272</v>
      </c>
      <c r="AD5" s="120">
        <v>10</v>
      </c>
      <c r="AE5" s="120">
        <v>10</v>
      </c>
      <c r="AF5" s="120">
        <v>43414</v>
      </c>
      <c r="AG5">
        <v>10</v>
      </c>
      <c r="AH5" s="120">
        <v>0</v>
      </c>
      <c r="AI5" s="120">
        <v>0</v>
      </c>
      <c r="AJ5" s="58" t="s">
        <v>271</v>
      </c>
      <c r="AK5" s="120">
        <v>0.15998999999999999</v>
      </c>
      <c r="AL5" s="119">
        <v>10</v>
      </c>
      <c r="AM5">
        <v>10</v>
      </c>
      <c r="AN5">
        <v>47067</v>
      </c>
      <c r="AO5" s="114">
        <v>0.1599979548860242</v>
      </c>
      <c r="AP5" s="120">
        <v>1803530.63</v>
      </c>
      <c r="AQ5" s="120">
        <v>1839757.1699999929</v>
      </c>
      <c r="AR5" s="58">
        <v>3643287.7999999928</v>
      </c>
      <c r="AS5" s="114">
        <v>30109.82</v>
      </c>
      <c r="AT5" s="120">
        <v>30109.4</v>
      </c>
      <c r="AU5" s="120" t="s">
        <v>2615</v>
      </c>
      <c r="AV5" s="120" t="s">
        <v>2616</v>
      </c>
      <c r="AW5" s="120" t="s">
        <v>271</v>
      </c>
      <c r="AX5" s="120">
        <v>10</v>
      </c>
      <c r="AY5">
        <v>0</v>
      </c>
      <c r="AZ5">
        <v>0</v>
      </c>
      <c r="BA5">
        <v>10</v>
      </c>
      <c r="BB5" s="120">
        <v>3</v>
      </c>
      <c r="BC5">
        <v>25</v>
      </c>
      <c r="BD5" s="58" t="s">
        <v>415</v>
      </c>
      <c r="BE5" s="120">
        <v>10</v>
      </c>
      <c r="BF5">
        <v>10</v>
      </c>
      <c r="BG5">
        <v>43414</v>
      </c>
      <c r="BH5">
        <v>120</v>
      </c>
      <c r="BI5" s="120">
        <v>10</v>
      </c>
      <c r="BJ5" s="120">
        <v>10</v>
      </c>
      <c r="BK5" s="367">
        <v>43466</v>
      </c>
      <c r="BL5">
        <v>0</v>
      </c>
      <c r="BM5" s="120">
        <v>0</v>
      </c>
      <c r="BN5" s="120">
        <v>0</v>
      </c>
      <c r="BO5" s="58" t="s">
        <v>2631</v>
      </c>
      <c r="BP5" t="s">
        <v>2403</v>
      </c>
      <c r="BQ5" t="s">
        <v>2403</v>
      </c>
      <c r="BR5" t="s">
        <v>2403</v>
      </c>
      <c r="BS5">
        <v>1111111111</v>
      </c>
      <c r="BT5" s="366">
        <v>33239</v>
      </c>
      <c r="BU5" s="58">
        <v>0</v>
      </c>
      <c r="BV5">
        <v>0</v>
      </c>
      <c r="BW5">
        <v>0</v>
      </c>
      <c r="BX5">
        <v>0</v>
      </c>
      <c r="BY5" t="s">
        <v>2617</v>
      </c>
      <c r="BZ5" t="s">
        <v>13</v>
      </c>
      <c r="CA5">
        <v>78755</v>
      </c>
      <c r="CB5" t="s">
        <v>1633</v>
      </c>
      <c r="CC5">
        <v>0</v>
      </c>
      <c r="CD5" t="s">
        <v>2618</v>
      </c>
      <c r="CE5" t="s">
        <v>2619</v>
      </c>
      <c r="CF5" t="s">
        <v>2620</v>
      </c>
      <c r="CG5" t="s">
        <v>2621</v>
      </c>
      <c r="CH5" t="s">
        <v>2622</v>
      </c>
      <c r="CI5" t="s">
        <v>2623</v>
      </c>
      <c r="CJ5" t="s">
        <v>2624</v>
      </c>
      <c r="CK5">
        <v>5125125123</v>
      </c>
      <c r="CL5" s="118">
        <v>0</v>
      </c>
      <c r="CM5" s="118">
        <v>0</v>
      </c>
      <c r="CN5" s="118" t="s">
        <v>2625</v>
      </c>
      <c r="CO5" t="s">
        <v>2626</v>
      </c>
      <c r="CP5" t="s">
        <v>2403</v>
      </c>
      <c r="CQ5" t="s">
        <v>2403</v>
      </c>
      <c r="CR5" t="s">
        <v>2403</v>
      </c>
      <c r="CS5">
        <v>0</v>
      </c>
      <c r="CT5">
        <v>0</v>
      </c>
      <c r="CU5">
        <v>0</v>
      </c>
      <c r="CV5">
        <v>0</v>
      </c>
      <c r="CW5">
        <v>2222222222</v>
      </c>
      <c r="CX5" s="366">
        <v>32395</v>
      </c>
      <c r="CY5" s="58" t="s">
        <v>2627</v>
      </c>
      <c r="CZ5" t="s">
        <v>2628</v>
      </c>
      <c r="DA5">
        <v>53505</v>
      </c>
      <c r="DB5" t="s">
        <v>1637</v>
      </c>
      <c r="DC5">
        <v>0</v>
      </c>
      <c r="DD5">
        <v>0</v>
      </c>
      <c r="DE5">
        <v>0</v>
      </c>
      <c r="DF5">
        <v>0</v>
      </c>
      <c r="DG5">
        <v>0</v>
      </c>
      <c r="DH5">
        <v>0</v>
      </c>
      <c r="DI5">
        <v>0</v>
      </c>
      <c r="DJ5">
        <v>0</v>
      </c>
      <c r="DK5">
        <v>0</v>
      </c>
      <c r="DL5" s="118">
        <v>0</v>
      </c>
      <c r="DM5" s="118">
        <v>0</v>
      </c>
      <c r="DN5" s="118" t="s">
        <v>2625</v>
      </c>
      <c r="DO5" t="s">
        <v>2936</v>
      </c>
      <c r="DP5" t="s">
        <v>2403</v>
      </c>
      <c r="DQ5" t="s">
        <v>2403</v>
      </c>
      <c r="DR5" t="s">
        <v>2403</v>
      </c>
      <c r="DS5">
        <v>0</v>
      </c>
      <c r="DT5">
        <v>0</v>
      </c>
      <c r="DU5">
        <v>0</v>
      </c>
      <c r="DV5">
        <v>0</v>
      </c>
      <c r="DW5">
        <v>0</v>
      </c>
      <c r="DX5" s="366">
        <v>0</v>
      </c>
      <c r="DY5" s="58">
        <v>0</v>
      </c>
      <c r="DZ5">
        <v>0</v>
      </c>
      <c r="EA5">
        <v>0</v>
      </c>
      <c r="EB5">
        <v>0</v>
      </c>
      <c r="EC5">
        <v>0</v>
      </c>
      <c r="ED5">
        <v>0</v>
      </c>
      <c r="EE5">
        <v>0</v>
      </c>
      <c r="EF5">
        <v>0</v>
      </c>
      <c r="EG5">
        <v>0</v>
      </c>
      <c r="EH5">
        <v>0</v>
      </c>
      <c r="EI5">
        <v>0</v>
      </c>
      <c r="EJ5">
        <v>0</v>
      </c>
      <c r="EK5">
        <v>0</v>
      </c>
      <c r="EL5" s="118">
        <v>0</v>
      </c>
      <c r="EM5" s="118">
        <v>0</v>
      </c>
      <c r="EN5" s="118">
        <v>0</v>
      </c>
      <c r="EO5">
        <v>20</v>
      </c>
      <c r="EP5">
        <v>1803460.625</v>
      </c>
      <c r="EQ5" s="119">
        <v>99</v>
      </c>
      <c r="ER5">
        <v>98</v>
      </c>
      <c r="ES5" t="s">
        <v>2635</v>
      </c>
      <c r="ET5" t="s">
        <v>2636</v>
      </c>
      <c r="EU5" t="s">
        <v>2637</v>
      </c>
      <c r="EV5" t="s">
        <v>2638</v>
      </c>
      <c r="EW5" t="s">
        <v>2641</v>
      </c>
      <c r="EX5" t="s">
        <v>2642</v>
      </c>
      <c r="EY5" t="s">
        <v>2643</v>
      </c>
      <c r="EZ5" t="s">
        <v>2644</v>
      </c>
      <c r="FA5" t="s">
        <v>2645</v>
      </c>
      <c r="FB5" t="s">
        <v>2646</v>
      </c>
      <c r="FC5" t="s">
        <v>2647</v>
      </c>
      <c r="FD5" t="s">
        <v>2648</v>
      </c>
      <c r="FE5" t="s">
        <v>2649</v>
      </c>
      <c r="FF5" t="s">
        <v>2650</v>
      </c>
      <c r="FG5" t="s">
        <v>2651</v>
      </c>
      <c r="FH5" t="s">
        <v>2652</v>
      </c>
      <c r="FI5" t="s">
        <v>2653</v>
      </c>
      <c r="FJ5" t="s">
        <v>2654</v>
      </c>
      <c r="FK5" t="s">
        <v>2655</v>
      </c>
      <c r="FL5" t="s">
        <v>2656</v>
      </c>
      <c r="FM5">
        <v>200001.14</v>
      </c>
      <c r="FN5" s="119">
        <v>200</v>
      </c>
      <c r="FO5" s="119">
        <v>300</v>
      </c>
      <c r="FP5" s="119">
        <v>400</v>
      </c>
      <c r="FQ5" s="119">
        <v>21</v>
      </c>
      <c r="FR5" s="119">
        <v>22</v>
      </c>
      <c r="FS5" s="119">
        <v>23</v>
      </c>
      <c r="FT5" s="119">
        <v>24</v>
      </c>
      <c r="FU5" s="119">
        <v>31</v>
      </c>
      <c r="FV5" s="119">
        <v>32</v>
      </c>
      <c r="FW5" s="119">
        <v>33</v>
      </c>
      <c r="FX5" s="119">
        <v>34</v>
      </c>
      <c r="FY5" s="119">
        <v>41</v>
      </c>
      <c r="FZ5" s="119">
        <v>42</v>
      </c>
      <c r="GA5" s="119">
        <v>43</v>
      </c>
      <c r="GB5" s="119">
        <v>44</v>
      </c>
      <c r="GC5" s="119">
        <v>51</v>
      </c>
      <c r="GD5" s="119">
        <v>52</v>
      </c>
      <c r="GE5" s="119">
        <v>53</v>
      </c>
      <c r="GF5" s="119">
        <v>54</v>
      </c>
      <c r="GG5" s="119">
        <v>0</v>
      </c>
      <c r="GH5" t="s">
        <v>2403</v>
      </c>
      <c r="GI5">
        <v>0</v>
      </c>
      <c r="GJ5">
        <v>0</v>
      </c>
      <c r="GK5">
        <v>0</v>
      </c>
      <c r="GL5" t="s">
        <v>2403</v>
      </c>
      <c r="GM5">
        <v>0</v>
      </c>
      <c r="GN5" s="58" t="s">
        <v>2403</v>
      </c>
      <c r="GO5">
        <v>0</v>
      </c>
      <c r="GP5">
        <v>123123</v>
      </c>
      <c r="GQ5" s="128">
        <v>234234</v>
      </c>
      <c r="GR5" s="128">
        <v>345345</v>
      </c>
      <c r="GS5" s="128">
        <v>456456</v>
      </c>
      <c r="GT5" s="128" t="s">
        <v>2629</v>
      </c>
      <c r="GU5">
        <v>100000.57</v>
      </c>
      <c r="GV5" s="119">
        <v>200</v>
      </c>
      <c r="GW5" s="119">
        <v>300</v>
      </c>
      <c r="GX5" s="119">
        <v>400</v>
      </c>
      <c r="GY5" s="119" t="s">
        <v>2630</v>
      </c>
      <c r="GZ5" t="s">
        <v>2630</v>
      </c>
      <c r="HA5" t="s">
        <v>2630</v>
      </c>
      <c r="HB5" t="s">
        <v>2630</v>
      </c>
      <c r="HC5">
        <v>100900.5703125</v>
      </c>
      <c r="HD5" s="120">
        <v>0</v>
      </c>
      <c r="HE5" s="119">
        <v>0</v>
      </c>
      <c r="HF5" t="s">
        <v>13</v>
      </c>
      <c r="HG5">
        <v>0</v>
      </c>
      <c r="HH5" t="s">
        <v>2403</v>
      </c>
      <c r="HI5">
        <v>0</v>
      </c>
      <c r="HJ5" s="119" t="s">
        <v>2403</v>
      </c>
      <c r="HK5" t="s">
        <v>2631</v>
      </c>
      <c r="HL5" t="s">
        <v>2632</v>
      </c>
      <c r="HM5" t="s">
        <v>2633</v>
      </c>
      <c r="HN5" t="s">
        <v>2634</v>
      </c>
      <c r="HO5">
        <v>0</v>
      </c>
      <c r="HP5" t="s">
        <v>2403</v>
      </c>
      <c r="HQ5">
        <v>0</v>
      </c>
      <c r="HR5" t="s">
        <v>1633</v>
      </c>
      <c r="HS5" t="s">
        <v>2635</v>
      </c>
      <c r="HT5" t="s">
        <v>2636</v>
      </c>
      <c r="HU5" t="s">
        <v>2637</v>
      </c>
      <c r="HV5" t="s">
        <v>2638</v>
      </c>
      <c r="HW5" t="s">
        <v>2639</v>
      </c>
      <c r="HX5">
        <v>2012</v>
      </c>
      <c r="HY5">
        <v>2013</v>
      </c>
      <c r="HZ5">
        <v>2014</v>
      </c>
      <c r="IA5">
        <v>78701</v>
      </c>
      <c r="IB5" t="s">
        <v>2403</v>
      </c>
      <c r="IC5">
        <v>0</v>
      </c>
      <c r="ID5" t="s">
        <v>2403</v>
      </c>
      <c r="IE5">
        <v>0</v>
      </c>
      <c r="IF5">
        <v>0</v>
      </c>
      <c r="IG5">
        <v>0</v>
      </c>
      <c r="IH5" t="s">
        <v>2403</v>
      </c>
      <c r="II5">
        <v>0</v>
      </c>
      <c r="IJ5" t="s">
        <v>2403</v>
      </c>
      <c r="IK5">
        <v>0</v>
      </c>
      <c r="IL5">
        <v>21</v>
      </c>
      <c r="IM5" s="128">
        <v>22</v>
      </c>
      <c r="IN5" s="128">
        <v>23</v>
      </c>
      <c r="IO5" s="128">
        <v>24</v>
      </c>
      <c r="IP5" s="128" t="s">
        <v>2640</v>
      </c>
      <c r="IQ5">
        <v>21</v>
      </c>
      <c r="IR5" s="119">
        <v>22</v>
      </c>
      <c r="IS5" s="119">
        <v>23</v>
      </c>
      <c r="IT5" s="119">
        <v>24</v>
      </c>
      <c r="IU5" s="119">
        <v>90</v>
      </c>
      <c r="IV5" s="119">
        <v>0</v>
      </c>
      <c r="IW5">
        <v>0</v>
      </c>
      <c r="IX5" t="s">
        <v>13</v>
      </c>
      <c r="IY5">
        <v>0</v>
      </c>
      <c r="IZ5" t="s">
        <v>2403</v>
      </c>
      <c r="JA5">
        <v>0</v>
      </c>
      <c r="JB5" s="119" t="s">
        <v>2403</v>
      </c>
      <c r="JC5">
        <v>0</v>
      </c>
      <c r="JD5" t="s">
        <v>2403</v>
      </c>
      <c r="JE5">
        <v>0</v>
      </c>
      <c r="JF5" t="s">
        <v>1633</v>
      </c>
      <c r="JG5" t="s">
        <v>2641</v>
      </c>
      <c r="JH5" t="s">
        <v>2642</v>
      </c>
      <c r="JI5" t="s">
        <v>2643</v>
      </c>
      <c r="JJ5" t="s">
        <v>2644</v>
      </c>
      <c r="JK5">
        <v>2021</v>
      </c>
      <c r="JL5">
        <v>2022</v>
      </c>
      <c r="JM5">
        <v>2023</v>
      </c>
      <c r="JN5">
        <v>2024</v>
      </c>
      <c r="JO5" t="s">
        <v>2631</v>
      </c>
      <c r="JP5" t="s">
        <v>2632</v>
      </c>
      <c r="JQ5" t="s">
        <v>2633</v>
      </c>
      <c r="JR5" t="s">
        <v>2634</v>
      </c>
      <c r="JS5" t="s">
        <v>2630</v>
      </c>
      <c r="JT5" t="s">
        <v>2630</v>
      </c>
      <c r="JU5" t="s">
        <v>2630</v>
      </c>
      <c r="JV5" t="s">
        <v>2630</v>
      </c>
      <c r="JW5">
        <v>78701</v>
      </c>
      <c r="JX5" t="s">
        <v>2403</v>
      </c>
      <c r="JY5">
        <v>0</v>
      </c>
      <c r="JZ5" t="s">
        <v>2403</v>
      </c>
      <c r="KA5">
        <v>0</v>
      </c>
      <c r="KB5">
        <v>0</v>
      </c>
      <c r="KC5">
        <v>0</v>
      </c>
      <c r="KD5" t="s">
        <v>2403</v>
      </c>
      <c r="KE5">
        <v>0</v>
      </c>
      <c r="KF5" t="s">
        <v>2403</v>
      </c>
      <c r="KG5">
        <v>0</v>
      </c>
      <c r="KH5">
        <v>31</v>
      </c>
      <c r="KI5" s="128">
        <v>32</v>
      </c>
      <c r="KJ5" s="128">
        <v>33</v>
      </c>
      <c r="KK5" s="128">
        <v>34</v>
      </c>
      <c r="KL5" s="128">
        <v>0</v>
      </c>
      <c r="KM5">
        <v>31</v>
      </c>
      <c r="KN5" s="119">
        <v>32</v>
      </c>
      <c r="KO5" s="119">
        <v>33</v>
      </c>
      <c r="KP5" s="119">
        <v>34</v>
      </c>
      <c r="KQ5" s="119">
        <v>130</v>
      </c>
      <c r="KR5" s="121">
        <v>0</v>
      </c>
      <c r="KS5">
        <v>0</v>
      </c>
      <c r="KT5" s="119">
        <v>0</v>
      </c>
      <c r="KU5">
        <v>0</v>
      </c>
      <c r="KV5" t="s">
        <v>2403</v>
      </c>
      <c r="KW5">
        <v>0</v>
      </c>
      <c r="KX5" s="119">
        <v>0</v>
      </c>
      <c r="KY5" t="s">
        <v>2403</v>
      </c>
      <c r="KZ5" t="s">
        <v>2403</v>
      </c>
      <c r="LA5">
        <v>0</v>
      </c>
      <c r="LB5" t="s">
        <v>2645</v>
      </c>
      <c r="LC5" t="s">
        <v>2646</v>
      </c>
      <c r="LD5" t="s">
        <v>2647</v>
      </c>
      <c r="LE5" t="s">
        <v>2648</v>
      </c>
      <c r="LF5">
        <v>0</v>
      </c>
      <c r="LG5">
        <v>2031</v>
      </c>
      <c r="LH5">
        <v>2032</v>
      </c>
      <c r="LI5">
        <v>2033</v>
      </c>
      <c r="LJ5">
        <v>2034</v>
      </c>
      <c r="LK5">
        <v>0</v>
      </c>
      <c r="LL5" t="s">
        <v>2631</v>
      </c>
      <c r="LM5" t="s">
        <v>2632</v>
      </c>
      <c r="LN5" t="s">
        <v>2633</v>
      </c>
      <c r="LO5" t="s">
        <v>2634</v>
      </c>
      <c r="LP5" t="s">
        <v>2630</v>
      </c>
      <c r="LQ5" t="s">
        <v>2630</v>
      </c>
      <c r="LR5" t="s">
        <v>2630</v>
      </c>
      <c r="LS5" t="s">
        <v>2630</v>
      </c>
      <c r="LT5" t="s">
        <v>2403</v>
      </c>
      <c r="LU5">
        <v>0</v>
      </c>
      <c r="LV5" t="s">
        <v>2403</v>
      </c>
      <c r="LW5">
        <v>0</v>
      </c>
      <c r="LX5">
        <v>0</v>
      </c>
      <c r="LY5">
        <v>0</v>
      </c>
      <c r="LZ5" t="s">
        <v>2403</v>
      </c>
      <c r="MA5">
        <v>0</v>
      </c>
      <c r="MB5" t="s">
        <v>2403</v>
      </c>
      <c r="MC5">
        <v>0</v>
      </c>
      <c r="MD5">
        <v>41</v>
      </c>
      <c r="ME5" s="128">
        <v>42</v>
      </c>
      <c r="MF5" s="128">
        <v>43</v>
      </c>
      <c r="MG5" s="128">
        <v>44</v>
      </c>
      <c r="MH5" s="128">
        <v>0</v>
      </c>
      <c r="MI5">
        <v>41</v>
      </c>
      <c r="MJ5" s="119">
        <v>42</v>
      </c>
      <c r="MK5" s="119">
        <v>43</v>
      </c>
      <c r="ML5" s="119">
        <v>44</v>
      </c>
      <c r="MM5" s="119">
        <v>170</v>
      </c>
      <c r="MN5" s="121">
        <v>0</v>
      </c>
      <c r="MO5" s="119">
        <v>0</v>
      </c>
      <c r="MP5">
        <v>0</v>
      </c>
      <c r="MQ5">
        <v>0</v>
      </c>
      <c r="MR5" t="s">
        <v>2403</v>
      </c>
      <c r="MS5">
        <v>0</v>
      </c>
      <c r="MT5" s="119">
        <v>0</v>
      </c>
      <c r="MU5" t="s">
        <v>2403</v>
      </c>
      <c r="MV5" t="s">
        <v>2403</v>
      </c>
      <c r="MW5">
        <v>0</v>
      </c>
      <c r="MX5" t="s">
        <v>2649</v>
      </c>
      <c r="MY5" t="s">
        <v>2650</v>
      </c>
      <c r="MZ5" t="s">
        <v>2651</v>
      </c>
      <c r="NA5" t="s">
        <v>2652</v>
      </c>
      <c r="NB5">
        <v>0</v>
      </c>
      <c r="NC5" t="s">
        <v>2639</v>
      </c>
      <c r="ND5">
        <v>0</v>
      </c>
      <c r="NE5">
        <v>0</v>
      </c>
      <c r="NF5">
        <v>0</v>
      </c>
      <c r="NG5" t="s">
        <v>2631</v>
      </c>
      <c r="NH5" t="s">
        <v>2632</v>
      </c>
      <c r="NI5" t="s">
        <v>2633</v>
      </c>
      <c r="NJ5" t="s">
        <v>2634</v>
      </c>
      <c r="NK5" t="s">
        <v>2630</v>
      </c>
      <c r="NL5" t="s">
        <v>2630</v>
      </c>
      <c r="NM5" t="s">
        <v>2630</v>
      </c>
      <c r="NN5" t="s">
        <v>2630</v>
      </c>
      <c r="NO5">
        <v>0</v>
      </c>
      <c r="NP5" t="s">
        <v>2403</v>
      </c>
      <c r="NQ5">
        <v>0</v>
      </c>
      <c r="NR5" s="116" t="s">
        <v>2403</v>
      </c>
      <c r="NS5" s="116">
        <v>0</v>
      </c>
      <c r="NT5" s="116">
        <v>0</v>
      </c>
      <c r="NU5" s="116">
        <v>0</v>
      </c>
      <c r="NV5" s="116" t="s">
        <v>2403</v>
      </c>
      <c r="NW5" s="116">
        <v>0</v>
      </c>
      <c r="NX5" s="116" t="s">
        <v>2403</v>
      </c>
      <c r="NY5" s="116">
        <v>0</v>
      </c>
      <c r="NZ5" s="116">
        <v>51</v>
      </c>
      <c r="OA5" s="128">
        <v>52</v>
      </c>
      <c r="OB5" s="128">
        <v>53</v>
      </c>
      <c r="OC5" s="128">
        <v>54</v>
      </c>
      <c r="OD5" s="128">
        <v>0</v>
      </c>
      <c r="OE5">
        <v>51</v>
      </c>
      <c r="OF5" s="119">
        <v>52</v>
      </c>
      <c r="OG5" s="119">
        <v>53</v>
      </c>
      <c r="OH5" s="119">
        <v>54</v>
      </c>
      <c r="OI5" s="119">
        <v>210</v>
      </c>
      <c r="OJ5" s="121">
        <v>0</v>
      </c>
      <c r="OK5" s="119">
        <v>0</v>
      </c>
      <c r="OL5">
        <v>0</v>
      </c>
      <c r="OM5">
        <v>0</v>
      </c>
      <c r="ON5" t="s">
        <v>2403</v>
      </c>
      <c r="OO5">
        <v>0</v>
      </c>
      <c r="OP5" s="119">
        <v>0</v>
      </c>
      <c r="OQ5" t="s">
        <v>2403</v>
      </c>
      <c r="OR5" t="s">
        <v>2403</v>
      </c>
      <c r="OS5">
        <v>0</v>
      </c>
      <c r="OT5" t="s">
        <v>2653</v>
      </c>
      <c r="OU5" t="s">
        <v>2654</v>
      </c>
      <c r="OV5" t="s">
        <v>2655</v>
      </c>
      <c r="OW5" t="s">
        <v>2656</v>
      </c>
      <c r="OX5">
        <v>0</v>
      </c>
      <c r="OY5" t="s">
        <v>2639</v>
      </c>
      <c r="OZ5">
        <v>0</v>
      </c>
      <c r="PA5">
        <v>0</v>
      </c>
      <c r="PB5">
        <v>0</v>
      </c>
      <c r="PC5" t="s">
        <v>2631</v>
      </c>
      <c r="PD5" t="s">
        <v>2632</v>
      </c>
      <c r="PE5" t="s">
        <v>2633</v>
      </c>
      <c r="PF5" t="s">
        <v>2634</v>
      </c>
      <c r="PG5" t="s">
        <v>2630</v>
      </c>
      <c r="PH5" t="s">
        <v>2630</v>
      </c>
      <c r="PI5" t="s">
        <v>2630</v>
      </c>
      <c r="PJ5" t="s">
        <v>2630</v>
      </c>
      <c r="PK5">
        <v>0</v>
      </c>
      <c r="PL5" t="s">
        <v>2403</v>
      </c>
      <c r="PM5">
        <v>0</v>
      </c>
      <c r="PN5" t="s">
        <v>2403</v>
      </c>
      <c r="PO5">
        <v>0</v>
      </c>
      <c r="PP5">
        <v>0</v>
      </c>
      <c r="PQ5">
        <v>0</v>
      </c>
      <c r="PR5" t="s">
        <v>2403</v>
      </c>
      <c r="PS5">
        <v>0</v>
      </c>
      <c r="PT5" t="s">
        <v>2403</v>
      </c>
      <c r="PU5">
        <v>0</v>
      </c>
      <c r="PV5">
        <v>61</v>
      </c>
      <c r="PW5" s="128">
        <v>62</v>
      </c>
      <c r="PX5" s="128">
        <v>63</v>
      </c>
      <c r="PY5" s="128">
        <v>64</v>
      </c>
      <c r="PZ5" s="128">
        <v>0</v>
      </c>
      <c r="QA5">
        <v>100000.57</v>
      </c>
      <c r="QB5" s="119">
        <v>0</v>
      </c>
      <c r="QC5" s="119">
        <v>0</v>
      </c>
      <c r="QD5" s="119">
        <v>0</v>
      </c>
      <c r="QE5" s="119">
        <v>100000.5703125</v>
      </c>
      <c r="QF5" s="121">
        <v>0</v>
      </c>
      <c r="QG5" s="119">
        <v>0</v>
      </c>
      <c r="QH5">
        <v>0</v>
      </c>
      <c r="QI5">
        <v>0</v>
      </c>
      <c r="QJ5" t="s">
        <v>2403</v>
      </c>
      <c r="QK5">
        <v>0</v>
      </c>
      <c r="QL5" s="119">
        <v>0</v>
      </c>
      <c r="QM5" t="s">
        <v>2403</v>
      </c>
      <c r="QN5" t="s">
        <v>2403</v>
      </c>
      <c r="QO5">
        <v>0</v>
      </c>
      <c r="QP5" t="s">
        <v>2657</v>
      </c>
      <c r="QQ5" t="s">
        <v>2658</v>
      </c>
      <c r="QR5" t="s">
        <v>2659</v>
      </c>
      <c r="QS5" t="s">
        <v>2660</v>
      </c>
      <c r="QT5">
        <v>0</v>
      </c>
      <c r="QU5" t="s">
        <v>2639</v>
      </c>
      <c r="QV5">
        <v>0</v>
      </c>
      <c r="QW5">
        <v>0</v>
      </c>
      <c r="QX5">
        <v>0</v>
      </c>
      <c r="QY5" t="s">
        <v>2631</v>
      </c>
      <c r="QZ5" t="s">
        <v>2632</v>
      </c>
      <c r="RA5" t="s">
        <v>2633</v>
      </c>
      <c r="RB5" t="s">
        <v>2634</v>
      </c>
      <c r="RC5" t="s">
        <v>2630</v>
      </c>
      <c r="RD5" t="s">
        <v>2630</v>
      </c>
      <c r="RE5" t="s">
        <v>2630</v>
      </c>
      <c r="RF5" t="s">
        <v>2630</v>
      </c>
      <c r="RG5">
        <v>0</v>
      </c>
      <c r="RH5" t="s">
        <v>2403</v>
      </c>
      <c r="RI5">
        <v>0</v>
      </c>
      <c r="RJ5" s="116" t="s">
        <v>2403</v>
      </c>
      <c r="RK5" s="116">
        <v>0</v>
      </c>
      <c r="RL5" s="116">
        <v>0</v>
      </c>
      <c r="RM5" s="116">
        <v>0</v>
      </c>
      <c r="RN5" s="116" t="s">
        <v>2403</v>
      </c>
      <c r="RO5" s="116">
        <v>0</v>
      </c>
      <c r="RP5" s="116" t="s">
        <v>2403</v>
      </c>
      <c r="RQ5" s="116">
        <v>0</v>
      </c>
      <c r="RR5" s="116">
        <v>71</v>
      </c>
      <c r="RS5" s="128">
        <v>72</v>
      </c>
      <c r="RT5" s="128">
        <v>73</v>
      </c>
      <c r="RU5" s="128">
        <v>74</v>
      </c>
      <c r="RV5" s="128">
        <v>0</v>
      </c>
      <c r="RW5">
        <v>100000.57</v>
      </c>
      <c r="RX5" s="119">
        <v>0</v>
      </c>
      <c r="RY5" s="119">
        <v>0</v>
      </c>
      <c r="RZ5" s="119">
        <v>0</v>
      </c>
      <c r="SA5" s="119">
        <v>100000.5703125</v>
      </c>
      <c r="SB5" s="121">
        <v>0</v>
      </c>
      <c r="SC5" s="119">
        <v>0</v>
      </c>
      <c r="SD5">
        <v>0</v>
      </c>
      <c r="SE5">
        <v>0</v>
      </c>
      <c r="SF5" t="s">
        <v>2403</v>
      </c>
      <c r="SG5">
        <v>0</v>
      </c>
      <c r="SH5" s="119">
        <v>0</v>
      </c>
      <c r="SI5" t="s">
        <v>2403</v>
      </c>
      <c r="SJ5" t="s">
        <v>2403</v>
      </c>
      <c r="SK5">
        <v>0</v>
      </c>
      <c r="SL5" t="s">
        <v>2661</v>
      </c>
      <c r="SM5" t="s">
        <v>2662</v>
      </c>
      <c r="SN5" t="s">
        <v>2663</v>
      </c>
      <c r="SO5" t="s">
        <v>2664</v>
      </c>
      <c r="SP5">
        <v>0</v>
      </c>
      <c r="SQ5" t="s">
        <v>2639</v>
      </c>
      <c r="SR5">
        <v>0</v>
      </c>
      <c r="SS5">
        <v>0</v>
      </c>
      <c r="ST5">
        <v>0</v>
      </c>
      <c r="SU5" t="s">
        <v>2631</v>
      </c>
      <c r="SV5" t="s">
        <v>2632</v>
      </c>
      <c r="SW5" t="s">
        <v>2633</v>
      </c>
      <c r="SX5" t="s">
        <v>2634</v>
      </c>
      <c r="SY5" t="s">
        <v>2630</v>
      </c>
      <c r="SZ5" t="s">
        <v>2630</v>
      </c>
      <c r="TA5" t="s">
        <v>2630</v>
      </c>
      <c r="TB5" t="s">
        <v>2630</v>
      </c>
      <c r="TC5">
        <v>0</v>
      </c>
      <c r="TD5" t="s">
        <v>2403</v>
      </c>
      <c r="TE5">
        <v>0</v>
      </c>
      <c r="TF5" s="116" t="s">
        <v>2403</v>
      </c>
      <c r="TG5" s="116">
        <v>0</v>
      </c>
      <c r="TH5" s="116">
        <v>0</v>
      </c>
      <c r="TI5" s="116">
        <v>0</v>
      </c>
      <c r="TJ5" s="116" t="s">
        <v>2403</v>
      </c>
      <c r="TK5" s="116">
        <v>0</v>
      </c>
      <c r="TL5" s="116" t="s">
        <v>2403</v>
      </c>
      <c r="TM5" s="116">
        <v>0</v>
      </c>
      <c r="TN5" s="116">
        <v>81</v>
      </c>
      <c r="TO5" s="128">
        <v>82</v>
      </c>
      <c r="TP5" s="128">
        <v>83</v>
      </c>
      <c r="TQ5" s="128">
        <v>84</v>
      </c>
      <c r="TR5" s="128">
        <v>0</v>
      </c>
      <c r="TS5">
        <v>100000.57</v>
      </c>
      <c r="TT5" s="119">
        <v>0</v>
      </c>
      <c r="TU5" s="119">
        <v>0</v>
      </c>
      <c r="TV5" s="119">
        <v>0</v>
      </c>
      <c r="TW5" s="119">
        <v>100000.5703125</v>
      </c>
      <c r="TX5" s="121">
        <v>0</v>
      </c>
      <c r="TY5" s="119">
        <v>0</v>
      </c>
      <c r="TZ5">
        <v>0</v>
      </c>
      <c r="UA5">
        <v>0</v>
      </c>
      <c r="UB5" t="s">
        <v>2403</v>
      </c>
      <c r="UC5">
        <v>0</v>
      </c>
      <c r="UD5" s="119">
        <v>0</v>
      </c>
      <c r="UE5" t="s">
        <v>2403</v>
      </c>
      <c r="UF5" t="s">
        <v>2403</v>
      </c>
      <c r="UG5">
        <v>0</v>
      </c>
      <c r="UH5" t="s">
        <v>2665</v>
      </c>
      <c r="UI5" t="s">
        <v>2666</v>
      </c>
      <c r="UJ5" t="s">
        <v>2667</v>
      </c>
      <c r="UK5" t="s">
        <v>2668</v>
      </c>
      <c r="UL5">
        <v>0</v>
      </c>
      <c r="UM5" t="s">
        <v>2639</v>
      </c>
      <c r="UN5">
        <v>0</v>
      </c>
      <c r="UO5">
        <v>0</v>
      </c>
      <c r="UP5">
        <v>0</v>
      </c>
      <c r="UQ5" t="s">
        <v>2631</v>
      </c>
      <c r="UR5" t="s">
        <v>2632</v>
      </c>
      <c r="US5" t="s">
        <v>2633</v>
      </c>
      <c r="UT5" t="s">
        <v>2634</v>
      </c>
      <c r="UU5" t="s">
        <v>2630</v>
      </c>
      <c r="UV5" t="s">
        <v>2630</v>
      </c>
      <c r="UW5" t="s">
        <v>2630</v>
      </c>
      <c r="UX5" t="s">
        <v>2630</v>
      </c>
      <c r="UY5">
        <v>0</v>
      </c>
      <c r="UZ5" t="s">
        <v>2403</v>
      </c>
      <c r="VA5">
        <v>0</v>
      </c>
      <c r="VB5" s="116" t="s">
        <v>2403</v>
      </c>
      <c r="VC5" s="116">
        <v>0</v>
      </c>
      <c r="VD5" s="116">
        <v>0</v>
      </c>
      <c r="VE5" s="116">
        <v>0</v>
      </c>
      <c r="VF5" s="116" t="s">
        <v>2403</v>
      </c>
      <c r="VG5" s="116">
        <v>0</v>
      </c>
      <c r="VH5" s="116" t="s">
        <v>2403</v>
      </c>
      <c r="VI5" s="116">
        <v>0</v>
      </c>
      <c r="VJ5" s="116">
        <v>91</v>
      </c>
      <c r="VK5" s="128">
        <v>92</v>
      </c>
      <c r="VL5" s="128">
        <v>93</v>
      </c>
      <c r="VM5" s="128">
        <v>94</v>
      </c>
      <c r="VN5" s="128">
        <v>0</v>
      </c>
      <c r="VO5">
        <v>100000.57</v>
      </c>
      <c r="VP5" s="119">
        <v>0</v>
      </c>
      <c r="VQ5" s="119">
        <v>0</v>
      </c>
      <c r="VR5" s="119">
        <v>0</v>
      </c>
      <c r="VS5" s="119">
        <v>100000.5703125</v>
      </c>
      <c r="VT5" s="121">
        <v>0</v>
      </c>
      <c r="VU5" s="119">
        <v>0</v>
      </c>
      <c r="VV5" s="119">
        <v>0</v>
      </c>
      <c r="VW5">
        <v>0</v>
      </c>
      <c r="VX5" t="s">
        <v>2403</v>
      </c>
      <c r="VY5">
        <v>0</v>
      </c>
      <c r="VZ5" s="119">
        <v>0</v>
      </c>
      <c r="WA5" t="s">
        <v>2403</v>
      </c>
      <c r="WB5" t="s">
        <v>2403</v>
      </c>
      <c r="WC5">
        <v>0</v>
      </c>
      <c r="WD5" t="s">
        <v>2669</v>
      </c>
      <c r="WE5" t="s">
        <v>2670</v>
      </c>
      <c r="WF5" t="s">
        <v>2671</v>
      </c>
      <c r="WG5" t="s">
        <v>2672</v>
      </c>
      <c r="WH5">
        <v>0</v>
      </c>
      <c r="WI5" t="s">
        <v>2639</v>
      </c>
      <c r="WJ5">
        <v>0</v>
      </c>
      <c r="WK5">
        <v>0</v>
      </c>
      <c r="WL5">
        <v>0</v>
      </c>
      <c r="WM5" t="s">
        <v>2631</v>
      </c>
      <c r="WN5" t="s">
        <v>2632</v>
      </c>
      <c r="WO5" t="s">
        <v>2633</v>
      </c>
      <c r="WP5" t="s">
        <v>2634</v>
      </c>
      <c r="WQ5" t="s">
        <v>2630</v>
      </c>
      <c r="WR5" t="s">
        <v>2630</v>
      </c>
      <c r="WS5" t="s">
        <v>2630</v>
      </c>
      <c r="WT5" t="s">
        <v>2630</v>
      </c>
      <c r="WU5">
        <v>0</v>
      </c>
      <c r="WV5" t="s">
        <v>2403</v>
      </c>
      <c r="WW5">
        <v>0</v>
      </c>
      <c r="WX5" s="116" t="s">
        <v>2403</v>
      </c>
      <c r="WY5" s="116">
        <v>0</v>
      </c>
      <c r="WZ5" s="116">
        <v>0</v>
      </c>
      <c r="XA5" s="116">
        <v>0</v>
      </c>
      <c r="XB5" s="116" t="s">
        <v>2403</v>
      </c>
      <c r="XC5" s="116">
        <v>0</v>
      </c>
      <c r="XD5" s="116" t="s">
        <v>2403</v>
      </c>
      <c r="XE5" s="116">
        <v>0</v>
      </c>
      <c r="XF5" s="116">
        <v>101</v>
      </c>
      <c r="XG5" s="128">
        <v>102</v>
      </c>
      <c r="XH5" s="128">
        <v>103</v>
      </c>
      <c r="XI5" s="128">
        <v>104</v>
      </c>
      <c r="XJ5" s="128">
        <v>0</v>
      </c>
      <c r="XK5">
        <v>100000.57</v>
      </c>
      <c r="XL5" s="119">
        <v>0</v>
      </c>
      <c r="XM5" s="119">
        <v>0</v>
      </c>
      <c r="XN5" s="119">
        <v>0</v>
      </c>
      <c r="XO5" s="119">
        <v>100000.5703125</v>
      </c>
      <c r="XP5" s="121">
        <v>0</v>
      </c>
      <c r="XQ5" s="119">
        <v>0</v>
      </c>
      <c r="XR5" s="119">
        <v>0</v>
      </c>
      <c r="XS5">
        <v>0</v>
      </c>
      <c r="XT5" t="s">
        <v>2403</v>
      </c>
      <c r="XU5">
        <v>0</v>
      </c>
      <c r="XV5" s="119">
        <v>0</v>
      </c>
      <c r="XW5" t="s">
        <v>2403</v>
      </c>
      <c r="XX5" t="s">
        <v>2403</v>
      </c>
      <c r="XY5">
        <v>0</v>
      </c>
      <c r="XZ5" t="s">
        <v>2673</v>
      </c>
      <c r="YA5" t="s">
        <v>2674</v>
      </c>
      <c r="YB5" t="s">
        <v>2675</v>
      </c>
      <c r="YC5" t="s">
        <v>2676</v>
      </c>
      <c r="YD5">
        <v>0</v>
      </c>
      <c r="YE5" t="s">
        <v>2639</v>
      </c>
      <c r="YF5">
        <v>0</v>
      </c>
      <c r="YG5">
        <v>0</v>
      </c>
      <c r="YH5">
        <v>0</v>
      </c>
      <c r="YI5" t="s">
        <v>2631</v>
      </c>
      <c r="YJ5" t="s">
        <v>2632</v>
      </c>
      <c r="YK5" t="s">
        <v>2633</v>
      </c>
      <c r="YL5" t="s">
        <v>2634</v>
      </c>
      <c r="YM5" t="s">
        <v>2630</v>
      </c>
      <c r="YN5" t="s">
        <v>2630</v>
      </c>
      <c r="YO5" t="s">
        <v>2630</v>
      </c>
      <c r="YP5" t="s">
        <v>2630</v>
      </c>
      <c r="YQ5">
        <v>0</v>
      </c>
      <c r="YR5" t="s">
        <v>2403</v>
      </c>
      <c r="YS5">
        <v>0</v>
      </c>
      <c r="YT5" t="s">
        <v>2403</v>
      </c>
      <c r="YU5">
        <v>0</v>
      </c>
      <c r="YV5">
        <v>0</v>
      </c>
      <c r="YW5">
        <v>0</v>
      </c>
      <c r="YX5" t="s">
        <v>2403</v>
      </c>
      <c r="YY5">
        <v>0</v>
      </c>
      <c r="YZ5" t="s">
        <v>2403</v>
      </c>
      <c r="ZA5">
        <v>0</v>
      </c>
      <c r="ZB5">
        <v>111</v>
      </c>
      <c r="ZC5" s="128">
        <v>112</v>
      </c>
      <c r="ZD5" s="128">
        <v>113</v>
      </c>
      <c r="ZE5" s="128">
        <v>114</v>
      </c>
      <c r="ZF5" s="128">
        <v>0</v>
      </c>
      <c r="ZG5">
        <v>100000.57</v>
      </c>
      <c r="ZH5" s="119">
        <v>0</v>
      </c>
      <c r="ZI5" s="119">
        <v>0</v>
      </c>
      <c r="ZJ5" s="119">
        <v>0</v>
      </c>
      <c r="ZK5" s="119">
        <v>100000.5703125</v>
      </c>
      <c r="ZL5" s="121">
        <v>0</v>
      </c>
      <c r="ZM5" s="119">
        <v>0</v>
      </c>
      <c r="ZN5" s="119">
        <v>0</v>
      </c>
      <c r="ZO5">
        <v>0</v>
      </c>
      <c r="ZP5" t="s">
        <v>2403</v>
      </c>
      <c r="ZQ5">
        <v>0</v>
      </c>
      <c r="ZR5" s="119">
        <v>0</v>
      </c>
      <c r="ZS5" t="s">
        <v>2403</v>
      </c>
      <c r="ZT5" t="s">
        <v>2403</v>
      </c>
      <c r="ZU5">
        <v>0</v>
      </c>
      <c r="ZV5" t="s">
        <v>2635</v>
      </c>
      <c r="ZW5" t="s">
        <v>2677</v>
      </c>
      <c r="ZX5" t="s">
        <v>2678</v>
      </c>
      <c r="ZY5" t="s">
        <v>2679</v>
      </c>
      <c r="ZZ5">
        <v>0</v>
      </c>
      <c r="AAA5" t="s">
        <v>2639</v>
      </c>
      <c r="AAB5">
        <v>0</v>
      </c>
      <c r="AAC5">
        <v>0</v>
      </c>
      <c r="AAD5">
        <v>0</v>
      </c>
      <c r="AAE5" t="s">
        <v>2631</v>
      </c>
      <c r="AAF5" t="s">
        <v>2632</v>
      </c>
      <c r="AAG5" t="s">
        <v>2633</v>
      </c>
      <c r="AAH5" t="s">
        <v>2634</v>
      </c>
      <c r="AAI5" t="s">
        <v>2630</v>
      </c>
      <c r="AAJ5" t="s">
        <v>2630</v>
      </c>
      <c r="AAK5" t="s">
        <v>2630</v>
      </c>
      <c r="AAL5" t="s">
        <v>2630</v>
      </c>
      <c r="AAM5">
        <v>0</v>
      </c>
      <c r="AAN5" t="s">
        <v>2403</v>
      </c>
      <c r="AAO5">
        <v>0</v>
      </c>
      <c r="AAP5" s="116" t="s">
        <v>2403</v>
      </c>
      <c r="AAQ5" s="116">
        <v>0</v>
      </c>
      <c r="AAR5" s="116">
        <v>0</v>
      </c>
      <c r="AAS5" s="116">
        <v>0</v>
      </c>
      <c r="AAT5" s="116" t="s">
        <v>2403</v>
      </c>
      <c r="AAU5" s="116">
        <v>0</v>
      </c>
      <c r="AAV5" s="116" t="s">
        <v>2403</v>
      </c>
      <c r="AAW5" s="116">
        <v>0</v>
      </c>
      <c r="AAX5" s="116">
        <v>121</v>
      </c>
      <c r="AAY5" s="128">
        <v>122</v>
      </c>
      <c r="AAZ5" s="128">
        <v>123</v>
      </c>
      <c r="ABA5" s="128">
        <v>124</v>
      </c>
      <c r="ABB5" s="128">
        <v>0</v>
      </c>
      <c r="ABC5">
        <v>100000.57</v>
      </c>
      <c r="ABD5" s="119">
        <v>0</v>
      </c>
      <c r="ABE5" s="119">
        <v>0</v>
      </c>
      <c r="ABF5" s="119">
        <v>0</v>
      </c>
      <c r="ABG5" s="119">
        <v>100000.5703125</v>
      </c>
      <c r="ABH5" s="121">
        <v>0</v>
      </c>
      <c r="ABI5" s="119">
        <v>0</v>
      </c>
      <c r="ABJ5" s="119">
        <v>0</v>
      </c>
      <c r="ABK5">
        <v>0</v>
      </c>
      <c r="ABL5" t="s">
        <v>2403</v>
      </c>
      <c r="ABM5">
        <v>0</v>
      </c>
      <c r="ABN5" s="119">
        <v>0</v>
      </c>
      <c r="ABO5" t="s">
        <v>2403</v>
      </c>
      <c r="ABP5" t="s">
        <v>2403</v>
      </c>
      <c r="ABQ5">
        <v>0</v>
      </c>
      <c r="ABR5" t="s">
        <v>2680</v>
      </c>
      <c r="ABS5" t="s">
        <v>2681</v>
      </c>
      <c r="ABT5" t="s">
        <v>2682</v>
      </c>
      <c r="ABU5" t="s">
        <v>2683</v>
      </c>
      <c r="ABV5">
        <v>0</v>
      </c>
      <c r="ABW5" t="s">
        <v>2639</v>
      </c>
      <c r="ABX5">
        <v>0</v>
      </c>
      <c r="ABY5">
        <v>0</v>
      </c>
      <c r="ABZ5">
        <v>0</v>
      </c>
      <c r="ACA5" t="s">
        <v>2631</v>
      </c>
      <c r="ACB5" t="s">
        <v>2632</v>
      </c>
      <c r="ACC5" t="s">
        <v>2633</v>
      </c>
      <c r="ACD5" t="s">
        <v>2634</v>
      </c>
      <c r="ACE5" t="s">
        <v>2630</v>
      </c>
      <c r="ACF5" t="s">
        <v>2630</v>
      </c>
      <c r="ACG5" t="s">
        <v>2630</v>
      </c>
      <c r="ACH5" t="s">
        <v>2630</v>
      </c>
      <c r="ACI5">
        <v>0</v>
      </c>
      <c r="ACJ5" t="s">
        <v>2403</v>
      </c>
      <c r="ACK5">
        <v>0</v>
      </c>
      <c r="ACL5" s="116" t="s">
        <v>2403</v>
      </c>
      <c r="ACM5" s="116">
        <v>0</v>
      </c>
      <c r="ACN5" s="116">
        <v>0</v>
      </c>
      <c r="ACO5" s="116">
        <v>0</v>
      </c>
      <c r="ACP5" s="116" t="s">
        <v>2403</v>
      </c>
      <c r="ACQ5" s="116">
        <v>0</v>
      </c>
      <c r="ACR5" s="116" t="s">
        <v>2403</v>
      </c>
      <c r="ACS5" s="116">
        <v>0</v>
      </c>
      <c r="ACT5" s="116">
        <v>131</v>
      </c>
      <c r="ACU5" s="128">
        <v>132</v>
      </c>
      <c r="ACV5" s="128">
        <v>133</v>
      </c>
      <c r="ACW5" s="128">
        <v>134</v>
      </c>
      <c r="ACX5" s="128">
        <v>0</v>
      </c>
      <c r="ACY5">
        <v>100000.57</v>
      </c>
      <c r="ACZ5" s="119">
        <v>0</v>
      </c>
      <c r="ADA5" s="119">
        <v>0</v>
      </c>
      <c r="ADB5" s="119">
        <v>0</v>
      </c>
      <c r="ADC5" s="119">
        <v>100000.5703125</v>
      </c>
      <c r="ADD5" s="121">
        <v>0</v>
      </c>
      <c r="ADE5" s="119">
        <v>0</v>
      </c>
      <c r="ADF5" s="119">
        <v>0</v>
      </c>
      <c r="ADG5">
        <v>0</v>
      </c>
      <c r="ADH5" t="s">
        <v>2403</v>
      </c>
      <c r="ADI5">
        <v>0</v>
      </c>
      <c r="ADJ5" s="119">
        <v>0</v>
      </c>
      <c r="ADK5" t="s">
        <v>2403</v>
      </c>
      <c r="ADL5" t="s">
        <v>2403</v>
      </c>
      <c r="ADM5">
        <v>0</v>
      </c>
      <c r="ADN5" t="s">
        <v>2684</v>
      </c>
      <c r="ADO5" t="s">
        <v>2685</v>
      </c>
      <c r="ADP5" t="s">
        <v>2686</v>
      </c>
      <c r="ADQ5" t="s">
        <v>2687</v>
      </c>
      <c r="ADR5">
        <v>0</v>
      </c>
      <c r="ADS5" t="s">
        <v>2639</v>
      </c>
      <c r="ADT5">
        <v>0</v>
      </c>
      <c r="ADU5">
        <v>0</v>
      </c>
      <c r="ADV5">
        <v>0</v>
      </c>
      <c r="ADW5" t="s">
        <v>2631</v>
      </c>
      <c r="ADX5" t="s">
        <v>2632</v>
      </c>
      <c r="ADY5" t="s">
        <v>2633</v>
      </c>
      <c r="ADZ5" t="s">
        <v>2634</v>
      </c>
      <c r="AEA5" t="s">
        <v>2630</v>
      </c>
      <c r="AEB5" t="s">
        <v>2630</v>
      </c>
      <c r="AEC5" t="s">
        <v>2630</v>
      </c>
      <c r="AED5" t="s">
        <v>2630</v>
      </c>
      <c r="AEE5">
        <v>0</v>
      </c>
      <c r="AEF5" t="s">
        <v>2403</v>
      </c>
      <c r="AEG5">
        <v>0</v>
      </c>
      <c r="AEH5" s="116" t="s">
        <v>2403</v>
      </c>
      <c r="AEI5" s="116">
        <v>0</v>
      </c>
      <c r="AEJ5" s="116">
        <v>0</v>
      </c>
      <c r="AEK5" s="116">
        <v>0</v>
      </c>
      <c r="AEL5" s="116" t="s">
        <v>2403</v>
      </c>
      <c r="AEM5" s="116">
        <v>0</v>
      </c>
      <c r="AEN5" s="116" t="s">
        <v>2403</v>
      </c>
      <c r="AEO5" s="116">
        <v>0</v>
      </c>
      <c r="AEP5" s="116">
        <v>141</v>
      </c>
      <c r="AEQ5" s="128">
        <v>142</v>
      </c>
      <c r="AER5" s="128">
        <v>143</v>
      </c>
      <c r="AES5" s="128">
        <v>144</v>
      </c>
      <c r="AET5" s="128">
        <v>0</v>
      </c>
      <c r="AEU5">
        <v>100000.57</v>
      </c>
      <c r="AEV5" s="119">
        <v>0</v>
      </c>
      <c r="AEW5" s="119">
        <v>0</v>
      </c>
      <c r="AEX5" s="119">
        <v>0</v>
      </c>
      <c r="AEY5" s="119">
        <v>100000.5703125</v>
      </c>
      <c r="AEZ5" s="121">
        <v>0</v>
      </c>
      <c r="AFA5" s="119">
        <v>0</v>
      </c>
      <c r="AFB5" s="119">
        <v>0</v>
      </c>
      <c r="AFC5">
        <v>0</v>
      </c>
      <c r="AFD5" t="s">
        <v>2403</v>
      </c>
      <c r="AFE5">
        <v>0</v>
      </c>
      <c r="AFF5" s="119">
        <v>0</v>
      </c>
      <c r="AFG5" t="s">
        <v>2403</v>
      </c>
      <c r="AFH5" t="s">
        <v>2403</v>
      </c>
      <c r="AFI5">
        <v>0</v>
      </c>
      <c r="AFJ5" t="s">
        <v>2688</v>
      </c>
      <c r="AFK5" t="s">
        <v>2689</v>
      </c>
      <c r="AFL5" t="s">
        <v>2690</v>
      </c>
      <c r="AFM5" t="s">
        <v>2691</v>
      </c>
      <c r="AFN5">
        <v>0</v>
      </c>
      <c r="AFO5" t="s">
        <v>2639</v>
      </c>
      <c r="AFP5">
        <v>0</v>
      </c>
      <c r="AFQ5">
        <v>0</v>
      </c>
      <c r="AFR5">
        <v>0</v>
      </c>
      <c r="AFS5" t="s">
        <v>2631</v>
      </c>
      <c r="AFT5" t="s">
        <v>2632</v>
      </c>
      <c r="AFU5" t="s">
        <v>2633</v>
      </c>
      <c r="AFV5" t="s">
        <v>2634</v>
      </c>
      <c r="AFW5" t="s">
        <v>2630</v>
      </c>
      <c r="AFX5" t="s">
        <v>2630</v>
      </c>
      <c r="AFY5" t="s">
        <v>2630</v>
      </c>
      <c r="AFZ5" t="s">
        <v>2630</v>
      </c>
      <c r="AGA5">
        <v>0</v>
      </c>
      <c r="AGB5" t="s">
        <v>2403</v>
      </c>
      <c r="AGC5">
        <v>0</v>
      </c>
      <c r="AGD5" s="116" t="s">
        <v>2403</v>
      </c>
      <c r="AGE5" s="116">
        <v>0</v>
      </c>
      <c r="AGF5" s="116">
        <v>0</v>
      </c>
      <c r="AGG5" s="116">
        <v>0</v>
      </c>
      <c r="AGH5" s="116" t="s">
        <v>2403</v>
      </c>
      <c r="AGI5" s="116">
        <v>0</v>
      </c>
      <c r="AGJ5" s="116" t="s">
        <v>2403</v>
      </c>
      <c r="AGK5" s="116">
        <v>0</v>
      </c>
      <c r="AGL5" s="116">
        <v>151</v>
      </c>
      <c r="AGM5" s="128">
        <v>152</v>
      </c>
      <c r="AGN5" s="128">
        <v>153</v>
      </c>
      <c r="AGO5" s="128">
        <v>154</v>
      </c>
      <c r="AGP5" s="128">
        <v>0</v>
      </c>
      <c r="AGQ5">
        <v>151</v>
      </c>
      <c r="AGR5" s="119">
        <v>152</v>
      </c>
      <c r="AGS5" s="119">
        <v>153</v>
      </c>
      <c r="AGT5" s="119">
        <v>154</v>
      </c>
      <c r="AGU5" s="119">
        <v>610</v>
      </c>
      <c r="AGV5" s="121">
        <v>0</v>
      </c>
      <c r="AGW5" s="119">
        <v>0</v>
      </c>
      <c r="AGX5" s="119">
        <v>0</v>
      </c>
      <c r="AGY5">
        <v>0</v>
      </c>
      <c r="AGZ5" t="s">
        <v>2403</v>
      </c>
      <c r="AHA5">
        <v>0</v>
      </c>
      <c r="AHB5" s="119">
        <v>0</v>
      </c>
      <c r="AHC5" t="s">
        <v>2403</v>
      </c>
      <c r="AHD5" t="s">
        <v>2403</v>
      </c>
      <c r="AHE5">
        <v>0</v>
      </c>
      <c r="AHF5" t="s">
        <v>2692</v>
      </c>
      <c r="AHG5" t="s">
        <v>2693</v>
      </c>
      <c r="AHH5" t="s">
        <v>2694</v>
      </c>
      <c r="AHI5" t="s">
        <v>2695</v>
      </c>
      <c r="AHJ5">
        <v>0</v>
      </c>
      <c r="AHK5" t="s">
        <v>2639</v>
      </c>
      <c r="AHL5">
        <v>0</v>
      </c>
      <c r="AHM5">
        <v>0</v>
      </c>
      <c r="AHN5">
        <v>0</v>
      </c>
      <c r="AHO5" t="s">
        <v>2631</v>
      </c>
      <c r="AHP5" t="s">
        <v>2632</v>
      </c>
      <c r="AHQ5" t="s">
        <v>2633</v>
      </c>
      <c r="AHR5" t="s">
        <v>2634</v>
      </c>
      <c r="AHS5" t="s">
        <v>2630</v>
      </c>
      <c r="AHT5" t="s">
        <v>2630</v>
      </c>
      <c r="AHU5" t="s">
        <v>2630</v>
      </c>
      <c r="AHV5" t="s">
        <v>2630</v>
      </c>
      <c r="AHW5">
        <v>0</v>
      </c>
      <c r="AHX5" t="s">
        <v>2403</v>
      </c>
      <c r="AHY5">
        <v>0</v>
      </c>
      <c r="AHZ5" t="s">
        <v>2403</v>
      </c>
      <c r="AIA5">
        <v>0</v>
      </c>
      <c r="AIB5">
        <v>0</v>
      </c>
      <c r="AIC5">
        <v>0</v>
      </c>
      <c r="AID5" t="s">
        <v>2403</v>
      </c>
      <c r="AIE5">
        <v>0</v>
      </c>
      <c r="AIF5" t="s">
        <v>2403</v>
      </c>
      <c r="AIG5">
        <v>0</v>
      </c>
      <c r="AIH5">
        <v>161</v>
      </c>
      <c r="AII5" s="128">
        <v>162</v>
      </c>
      <c r="AIJ5" s="128">
        <v>163</v>
      </c>
      <c r="AIK5" s="128">
        <v>164</v>
      </c>
      <c r="AIL5" s="128">
        <v>0</v>
      </c>
      <c r="AIM5">
        <v>161</v>
      </c>
      <c r="AIN5" s="119">
        <v>162</v>
      </c>
      <c r="AIO5" s="119">
        <v>163</v>
      </c>
      <c r="AIP5" s="119">
        <v>164</v>
      </c>
      <c r="AIQ5" s="119">
        <v>650</v>
      </c>
      <c r="AIR5" s="121">
        <v>0</v>
      </c>
      <c r="AIS5" s="119">
        <v>0</v>
      </c>
      <c r="AIT5" s="119">
        <v>0</v>
      </c>
      <c r="AIU5">
        <v>0</v>
      </c>
      <c r="AIV5" t="s">
        <v>2403</v>
      </c>
      <c r="AIW5">
        <v>0</v>
      </c>
      <c r="AIX5" s="119">
        <v>0</v>
      </c>
      <c r="AIY5" t="s">
        <v>2403</v>
      </c>
      <c r="AIZ5" t="s">
        <v>2403</v>
      </c>
      <c r="AJA5">
        <v>0</v>
      </c>
      <c r="AJB5" t="s">
        <v>2696</v>
      </c>
      <c r="AJC5" t="s">
        <v>2697</v>
      </c>
      <c r="AJD5" t="s">
        <v>2698</v>
      </c>
      <c r="AJE5" t="s">
        <v>2699</v>
      </c>
      <c r="AJF5">
        <v>0</v>
      </c>
      <c r="AJG5" t="s">
        <v>2639</v>
      </c>
      <c r="AJH5">
        <v>0</v>
      </c>
      <c r="AJI5">
        <v>0</v>
      </c>
      <c r="AJJ5">
        <v>0</v>
      </c>
      <c r="AJK5" t="s">
        <v>2631</v>
      </c>
      <c r="AJL5" t="s">
        <v>2632</v>
      </c>
      <c r="AJM5" t="s">
        <v>2633</v>
      </c>
      <c r="AJN5" t="s">
        <v>2634</v>
      </c>
      <c r="AJO5" t="s">
        <v>2630</v>
      </c>
      <c r="AJP5" t="s">
        <v>2630</v>
      </c>
      <c r="AJQ5" t="s">
        <v>2630</v>
      </c>
      <c r="AJR5" t="s">
        <v>2630</v>
      </c>
      <c r="AJS5">
        <v>0</v>
      </c>
      <c r="AJT5" t="s">
        <v>2403</v>
      </c>
      <c r="AJU5">
        <v>0</v>
      </c>
      <c r="AJV5" s="116" t="s">
        <v>2403</v>
      </c>
      <c r="AJW5" s="116">
        <v>0</v>
      </c>
      <c r="AJX5" s="116">
        <v>0</v>
      </c>
      <c r="AJY5" s="116">
        <v>0</v>
      </c>
      <c r="AJZ5" s="116" t="s">
        <v>2403</v>
      </c>
      <c r="AKA5" s="116">
        <v>0</v>
      </c>
      <c r="AKB5" s="116" t="s">
        <v>2403</v>
      </c>
      <c r="AKC5" s="116">
        <v>0</v>
      </c>
      <c r="AKD5" s="116">
        <v>171</v>
      </c>
      <c r="AKE5" s="128">
        <v>172</v>
      </c>
      <c r="AKF5" s="128">
        <v>173</v>
      </c>
      <c r="AKG5" s="128">
        <v>174</v>
      </c>
      <c r="AKH5" s="128">
        <v>0</v>
      </c>
      <c r="AKI5">
        <v>171</v>
      </c>
      <c r="AKJ5" s="119">
        <v>172</v>
      </c>
      <c r="AKK5" s="119">
        <v>173</v>
      </c>
      <c r="AKL5" s="119">
        <v>174</v>
      </c>
      <c r="AKM5" s="119">
        <v>690</v>
      </c>
      <c r="AKN5" s="121">
        <v>0</v>
      </c>
      <c r="AKO5" s="119">
        <v>0</v>
      </c>
      <c r="AKP5" s="119">
        <v>0</v>
      </c>
      <c r="AKQ5">
        <v>0</v>
      </c>
      <c r="AKR5" t="s">
        <v>2403</v>
      </c>
      <c r="AKS5">
        <v>0</v>
      </c>
      <c r="AKT5" s="119">
        <v>0</v>
      </c>
      <c r="AKU5" t="s">
        <v>2403</v>
      </c>
      <c r="AKV5" t="s">
        <v>2403</v>
      </c>
      <c r="AKW5">
        <v>0</v>
      </c>
      <c r="AKX5" t="s">
        <v>2700</v>
      </c>
      <c r="AKY5" t="s">
        <v>2701</v>
      </c>
      <c r="AKZ5" t="s">
        <v>2702</v>
      </c>
      <c r="ALA5" t="s">
        <v>2703</v>
      </c>
      <c r="ALB5">
        <v>0</v>
      </c>
      <c r="ALC5" t="s">
        <v>2639</v>
      </c>
      <c r="ALD5">
        <v>0</v>
      </c>
      <c r="ALE5">
        <v>0</v>
      </c>
      <c r="ALF5">
        <v>0</v>
      </c>
      <c r="ALG5" t="s">
        <v>2631</v>
      </c>
      <c r="ALH5" t="s">
        <v>2632</v>
      </c>
      <c r="ALI5" t="s">
        <v>2633</v>
      </c>
      <c r="ALJ5" t="s">
        <v>2634</v>
      </c>
      <c r="ALK5" t="s">
        <v>2630</v>
      </c>
      <c r="ALL5" t="s">
        <v>2630</v>
      </c>
      <c r="ALM5" t="s">
        <v>2630</v>
      </c>
      <c r="ALN5" t="s">
        <v>2630</v>
      </c>
      <c r="ALO5">
        <v>0</v>
      </c>
      <c r="ALP5" t="s">
        <v>2403</v>
      </c>
      <c r="ALQ5">
        <v>0</v>
      </c>
      <c r="ALR5" s="116" t="s">
        <v>2403</v>
      </c>
      <c r="ALS5" s="116">
        <v>0</v>
      </c>
      <c r="ALT5" s="116">
        <v>0</v>
      </c>
      <c r="ALU5" s="116">
        <v>0</v>
      </c>
      <c r="ALV5" s="116" t="s">
        <v>2403</v>
      </c>
      <c r="ALW5" s="116">
        <v>0</v>
      </c>
      <c r="ALX5" s="116" t="s">
        <v>2403</v>
      </c>
      <c r="ALY5" s="116">
        <v>0</v>
      </c>
      <c r="ALZ5" s="116">
        <v>181</v>
      </c>
      <c r="AMA5" s="128">
        <v>182</v>
      </c>
      <c r="AMB5" s="128">
        <v>183</v>
      </c>
      <c r="AMC5" s="128">
        <v>184</v>
      </c>
      <c r="AMD5" s="128">
        <v>0</v>
      </c>
      <c r="AME5">
        <v>100000.57</v>
      </c>
      <c r="AMF5" s="119">
        <v>0</v>
      </c>
      <c r="AMG5" s="119">
        <v>0</v>
      </c>
      <c r="AMH5" s="119">
        <v>0</v>
      </c>
      <c r="AMI5" s="119">
        <v>100000.5703125</v>
      </c>
      <c r="AMJ5" s="121">
        <v>0</v>
      </c>
      <c r="AMK5" s="119">
        <v>0</v>
      </c>
      <c r="AML5" s="119">
        <v>0</v>
      </c>
      <c r="AMM5">
        <v>0</v>
      </c>
      <c r="AMN5" t="s">
        <v>2403</v>
      </c>
      <c r="AMO5">
        <v>0</v>
      </c>
      <c r="AMP5" s="119">
        <v>0</v>
      </c>
      <c r="AMQ5" t="s">
        <v>2403</v>
      </c>
      <c r="AMR5" t="s">
        <v>2403</v>
      </c>
      <c r="AMS5">
        <v>0</v>
      </c>
      <c r="AMT5" t="s">
        <v>2704</v>
      </c>
      <c r="AMU5" t="s">
        <v>2705</v>
      </c>
      <c r="AMV5" t="s">
        <v>2706</v>
      </c>
      <c r="AMW5" t="s">
        <v>2707</v>
      </c>
      <c r="AMX5">
        <v>0</v>
      </c>
      <c r="AMY5" t="s">
        <v>2639</v>
      </c>
      <c r="AMZ5">
        <v>0</v>
      </c>
      <c r="ANA5">
        <v>0</v>
      </c>
      <c r="ANB5">
        <v>0</v>
      </c>
      <c r="ANC5" t="s">
        <v>2631</v>
      </c>
      <c r="AND5" t="s">
        <v>2632</v>
      </c>
      <c r="ANE5" t="s">
        <v>2633</v>
      </c>
      <c r="ANF5" t="s">
        <v>2634</v>
      </c>
      <c r="ANG5" t="s">
        <v>2630</v>
      </c>
      <c r="ANH5" t="s">
        <v>2630</v>
      </c>
      <c r="ANI5" t="s">
        <v>2630</v>
      </c>
      <c r="ANJ5" t="s">
        <v>2630</v>
      </c>
      <c r="ANK5">
        <v>0</v>
      </c>
      <c r="ANL5" t="s">
        <v>2403</v>
      </c>
      <c r="ANM5">
        <v>0</v>
      </c>
      <c r="ANN5" s="116" t="s">
        <v>2403</v>
      </c>
      <c r="ANO5" s="116">
        <v>0</v>
      </c>
      <c r="ANP5" s="116">
        <v>0</v>
      </c>
      <c r="ANQ5" s="116">
        <v>0</v>
      </c>
      <c r="ANR5" s="116" t="s">
        <v>2403</v>
      </c>
      <c r="ANS5" s="116">
        <v>0</v>
      </c>
      <c r="ANT5" s="116" t="s">
        <v>2403</v>
      </c>
      <c r="ANU5" s="116">
        <v>0</v>
      </c>
      <c r="ANV5" s="116">
        <v>191</v>
      </c>
      <c r="ANW5" s="128">
        <v>192</v>
      </c>
      <c r="ANX5" s="128">
        <v>193</v>
      </c>
      <c r="ANY5" s="128">
        <v>194</v>
      </c>
      <c r="ANZ5" s="128">
        <v>0</v>
      </c>
      <c r="AOA5">
        <v>100000.57</v>
      </c>
      <c r="AOB5" s="119">
        <v>0</v>
      </c>
      <c r="AOC5" s="119">
        <v>0</v>
      </c>
      <c r="AOD5" s="119">
        <v>0</v>
      </c>
      <c r="AOE5" s="119">
        <v>100000.5703125</v>
      </c>
      <c r="AOF5" s="121">
        <v>0</v>
      </c>
      <c r="AOG5" s="119">
        <v>0</v>
      </c>
      <c r="AOH5" s="119">
        <v>0</v>
      </c>
      <c r="AOI5">
        <v>0</v>
      </c>
      <c r="AOJ5" t="s">
        <v>2403</v>
      </c>
      <c r="AOK5">
        <v>0</v>
      </c>
      <c r="AOL5" s="119">
        <v>0</v>
      </c>
      <c r="AOM5" t="s">
        <v>2403</v>
      </c>
      <c r="AON5" t="s">
        <v>2403</v>
      </c>
      <c r="AOO5">
        <v>0</v>
      </c>
      <c r="AOP5" t="s">
        <v>2708</v>
      </c>
      <c r="AOQ5" t="s">
        <v>2709</v>
      </c>
      <c r="AOR5" t="s">
        <v>2710</v>
      </c>
      <c r="AOS5" t="s">
        <v>2711</v>
      </c>
      <c r="AOT5">
        <v>0</v>
      </c>
      <c r="AOU5" t="s">
        <v>2639</v>
      </c>
      <c r="AOV5">
        <v>0</v>
      </c>
      <c r="AOW5">
        <v>0</v>
      </c>
      <c r="AOX5">
        <v>0</v>
      </c>
      <c r="AOY5" t="s">
        <v>2631</v>
      </c>
      <c r="AOZ5" t="s">
        <v>2632</v>
      </c>
      <c r="APA5" t="s">
        <v>2633</v>
      </c>
      <c r="APB5" t="s">
        <v>2634</v>
      </c>
      <c r="APC5" t="s">
        <v>2630</v>
      </c>
      <c r="APD5" t="s">
        <v>2630</v>
      </c>
      <c r="APE5" t="s">
        <v>2630</v>
      </c>
      <c r="APF5" t="s">
        <v>2630</v>
      </c>
      <c r="APG5">
        <v>0</v>
      </c>
      <c r="APH5" t="s">
        <v>2403</v>
      </c>
      <c r="API5">
        <v>0</v>
      </c>
      <c r="APJ5" s="116" t="s">
        <v>2403</v>
      </c>
      <c r="APK5" s="116">
        <v>0</v>
      </c>
      <c r="APL5" s="116">
        <v>0</v>
      </c>
      <c r="APM5" s="116">
        <v>0</v>
      </c>
      <c r="APN5" s="116" t="s">
        <v>2403</v>
      </c>
      <c r="APO5" s="116">
        <v>0</v>
      </c>
      <c r="APP5" s="116" t="s">
        <v>2403</v>
      </c>
      <c r="APQ5" s="116">
        <v>0</v>
      </c>
      <c r="APR5" s="116">
        <v>201</v>
      </c>
      <c r="APS5" s="128">
        <v>202</v>
      </c>
      <c r="APT5" s="128">
        <v>203</v>
      </c>
      <c r="APU5" s="128">
        <v>204</v>
      </c>
      <c r="APV5" s="128">
        <v>0</v>
      </c>
      <c r="APW5">
        <v>100000.57</v>
      </c>
      <c r="APX5" s="119">
        <v>0</v>
      </c>
      <c r="APY5" s="119">
        <v>0</v>
      </c>
      <c r="APZ5" s="119">
        <v>0</v>
      </c>
      <c r="AQA5" s="119">
        <v>100000.5703125</v>
      </c>
      <c r="AQB5" s="121">
        <v>0</v>
      </c>
      <c r="AQC5" s="119">
        <v>0</v>
      </c>
      <c r="AQD5" s="119">
        <v>0</v>
      </c>
      <c r="AQE5">
        <v>0</v>
      </c>
      <c r="AQF5" t="s">
        <v>2403</v>
      </c>
      <c r="AQG5">
        <v>0</v>
      </c>
      <c r="AQH5" s="119">
        <v>0</v>
      </c>
      <c r="AQI5" t="s">
        <v>2403</v>
      </c>
      <c r="AQJ5" t="s">
        <v>2403</v>
      </c>
      <c r="AQK5">
        <v>0</v>
      </c>
      <c r="AQL5" t="s">
        <v>2712</v>
      </c>
      <c r="AQM5" t="s">
        <v>2713</v>
      </c>
      <c r="AQN5" t="s">
        <v>2714</v>
      </c>
      <c r="AQO5" t="s">
        <v>2715</v>
      </c>
      <c r="AQP5">
        <v>0</v>
      </c>
      <c r="AQQ5" t="s">
        <v>2639</v>
      </c>
      <c r="AQR5">
        <v>0</v>
      </c>
      <c r="AQS5">
        <v>0</v>
      </c>
      <c r="AQT5">
        <v>0</v>
      </c>
      <c r="AQU5" t="s">
        <v>2631</v>
      </c>
      <c r="AQV5" t="s">
        <v>2632</v>
      </c>
      <c r="AQW5" t="s">
        <v>2633</v>
      </c>
      <c r="AQX5" t="s">
        <v>2634</v>
      </c>
      <c r="AQY5" t="s">
        <v>2630</v>
      </c>
      <c r="AQZ5" t="s">
        <v>2630</v>
      </c>
      <c r="ARA5" t="s">
        <v>2630</v>
      </c>
      <c r="ARB5" t="s">
        <v>2630</v>
      </c>
      <c r="ARC5">
        <v>0</v>
      </c>
      <c r="ARD5" t="s">
        <v>2403</v>
      </c>
      <c r="ARE5">
        <v>0</v>
      </c>
      <c r="ARF5" t="s">
        <v>2403</v>
      </c>
      <c r="ARG5">
        <v>0</v>
      </c>
      <c r="ARH5">
        <v>0</v>
      </c>
      <c r="ARI5">
        <v>0</v>
      </c>
      <c r="ARJ5" t="s">
        <v>2403</v>
      </c>
      <c r="ARK5">
        <v>0</v>
      </c>
      <c r="ARL5" t="s">
        <v>2403</v>
      </c>
      <c r="ARM5">
        <v>0</v>
      </c>
      <c r="ARN5">
        <v>211</v>
      </c>
      <c r="ARO5" s="128">
        <v>212</v>
      </c>
      <c r="ARP5" s="128">
        <v>213</v>
      </c>
      <c r="ARQ5" s="128">
        <v>214</v>
      </c>
      <c r="ARR5" s="128">
        <v>0</v>
      </c>
      <c r="ARS5">
        <v>100000.57</v>
      </c>
      <c r="ART5" s="119">
        <v>0</v>
      </c>
      <c r="ARU5" s="119">
        <v>0</v>
      </c>
      <c r="ARV5" s="119">
        <v>0</v>
      </c>
      <c r="ARW5" s="119">
        <v>100000.5703125</v>
      </c>
      <c r="ARX5" s="121">
        <v>0</v>
      </c>
      <c r="ARY5" s="119">
        <v>0</v>
      </c>
      <c r="ARZ5" s="119">
        <v>0</v>
      </c>
      <c r="ASA5">
        <v>0</v>
      </c>
      <c r="ASB5" t="s">
        <v>2403</v>
      </c>
      <c r="ASC5">
        <v>0</v>
      </c>
      <c r="ASD5" s="119">
        <v>0</v>
      </c>
      <c r="ASE5" t="s">
        <v>2403</v>
      </c>
      <c r="ASF5" t="s">
        <v>2403</v>
      </c>
      <c r="ASG5">
        <v>0</v>
      </c>
      <c r="ASH5" t="s">
        <v>2716</v>
      </c>
      <c r="ASI5" t="s">
        <v>2717</v>
      </c>
      <c r="ASJ5" t="s">
        <v>2718</v>
      </c>
      <c r="ASK5" t="s">
        <v>2719</v>
      </c>
      <c r="ASL5">
        <v>0</v>
      </c>
      <c r="ASM5" t="s">
        <v>2639</v>
      </c>
      <c r="ASN5">
        <v>0</v>
      </c>
      <c r="ASO5">
        <v>0</v>
      </c>
      <c r="ASP5">
        <v>0</v>
      </c>
      <c r="ASQ5" t="s">
        <v>2631</v>
      </c>
      <c r="ASR5" t="s">
        <v>2632</v>
      </c>
      <c r="ASS5" t="s">
        <v>2633</v>
      </c>
      <c r="AST5" t="s">
        <v>2634</v>
      </c>
      <c r="ASU5" t="s">
        <v>2630</v>
      </c>
      <c r="ASV5" t="s">
        <v>2630</v>
      </c>
      <c r="ASW5" t="s">
        <v>2630</v>
      </c>
      <c r="ASX5" t="s">
        <v>2630</v>
      </c>
      <c r="ASY5">
        <v>0</v>
      </c>
      <c r="ASZ5" t="s">
        <v>2403</v>
      </c>
      <c r="ATA5">
        <v>0</v>
      </c>
      <c r="ATB5" s="116" t="s">
        <v>2403</v>
      </c>
      <c r="ATC5" s="116">
        <v>0</v>
      </c>
      <c r="ATD5" s="116">
        <v>0</v>
      </c>
      <c r="ATE5" s="116">
        <v>0</v>
      </c>
      <c r="ATF5" s="116" t="s">
        <v>2403</v>
      </c>
      <c r="ATG5" s="116">
        <v>0</v>
      </c>
      <c r="ATH5" s="116" t="s">
        <v>2403</v>
      </c>
      <c r="ATI5" s="116">
        <v>0</v>
      </c>
      <c r="ATJ5" s="116">
        <v>221</v>
      </c>
      <c r="ATK5" s="128">
        <v>222</v>
      </c>
      <c r="ATL5" s="128">
        <v>223</v>
      </c>
      <c r="ATM5" s="128">
        <v>224</v>
      </c>
      <c r="ATN5" s="128">
        <v>0</v>
      </c>
      <c r="ATO5">
        <v>100000.57</v>
      </c>
      <c r="ATP5" s="119">
        <v>0</v>
      </c>
      <c r="ATQ5" s="119">
        <v>0</v>
      </c>
      <c r="ATR5" s="119">
        <v>0</v>
      </c>
      <c r="ATS5" s="119">
        <v>100000.5703125</v>
      </c>
      <c r="ATT5" s="121">
        <v>0</v>
      </c>
      <c r="ATU5" s="119">
        <v>0</v>
      </c>
      <c r="ATV5" s="119">
        <v>0</v>
      </c>
      <c r="ATW5">
        <v>0</v>
      </c>
      <c r="ATX5" t="s">
        <v>2403</v>
      </c>
      <c r="ATY5">
        <v>0</v>
      </c>
      <c r="ATZ5" s="119">
        <v>0</v>
      </c>
      <c r="AUA5" t="s">
        <v>2403</v>
      </c>
      <c r="AUB5" t="s">
        <v>2403</v>
      </c>
      <c r="AUC5">
        <v>0</v>
      </c>
      <c r="AUD5" t="s">
        <v>2720</v>
      </c>
      <c r="AUE5" t="s">
        <v>2636</v>
      </c>
      <c r="AUF5" t="s">
        <v>2721</v>
      </c>
      <c r="AUG5" t="s">
        <v>2722</v>
      </c>
      <c r="AUH5">
        <v>0</v>
      </c>
      <c r="AUI5" t="s">
        <v>2639</v>
      </c>
      <c r="AUJ5">
        <v>0</v>
      </c>
      <c r="AUK5">
        <v>0</v>
      </c>
      <c r="AUL5">
        <v>0</v>
      </c>
      <c r="AUM5" t="s">
        <v>2631</v>
      </c>
      <c r="AUN5" t="s">
        <v>2632</v>
      </c>
      <c r="AUO5" t="s">
        <v>2633</v>
      </c>
      <c r="AUP5" t="s">
        <v>2634</v>
      </c>
      <c r="AUQ5" t="s">
        <v>2630</v>
      </c>
      <c r="AUR5" t="s">
        <v>2630</v>
      </c>
      <c r="AUS5" t="s">
        <v>2630</v>
      </c>
      <c r="AUT5" t="s">
        <v>2630</v>
      </c>
      <c r="AUU5">
        <v>0</v>
      </c>
      <c r="AUV5" t="s">
        <v>2403</v>
      </c>
      <c r="AUW5">
        <v>0</v>
      </c>
      <c r="AUX5" s="116" t="s">
        <v>2403</v>
      </c>
      <c r="AUY5" s="116">
        <v>0</v>
      </c>
      <c r="AUZ5" s="116">
        <v>0</v>
      </c>
      <c r="AVA5" s="116">
        <v>0</v>
      </c>
      <c r="AVB5" s="116" t="s">
        <v>2403</v>
      </c>
      <c r="AVC5" s="116">
        <v>0</v>
      </c>
      <c r="AVD5" s="116" t="s">
        <v>2403</v>
      </c>
      <c r="AVE5" s="116">
        <v>0</v>
      </c>
      <c r="AVF5" s="116">
        <v>231</v>
      </c>
      <c r="AVG5" s="128">
        <v>232</v>
      </c>
      <c r="AVH5" s="128">
        <v>233</v>
      </c>
      <c r="AVI5" s="128">
        <v>234</v>
      </c>
      <c r="AVJ5" s="128">
        <v>0</v>
      </c>
      <c r="AVK5">
        <v>100000.57</v>
      </c>
      <c r="AVL5" s="119">
        <v>0</v>
      </c>
      <c r="AVM5" s="119">
        <v>0</v>
      </c>
      <c r="AVN5" s="119">
        <v>0</v>
      </c>
      <c r="AVO5" s="119">
        <v>100000.5703125</v>
      </c>
      <c r="AVP5" s="121">
        <v>0</v>
      </c>
      <c r="AVQ5" s="119">
        <v>0</v>
      </c>
      <c r="AVR5" s="119">
        <v>0</v>
      </c>
      <c r="AVS5">
        <v>0</v>
      </c>
      <c r="AVT5" t="s">
        <v>2403</v>
      </c>
      <c r="AVU5">
        <v>0</v>
      </c>
      <c r="AVV5" s="119">
        <v>0</v>
      </c>
      <c r="AVW5" t="s">
        <v>2403</v>
      </c>
      <c r="AVX5" t="s">
        <v>2403</v>
      </c>
      <c r="AVY5">
        <v>0</v>
      </c>
      <c r="AVZ5" t="s">
        <v>2723</v>
      </c>
      <c r="AWA5" t="s">
        <v>2724</v>
      </c>
      <c r="AWB5" t="s">
        <v>2725</v>
      </c>
      <c r="AWC5" t="s">
        <v>2726</v>
      </c>
      <c r="AWD5">
        <v>0</v>
      </c>
      <c r="AWE5" t="s">
        <v>2639</v>
      </c>
      <c r="AWF5">
        <v>0</v>
      </c>
      <c r="AWG5">
        <v>0</v>
      </c>
      <c r="AWH5">
        <v>0</v>
      </c>
      <c r="AWI5" t="s">
        <v>2631</v>
      </c>
      <c r="AWJ5" t="s">
        <v>2632</v>
      </c>
      <c r="AWK5" t="s">
        <v>2633</v>
      </c>
      <c r="AWL5" t="s">
        <v>2634</v>
      </c>
      <c r="AWM5" t="s">
        <v>2630</v>
      </c>
      <c r="AWN5" t="s">
        <v>2630</v>
      </c>
      <c r="AWO5" t="s">
        <v>2630</v>
      </c>
      <c r="AWP5" t="s">
        <v>2630</v>
      </c>
      <c r="AWQ5">
        <v>0</v>
      </c>
      <c r="AWR5" t="s">
        <v>2403</v>
      </c>
      <c r="AWS5">
        <v>0</v>
      </c>
      <c r="AWT5" s="116" t="s">
        <v>2403</v>
      </c>
      <c r="AWU5" s="116">
        <v>0</v>
      </c>
      <c r="AWV5" s="116">
        <v>0</v>
      </c>
      <c r="AWW5" s="116">
        <v>0</v>
      </c>
      <c r="AWX5" s="116" t="s">
        <v>2403</v>
      </c>
      <c r="AWY5" s="116">
        <v>0</v>
      </c>
      <c r="AWZ5" s="116" t="s">
        <v>2403</v>
      </c>
      <c r="AXA5" s="116">
        <v>0</v>
      </c>
      <c r="AXB5" s="116">
        <v>241</v>
      </c>
      <c r="AXC5" s="128">
        <v>242</v>
      </c>
      <c r="AXD5" s="128">
        <v>243</v>
      </c>
      <c r="AXE5" s="128">
        <v>244</v>
      </c>
      <c r="AXF5" s="128">
        <v>0</v>
      </c>
      <c r="AXG5">
        <v>100000.57</v>
      </c>
      <c r="AXH5" s="119">
        <v>0</v>
      </c>
      <c r="AXI5" s="119">
        <v>0</v>
      </c>
      <c r="AXJ5" s="119">
        <v>0</v>
      </c>
      <c r="AXK5" s="119">
        <v>100000.5703125</v>
      </c>
      <c r="AXL5" s="121">
        <v>0</v>
      </c>
      <c r="AXM5" s="119">
        <v>0</v>
      </c>
      <c r="AXN5" s="119">
        <v>0</v>
      </c>
      <c r="AXO5">
        <v>0</v>
      </c>
      <c r="AXP5" t="s">
        <v>2403</v>
      </c>
      <c r="AXQ5">
        <v>0</v>
      </c>
      <c r="AXR5" s="119">
        <v>0</v>
      </c>
      <c r="AXS5" t="s">
        <v>2403</v>
      </c>
      <c r="AXT5" t="s">
        <v>2403</v>
      </c>
      <c r="AXU5">
        <v>0</v>
      </c>
      <c r="AXV5" t="s">
        <v>2727</v>
      </c>
      <c r="AXW5" t="s">
        <v>2728</v>
      </c>
      <c r="AXX5" t="s">
        <v>2729</v>
      </c>
      <c r="AXY5" t="s">
        <v>2730</v>
      </c>
      <c r="AXZ5">
        <v>0</v>
      </c>
      <c r="AYA5" t="s">
        <v>2639</v>
      </c>
      <c r="AYB5">
        <v>0</v>
      </c>
      <c r="AYC5">
        <v>0</v>
      </c>
      <c r="AYD5">
        <v>0</v>
      </c>
      <c r="AYE5" t="s">
        <v>2631</v>
      </c>
      <c r="AYF5" t="s">
        <v>2632</v>
      </c>
      <c r="AYG5" t="s">
        <v>2633</v>
      </c>
      <c r="AYH5" t="s">
        <v>2634</v>
      </c>
      <c r="AYI5" t="s">
        <v>2630</v>
      </c>
      <c r="AYJ5" t="s">
        <v>2630</v>
      </c>
      <c r="AYK5" t="s">
        <v>2630</v>
      </c>
      <c r="AYL5" t="s">
        <v>2630</v>
      </c>
      <c r="AYM5">
        <v>0</v>
      </c>
      <c r="AYN5" t="s">
        <v>2403</v>
      </c>
      <c r="AYO5">
        <v>0</v>
      </c>
      <c r="AYP5" s="116" t="s">
        <v>2403</v>
      </c>
      <c r="AYQ5" s="116">
        <v>0</v>
      </c>
      <c r="AYR5" s="116">
        <v>0</v>
      </c>
      <c r="AYS5" s="116">
        <v>0</v>
      </c>
      <c r="AYT5" s="116" t="s">
        <v>2403</v>
      </c>
      <c r="AYU5" s="116">
        <v>0</v>
      </c>
      <c r="AYV5" s="116" t="s">
        <v>2403</v>
      </c>
      <c r="AYW5" s="116">
        <v>0</v>
      </c>
      <c r="AYX5" s="116">
        <v>251</v>
      </c>
      <c r="AYY5" s="128">
        <v>252</v>
      </c>
      <c r="AYZ5" s="128">
        <v>253</v>
      </c>
      <c r="AZA5" s="128">
        <v>254</v>
      </c>
      <c r="AZB5" s="128">
        <v>0</v>
      </c>
      <c r="AZC5">
        <v>100000.57</v>
      </c>
      <c r="AZD5" s="119">
        <v>0</v>
      </c>
      <c r="AZE5" s="119">
        <v>0</v>
      </c>
      <c r="AZF5" s="119">
        <v>0</v>
      </c>
      <c r="AZG5" s="119">
        <v>100000.5703125</v>
      </c>
      <c r="AZH5" s="121">
        <v>0</v>
      </c>
      <c r="AZI5" s="119">
        <v>0</v>
      </c>
      <c r="AZJ5" s="119">
        <v>0</v>
      </c>
      <c r="AZK5">
        <v>0</v>
      </c>
      <c r="AZL5" t="s">
        <v>2403</v>
      </c>
      <c r="AZM5">
        <v>0</v>
      </c>
      <c r="AZN5" s="119">
        <v>0</v>
      </c>
      <c r="AZO5" t="s">
        <v>2403</v>
      </c>
      <c r="AZP5" t="s">
        <v>2403</v>
      </c>
      <c r="AZQ5">
        <v>0</v>
      </c>
      <c r="AZR5" t="s">
        <v>2731</v>
      </c>
      <c r="AZS5" t="s">
        <v>2732</v>
      </c>
      <c r="AZT5" t="s">
        <v>2733</v>
      </c>
      <c r="AZU5" t="s">
        <v>2734</v>
      </c>
      <c r="AZV5">
        <v>0</v>
      </c>
      <c r="AZW5" t="s">
        <v>2639</v>
      </c>
      <c r="AZX5">
        <v>0</v>
      </c>
      <c r="AZY5">
        <v>0</v>
      </c>
      <c r="AZZ5">
        <v>0</v>
      </c>
      <c r="BAA5" t="s">
        <v>2631</v>
      </c>
      <c r="BAB5" t="s">
        <v>2632</v>
      </c>
      <c r="BAC5" t="s">
        <v>2633</v>
      </c>
      <c r="BAD5" t="s">
        <v>2634</v>
      </c>
      <c r="BAE5" t="s">
        <v>2630</v>
      </c>
      <c r="BAF5" t="s">
        <v>2630</v>
      </c>
      <c r="BAG5" t="s">
        <v>2630</v>
      </c>
      <c r="BAH5" t="s">
        <v>2630</v>
      </c>
      <c r="BAI5">
        <v>0</v>
      </c>
      <c r="BAJ5" t="s">
        <v>2403</v>
      </c>
      <c r="BAK5">
        <v>0</v>
      </c>
      <c r="BAL5">
        <v>1803590.63</v>
      </c>
      <c r="BAM5" s="120">
        <v>1803460.63</v>
      </c>
      <c r="BAN5" s="120">
        <v>140</v>
      </c>
      <c r="BAO5" s="120">
        <v>0</v>
      </c>
      <c r="BAP5" s="120">
        <v>0</v>
      </c>
      <c r="BAQ5" s="120">
        <v>0</v>
      </c>
      <c r="BAR5" s="120">
        <v>0</v>
      </c>
      <c r="BAS5" s="116">
        <v>0</v>
      </c>
      <c r="BAT5" s="116">
        <v>0</v>
      </c>
      <c r="BAU5" s="116">
        <v>0</v>
      </c>
      <c r="BAV5" s="116">
        <v>0</v>
      </c>
      <c r="BAW5" s="116">
        <v>0</v>
      </c>
      <c r="BAX5" s="116">
        <v>0</v>
      </c>
      <c r="BAY5" s="116">
        <v>0</v>
      </c>
      <c r="BAZ5" s="116">
        <v>0</v>
      </c>
      <c r="BBA5" s="116">
        <v>0</v>
      </c>
      <c r="BBB5" s="116">
        <v>0</v>
      </c>
      <c r="BBC5" s="116">
        <v>0</v>
      </c>
      <c r="BBD5" s="116">
        <v>0</v>
      </c>
      <c r="BBE5" s="116">
        <v>0</v>
      </c>
      <c r="BBF5" s="116">
        <v>0</v>
      </c>
      <c r="BBG5" s="116">
        <v>0</v>
      </c>
      <c r="BBH5" s="116">
        <v>0</v>
      </c>
      <c r="BBI5" s="116">
        <v>0</v>
      </c>
      <c r="BBJ5" s="116">
        <v>0</v>
      </c>
      <c r="BBK5" s="116">
        <v>0</v>
      </c>
      <c r="BBL5" s="116">
        <v>0</v>
      </c>
      <c r="BBM5" s="116">
        <v>0</v>
      </c>
      <c r="BBN5" s="116">
        <v>0</v>
      </c>
      <c r="BBO5" s="116">
        <v>0</v>
      </c>
      <c r="BBP5" s="116">
        <v>0</v>
      </c>
      <c r="BBQ5" s="116">
        <v>0</v>
      </c>
      <c r="BBR5" s="116">
        <v>0</v>
      </c>
      <c r="BBS5" s="116">
        <v>0</v>
      </c>
      <c r="BBT5" s="116">
        <v>0</v>
      </c>
      <c r="BBU5" s="116">
        <v>0</v>
      </c>
      <c r="BBV5" s="116">
        <v>0</v>
      </c>
      <c r="BBW5" s="116">
        <v>0</v>
      </c>
      <c r="BBX5" s="116">
        <v>0</v>
      </c>
      <c r="BBY5" s="116">
        <v>0</v>
      </c>
      <c r="BBZ5" s="116">
        <v>0</v>
      </c>
      <c r="BCA5" s="116">
        <v>0</v>
      </c>
      <c r="BCB5" s="116">
        <v>0</v>
      </c>
      <c r="BCC5" s="116">
        <v>0</v>
      </c>
      <c r="BCD5" s="116">
        <v>0</v>
      </c>
      <c r="BCE5" s="116">
        <v>0</v>
      </c>
      <c r="BCF5" s="116">
        <v>0</v>
      </c>
      <c r="BCG5" s="116">
        <v>0</v>
      </c>
      <c r="BCH5" s="116">
        <v>0</v>
      </c>
      <c r="BCI5" s="116">
        <v>0</v>
      </c>
      <c r="BCJ5" s="116">
        <v>0</v>
      </c>
      <c r="BCK5" s="116">
        <v>0</v>
      </c>
      <c r="BCL5" s="116">
        <v>0</v>
      </c>
      <c r="BCM5" s="116">
        <v>0</v>
      </c>
      <c r="BCN5" s="116">
        <v>0</v>
      </c>
      <c r="BCO5" s="116">
        <v>0</v>
      </c>
      <c r="BCP5" s="116">
        <v>1</v>
      </c>
      <c r="BCQ5" s="304">
        <v>1</v>
      </c>
      <c r="BCR5" s="304">
        <v>1</v>
      </c>
      <c r="BCS5" s="304">
        <v>1</v>
      </c>
      <c r="BCT5" s="304">
        <v>1</v>
      </c>
      <c r="BCU5" s="304">
        <v>1</v>
      </c>
      <c r="BCV5" s="304">
        <v>1</v>
      </c>
      <c r="BCW5" s="304">
        <v>1</v>
      </c>
      <c r="BCX5" s="304">
        <v>1</v>
      </c>
      <c r="BCY5" s="304">
        <v>2</v>
      </c>
      <c r="BCZ5" s="304">
        <v>2</v>
      </c>
      <c r="BDA5" s="304">
        <v>2</v>
      </c>
      <c r="BDB5" s="304">
        <v>2</v>
      </c>
      <c r="BDC5" s="304">
        <v>2</v>
      </c>
      <c r="BDD5" s="304">
        <v>2</v>
      </c>
      <c r="BDE5" s="304">
        <v>2</v>
      </c>
      <c r="BDF5" s="304">
        <v>2</v>
      </c>
      <c r="BDG5" s="304">
        <v>2</v>
      </c>
      <c r="BDH5" s="304">
        <v>0</v>
      </c>
      <c r="BDI5" s="304">
        <v>0</v>
      </c>
      <c r="BDJ5" s="304">
        <v>0</v>
      </c>
      <c r="BDK5" s="304">
        <v>0</v>
      </c>
      <c r="BDL5" s="304">
        <v>0</v>
      </c>
      <c r="BDM5" s="304">
        <v>0</v>
      </c>
      <c r="BDN5" s="304">
        <v>0</v>
      </c>
      <c r="BDO5" s="304">
        <v>0</v>
      </c>
      <c r="BDP5" s="304">
        <v>0</v>
      </c>
      <c r="BDQ5" s="304">
        <v>0</v>
      </c>
      <c r="BDR5">
        <v>0</v>
      </c>
      <c r="BDS5">
        <v>0</v>
      </c>
      <c r="BDT5">
        <v>0</v>
      </c>
      <c r="BDU5">
        <v>0</v>
      </c>
      <c r="BDV5">
        <v>0</v>
      </c>
      <c r="BDW5">
        <v>0</v>
      </c>
      <c r="BDX5">
        <v>0</v>
      </c>
      <c r="BDY5">
        <v>0</v>
      </c>
      <c r="BDZ5">
        <v>0</v>
      </c>
      <c r="BEA5">
        <v>0</v>
      </c>
      <c r="BEB5">
        <v>0</v>
      </c>
      <c r="BEC5">
        <v>0</v>
      </c>
      <c r="BED5">
        <v>0</v>
      </c>
      <c r="BEE5">
        <v>0</v>
      </c>
      <c r="BEF5">
        <v>0</v>
      </c>
      <c r="BEG5">
        <v>0</v>
      </c>
      <c r="BEH5">
        <v>0</v>
      </c>
      <c r="BEI5">
        <v>0</v>
      </c>
      <c r="BEJ5">
        <v>0</v>
      </c>
      <c r="BEK5">
        <v>0</v>
      </c>
      <c r="BEL5">
        <v>0</v>
      </c>
      <c r="BEM5">
        <v>0</v>
      </c>
      <c r="BEN5">
        <v>0</v>
      </c>
      <c r="BEO5">
        <v>0</v>
      </c>
      <c r="BEP5">
        <v>0</v>
      </c>
      <c r="BEQ5">
        <v>0</v>
      </c>
      <c r="BER5">
        <v>0</v>
      </c>
      <c r="BES5">
        <v>0</v>
      </c>
      <c r="BET5">
        <v>0</v>
      </c>
      <c r="BEU5">
        <v>0</v>
      </c>
      <c r="BEV5">
        <v>0</v>
      </c>
      <c r="BEW5">
        <v>0</v>
      </c>
      <c r="BEX5">
        <v>0</v>
      </c>
      <c r="BEY5">
        <v>0</v>
      </c>
      <c r="BEZ5">
        <v>0</v>
      </c>
      <c r="BFA5">
        <v>0</v>
      </c>
      <c r="BFB5">
        <v>0</v>
      </c>
      <c r="BFC5">
        <v>0</v>
      </c>
      <c r="BFD5" t="b">
        <v>0</v>
      </c>
      <c r="BFE5" t="b">
        <v>0</v>
      </c>
      <c r="BFF5" t="b">
        <v>0</v>
      </c>
      <c r="BFG5" t="b">
        <v>0</v>
      </c>
      <c r="BFH5">
        <v>0</v>
      </c>
      <c r="BFI5">
        <v>0</v>
      </c>
      <c r="BFJ5">
        <v>0</v>
      </c>
      <c r="BFK5">
        <v>0</v>
      </c>
      <c r="BFL5">
        <v>0</v>
      </c>
      <c r="BFM5">
        <v>0</v>
      </c>
      <c r="BFN5">
        <v>0</v>
      </c>
      <c r="BFO5">
        <v>0</v>
      </c>
      <c r="BFP5">
        <v>0</v>
      </c>
      <c r="BFQ5">
        <v>0</v>
      </c>
      <c r="BFR5">
        <v>0</v>
      </c>
      <c r="BFS5">
        <v>0</v>
      </c>
      <c r="BFT5">
        <v>0</v>
      </c>
      <c r="BFU5">
        <v>0</v>
      </c>
      <c r="BFV5">
        <v>0</v>
      </c>
      <c r="BFW5">
        <v>0</v>
      </c>
      <c r="BFX5">
        <v>0</v>
      </c>
      <c r="BFY5">
        <v>0</v>
      </c>
    </row>
    <row r="6" spans="1:1533" x14ac:dyDescent="0.25">
      <c r="A6" t="s">
        <v>2735</v>
      </c>
      <c r="B6" t="s">
        <v>2736</v>
      </c>
      <c r="C6" s="120">
        <v>130</v>
      </c>
      <c r="D6" s="120">
        <v>45</v>
      </c>
      <c r="E6">
        <v>0</v>
      </c>
      <c r="F6">
        <v>0</v>
      </c>
      <c r="G6">
        <v>0</v>
      </c>
      <c r="H6" t="s">
        <v>2614</v>
      </c>
      <c r="I6" t="s">
        <v>2403</v>
      </c>
      <c r="J6" t="s">
        <v>2403</v>
      </c>
      <c r="K6" t="s">
        <v>2403</v>
      </c>
      <c r="L6" t="s">
        <v>2403</v>
      </c>
      <c r="M6" t="s">
        <v>1883</v>
      </c>
      <c r="N6" t="s">
        <v>2403</v>
      </c>
      <c r="O6" t="s">
        <v>1883</v>
      </c>
      <c r="P6" t="s">
        <v>1883</v>
      </c>
      <c r="Q6" t="s">
        <v>2403</v>
      </c>
      <c r="R6" t="s">
        <v>1883</v>
      </c>
      <c r="S6" t="s">
        <v>1639</v>
      </c>
      <c r="T6" t="s">
        <v>2404</v>
      </c>
      <c r="U6" t="s">
        <v>2424</v>
      </c>
      <c r="V6" t="s">
        <v>2614</v>
      </c>
      <c r="W6" t="s">
        <v>309</v>
      </c>
      <c r="X6">
        <v>0</v>
      </c>
      <c r="Y6">
        <v>43448</v>
      </c>
      <c r="Z6">
        <v>441</v>
      </c>
      <c r="AA6">
        <v>0</v>
      </c>
      <c r="AB6" s="120">
        <v>100</v>
      </c>
      <c r="AC6" s="58" t="s">
        <v>272</v>
      </c>
      <c r="AD6" s="120">
        <v>0</v>
      </c>
      <c r="AE6" s="120">
        <v>0</v>
      </c>
      <c r="AF6" s="120">
        <v>43480</v>
      </c>
      <c r="AG6">
        <v>45</v>
      </c>
      <c r="AH6" s="120">
        <v>2800</v>
      </c>
      <c r="AI6" s="120">
        <v>0</v>
      </c>
      <c r="AJ6" s="58" t="s">
        <v>271</v>
      </c>
      <c r="AK6" s="120">
        <v>0.159</v>
      </c>
      <c r="AL6" s="119">
        <v>25</v>
      </c>
      <c r="AM6">
        <v>25</v>
      </c>
      <c r="AN6">
        <v>47102</v>
      </c>
      <c r="AO6" s="114">
        <v>0.18212806642267054</v>
      </c>
      <c r="AP6" s="120">
        <v>7719.8899999999994</v>
      </c>
      <c r="AQ6" s="120">
        <v>9104.8900000000358</v>
      </c>
      <c r="AR6" s="58">
        <v>16824.780000000035</v>
      </c>
      <c r="AS6" s="114">
        <v>140.19999999999999</v>
      </c>
      <c r="AT6" s="120">
        <v>140.97999999999999</v>
      </c>
      <c r="AU6" s="120" t="s">
        <v>1889</v>
      </c>
      <c r="AV6" s="120" t="s">
        <v>2737</v>
      </c>
      <c r="AW6" s="120" t="s">
        <v>2738</v>
      </c>
      <c r="AX6" s="120">
        <v>19</v>
      </c>
      <c r="AY6">
        <v>0</v>
      </c>
      <c r="AZ6">
        <v>43460</v>
      </c>
      <c r="BA6">
        <v>100</v>
      </c>
      <c r="BB6" s="120">
        <v>1</v>
      </c>
      <c r="BC6">
        <v>1</v>
      </c>
      <c r="BD6" s="58" t="s">
        <v>415</v>
      </c>
      <c r="BE6" s="120">
        <v>361</v>
      </c>
      <c r="BF6">
        <v>72</v>
      </c>
      <c r="BG6">
        <v>43445</v>
      </c>
      <c r="BH6">
        <v>120</v>
      </c>
      <c r="BI6" s="120">
        <v>0</v>
      </c>
      <c r="BJ6" s="120">
        <v>50</v>
      </c>
      <c r="BK6" s="58">
        <v>43467</v>
      </c>
      <c r="BL6">
        <v>0</v>
      </c>
      <c r="BM6" s="120">
        <v>0</v>
      </c>
      <c r="BN6" s="120">
        <v>0</v>
      </c>
      <c r="BO6" s="58" t="s">
        <v>2739</v>
      </c>
      <c r="BP6" t="s">
        <v>2403</v>
      </c>
      <c r="BQ6" t="s">
        <v>2403</v>
      </c>
      <c r="BR6" t="s">
        <v>2403</v>
      </c>
      <c r="BS6" t="s">
        <v>2740</v>
      </c>
      <c r="BT6">
        <v>29691</v>
      </c>
      <c r="BU6" s="58">
        <v>0</v>
      </c>
      <c r="BV6">
        <v>0</v>
      </c>
      <c r="BW6">
        <v>0</v>
      </c>
      <c r="BX6">
        <v>0</v>
      </c>
      <c r="BY6" t="s">
        <v>2741</v>
      </c>
      <c r="BZ6" t="s">
        <v>2742</v>
      </c>
      <c r="CA6">
        <v>79762</v>
      </c>
      <c r="CB6" t="s">
        <v>1633</v>
      </c>
      <c r="CC6" t="s">
        <v>1919</v>
      </c>
      <c r="CD6" t="s">
        <v>2743</v>
      </c>
      <c r="CE6" t="s">
        <v>2744</v>
      </c>
      <c r="CF6" t="s">
        <v>2739</v>
      </c>
      <c r="CG6">
        <v>0</v>
      </c>
      <c r="CH6">
        <v>0</v>
      </c>
      <c r="CI6">
        <v>0</v>
      </c>
      <c r="CJ6">
        <v>0</v>
      </c>
      <c r="CK6">
        <v>0</v>
      </c>
      <c r="CL6" s="118">
        <v>4324564316</v>
      </c>
      <c r="CM6" s="118">
        <v>4323856545</v>
      </c>
      <c r="CN6" s="118" t="s">
        <v>2745</v>
      </c>
      <c r="CO6">
        <v>0</v>
      </c>
      <c r="CP6">
        <v>0</v>
      </c>
      <c r="CQ6">
        <v>0</v>
      </c>
      <c r="CR6">
        <v>0</v>
      </c>
      <c r="CS6">
        <v>0</v>
      </c>
      <c r="CT6">
        <v>0</v>
      </c>
      <c r="CU6">
        <v>0</v>
      </c>
      <c r="CV6">
        <v>0</v>
      </c>
      <c r="CW6">
        <v>0</v>
      </c>
      <c r="CX6">
        <v>0</v>
      </c>
      <c r="CY6" s="58">
        <v>0</v>
      </c>
      <c r="CZ6">
        <v>0</v>
      </c>
      <c r="DA6">
        <v>0</v>
      </c>
      <c r="DB6">
        <v>0</v>
      </c>
      <c r="DC6">
        <v>0</v>
      </c>
      <c r="DD6">
        <v>0</v>
      </c>
      <c r="DE6">
        <v>0</v>
      </c>
      <c r="DF6">
        <v>0</v>
      </c>
      <c r="DG6">
        <v>0</v>
      </c>
      <c r="DH6">
        <v>0</v>
      </c>
      <c r="DI6">
        <v>0</v>
      </c>
      <c r="DJ6">
        <v>0</v>
      </c>
      <c r="DK6">
        <v>0</v>
      </c>
      <c r="DL6" s="118">
        <v>0</v>
      </c>
      <c r="DM6" s="118">
        <v>0</v>
      </c>
      <c r="DN6" s="118" t="s">
        <v>2745</v>
      </c>
      <c r="DO6">
        <v>0</v>
      </c>
      <c r="DP6">
        <v>0</v>
      </c>
      <c r="DQ6">
        <v>0</v>
      </c>
      <c r="DR6">
        <v>0</v>
      </c>
      <c r="DS6">
        <v>0</v>
      </c>
      <c r="DT6">
        <v>0</v>
      </c>
      <c r="DU6">
        <v>0</v>
      </c>
      <c r="DV6">
        <v>0</v>
      </c>
      <c r="DW6">
        <v>0</v>
      </c>
      <c r="DX6">
        <v>0</v>
      </c>
      <c r="DY6" s="58">
        <v>0</v>
      </c>
      <c r="DZ6">
        <v>0</v>
      </c>
      <c r="EA6">
        <v>0</v>
      </c>
      <c r="EB6">
        <v>0</v>
      </c>
      <c r="EC6">
        <v>0</v>
      </c>
      <c r="ED6">
        <v>0</v>
      </c>
      <c r="EE6">
        <v>0</v>
      </c>
      <c r="EF6">
        <v>0</v>
      </c>
      <c r="EG6">
        <v>0</v>
      </c>
      <c r="EH6">
        <v>0</v>
      </c>
      <c r="EI6">
        <v>0</v>
      </c>
      <c r="EJ6">
        <v>0</v>
      </c>
      <c r="EK6">
        <v>0</v>
      </c>
      <c r="EL6" s="118">
        <v>0</v>
      </c>
      <c r="EM6" s="118">
        <v>0</v>
      </c>
      <c r="EN6" s="118">
        <v>0</v>
      </c>
      <c r="EO6">
        <v>441</v>
      </c>
      <c r="EP6">
        <v>6742.89013671875</v>
      </c>
      <c r="EQ6" s="119">
        <v>1</v>
      </c>
      <c r="ER6">
        <v>1</v>
      </c>
      <c r="ES6" t="s">
        <v>2748</v>
      </c>
      <c r="ET6">
        <v>0</v>
      </c>
      <c r="EU6">
        <v>0</v>
      </c>
      <c r="EV6">
        <v>0</v>
      </c>
      <c r="EW6">
        <v>0</v>
      </c>
      <c r="EX6">
        <v>0</v>
      </c>
      <c r="EY6">
        <v>0</v>
      </c>
      <c r="EZ6">
        <v>0</v>
      </c>
      <c r="FA6">
        <v>0</v>
      </c>
      <c r="FB6">
        <v>0</v>
      </c>
      <c r="FC6">
        <v>0</v>
      </c>
      <c r="FD6">
        <v>0</v>
      </c>
      <c r="FE6">
        <v>0</v>
      </c>
      <c r="FF6">
        <v>0</v>
      </c>
      <c r="FG6">
        <v>0</v>
      </c>
      <c r="FH6">
        <v>0</v>
      </c>
      <c r="FI6">
        <v>0</v>
      </c>
      <c r="FJ6">
        <v>0</v>
      </c>
      <c r="FK6">
        <v>0</v>
      </c>
      <c r="FL6">
        <v>0</v>
      </c>
      <c r="FM6">
        <v>6742.89</v>
      </c>
      <c r="FN6" s="119">
        <v>0</v>
      </c>
      <c r="FO6" s="119">
        <v>0</v>
      </c>
      <c r="FP6" s="119">
        <v>0</v>
      </c>
      <c r="FQ6" s="119">
        <v>0</v>
      </c>
      <c r="FR6" s="119">
        <v>0</v>
      </c>
      <c r="FS6" s="119">
        <v>0</v>
      </c>
      <c r="FT6" s="119">
        <v>0</v>
      </c>
      <c r="FU6" s="119">
        <v>0</v>
      </c>
      <c r="FV6" s="119">
        <v>0</v>
      </c>
      <c r="FW6" s="119">
        <v>0</v>
      </c>
      <c r="FX6" s="119">
        <v>0</v>
      </c>
      <c r="FY6" s="119">
        <v>0</v>
      </c>
      <c r="FZ6" s="119">
        <v>0</v>
      </c>
      <c r="GA6" s="119">
        <v>0</v>
      </c>
      <c r="GB6" s="119">
        <v>0</v>
      </c>
      <c r="GC6" s="119">
        <v>0</v>
      </c>
      <c r="GD6" s="119">
        <v>0</v>
      </c>
      <c r="GE6" s="119">
        <v>0</v>
      </c>
      <c r="GF6" s="119">
        <v>0</v>
      </c>
      <c r="GG6" s="119">
        <v>0</v>
      </c>
      <c r="GH6" t="s">
        <v>2403</v>
      </c>
      <c r="GI6">
        <v>0</v>
      </c>
      <c r="GJ6">
        <v>0</v>
      </c>
      <c r="GK6">
        <v>0</v>
      </c>
      <c r="GL6" t="s">
        <v>2403</v>
      </c>
      <c r="GM6">
        <v>0</v>
      </c>
      <c r="GN6" s="58" t="s">
        <v>2403</v>
      </c>
      <c r="GO6">
        <v>0</v>
      </c>
      <c r="GP6" t="s">
        <v>2746</v>
      </c>
      <c r="GQ6" s="128">
        <v>0</v>
      </c>
      <c r="GR6" s="128">
        <v>0</v>
      </c>
      <c r="GS6" s="128">
        <v>0</v>
      </c>
      <c r="GT6" s="128" t="s">
        <v>2741</v>
      </c>
      <c r="GU6">
        <v>6742.89</v>
      </c>
      <c r="GV6" s="119">
        <v>0</v>
      </c>
      <c r="GW6" s="119">
        <v>0</v>
      </c>
      <c r="GX6" s="119">
        <v>0</v>
      </c>
      <c r="GY6" s="119">
        <v>0</v>
      </c>
      <c r="GZ6">
        <v>0</v>
      </c>
      <c r="HA6">
        <v>0</v>
      </c>
      <c r="HB6">
        <v>0</v>
      </c>
      <c r="HC6">
        <v>6742.89013671875</v>
      </c>
      <c r="HD6" s="120">
        <v>70073</v>
      </c>
      <c r="HE6" s="119">
        <v>12643</v>
      </c>
      <c r="HF6" t="s">
        <v>2742</v>
      </c>
      <c r="HG6" t="s">
        <v>73</v>
      </c>
      <c r="HH6" t="s">
        <v>2403</v>
      </c>
      <c r="HI6">
        <v>70073</v>
      </c>
      <c r="HJ6" s="119" t="s">
        <v>2403</v>
      </c>
      <c r="HK6">
        <v>0</v>
      </c>
      <c r="HL6">
        <v>0</v>
      </c>
      <c r="HM6">
        <v>0</v>
      </c>
      <c r="HN6">
        <v>0</v>
      </c>
      <c r="HO6">
        <v>0</v>
      </c>
      <c r="HP6" t="s">
        <v>2403</v>
      </c>
      <c r="HQ6">
        <v>0</v>
      </c>
      <c r="HR6" t="s">
        <v>2747</v>
      </c>
      <c r="HS6" t="s">
        <v>2748</v>
      </c>
      <c r="HT6">
        <v>0</v>
      </c>
      <c r="HU6">
        <v>0</v>
      </c>
      <c r="HV6">
        <v>0</v>
      </c>
      <c r="HW6" t="s">
        <v>2749</v>
      </c>
      <c r="HX6">
        <v>0</v>
      </c>
      <c r="HY6">
        <v>0</v>
      </c>
      <c r="HZ6">
        <v>0</v>
      </c>
      <c r="IA6">
        <v>79762</v>
      </c>
      <c r="IB6" t="s">
        <v>2403</v>
      </c>
      <c r="IC6">
        <v>0</v>
      </c>
      <c r="ID6">
        <v>0</v>
      </c>
      <c r="IE6">
        <v>0</v>
      </c>
      <c r="IF6">
        <v>0</v>
      </c>
      <c r="IG6">
        <v>0</v>
      </c>
      <c r="IH6">
        <v>0</v>
      </c>
      <c r="II6">
        <v>0</v>
      </c>
      <c r="IJ6">
        <v>0</v>
      </c>
      <c r="IK6">
        <v>0</v>
      </c>
      <c r="IL6">
        <v>0</v>
      </c>
      <c r="IM6" s="128">
        <v>0</v>
      </c>
      <c r="IN6" s="128">
        <v>0</v>
      </c>
      <c r="IO6" s="128">
        <v>0</v>
      </c>
      <c r="IP6" s="128">
        <v>0</v>
      </c>
      <c r="IQ6">
        <v>0</v>
      </c>
      <c r="IR6" s="119">
        <v>0</v>
      </c>
      <c r="IS6" s="119">
        <v>0</v>
      </c>
      <c r="IT6" s="119">
        <v>0</v>
      </c>
      <c r="IU6" s="119">
        <v>0</v>
      </c>
      <c r="IV6" s="119">
        <v>0</v>
      </c>
      <c r="IW6">
        <v>0</v>
      </c>
      <c r="IX6">
        <v>0</v>
      </c>
      <c r="IY6">
        <v>0</v>
      </c>
      <c r="IZ6">
        <v>0</v>
      </c>
      <c r="JA6">
        <v>0</v>
      </c>
      <c r="JB6" s="119">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s="128">
        <v>0</v>
      </c>
      <c r="KJ6" s="128">
        <v>0</v>
      </c>
      <c r="KK6" s="128">
        <v>0</v>
      </c>
      <c r="KL6" s="128">
        <v>0</v>
      </c>
      <c r="KM6">
        <v>0</v>
      </c>
      <c r="KN6" s="119">
        <v>0</v>
      </c>
      <c r="KO6" s="119">
        <v>0</v>
      </c>
      <c r="KP6" s="119">
        <v>0</v>
      </c>
      <c r="KQ6" s="119">
        <v>0</v>
      </c>
      <c r="KR6" s="121">
        <v>0</v>
      </c>
      <c r="KS6">
        <v>0</v>
      </c>
      <c r="KT6" s="119">
        <v>0</v>
      </c>
      <c r="KU6">
        <v>0</v>
      </c>
      <c r="KV6">
        <v>0</v>
      </c>
      <c r="KW6">
        <v>0</v>
      </c>
      <c r="KX6" s="119">
        <v>0</v>
      </c>
      <c r="KY6">
        <v>0</v>
      </c>
      <c r="KZ6">
        <v>0</v>
      </c>
      <c r="LA6">
        <v>0</v>
      </c>
      <c r="LB6">
        <v>0</v>
      </c>
      <c r="LC6">
        <v>0</v>
      </c>
      <c r="LD6">
        <v>0</v>
      </c>
      <c r="LE6">
        <v>0</v>
      </c>
      <c r="LF6">
        <v>0</v>
      </c>
      <c r="LG6">
        <v>0</v>
      </c>
      <c r="LH6">
        <v>0</v>
      </c>
      <c r="LI6">
        <v>0</v>
      </c>
      <c r="LJ6">
        <v>0</v>
      </c>
      <c r="LK6">
        <v>0</v>
      </c>
      <c r="LL6">
        <v>0</v>
      </c>
      <c r="LM6">
        <v>0</v>
      </c>
      <c r="LN6">
        <v>0</v>
      </c>
      <c r="LO6">
        <v>0</v>
      </c>
      <c r="LP6">
        <v>0</v>
      </c>
      <c r="LQ6">
        <v>0</v>
      </c>
      <c r="LR6">
        <v>0</v>
      </c>
      <c r="LS6">
        <v>0</v>
      </c>
      <c r="LT6">
        <v>0</v>
      </c>
      <c r="LU6">
        <v>0</v>
      </c>
      <c r="LV6">
        <v>0</v>
      </c>
      <c r="LW6">
        <v>0</v>
      </c>
      <c r="LX6">
        <v>0</v>
      </c>
      <c r="LY6">
        <v>0</v>
      </c>
      <c r="LZ6">
        <v>0</v>
      </c>
      <c r="MA6">
        <v>0</v>
      </c>
      <c r="MB6">
        <v>0</v>
      </c>
      <c r="MC6">
        <v>0</v>
      </c>
      <c r="MD6">
        <v>0</v>
      </c>
      <c r="ME6" s="128">
        <v>0</v>
      </c>
      <c r="MF6" s="128">
        <v>0</v>
      </c>
      <c r="MG6" s="128">
        <v>0</v>
      </c>
      <c r="MH6" s="128">
        <v>0</v>
      </c>
      <c r="MI6">
        <v>0</v>
      </c>
      <c r="MJ6" s="119">
        <v>0</v>
      </c>
      <c r="MK6" s="119">
        <v>0</v>
      </c>
      <c r="ML6" s="119">
        <v>0</v>
      </c>
      <c r="MM6" s="119">
        <v>0</v>
      </c>
      <c r="MN6" s="121">
        <v>0</v>
      </c>
      <c r="MO6" s="119">
        <v>0</v>
      </c>
      <c r="MP6">
        <v>0</v>
      </c>
      <c r="MQ6">
        <v>0</v>
      </c>
      <c r="MR6">
        <v>0</v>
      </c>
      <c r="MS6">
        <v>0</v>
      </c>
      <c r="MT6" s="119">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s="116">
        <v>0</v>
      </c>
      <c r="NS6" s="116">
        <v>0</v>
      </c>
      <c r="NT6" s="116">
        <v>0</v>
      </c>
      <c r="NU6" s="116">
        <v>0</v>
      </c>
      <c r="NV6" s="116">
        <v>0</v>
      </c>
      <c r="NW6" s="116">
        <v>0</v>
      </c>
      <c r="NX6" s="116">
        <v>0</v>
      </c>
      <c r="NY6" s="116">
        <v>0</v>
      </c>
      <c r="NZ6" s="116">
        <v>0</v>
      </c>
      <c r="OA6" s="128">
        <v>0</v>
      </c>
      <c r="OB6" s="128">
        <v>0</v>
      </c>
      <c r="OC6" s="128">
        <v>0</v>
      </c>
      <c r="OD6" s="128">
        <v>0</v>
      </c>
      <c r="OE6">
        <v>0</v>
      </c>
      <c r="OF6" s="119">
        <v>0</v>
      </c>
      <c r="OG6" s="119">
        <v>0</v>
      </c>
      <c r="OH6" s="119">
        <v>0</v>
      </c>
      <c r="OI6" s="119">
        <v>0</v>
      </c>
      <c r="OJ6" s="121">
        <v>0</v>
      </c>
      <c r="OK6" s="119">
        <v>0</v>
      </c>
      <c r="OL6">
        <v>0</v>
      </c>
      <c r="OM6">
        <v>0</v>
      </c>
      <c r="ON6">
        <v>0</v>
      </c>
      <c r="OO6">
        <v>0</v>
      </c>
      <c r="OP6" s="119">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s="128">
        <v>0</v>
      </c>
      <c r="PX6" s="128">
        <v>0</v>
      </c>
      <c r="PY6" s="128">
        <v>0</v>
      </c>
      <c r="PZ6" s="128">
        <v>0</v>
      </c>
      <c r="QA6">
        <v>0</v>
      </c>
      <c r="QB6" s="119">
        <v>0</v>
      </c>
      <c r="QC6" s="119">
        <v>0</v>
      </c>
      <c r="QD6" s="119">
        <v>0</v>
      </c>
      <c r="QE6" s="119">
        <v>0</v>
      </c>
      <c r="QF6" s="121">
        <v>0</v>
      </c>
      <c r="QG6" s="119">
        <v>0</v>
      </c>
      <c r="QH6">
        <v>0</v>
      </c>
      <c r="QI6">
        <v>0</v>
      </c>
      <c r="QJ6">
        <v>0</v>
      </c>
      <c r="QK6">
        <v>0</v>
      </c>
      <c r="QL6" s="119">
        <v>0</v>
      </c>
      <c r="QM6">
        <v>0</v>
      </c>
      <c r="QN6">
        <v>0</v>
      </c>
      <c r="QO6">
        <v>0</v>
      </c>
      <c r="QP6">
        <v>0</v>
      </c>
      <c r="QQ6">
        <v>0</v>
      </c>
      <c r="QR6">
        <v>0</v>
      </c>
      <c r="QS6">
        <v>0</v>
      </c>
      <c r="QT6">
        <v>0</v>
      </c>
      <c r="QU6">
        <v>0</v>
      </c>
      <c r="QV6">
        <v>0</v>
      </c>
      <c r="QW6">
        <v>0</v>
      </c>
      <c r="QX6">
        <v>0</v>
      </c>
      <c r="QY6">
        <v>0</v>
      </c>
      <c r="QZ6">
        <v>0</v>
      </c>
      <c r="RA6">
        <v>0</v>
      </c>
      <c r="RB6">
        <v>0</v>
      </c>
      <c r="RC6">
        <v>0</v>
      </c>
      <c r="RD6">
        <v>0</v>
      </c>
      <c r="RE6">
        <v>0</v>
      </c>
      <c r="RF6">
        <v>0</v>
      </c>
      <c r="RG6">
        <v>0</v>
      </c>
      <c r="RH6">
        <v>0</v>
      </c>
      <c r="RI6">
        <v>0</v>
      </c>
      <c r="RJ6" s="116">
        <v>0</v>
      </c>
      <c r="RK6" s="116">
        <v>0</v>
      </c>
      <c r="RL6" s="116">
        <v>0</v>
      </c>
      <c r="RM6" s="116">
        <v>0</v>
      </c>
      <c r="RN6" s="116">
        <v>0</v>
      </c>
      <c r="RO6" s="116">
        <v>0</v>
      </c>
      <c r="RP6" s="116">
        <v>0</v>
      </c>
      <c r="RQ6" s="116">
        <v>0</v>
      </c>
      <c r="RR6" s="116">
        <v>0</v>
      </c>
      <c r="RS6" s="128">
        <v>0</v>
      </c>
      <c r="RT6" s="128">
        <v>0</v>
      </c>
      <c r="RU6" s="128">
        <v>0</v>
      </c>
      <c r="RV6" s="128">
        <v>0</v>
      </c>
      <c r="RW6">
        <v>0</v>
      </c>
      <c r="RX6" s="119">
        <v>0</v>
      </c>
      <c r="RY6" s="119">
        <v>0</v>
      </c>
      <c r="RZ6" s="119">
        <v>0</v>
      </c>
      <c r="SA6" s="119">
        <v>0</v>
      </c>
      <c r="SB6" s="121">
        <v>0</v>
      </c>
      <c r="SC6" s="119">
        <v>0</v>
      </c>
      <c r="SD6">
        <v>0</v>
      </c>
      <c r="SE6">
        <v>0</v>
      </c>
      <c r="SF6">
        <v>0</v>
      </c>
      <c r="SG6">
        <v>0</v>
      </c>
      <c r="SH6" s="119">
        <v>0</v>
      </c>
      <c r="SI6">
        <v>0</v>
      </c>
      <c r="SJ6">
        <v>0</v>
      </c>
      <c r="SK6">
        <v>0</v>
      </c>
      <c r="SL6">
        <v>0</v>
      </c>
      <c r="SM6">
        <v>0</v>
      </c>
      <c r="SN6">
        <v>0</v>
      </c>
      <c r="SO6">
        <v>0</v>
      </c>
      <c r="SP6">
        <v>0</v>
      </c>
      <c r="SQ6">
        <v>0</v>
      </c>
      <c r="SR6">
        <v>0</v>
      </c>
      <c r="SS6">
        <v>0</v>
      </c>
      <c r="ST6">
        <v>0</v>
      </c>
      <c r="SU6">
        <v>0</v>
      </c>
      <c r="SV6">
        <v>0</v>
      </c>
      <c r="SW6">
        <v>0</v>
      </c>
      <c r="SX6">
        <v>0</v>
      </c>
      <c r="SY6">
        <v>0</v>
      </c>
      <c r="SZ6">
        <v>0</v>
      </c>
      <c r="TA6">
        <v>0</v>
      </c>
      <c r="TB6">
        <v>0</v>
      </c>
      <c r="TC6">
        <v>0</v>
      </c>
      <c r="TD6">
        <v>0</v>
      </c>
      <c r="TE6">
        <v>0</v>
      </c>
      <c r="TF6" s="116">
        <v>0</v>
      </c>
      <c r="TG6" s="116">
        <v>0</v>
      </c>
      <c r="TH6" s="116">
        <v>0</v>
      </c>
      <c r="TI6" s="116">
        <v>0</v>
      </c>
      <c r="TJ6" s="116">
        <v>0</v>
      </c>
      <c r="TK6" s="116">
        <v>0</v>
      </c>
      <c r="TL6" s="116">
        <v>0</v>
      </c>
      <c r="TM6" s="116">
        <v>0</v>
      </c>
      <c r="TN6" s="116">
        <v>0</v>
      </c>
      <c r="TO6" s="128">
        <v>0</v>
      </c>
      <c r="TP6" s="128">
        <v>0</v>
      </c>
      <c r="TQ6" s="128">
        <v>0</v>
      </c>
      <c r="TR6" s="128">
        <v>0</v>
      </c>
      <c r="TS6">
        <v>0</v>
      </c>
      <c r="TT6" s="119">
        <v>0</v>
      </c>
      <c r="TU6" s="119">
        <v>0</v>
      </c>
      <c r="TV6" s="119">
        <v>0</v>
      </c>
      <c r="TW6" s="119">
        <v>0</v>
      </c>
      <c r="TX6" s="121">
        <v>0</v>
      </c>
      <c r="TY6" s="119">
        <v>0</v>
      </c>
      <c r="TZ6">
        <v>0</v>
      </c>
      <c r="UA6">
        <v>0</v>
      </c>
      <c r="UB6">
        <v>0</v>
      </c>
      <c r="UC6">
        <v>0</v>
      </c>
      <c r="UD6" s="119">
        <v>0</v>
      </c>
      <c r="UE6">
        <v>0</v>
      </c>
      <c r="UF6">
        <v>0</v>
      </c>
      <c r="UG6">
        <v>0</v>
      </c>
      <c r="UH6">
        <v>0</v>
      </c>
      <c r="UI6">
        <v>0</v>
      </c>
      <c r="UJ6">
        <v>0</v>
      </c>
      <c r="UK6">
        <v>0</v>
      </c>
      <c r="UL6">
        <v>0</v>
      </c>
      <c r="UM6">
        <v>0</v>
      </c>
      <c r="UN6">
        <v>0</v>
      </c>
      <c r="UO6">
        <v>0</v>
      </c>
      <c r="UP6">
        <v>0</v>
      </c>
      <c r="UQ6">
        <v>0</v>
      </c>
      <c r="UR6">
        <v>0</v>
      </c>
      <c r="US6">
        <v>0</v>
      </c>
      <c r="UT6">
        <v>0</v>
      </c>
      <c r="UU6">
        <v>0</v>
      </c>
      <c r="UV6">
        <v>0</v>
      </c>
      <c r="UW6">
        <v>0</v>
      </c>
      <c r="UX6">
        <v>0</v>
      </c>
      <c r="UY6">
        <v>0</v>
      </c>
      <c r="UZ6">
        <v>0</v>
      </c>
      <c r="VA6">
        <v>0</v>
      </c>
      <c r="VB6" s="116">
        <v>0</v>
      </c>
      <c r="VC6" s="116">
        <v>0</v>
      </c>
      <c r="VD6" s="116">
        <v>0</v>
      </c>
      <c r="VE6" s="116">
        <v>0</v>
      </c>
      <c r="VF6" s="116">
        <v>0</v>
      </c>
      <c r="VG6" s="116">
        <v>0</v>
      </c>
      <c r="VH6" s="116">
        <v>0</v>
      </c>
      <c r="VI6" s="116">
        <v>0</v>
      </c>
      <c r="VJ6" s="116">
        <v>0</v>
      </c>
      <c r="VK6" s="128">
        <v>0</v>
      </c>
      <c r="VL6" s="128">
        <v>0</v>
      </c>
      <c r="VM6" s="128">
        <v>0</v>
      </c>
      <c r="VN6" s="128">
        <v>0</v>
      </c>
      <c r="VO6">
        <v>0</v>
      </c>
      <c r="VP6" s="119">
        <v>0</v>
      </c>
      <c r="VQ6" s="119">
        <v>0</v>
      </c>
      <c r="VR6" s="119">
        <v>0</v>
      </c>
      <c r="VS6" s="119">
        <v>0</v>
      </c>
      <c r="VT6" s="121">
        <v>0</v>
      </c>
      <c r="VU6" s="119">
        <v>0</v>
      </c>
      <c r="VV6" s="119">
        <v>0</v>
      </c>
      <c r="VW6">
        <v>0</v>
      </c>
      <c r="VX6">
        <v>0</v>
      </c>
      <c r="VY6">
        <v>0</v>
      </c>
      <c r="VZ6" s="119">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s="116">
        <v>0</v>
      </c>
      <c r="WY6" s="116">
        <v>0</v>
      </c>
      <c r="WZ6" s="116">
        <v>0</v>
      </c>
      <c r="XA6" s="116">
        <v>0</v>
      </c>
      <c r="XB6" s="116">
        <v>0</v>
      </c>
      <c r="XC6" s="116">
        <v>0</v>
      </c>
      <c r="XD6" s="116">
        <v>0</v>
      </c>
      <c r="XE6" s="116">
        <v>0</v>
      </c>
      <c r="XF6" s="116">
        <v>0</v>
      </c>
      <c r="XG6" s="128">
        <v>0</v>
      </c>
      <c r="XH6" s="128">
        <v>0</v>
      </c>
      <c r="XI6" s="128">
        <v>0</v>
      </c>
      <c r="XJ6" s="128">
        <v>0</v>
      </c>
      <c r="XK6">
        <v>0</v>
      </c>
      <c r="XL6" s="119">
        <v>0</v>
      </c>
      <c r="XM6" s="119">
        <v>0</v>
      </c>
      <c r="XN6" s="119">
        <v>0</v>
      </c>
      <c r="XO6" s="119">
        <v>0</v>
      </c>
      <c r="XP6" s="121">
        <v>0</v>
      </c>
      <c r="XQ6" s="119">
        <v>0</v>
      </c>
      <c r="XR6" s="119">
        <v>0</v>
      </c>
      <c r="XS6">
        <v>0</v>
      </c>
      <c r="XT6">
        <v>0</v>
      </c>
      <c r="XU6">
        <v>0</v>
      </c>
      <c r="XV6" s="119">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S6">
        <v>0</v>
      </c>
      <c r="YT6">
        <v>0</v>
      </c>
      <c r="YU6">
        <v>0</v>
      </c>
      <c r="YV6">
        <v>0</v>
      </c>
      <c r="YW6">
        <v>0</v>
      </c>
      <c r="YX6">
        <v>0</v>
      </c>
      <c r="YY6">
        <v>0</v>
      </c>
      <c r="YZ6">
        <v>0</v>
      </c>
      <c r="ZA6">
        <v>0</v>
      </c>
      <c r="ZB6">
        <v>0</v>
      </c>
      <c r="ZC6" s="128">
        <v>0</v>
      </c>
      <c r="ZD6" s="128">
        <v>0</v>
      </c>
      <c r="ZE6" s="128">
        <v>0</v>
      </c>
      <c r="ZF6" s="128">
        <v>0</v>
      </c>
      <c r="ZG6">
        <v>0</v>
      </c>
      <c r="ZH6" s="119">
        <v>0</v>
      </c>
      <c r="ZI6" s="119">
        <v>0</v>
      </c>
      <c r="ZJ6" s="119">
        <v>0</v>
      </c>
      <c r="ZK6" s="119">
        <v>0</v>
      </c>
      <c r="ZL6" s="121">
        <v>0</v>
      </c>
      <c r="ZM6" s="119">
        <v>0</v>
      </c>
      <c r="ZN6" s="119">
        <v>0</v>
      </c>
      <c r="ZO6">
        <v>0</v>
      </c>
      <c r="ZP6">
        <v>0</v>
      </c>
      <c r="ZQ6">
        <v>0</v>
      </c>
      <c r="ZR6" s="119">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s="116">
        <v>0</v>
      </c>
      <c r="AAQ6" s="116">
        <v>0</v>
      </c>
      <c r="AAR6" s="116">
        <v>0</v>
      </c>
      <c r="AAS6" s="116">
        <v>0</v>
      </c>
      <c r="AAT6" s="116">
        <v>0</v>
      </c>
      <c r="AAU6" s="116">
        <v>0</v>
      </c>
      <c r="AAV6" s="116">
        <v>0</v>
      </c>
      <c r="AAW6" s="116">
        <v>0</v>
      </c>
      <c r="AAX6" s="116">
        <v>0</v>
      </c>
      <c r="AAY6" s="128">
        <v>0</v>
      </c>
      <c r="AAZ6" s="128">
        <v>0</v>
      </c>
      <c r="ABA6" s="128">
        <v>0</v>
      </c>
      <c r="ABB6" s="128">
        <v>0</v>
      </c>
      <c r="ABC6">
        <v>0</v>
      </c>
      <c r="ABD6" s="119">
        <v>0</v>
      </c>
      <c r="ABE6" s="119">
        <v>0</v>
      </c>
      <c r="ABF6" s="119">
        <v>0</v>
      </c>
      <c r="ABG6" s="119">
        <v>0</v>
      </c>
      <c r="ABH6" s="121">
        <v>0</v>
      </c>
      <c r="ABI6" s="119">
        <v>0</v>
      </c>
      <c r="ABJ6" s="119">
        <v>0</v>
      </c>
      <c r="ABK6">
        <v>0</v>
      </c>
      <c r="ABL6">
        <v>0</v>
      </c>
      <c r="ABM6">
        <v>0</v>
      </c>
      <c r="ABN6" s="119">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s="116">
        <v>0</v>
      </c>
      <c r="ACM6" s="116">
        <v>0</v>
      </c>
      <c r="ACN6" s="116">
        <v>0</v>
      </c>
      <c r="ACO6" s="116">
        <v>0</v>
      </c>
      <c r="ACP6" s="116">
        <v>0</v>
      </c>
      <c r="ACQ6" s="116">
        <v>0</v>
      </c>
      <c r="ACR6" s="116">
        <v>0</v>
      </c>
      <c r="ACS6" s="116">
        <v>0</v>
      </c>
      <c r="ACT6" s="116">
        <v>0</v>
      </c>
      <c r="ACU6" s="128">
        <v>0</v>
      </c>
      <c r="ACV6" s="128">
        <v>0</v>
      </c>
      <c r="ACW6" s="128">
        <v>0</v>
      </c>
      <c r="ACX6" s="128">
        <v>0</v>
      </c>
      <c r="ACY6">
        <v>0</v>
      </c>
      <c r="ACZ6" s="119">
        <v>0</v>
      </c>
      <c r="ADA6" s="119">
        <v>0</v>
      </c>
      <c r="ADB6" s="119">
        <v>0</v>
      </c>
      <c r="ADC6" s="119">
        <v>0</v>
      </c>
      <c r="ADD6" s="121">
        <v>0</v>
      </c>
      <c r="ADE6" s="119">
        <v>0</v>
      </c>
      <c r="ADF6" s="119">
        <v>0</v>
      </c>
      <c r="ADG6">
        <v>0</v>
      </c>
      <c r="ADH6">
        <v>0</v>
      </c>
      <c r="ADI6">
        <v>0</v>
      </c>
      <c r="ADJ6" s="119">
        <v>0</v>
      </c>
      <c r="ADK6">
        <v>0</v>
      </c>
      <c r="ADL6">
        <v>0</v>
      </c>
      <c r="ADM6">
        <v>0</v>
      </c>
      <c r="ADN6">
        <v>0</v>
      </c>
      <c r="ADO6">
        <v>0</v>
      </c>
      <c r="ADP6">
        <v>0</v>
      </c>
      <c r="ADQ6">
        <v>0</v>
      </c>
      <c r="ADR6">
        <v>0</v>
      </c>
      <c r="ADS6">
        <v>0</v>
      </c>
      <c r="ADT6">
        <v>0</v>
      </c>
      <c r="ADU6">
        <v>0</v>
      </c>
      <c r="ADV6">
        <v>0</v>
      </c>
      <c r="ADW6">
        <v>0</v>
      </c>
      <c r="ADX6">
        <v>0</v>
      </c>
      <c r="ADY6">
        <v>0</v>
      </c>
      <c r="ADZ6">
        <v>0</v>
      </c>
      <c r="AEA6">
        <v>0</v>
      </c>
      <c r="AEB6">
        <v>0</v>
      </c>
      <c r="AEC6">
        <v>0</v>
      </c>
      <c r="AED6">
        <v>0</v>
      </c>
      <c r="AEE6">
        <v>0</v>
      </c>
      <c r="AEF6">
        <v>0</v>
      </c>
      <c r="AEG6">
        <v>0</v>
      </c>
      <c r="AEH6" s="116">
        <v>0</v>
      </c>
      <c r="AEI6" s="116">
        <v>0</v>
      </c>
      <c r="AEJ6" s="116">
        <v>0</v>
      </c>
      <c r="AEK6" s="116">
        <v>0</v>
      </c>
      <c r="AEL6" s="116">
        <v>0</v>
      </c>
      <c r="AEM6" s="116">
        <v>0</v>
      </c>
      <c r="AEN6" s="116">
        <v>0</v>
      </c>
      <c r="AEO6" s="116">
        <v>0</v>
      </c>
      <c r="AEP6" s="116">
        <v>0</v>
      </c>
      <c r="AEQ6" s="128">
        <v>0</v>
      </c>
      <c r="AER6" s="128">
        <v>0</v>
      </c>
      <c r="AES6" s="128">
        <v>0</v>
      </c>
      <c r="AET6" s="128">
        <v>0</v>
      </c>
      <c r="AEU6">
        <v>0</v>
      </c>
      <c r="AEV6" s="119">
        <v>0</v>
      </c>
      <c r="AEW6" s="119">
        <v>0</v>
      </c>
      <c r="AEX6" s="119">
        <v>0</v>
      </c>
      <c r="AEY6" s="119">
        <v>0</v>
      </c>
      <c r="AEZ6" s="121">
        <v>0</v>
      </c>
      <c r="AFA6" s="119">
        <v>0</v>
      </c>
      <c r="AFB6" s="119">
        <v>0</v>
      </c>
      <c r="AFC6">
        <v>0</v>
      </c>
      <c r="AFD6">
        <v>0</v>
      </c>
      <c r="AFE6">
        <v>0</v>
      </c>
      <c r="AFF6" s="119">
        <v>0</v>
      </c>
      <c r="AFG6">
        <v>0</v>
      </c>
      <c r="AFH6">
        <v>0</v>
      </c>
      <c r="AFI6">
        <v>0</v>
      </c>
      <c r="AFJ6">
        <v>0</v>
      </c>
      <c r="AFK6">
        <v>0</v>
      </c>
      <c r="AFL6">
        <v>0</v>
      </c>
      <c r="AFM6">
        <v>0</v>
      </c>
      <c r="AFN6">
        <v>0</v>
      </c>
      <c r="AFO6">
        <v>0</v>
      </c>
      <c r="AFP6">
        <v>0</v>
      </c>
      <c r="AFQ6">
        <v>0</v>
      </c>
      <c r="AFR6">
        <v>0</v>
      </c>
      <c r="AFS6">
        <v>0</v>
      </c>
      <c r="AFT6">
        <v>0</v>
      </c>
      <c r="AFU6">
        <v>0</v>
      </c>
      <c r="AFV6">
        <v>0</v>
      </c>
      <c r="AFW6">
        <v>0</v>
      </c>
      <c r="AFX6">
        <v>0</v>
      </c>
      <c r="AFY6">
        <v>0</v>
      </c>
      <c r="AFZ6">
        <v>0</v>
      </c>
      <c r="AGA6">
        <v>0</v>
      </c>
      <c r="AGB6">
        <v>0</v>
      </c>
      <c r="AGC6">
        <v>0</v>
      </c>
      <c r="AGD6" s="116">
        <v>0</v>
      </c>
      <c r="AGE6" s="116">
        <v>0</v>
      </c>
      <c r="AGF6" s="116">
        <v>0</v>
      </c>
      <c r="AGG6" s="116">
        <v>0</v>
      </c>
      <c r="AGH6" s="116">
        <v>0</v>
      </c>
      <c r="AGI6" s="116">
        <v>0</v>
      </c>
      <c r="AGJ6" s="116">
        <v>0</v>
      </c>
      <c r="AGK6" s="116">
        <v>0</v>
      </c>
      <c r="AGL6" s="116">
        <v>0</v>
      </c>
      <c r="AGM6" s="128">
        <v>0</v>
      </c>
      <c r="AGN6" s="128">
        <v>0</v>
      </c>
      <c r="AGO6" s="128">
        <v>0</v>
      </c>
      <c r="AGP6" s="128">
        <v>0</v>
      </c>
      <c r="AGQ6">
        <v>0</v>
      </c>
      <c r="AGR6" s="119">
        <v>0</v>
      </c>
      <c r="AGS6" s="119">
        <v>0</v>
      </c>
      <c r="AGT6" s="119">
        <v>0</v>
      </c>
      <c r="AGU6" s="119">
        <v>0</v>
      </c>
      <c r="AGV6" s="121">
        <v>0</v>
      </c>
      <c r="AGW6" s="119">
        <v>0</v>
      </c>
      <c r="AGX6" s="119">
        <v>0</v>
      </c>
      <c r="AGY6">
        <v>0</v>
      </c>
      <c r="AGZ6">
        <v>0</v>
      </c>
      <c r="AHA6">
        <v>0</v>
      </c>
      <c r="AHB6" s="119">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A6">
        <v>0</v>
      </c>
      <c r="AIB6">
        <v>0</v>
      </c>
      <c r="AIC6">
        <v>0</v>
      </c>
      <c r="AID6">
        <v>0</v>
      </c>
      <c r="AIE6">
        <v>0</v>
      </c>
      <c r="AIF6">
        <v>0</v>
      </c>
      <c r="AIG6">
        <v>0</v>
      </c>
      <c r="AIH6">
        <v>0</v>
      </c>
      <c r="AII6" s="128">
        <v>0</v>
      </c>
      <c r="AIJ6" s="128">
        <v>0</v>
      </c>
      <c r="AIK6" s="128">
        <v>0</v>
      </c>
      <c r="AIL6" s="128">
        <v>0</v>
      </c>
      <c r="AIM6">
        <v>0</v>
      </c>
      <c r="AIN6" s="119">
        <v>0</v>
      </c>
      <c r="AIO6" s="119">
        <v>0</v>
      </c>
      <c r="AIP6" s="119">
        <v>0</v>
      </c>
      <c r="AIQ6" s="119">
        <v>0</v>
      </c>
      <c r="AIR6" s="121">
        <v>0</v>
      </c>
      <c r="AIS6" s="119">
        <v>0</v>
      </c>
      <c r="AIT6" s="119">
        <v>0</v>
      </c>
      <c r="AIU6">
        <v>0</v>
      </c>
      <c r="AIV6">
        <v>0</v>
      </c>
      <c r="AIW6">
        <v>0</v>
      </c>
      <c r="AIX6" s="119">
        <v>0</v>
      </c>
      <c r="AIY6">
        <v>0</v>
      </c>
      <c r="AIZ6">
        <v>0</v>
      </c>
      <c r="AJA6">
        <v>0</v>
      </c>
      <c r="AJB6">
        <v>0</v>
      </c>
      <c r="AJC6">
        <v>0</v>
      </c>
      <c r="AJD6">
        <v>0</v>
      </c>
      <c r="AJE6">
        <v>0</v>
      </c>
      <c r="AJF6">
        <v>0</v>
      </c>
      <c r="AJG6">
        <v>0</v>
      </c>
      <c r="AJH6">
        <v>0</v>
      </c>
      <c r="AJI6">
        <v>0</v>
      </c>
      <c r="AJJ6">
        <v>0</v>
      </c>
      <c r="AJK6">
        <v>0</v>
      </c>
      <c r="AJL6">
        <v>0</v>
      </c>
      <c r="AJM6">
        <v>0</v>
      </c>
      <c r="AJN6">
        <v>0</v>
      </c>
      <c r="AJO6">
        <v>0</v>
      </c>
      <c r="AJP6">
        <v>0</v>
      </c>
      <c r="AJQ6">
        <v>0</v>
      </c>
      <c r="AJR6">
        <v>0</v>
      </c>
      <c r="AJS6">
        <v>0</v>
      </c>
      <c r="AJT6">
        <v>0</v>
      </c>
      <c r="AJU6">
        <v>0</v>
      </c>
      <c r="AJV6" s="116">
        <v>0</v>
      </c>
      <c r="AJW6" s="116">
        <v>0</v>
      </c>
      <c r="AJX6" s="116">
        <v>0</v>
      </c>
      <c r="AJY6" s="116">
        <v>0</v>
      </c>
      <c r="AJZ6" s="116">
        <v>0</v>
      </c>
      <c r="AKA6" s="116">
        <v>0</v>
      </c>
      <c r="AKB6" s="116">
        <v>0</v>
      </c>
      <c r="AKC6" s="116">
        <v>0</v>
      </c>
      <c r="AKD6" s="116">
        <v>0</v>
      </c>
      <c r="AKE6" s="128">
        <v>0</v>
      </c>
      <c r="AKF6" s="128">
        <v>0</v>
      </c>
      <c r="AKG6" s="128">
        <v>0</v>
      </c>
      <c r="AKH6" s="128">
        <v>0</v>
      </c>
      <c r="AKI6">
        <v>0</v>
      </c>
      <c r="AKJ6" s="119">
        <v>0</v>
      </c>
      <c r="AKK6" s="119">
        <v>0</v>
      </c>
      <c r="AKL6" s="119">
        <v>0</v>
      </c>
      <c r="AKM6" s="119">
        <v>0</v>
      </c>
      <c r="AKN6" s="121">
        <v>0</v>
      </c>
      <c r="AKO6" s="119">
        <v>0</v>
      </c>
      <c r="AKP6" s="119">
        <v>0</v>
      </c>
      <c r="AKQ6">
        <v>0</v>
      </c>
      <c r="AKR6">
        <v>0</v>
      </c>
      <c r="AKS6">
        <v>0</v>
      </c>
      <c r="AKT6" s="119">
        <v>0</v>
      </c>
      <c r="AKU6">
        <v>0</v>
      </c>
      <c r="AKV6">
        <v>0</v>
      </c>
      <c r="AKW6">
        <v>0</v>
      </c>
      <c r="AKX6">
        <v>0</v>
      </c>
      <c r="AKY6">
        <v>0</v>
      </c>
      <c r="AKZ6">
        <v>0</v>
      </c>
      <c r="ALA6">
        <v>0</v>
      </c>
      <c r="ALB6">
        <v>0</v>
      </c>
      <c r="ALC6">
        <v>0</v>
      </c>
      <c r="ALD6">
        <v>0</v>
      </c>
      <c r="ALE6">
        <v>0</v>
      </c>
      <c r="ALF6">
        <v>0</v>
      </c>
      <c r="ALG6">
        <v>0</v>
      </c>
      <c r="ALH6">
        <v>0</v>
      </c>
      <c r="ALI6">
        <v>0</v>
      </c>
      <c r="ALJ6">
        <v>0</v>
      </c>
      <c r="ALK6">
        <v>0</v>
      </c>
      <c r="ALL6">
        <v>0</v>
      </c>
      <c r="ALM6">
        <v>0</v>
      </c>
      <c r="ALN6">
        <v>0</v>
      </c>
      <c r="ALO6">
        <v>0</v>
      </c>
      <c r="ALP6">
        <v>0</v>
      </c>
      <c r="ALQ6">
        <v>0</v>
      </c>
      <c r="ALR6" s="116">
        <v>0</v>
      </c>
      <c r="ALS6" s="116">
        <v>0</v>
      </c>
      <c r="ALT6" s="116">
        <v>0</v>
      </c>
      <c r="ALU6" s="116">
        <v>0</v>
      </c>
      <c r="ALV6" s="116">
        <v>0</v>
      </c>
      <c r="ALW6" s="116">
        <v>0</v>
      </c>
      <c r="ALX6" s="116">
        <v>0</v>
      </c>
      <c r="ALY6" s="116">
        <v>0</v>
      </c>
      <c r="ALZ6" s="116">
        <v>0</v>
      </c>
      <c r="AMA6" s="128">
        <v>0</v>
      </c>
      <c r="AMB6" s="128">
        <v>0</v>
      </c>
      <c r="AMC6" s="128">
        <v>0</v>
      </c>
      <c r="AMD6" s="128">
        <v>0</v>
      </c>
      <c r="AME6">
        <v>0</v>
      </c>
      <c r="AMF6" s="119">
        <v>0</v>
      </c>
      <c r="AMG6" s="119">
        <v>0</v>
      </c>
      <c r="AMH6" s="119">
        <v>0</v>
      </c>
      <c r="AMI6" s="119">
        <v>0</v>
      </c>
      <c r="AMJ6" s="121">
        <v>0</v>
      </c>
      <c r="AMK6" s="119">
        <v>0</v>
      </c>
      <c r="AML6" s="119">
        <v>0</v>
      </c>
      <c r="AMM6">
        <v>0</v>
      </c>
      <c r="AMN6">
        <v>0</v>
      </c>
      <c r="AMO6">
        <v>0</v>
      </c>
      <c r="AMP6" s="119">
        <v>0</v>
      </c>
      <c r="AMQ6">
        <v>0</v>
      </c>
      <c r="AMR6">
        <v>0</v>
      </c>
      <c r="AMS6">
        <v>0</v>
      </c>
      <c r="AMT6">
        <v>0</v>
      </c>
      <c r="AMU6">
        <v>0</v>
      </c>
      <c r="AMV6">
        <v>0</v>
      </c>
      <c r="AMW6">
        <v>0</v>
      </c>
      <c r="AMX6">
        <v>0</v>
      </c>
      <c r="AMY6">
        <v>0</v>
      </c>
      <c r="AMZ6">
        <v>0</v>
      </c>
      <c r="ANA6">
        <v>0</v>
      </c>
      <c r="ANB6">
        <v>0</v>
      </c>
      <c r="ANC6">
        <v>0</v>
      </c>
      <c r="AND6">
        <v>0</v>
      </c>
      <c r="ANE6">
        <v>0</v>
      </c>
      <c r="ANF6">
        <v>0</v>
      </c>
      <c r="ANG6">
        <v>0</v>
      </c>
      <c r="ANH6">
        <v>0</v>
      </c>
      <c r="ANI6">
        <v>0</v>
      </c>
      <c r="ANJ6">
        <v>0</v>
      </c>
      <c r="ANK6">
        <v>0</v>
      </c>
      <c r="ANL6">
        <v>0</v>
      </c>
      <c r="ANM6">
        <v>0</v>
      </c>
      <c r="ANN6" s="116">
        <v>0</v>
      </c>
      <c r="ANO6" s="116">
        <v>0</v>
      </c>
      <c r="ANP6" s="116">
        <v>0</v>
      </c>
      <c r="ANQ6" s="116">
        <v>0</v>
      </c>
      <c r="ANR6" s="116">
        <v>0</v>
      </c>
      <c r="ANS6" s="116">
        <v>0</v>
      </c>
      <c r="ANT6" s="116">
        <v>0</v>
      </c>
      <c r="ANU6" s="116">
        <v>0</v>
      </c>
      <c r="ANV6" s="116">
        <v>0</v>
      </c>
      <c r="ANW6" s="128">
        <v>0</v>
      </c>
      <c r="ANX6" s="128">
        <v>0</v>
      </c>
      <c r="ANY6" s="128">
        <v>0</v>
      </c>
      <c r="ANZ6" s="128">
        <v>0</v>
      </c>
      <c r="AOA6">
        <v>0</v>
      </c>
      <c r="AOB6" s="119">
        <v>0</v>
      </c>
      <c r="AOC6" s="119">
        <v>0</v>
      </c>
      <c r="AOD6" s="119">
        <v>0</v>
      </c>
      <c r="AOE6" s="119">
        <v>0</v>
      </c>
      <c r="AOF6" s="121">
        <v>0</v>
      </c>
      <c r="AOG6" s="119">
        <v>0</v>
      </c>
      <c r="AOH6" s="119">
        <v>0</v>
      </c>
      <c r="AOI6">
        <v>0</v>
      </c>
      <c r="AOJ6">
        <v>0</v>
      </c>
      <c r="AOK6">
        <v>0</v>
      </c>
      <c r="AOL6" s="119">
        <v>0</v>
      </c>
      <c r="AOM6">
        <v>0</v>
      </c>
      <c r="AON6">
        <v>0</v>
      </c>
      <c r="AOO6">
        <v>0</v>
      </c>
      <c r="AOP6">
        <v>0</v>
      </c>
      <c r="AOQ6">
        <v>0</v>
      </c>
      <c r="AOR6">
        <v>0</v>
      </c>
      <c r="AOS6">
        <v>0</v>
      </c>
      <c r="AOT6">
        <v>0</v>
      </c>
      <c r="AOU6">
        <v>0</v>
      </c>
      <c r="AOV6">
        <v>0</v>
      </c>
      <c r="AOW6">
        <v>0</v>
      </c>
      <c r="AOX6">
        <v>0</v>
      </c>
      <c r="AOY6">
        <v>0</v>
      </c>
      <c r="AOZ6">
        <v>0</v>
      </c>
      <c r="APA6">
        <v>0</v>
      </c>
      <c r="APB6">
        <v>0</v>
      </c>
      <c r="APC6">
        <v>0</v>
      </c>
      <c r="APD6">
        <v>0</v>
      </c>
      <c r="APE6">
        <v>0</v>
      </c>
      <c r="APF6">
        <v>0</v>
      </c>
      <c r="APG6">
        <v>0</v>
      </c>
      <c r="APH6">
        <v>0</v>
      </c>
      <c r="API6">
        <v>0</v>
      </c>
      <c r="APJ6" s="116">
        <v>0</v>
      </c>
      <c r="APK6" s="116">
        <v>0</v>
      </c>
      <c r="APL6" s="116">
        <v>0</v>
      </c>
      <c r="APM6" s="116">
        <v>0</v>
      </c>
      <c r="APN6" s="116">
        <v>0</v>
      </c>
      <c r="APO6" s="116">
        <v>0</v>
      </c>
      <c r="APP6" s="116">
        <v>0</v>
      </c>
      <c r="APQ6" s="116">
        <v>0</v>
      </c>
      <c r="APR6" s="116">
        <v>0</v>
      </c>
      <c r="APS6" s="128">
        <v>0</v>
      </c>
      <c r="APT6" s="128">
        <v>0</v>
      </c>
      <c r="APU6" s="128">
        <v>0</v>
      </c>
      <c r="APV6" s="128">
        <v>0</v>
      </c>
      <c r="APW6">
        <v>0</v>
      </c>
      <c r="APX6" s="119">
        <v>0</v>
      </c>
      <c r="APY6" s="119">
        <v>0</v>
      </c>
      <c r="APZ6" s="119">
        <v>0</v>
      </c>
      <c r="AQA6" s="119">
        <v>0</v>
      </c>
      <c r="AQB6" s="121">
        <v>0</v>
      </c>
      <c r="AQC6" s="119">
        <v>0</v>
      </c>
      <c r="AQD6" s="119">
        <v>0</v>
      </c>
      <c r="AQE6">
        <v>0</v>
      </c>
      <c r="AQF6">
        <v>0</v>
      </c>
      <c r="AQG6">
        <v>0</v>
      </c>
      <c r="AQH6" s="119">
        <v>0</v>
      </c>
      <c r="AQI6">
        <v>0</v>
      </c>
      <c r="AQJ6">
        <v>0</v>
      </c>
      <c r="AQK6">
        <v>0</v>
      </c>
      <c r="AQL6">
        <v>0</v>
      </c>
      <c r="AQM6">
        <v>0</v>
      </c>
      <c r="AQN6">
        <v>0</v>
      </c>
      <c r="AQO6">
        <v>0</v>
      </c>
      <c r="AQP6">
        <v>0</v>
      </c>
      <c r="AQQ6">
        <v>0</v>
      </c>
      <c r="AQR6">
        <v>0</v>
      </c>
      <c r="AQS6">
        <v>0</v>
      </c>
      <c r="AQT6">
        <v>0</v>
      </c>
      <c r="AQU6">
        <v>0</v>
      </c>
      <c r="AQV6">
        <v>0</v>
      </c>
      <c r="AQW6">
        <v>0</v>
      </c>
      <c r="AQX6">
        <v>0</v>
      </c>
      <c r="AQY6">
        <v>0</v>
      </c>
      <c r="AQZ6">
        <v>0</v>
      </c>
      <c r="ARA6">
        <v>0</v>
      </c>
      <c r="ARB6">
        <v>0</v>
      </c>
      <c r="ARC6">
        <v>0</v>
      </c>
      <c r="ARD6">
        <v>0</v>
      </c>
      <c r="ARE6">
        <v>0</v>
      </c>
      <c r="ARF6">
        <v>0</v>
      </c>
      <c r="ARG6">
        <v>0</v>
      </c>
      <c r="ARH6">
        <v>0</v>
      </c>
      <c r="ARI6">
        <v>0</v>
      </c>
      <c r="ARJ6">
        <v>0</v>
      </c>
      <c r="ARK6">
        <v>0</v>
      </c>
      <c r="ARL6">
        <v>0</v>
      </c>
      <c r="ARM6">
        <v>0</v>
      </c>
      <c r="ARN6">
        <v>0</v>
      </c>
      <c r="ARO6" s="128">
        <v>0</v>
      </c>
      <c r="ARP6" s="128">
        <v>0</v>
      </c>
      <c r="ARQ6" s="128">
        <v>0</v>
      </c>
      <c r="ARR6" s="128">
        <v>0</v>
      </c>
      <c r="ARS6">
        <v>0</v>
      </c>
      <c r="ART6" s="119">
        <v>0</v>
      </c>
      <c r="ARU6" s="119">
        <v>0</v>
      </c>
      <c r="ARV6" s="119">
        <v>0</v>
      </c>
      <c r="ARW6" s="119">
        <v>0</v>
      </c>
      <c r="ARX6" s="121">
        <v>0</v>
      </c>
      <c r="ARY6" s="119">
        <v>0</v>
      </c>
      <c r="ARZ6" s="119">
        <v>0</v>
      </c>
      <c r="ASA6">
        <v>0</v>
      </c>
      <c r="ASB6">
        <v>0</v>
      </c>
      <c r="ASC6">
        <v>0</v>
      </c>
      <c r="ASD6" s="119">
        <v>0</v>
      </c>
      <c r="ASE6">
        <v>0</v>
      </c>
      <c r="ASF6">
        <v>0</v>
      </c>
      <c r="ASG6">
        <v>0</v>
      </c>
      <c r="ASH6">
        <v>0</v>
      </c>
      <c r="ASI6">
        <v>0</v>
      </c>
      <c r="ASJ6">
        <v>0</v>
      </c>
      <c r="ASK6">
        <v>0</v>
      </c>
      <c r="ASL6">
        <v>0</v>
      </c>
      <c r="ASM6">
        <v>0</v>
      </c>
      <c r="ASN6">
        <v>0</v>
      </c>
      <c r="ASO6">
        <v>0</v>
      </c>
      <c r="ASP6">
        <v>0</v>
      </c>
      <c r="ASQ6">
        <v>0</v>
      </c>
      <c r="ASR6">
        <v>0</v>
      </c>
      <c r="ASS6">
        <v>0</v>
      </c>
      <c r="AST6">
        <v>0</v>
      </c>
      <c r="ASU6">
        <v>0</v>
      </c>
      <c r="ASV6">
        <v>0</v>
      </c>
      <c r="ASW6">
        <v>0</v>
      </c>
      <c r="ASX6">
        <v>0</v>
      </c>
      <c r="ASY6">
        <v>0</v>
      </c>
      <c r="ASZ6">
        <v>0</v>
      </c>
      <c r="ATA6">
        <v>0</v>
      </c>
      <c r="ATB6" s="116">
        <v>0</v>
      </c>
      <c r="ATC6" s="116">
        <v>0</v>
      </c>
      <c r="ATD6" s="116">
        <v>0</v>
      </c>
      <c r="ATE6" s="116">
        <v>0</v>
      </c>
      <c r="ATF6" s="116">
        <v>0</v>
      </c>
      <c r="ATG6" s="116">
        <v>0</v>
      </c>
      <c r="ATH6" s="116">
        <v>0</v>
      </c>
      <c r="ATI6" s="116">
        <v>0</v>
      </c>
      <c r="ATJ6" s="116">
        <v>0</v>
      </c>
      <c r="ATK6" s="128">
        <v>0</v>
      </c>
      <c r="ATL6" s="128">
        <v>0</v>
      </c>
      <c r="ATM6" s="128">
        <v>0</v>
      </c>
      <c r="ATN6" s="128">
        <v>0</v>
      </c>
      <c r="ATO6">
        <v>0</v>
      </c>
      <c r="ATP6" s="119">
        <v>0</v>
      </c>
      <c r="ATQ6" s="119">
        <v>0</v>
      </c>
      <c r="ATR6" s="119">
        <v>0</v>
      </c>
      <c r="ATS6" s="119">
        <v>0</v>
      </c>
      <c r="ATT6" s="121">
        <v>0</v>
      </c>
      <c r="ATU6" s="119">
        <v>0</v>
      </c>
      <c r="ATV6" s="119">
        <v>0</v>
      </c>
      <c r="ATW6">
        <v>0</v>
      </c>
      <c r="ATX6">
        <v>0</v>
      </c>
      <c r="ATY6">
        <v>0</v>
      </c>
      <c r="ATZ6" s="119">
        <v>0</v>
      </c>
      <c r="AUA6">
        <v>0</v>
      </c>
      <c r="AUB6">
        <v>0</v>
      </c>
      <c r="AUC6">
        <v>0</v>
      </c>
      <c r="AUD6">
        <v>0</v>
      </c>
      <c r="AUE6">
        <v>0</v>
      </c>
      <c r="AUF6">
        <v>0</v>
      </c>
      <c r="AUG6">
        <v>0</v>
      </c>
      <c r="AUH6">
        <v>0</v>
      </c>
      <c r="AUI6">
        <v>0</v>
      </c>
      <c r="AUJ6">
        <v>0</v>
      </c>
      <c r="AUK6">
        <v>0</v>
      </c>
      <c r="AUL6">
        <v>0</v>
      </c>
      <c r="AUM6">
        <v>0</v>
      </c>
      <c r="AUN6">
        <v>0</v>
      </c>
      <c r="AUO6">
        <v>0</v>
      </c>
      <c r="AUP6">
        <v>0</v>
      </c>
      <c r="AUQ6">
        <v>0</v>
      </c>
      <c r="AUR6">
        <v>0</v>
      </c>
      <c r="AUS6">
        <v>0</v>
      </c>
      <c r="AUT6">
        <v>0</v>
      </c>
      <c r="AUU6">
        <v>0</v>
      </c>
      <c r="AUV6">
        <v>0</v>
      </c>
      <c r="AUW6">
        <v>0</v>
      </c>
      <c r="AUX6" s="116">
        <v>0</v>
      </c>
      <c r="AUY6" s="116">
        <v>0</v>
      </c>
      <c r="AUZ6" s="116">
        <v>0</v>
      </c>
      <c r="AVA6" s="116">
        <v>0</v>
      </c>
      <c r="AVB6" s="116">
        <v>0</v>
      </c>
      <c r="AVC6" s="116">
        <v>0</v>
      </c>
      <c r="AVD6" s="116">
        <v>0</v>
      </c>
      <c r="AVE6" s="116">
        <v>0</v>
      </c>
      <c r="AVF6" s="116">
        <v>0</v>
      </c>
      <c r="AVG6" s="128">
        <v>0</v>
      </c>
      <c r="AVH6" s="128">
        <v>0</v>
      </c>
      <c r="AVI6" s="128">
        <v>0</v>
      </c>
      <c r="AVJ6" s="128">
        <v>0</v>
      </c>
      <c r="AVK6">
        <v>0</v>
      </c>
      <c r="AVL6" s="119">
        <v>0</v>
      </c>
      <c r="AVM6" s="119">
        <v>0</v>
      </c>
      <c r="AVN6" s="119">
        <v>0</v>
      </c>
      <c r="AVO6" s="119">
        <v>0</v>
      </c>
      <c r="AVP6" s="121">
        <v>0</v>
      </c>
      <c r="AVQ6" s="119">
        <v>0</v>
      </c>
      <c r="AVR6" s="119">
        <v>0</v>
      </c>
      <c r="AVS6">
        <v>0</v>
      </c>
      <c r="AVT6">
        <v>0</v>
      </c>
      <c r="AVU6">
        <v>0</v>
      </c>
      <c r="AVV6" s="119">
        <v>0</v>
      </c>
      <c r="AVW6">
        <v>0</v>
      </c>
      <c r="AVX6">
        <v>0</v>
      </c>
      <c r="AVY6">
        <v>0</v>
      </c>
      <c r="AVZ6">
        <v>0</v>
      </c>
      <c r="AWA6">
        <v>0</v>
      </c>
      <c r="AWB6">
        <v>0</v>
      </c>
      <c r="AWC6">
        <v>0</v>
      </c>
      <c r="AWD6">
        <v>0</v>
      </c>
      <c r="AWE6">
        <v>0</v>
      </c>
      <c r="AWF6">
        <v>0</v>
      </c>
      <c r="AWG6">
        <v>0</v>
      </c>
      <c r="AWH6">
        <v>0</v>
      </c>
      <c r="AWI6">
        <v>0</v>
      </c>
      <c r="AWJ6">
        <v>0</v>
      </c>
      <c r="AWK6">
        <v>0</v>
      </c>
      <c r="AWL6">
        <v>0</v>
      </c>
      <c r="AWM6">
        <v>0</v>
      </c>
      <c r="AWN6">
        <v>0</v>
      </c>
      <c r="AWO6">
        <v>0</v>
      </c>
      <c r="AWP6">
        <v>0</v>
      </c>
      <c r="AWQ6">
        <v>0</v>
      </c>
      <c r="AWR6">
        <v>0</v>
      </c>
      <c r="AWS6">
        <v>0</v>
      </c>
      <c r="AWT6" s="116">
        <v>0</v>
      </c>
      <c r="AWU6" s="116">
        <v>0</v>
      </c>
      <c r="AWV6" s="116">
        <v>0</v>
      </c>
      <c r="AWW6" s="116">
        <v>0</v>
      </c>
      <c r="AWX6" s="116">
        <v>0</v>
      </c>
      <c r="AWY6" s="116">
        <v>0</v>
      </c>
      <c r="AWZ6" s="116">
        <v>0</v>
      </c>
      <c r="AXA6" s="116">
        <v>0</v>
      </c>
      <c r="AXB6" s="116">
        <v>0</v>
      </c>
      <c r="AXC6" s="128">
        <v>0</v>
      </c>
      <c r="AXD6" s="128">
        <v>0</v>
      </c>
      <c r="AXE6" s="128">
        <v>0</v>
      </c>
      <c r="AXF6" s="128">
        <v>0</v>
      </c>
      <c r="AXG6">
        <v>0</v>
      </c>
      <c r="AXH6" s="119">
        <v>0</v>
      </c>
      <c r="AXI6" s="119">
        <v>0</v>
      </c>
      <c r="AXJ6" s="119">
        <v>0</v>
      </c>
      <c r="AXK6" s="119">
        <v>0</v>
      </c>
      <c r="AXL6" s="121">
        <v>0</v>
      </c>
      <c r="AXM6" s="119">
        <v>0</v>
      </c>
      <c r="AXN6" s="119">
        <v>0</v>
      </c>
      <c r="AXO6">
        <v>0</v>
      </c>
      <c r="AXP6">
        <v>0</v>
      </c>
      <c r="AXQ6">
        <v>0</v>
      </c>
      <c r="AXR6" s="119">
        <v>0</v>
      </c>
      <c r="AXS6">
        <v>0</v>
      </c>
      <c r="AXT6">
        <v>0</v>
      </c>
      <c r="AXU6">
        <v>0</v>
      </c>
      <c r="AXV6">
        <v>0</v>
      </c>
      <c r="AXW6">
        <v>0</v>
      </c>
      <c r="AXX6">
        <v>0</v>
      </c>
      <c r="AXY6">
        <v>0</v>
      </c>
      <c r="AXZ6">
        <v>0</v>
      </c>
      <c r="AYA6">
        <v>0</v>
      </c>
      <c r="AYB6">
        <v>0</v>
      </c>
      <c r="AYC6">
        <v>0</v>
      </c>
      <c r="AYD6">
        <v>0</v>
      </c>
      <c r="AYE6">
        <v>0</v>
      </c>
      <c r="AYF6">
        <v>0</v>
      </c>
      <c r="AYG6">
        <v>0</v>
      </c>
      <c r="AYH6">
        <v>0</v>
      </c>
      <c r="AYI6">
        <v>0</v>
      </c>
      <c r="AYJ6">
        <v>0</v>
      </c>
      <c r="AYK6">
        <v>0</v>
      </c>
      <c r="AYL6">
        <v>0</v>
      </c>
      <c r="AYM6">
        <v>0</v>
      </c>
      <c r="AYN6">
        <v>0</v>
      </c>
      <c r="AYO6">
        <v>0</v>
      </c>
      <c r="AYP6" s="116">
        <v>0</v>
      </c>
      <c r="AYQ6" s="116">
        <v>0</v>
      </c>
      <c r="AYR6" s="116">
        <v>0</v>
      </c>
      <c r="AYS6" s="116">
        <v>0</v>
      </c>
      <c r="AYT6" s="116">
        <v>0</v>
      </c>
      <c r="AYU6" s="116">
        <v>0</v>
      </c>
      <c r="AYV6" s="116">
        <v>0</v>
      </c>
      <c r="AYW6" s="116">
        <v>0</v>
      </c>
      <c r="AYX6" s="116">
        <v>0</v>
      </c>
      <c r="AYY6" s="128">
        <v>0</v>
      </c>
      <c r="AYZ6" s="128">
        <v>0</v>
      </c>
      <c r="AZA6" s="128">
        <v>0</v>
      </c>
      <c r="AZB6" s="128">
        <v>0</v>
      </c>
      <c r="AZC6">
        <v>0</v>
      </c>
      <c r="AZD6" s="119">
        <v>0</v>
      </c>
      <c r="AZE6" s="119">
        <v>0</v>
      </c>
      <c r="AZF6" s="119">
        <v>0</v>
      </c>
      <c r="AZG6" s="119">
        <v>0</v>
      </c>
      <c r="AZH6" s="121">
        <v>0</v>
      </c>
      <c r="AZI6" s="119">
        <v>0</v>
      </c>
      <c r="AZJ6" s="119">
        <v>0</v>
      </c>
      <c r="AZK6">
        <v>0</v>
      </c>
      <c r="AZL6">
        <v>0</v>
      </c>
      <c r="AZM6">
        <v>0</v>
      </c>
      <c r="AZN6" s="119">
        <v>0</v>
      </c>
      <c r="AZO6">
        <v>0</v>
      </c>
      <c r="AZP6">
        <v>0</v>
      </c>
      <c r="AZQ6">
        <v>0</v>
      </c>
      <c r="AZR6">
        <v>0</v>
      </c>
      <c r="AZS6">
        <v>0</v>
      </c>
      <c r="AZT6">
        <v>0</v>
      </c>
      <c r="AZU6">
        <v>0</v>
      </c>
      <c r="AZV6">
        <v>0</v>
      </c>
      <c r="AZW6">
        <v>0</v>
      </c>
      <c r="AZX6">
        <v>0</v>
      </c>
      <c r="AZY6">
        <v>0</v>
      </c>
      <c r="AZZ6">
        <v>0</v>
      </c>
      <c r="BAA6">
        <v>0</v>
      </c>
      <c r="BAB6">
        <v>0</v>
      </c>
      <c r="BAC6">
        <v>0</v>
      </c>
      <c r="BAD6">
        <v>0</v>
      </c>
      <c r="BAE6">
        <v>0</v>
      </c>
      <c r="BAF6">
        <v>0</v>
      </c>
      <c r="BAG6">
        <v>0</v>
      </c>
      <c r="BAH6">
        <v>0</v>
      </c>
      <c r="BAI6">
        <v>0</v>
      </c>
      <c r="BAJ6">
        <v>0</v>
      </c>
      <c r="BAK6">
        <v>337895</v>
      </c>
      <c r="BAL6">
        <v>8400.89</v>
      </c>
      <c r="BAM6" s="120">
        <v>7428.89</v>
      </c>
      <c r="BAN6" s="120">
        <v>972</v>
      </c>
      <c r="BAO6" s="120">
        <v>245</v>
      </c>
      <c r="BAP6" s="120">
        <v>0</v>
      </c>
      <c r="BAQ6" s="120">
        <v>686</v>
      </c>
      <c r="BAR6" s="120">
        <v>0</v>
      </c>
      <c r="BAS6" s="116">
        <v>0</v>
      </c>
      <c r="BAT6" s="116">
        <v>0</v>
      </c>
      <c r="BAU6" s="116">
        <v>0</v>
      </c>
      <c r="BAV6" s="116">
        <v>0</v>
      </c>
      <c r="BAW6" s="116">
        <v>0</v>
      </c>
      <c r="BAX6" s="116">
        <v>0</v>
      </c>
      <c r="BAY6" s="116">
        <v>0</v>
      </c>
      <c r="BAZ6" s="116">
        <v>0</v>
      </c>
      <c r="BBA6" s="116">
        <v>0</v>
      </c>
      <c r="BBB6" s="116">
        <v>0</v>
      </c>
      <c r="BBC6" s="116">
        <v>0</v>
      </c>
      <c r="BBD6" s="116">
        <v>0</v>
      </c>
      <c r="BBE6" s="116">
        <v>0</v>
      </c>
      <c r="BBF6" s="116">
        <v>0</v>
      </c>
      <c r="BBG6" s="116">
        <v>0</v>
      </c>
      <c r="BBH6" s="116">
        <v>0</v>
      </c>
      <c r="BBI6" s="116">
        <v>0</v>
      </c>
      <c r="BBJ6" s="116">
        <v>0</v>
      </c>
      <c r="BBK6" s="116">
        <v>0</v>
      </c>
      <c r="BBL6" s="116">
        <v>0</v>
      </c>
      <c r="BBM6" s="116">
        <v>0</v>
      </c>
      <c r="BBN6" s="116">
        <v>0</v>
      </c>
      <c r="BBO6" s="116">
        <v>0</v>
      </c>
      <c r="BBP6" s="116">
        <v>0</v>
      </c>
      <c r="BBQ6" s="116">
        <v>0</v>
      </c>
      <c r="BBR6" s="116">
        <v>0</v>
      </c>
      <c r="BBS6" s="116">
        <v>0</v>
      </c>
      <c r="BBT6" s="116">
        <v>0</v>
      </c>
      <c r="BBU6" s="116">
        <v>0</v>
      </c>
      <c r="BBV6" s="116">
        <v>0</v>
      </c>
      <c r="BBW6" s="116">
        <v>0</v>
      </c>
      <c r="BBX6" s="116">
        <v>0</v>
      </c>
      <c r="BBY6" s="116">
        <v>0</v>
      </c>
      <c r="BBZ6" s="116">
        <v>0</v>
      </c>
      <c r="BCA6" s="116">
        <v>0</v>
      </c>
      <c r="BCB6" s="116">
        <v>0</v>
      </c>
      <c r="BCC6" s="116">
        <v>0</v>
      </c>
      <c r="BCD6" s="116">
        <v>0</v>
      </c>
      <c r="BCE6" s="116">
        <v>0</v>
      </c>
      <c r="BCF6" s="116">
        <v>0</v>
      </c>
      <c r="BCG6" s="116">
        <v>0</v>
      </c>
      <c r="BCH6" s="116">
        <v>0</v>
      </c>
      <c r="BCI6" s="116">
        <v>0</v>
      </c>
      <c r="BCJ6" s="116">
        <v>0</v>
      </c>
      <c r="BCK6" s="116">
        <v>0</v>
      </c>
      <c r="BCL6" s="116">
        <v>0</v>
      </c>
      <c r="BCM6" s="116">
        <v>0</v>
      </c>
      <c r="BCN6" s="116">
        <v>0</v>
      </c>
      <c r="BCO6" s="116">
        <v>0</v>
      </c>
      <c r="BCP6" s="116">
        <v>9</v>
      </c>
      <c r="BCQ6" s="304">
        <v>9</v>
      </c>
      <c r="BCR6" s="304">
        <v>9</v>
      </c>
      <c r="BCS6" s="304" t="s">
        <v>3200</v>
      </c>
      <c r="BCT6" s="304">
        <v>9</v>
      </c>
      <c r="BCU6" s="304">
        <v>9</v>
      </c>
      <c r="BCV6" s="304" t="s">
        <v>3200</v>
      </c>
      <c r="BCW6" s="304">
        <v>9</v>
      </c>
      <c r="BCX6" s="304">
        <v>9</v>
      </c>
      <c r="BCY6" s="304">
        <v>0</v>
      </c>
      <c r="BCZ6" s="304">
        <v>0</v>
      </c>
      <c r="BDA6" s="304">
        <v>0</v>
      </c>
      <c r="BDB6" s="304">
        <v>0</v>
      </c>
      <c r="BDC6" s="304">
        <v>0</v>
      </c>
      <c r="BDD6" s="304">
        <v>0</v>
      </c>
      <c r="BDE6" s="304">
        <v>0</v>
      </c>
      <c r="BDF6" s="304">
        <v>0</v>
      </c>
      <c r="BDG6" s="304">
        <v>0</v>
      </c>
      <c r="BDH6" s="304">
        <v>0</v>
      </c>
      <c r="BDI6" s="304">
        <v>0</v>
      </c>
      <c r="BDJ6" s="304">
        <v>0</v>
      </c>
      <c r="BDK6" s="304">
        <v>0</v>
      </c>
      <c r="BDL6" s="304">
        <v>0</v>
      </c>
      <c r="BDM6" s="304">
        <v>0</v>
      </c>
      <c r="BDN6" s="304">
        <v>0</v>
      </c>
      <c r="BDO6" s="304">
        <v>0</v>
      </c>
      <c r="BDP6" s="304">
        <v>0</v>
      </c>
      <c r="BDQ6" s="304">
        <v>0</v>
      </c>
      <c r="BDR6">
        <v>0</v>
      </c>
      <c r="BDS6">
        <v>0</v>
      </c>
      <c r="BDT6">
        <v>0</v>
      </c>
      <c r="BDU6">
        <v>0</v>
      </c>
      <c r="BDV6">
        <v>0</v>
      </c>
      <c r="BDW6">
        <v>0</v>
      </c>
      <c r="BDX6">
        <v>0</v>
      </c>
      <c r="BDY6">
        <v>0</v>
      </c>
      <c r="BDZ6">
        <v>0</v>
      </c>
      <c r="BEA6">
        <v>0</v>
      </c>
      <c r="BEB6">
        <v>0</v>
      </c>
      <c r="BEC6">
        <v>0</v>
      </c>
      <c r="BED6">
        <v>0</v>
      </c>
      <c r="BEE6">
        <v>0</v>
      </c>
      <c r="BEF6">
        <v>0</v>
      </c>
      <c r="BEG6">
        <v>0</v>
      </c>
      <c r="BEH6">
        <v>0</v>
      </c>
      <c r="BEI6">
        <v>0</v>
      </c>
      <c r="BEJ6">
        <v>0</v>
      </c>
      <c r="BEK6">
        <v>0</v>
      </c>
      <c r="BEL6">
        <v>0</v>
      </c>
      <c r="BEM6">
        <v>0</v>
      </c>
      <c r="BEN6">
        <v>0</v>
      </c>
      <c r="BEO6">
        <v>0</v>
      </c>
      <c r="BEP6">
        <v>0</v>
      </c>
      <c r="BEQ6">
        <v>0</v>
      </c>
      <c r="BER6">
        <v>0</v>
      </c>
      <c r="BES6">
        <v>0</v>
      </c>
      <c r="BET6">
        <v>0</v>
      </c>
      <c r="BEU6">
        <v>0</v>
      </c>
      <c r="BEV6">
        <v>0</v>
      </c>
      <c r="BEW6">
        <v>0</v>
      </c>
      <c r="BEX6">
        <v>0</v>
      </c>
      <c r="BEY6">
        <v>0</v>
      </c>
      <c r="BEZ6">
        <v>0</v>
      </c>
      <c r="BFA6">
        <v>0</v>
      </c>
      <c r="BFB6">
        <v>0</v>
      </c>
      <c r="BFC6">
        <v>0</v>
      </c>
      <c r="BFD6" t="b">
        <v>0</v>
      </c>
      <c r="BFE6" t="b">
        <v>0</v>
      </c>
      <c r="BFF6" t="b">
        <v>0</v>
      </c>
      <c r="BFG6" t="b">
        <v>0</v>
      </c>
      <c r="BFH6">
        <v>0</v>
      </c>
      <c r="BFI6">
        <v>0</v>
      </c>
      <c r="BFJ6">
        <v>0</v>
      </c>
      <c r="BFK6">
        <v>0</v>
      </c>
      <c r="BFL6">
        <v>0</v>
      </c>
      <c r="BFM6">
        <v>0</v>
      </c>
      <c r="BFN6">
        <v>0</v>
      </c>
      <c r="BFO6">
        <v>0</v>
      </c>
      <c r="BFP6">
        <v>0</v>
      </c>
      <c r="BFQ6">
        <v>0</v>
      </c>
      <c r="BFR6">
        <v>0</v>
      </c>
      <c r="BFS6">
        <v>0</v>
      </c>
      <c r="BFT6">
        <v>0</v>
      </c>
      <c r="BFU6">
        <v>0</v>
      </c>
      <c r="BFV6">
        <v>0</v>
      </c>
      <c r="BFW6">
        <v>0</v>
      </c>
      <c r="BFX6">
        <v>0</v>
      </c>
      <c r="BFY6">
        <v>0</v>
      </c>
    </row>
    <row r="7" spans="1:1533" x14ac:dyDescent="0.25">
      <c r="A7" t="s">
        <v>2750</v>
      </c>
      <c r="B7" t="s">
        <v>2751</v>
      </c>
      <c r="C7">
        <v>130</v>
      </c>
      <c r="D7">
        <v>45</v>
      </c>
      <c r="E7">
        <v>0</v>
      </c>
      <c r="F7">
        <v>0</v>
      </c>
      <c r="G7">
        <v>0</v>
      </c>
      <c r="H7" t="s">
        <v>2404</v>
      </c>
      <c r="I7" t="s">
        <v>2403</v>
      </c>
      <c r="J7" t="s">
        <v>2403</v>
      </c>
      <c r="K7" t="s">
        <v>2403</v>
      </c>
      <c r="L7" t="s">
        <v>2403</v>
      </c>
      <c r="M7" t="s">
        <v>1883</v>
      </c>
      <c r="N7" t="s">
        <v>2403</v>
      </c>
      <c r="O7" t="s">
        <v>1883</v>
      </c>
      <c r="P7" t="s">
        <v>1883</v>
      </c>
      <c r="Q7" t="s">
        <v>2403</v>
      </c>
      <c r="R7" t="s">
        <v>1883</v>
      </c>
      <c r="S7" t="s">
        <v>1639</v>
      </c>
      <c r="T7" t="s">
        <v>2404</v>
      </c>
      <c r="U7" t="s">
        <v>2424</v>
      </c>
      <c r="V7" t="s">
        <v>2614</v>
      </c>
      <c r="W7" t="s">
        <v>309</v>
      </c>
      <c r="X7">
        <v>1100</v>
      </c>
      <c r="Y7">
        <v>43432</v>
      </c>
      <c r="Z7">
        <v>393</v>
      </c>
      <c r="AA7">
        <v>0</v>
      </c>
      <c r="AB7">
        <v>125</v>
      </c>
      <c r="AC7" t="s">
        <v>272</v>
      </c>
      <c r="AD7">
        <v>75</v>
      </c>
      <c r="AE7">
        <v>7</v>
      </c>
      <c r="AF7">
        <v>43460</v>
      </c>
      <c r="AG7">
        <v>45</v>
      </c>
      <c r="AH7">
        <v>2800</v>
      </c>
      <c r="AI7">
        <v>0</v>
      </c>
      <c r="AJ7" t="s">
        <v>271</v>
      </c>
      <c r="AK7">
        <v>0.159</v>
      </c>
      <c r="AL7">
        <v>0</v>
      </c>
      <c r="AM7">
        <v>200</v>
      </c>
      <c r="AN7">
        <v>47083</v>
      </c>
      <c r="AO7">
        <v>0.17041165043223216</v>
      </c>
      <c r="AP7">
        <v>18002.150000000001</v>
      </c>
      <c r="AQ7">
        <v>19623.180000000037</v>
      </c>
      <c r="AR7">
        <v>37625.330000000038</v>
      </c>
      <c r="AS7">
        <v>313.56</v>
      </c>
      <c r="AT7">
        <v>311.69</v>
      </c>
      <c r="AU7" t="s">
        <v>1889</v>
      </c>
      <c r="AV7" t="s">
        <v>2737</v>
      </c>
      <c r="AW7" t="s">
        <v>2738</v>
      </c>
      <c r="AX7">
        <v>19</v>
      </c>
      <c r="AY7">
        <v>0</v>
      </c>
      <c r="AZ7">
        <v>43392</v>
      </c>
      <c r="BA7">
        <v>100</v>
      </c>
      <c r="BB7">
        <v>2</v>
      </c>
      <c r="BC7">
        <v>3</v>
      </c>
      <c r="BD7" t="s">
        <v>415</v>
      </c>
      <c r="BE7">
        <v>304</v>
      </c>
      <c r="BF7">
        <v>152</v>
      </c>
      <c r="BG7">
        <v>43429</v>
      </c>
      <c r="BH7">
        <v>120</v>
      </c>
      <c r="BI7">
        <v>0</v>
      </c>
      <c r="BJ7">
        <v>50</v>
      </c>
      <c r="BK7">
        <v>43468</v>
      </c>
      <c r="BL7">
        <v>0</v>
      </c>
      <c r="BM7">
        <v>0</v>
      </c>
      <c r="BN7">
        <v>0</v>
      </c>
      <c r="BO7" t="s">
        <v>2752</v>
      </c>
      <c r="BP7" t="s">
        <v>2403</v>
      </c>
      <c r="BQ7" t="s">
        <v>2403</v>
      </c>
      <c r="BR7" t="s">
        <v>2403</v>
      </c>
      <c r="BS7">
        <v>999996437</v>
      </c>
      <c r="BT7">
        <v>22437</v>
      </c>
      <c r="BU7" t="s">
        <v>2753</v>
      </c>
      <c r="BV7" t="s">
        <v>2754</v>
      </c>
      <c r="BW7" t="s">
        <v>1981</v>
      </c>
      <c r="BX7">
        <v>70080</v>
      </c>
      <c r="BY7" t="s">
        <v>2755</v>
      </c>
      <c r="BZ7" t="s">
        <v>2754</v>
      </c>
      <c r="CA7">
        <v>70080</v>
      </c>
      <c r="CB7" t="s">
        <v>1981</v>
      </c>
      <c r="CC7" t="s">
        <v>316</v>
      </c>
      <c r="CD7" t="s">
        <v>2752</v>
      </c>
      <c r="CE7" t="s">
        <v>2757</v>
      </c>
      <c r="CF7" t="s">
        <v>2758</v>
      </c>
      <c r="CG7" t="s">
        <v>2759</v>
      </c>
      <c r="CH7">
        <v>0</v>
      </c>
      <c r="CI7">
        <v>0</v>
      </c>
      <c r="CJ7">
        <v>0</v>
      </c>
      <c r="CK7">
        <v>0</v>
      </c>
      <c r="CL7">
        <v>0</v>
      </c>
      <c r="CM7">
        <v>5129341722</v>
      </c>
      <c r="CN7" t="s">
        <v>2760</v>
      </c>
      <c r="CO7" t="s">
        <v>2756</v>
      </c>
      <c r="CP7">
        <v>0</v>
      </c>
      <c r="CQ7">
        <v>0</v>
      </c>
      <c r="CR7">
        <v>0</v>
      </c>
      <c r="CS7">
        <v>0</v>
      </c>
      <c r="CT7">
        <v>0</v>
      </c>
      <c r="CU7">
        <v>0</v>
      </c>
      <c r="CV7">
        <v>0</v>
      </c>
      <c r="CW7">
        <v>999992477</v>
      </c>
      <c r="CX7">
        <v>21746</v>
      </c>
      <c r="CY7" t="s">
        <v>2755</v>
      </c>
      <c r="CZ7" t="s">
        <v>2754</v>
      </c>
      <c r="DA7">
        <v>70080</v>
      </c>
      <c r="DB7" t="s">
        <v>1981</v>
      </c>
      <c r="DC7" t="s">
        <v>316</v>
      </c>
      <c r="DD7" t="s">
        <v>2756</v>
      </c>
      <c r="DE7" t="s">
        <v>2761</v>
      </c>
      <c r="DF7">
        <v>0</v>
      </c>
      <c r="DG7">
        <v>0</v>
      </c>
      <c r="DH7">
        <v>0</v>
      </c>
      <c r="DI7">
        <v>0</v>
      </c>
      <c r="DJ7">
        <v>0</v>
      </c>
      <c r="DK7">
        <v>0</v>
      </c>
      <c r="DL7">
        <v>0</v>
      </c>
      <c r="DM7">
        <v>5123211256</v>
      </c>
      <c r="DN7" t="s">
        <v>2760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1493</v>
      </c>
      <c r="EP7">
        <v>16931.150390625</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t="s">
        <v>2762</v>
      </c>
      <c r="GQ7">
        <v>0</v>
      </c>
      <c r="GR7">
        <v>0</v>
      </c>
      <c r="GS7">
        <v>0</v>
      </c>
      <c r="GT7" t="s">
        <v>2763</v>
      </c>
      <c r="GU7">
        <v>5229.2299999999996</v>
      </c>
      <c r="GV7">
        <v>0</v>
      </c>
      <c r="GW7">
        <v>0</v>
      </c>
      <c r="GX7">
        <v>0</v>
      </c>
      <c r="GY7">
        <v>0</v>
      </c>
      <c r="GZ7">
        <v>0</v>
      </c>
      <c r="HA7">
        <v>0</v>
      </c>
      <c r="HB7">
        <v>0</v>
      </c>
      <c r="HC7">
        <v>5229.22998046875</v>
      </c>
      <c r="HD7">
        <v>353077</v>
      </c>
      <c r="HE7">
        <v>180848</v>
      </c>
      <c r="HF7" t="s">
        <v>66</v>
      </c>
      <c r="HG7" t="s">
        <v>66</v>
      </c>
      <c r="HH7" t="s">
        <v>271</v>
      </c>
      <c r="HI7">
        <v>353077</v>
      </c>
      <c r="HJ7" t="s">
        <v>271</v>
      </c>
      <c r="HK7">
        <v>0</v>
      </c>
      <c r="HL7">
        <v>0</v>
      </c>
      <c r="HM7">
        <v>0</v>
      </c>
      <c r="HN7">
        <v>0</v>
      </c>
      <c r="HO7">
        <v>0</v>
      </c>
      <c r="HP7" t="s">
        <v>2738</v>
      </c>
      <c r="HQ7" t="s">
        <v>1883</v>
      </c>
      <c r="HR7" t="s">
        <v>1633</v>
      </c>
      <c r="HS7" t="s">
        <v>2764</v>
      </c>
      <c r="HT7">
        <v>0</v>
      </c>
      <c r="HU7">
        <v>0</v>
      </c>
      <c r="HV7">
        <v>0</v>
      </c>
      <c r="HW7" t="s">
        <v>2765</v>
      </c>
      <c r="HX7">
        <v>0</v>
      </c>
      <c r="HY7">
        <v>0</v>
      </c>
      <c r="HZ7">
        <v>0</v>
      </c>
      <c r="IA7">
        <v>75065</v>
      </c>
      <c r="IB7" t="s">
        <v>271</v>
      </c>
      <c r="IC7">
        <v>0</v>
      </c>
      <c r="ID7">
        <v>0</v>
      </c>
      <c r="IE7">
        <v>0</v>
      </c>
      <c r="IF7">
        <v>0</v>
      </c>
      <c r="IG7">
        <v>0</v>
      </c>
      <c r="IH7">
        <v>0</v>
      </c>
      <c r="II7">
        <v>0</v>
      </c>
      <c r="IJ7">
        <v>0</v>
      </c>
      <c r="IK7">
        <v>0</v>
      </c>
      <c r="IL7" t="s">
        <v>2766</v>
      </c>
      <c r="IM7">
        <v>0</v>
      </c>
      <c r="IN7">
        <v>0</v>
      </c>
      <c r="IO7">
        <v>0</v>
      </c>
      <c r="IP7" t="s">
        <v>2767</v>
      </c>
      <c r="IQ7">
        <v>4019.17</v>
      </c>
      <c r="IR7">
        <v>0</v>
      </c>
      <c r="IS7">
        <v>0</v>
      </c>
      <c r="IT7">
        <v>0</v>
      </c>
      <c r="IU7">
        <v>4019.169921875</v>
      </c>
      <c r="IV7">
        <v>0</v>
      </c>
      <c r="IW7">
        <v>0</v>
      </c>
      <c r="IX7" t="s">
        <v>16</v>
      </c>
      <c r="IY7" t="s">
        <v>16</v>
      </c>
      <c r="IZ7" t="s">
        <v>271</v>
      </c>
      <c r="JA7">
        <v>0</v>
      </c>
      <c r="JB7" t="s">
        <v>271</v>
      </c>
      <c r="JC7">
        <v>0</v>
      </c>
      <c r="JD7">
        <v>0</v>
      </c>
      <c r="JE7">
        <v>0</v>
      </c>
      <c r="JF7" t="s">
        <v>1633</v>
      </c>
      <c r="JG7" t="s">
        <v>2768</v>
      </c>
      <c r="JH7">
        <v>0</v>
      </c>
      <c r="JI7">
        <v>0</v>
      </c>
      <c r="JJ7">
        <v>0</v>
      </c>
      <c r="JK7" t="s">
        <v>2765</v>
      </c>
      <c r="JL7">
        <v>0</v>
      </c>
      <c r="JM7">
        <v>0</v>
      </c>
      <c r="JN7">
        <v>0</v>
      </c>
      <c r="JO7">
        <v>0</v>
      </c>
      <c r="JP7">
        <v>0</v>
      </c>
      <c r="JQ7">
        <v>0</v>
      </c>
      <c r="JR7">
        <v>0</v>
      </c>
      <c r="JS7">
        <v>0</v>
      </c>
      <c r="JT7">
        <v>0</v>
      </c>
      <c r="JU7">
        <v>0</v>
      </c>
      <c r="JV7">
        <v>0</v>
      </c>
      <c r="JW7">
        <v>78662</v>
      </c>
      <c r="JX7" t="s">
        <v>271</v>
      </c>
      <c r="JY7">
        <v>0</v>
      </c>
      <c r="JZ7">
        <v>0</v>
      </c>
      <c r="KA7">
        <v>0</v>
      </c>
      <c r="KB7">
        <v>0</v>
      </c>
      <c r="KC7">
        <v>0</v>
      </c>
      <c r="KD7">
        <v>0</v>
      </c>
      <c r="KE7">
        <v>0</v>
      </c>
      <c r="KF7">
        <v>0</v>
      </c>
      <c r="KG7">
        <v>0</v>
      </c>
      <c r="KH7" t="s">
        <v>2769</v>
      </c>
      <c r="KI7">
        <v>0</v>
      </c>
      <c r="KJ7">
        <v>0</v>
      </c>
      <c r="KK7">
        <v>0</v>
      </c>
      <c r="KL7" t="s">
        <v>2770</v>
      </c>
      <c r="KM7">
        <v>7682.75</v>
      </c>
      <c r="KN7">
        <v>0</v>
      </c>
      <c r="KO7">
        <v>0</v>
      </c>
      <c r="KP7">
        <v>0</v>
      </c>
      <c r="KQ7">
        <v>7682.75</v>
      </c>
      <c r="KR7">
        <v>0</v>
      </c>
      <c r="KS7">
        <v>0</v>
      </c>
      <c r="KT7" t="s">
        <v>16</v>
      </c>
      <c r="KU7" t="s">
        <v>16</v>
      </c>
      <c r="KV7" t="s">
        <v>271</v>
      </c>
      <c r="KW7">
        <v>0</v>
      </c>
      <c r="KX7">
        <v>0</v>
      </c>
      <c r="KY7" t="s">
        <v>271</v>
      </c>
      <c r="KZ7">
        <v>0</v>
      </c>
      <c r="LA7" t="s">
        <v>1633</v>
      </c>
      <c r="LB7" t="s">
        <v>2768</v>
      </c>
      <c r="LC7">
        <v>0</v>
      </c>
      <c r="LD7">
        <v>0</v>
      </c>
      <c r="LE7">
        <v>0</v>
      </c>
      <c r="LF7">
        <v>0</v>
      </c>
      <c r="LG7" t="s">
        <v>2765</v>
      </c>
      <c r="LH7">
        <v>0</v>
      </c>
      <c r="LI7">
        <v>0</v>
      </c>
      <c r="LJ7">
        <v>0</v>
      </c>
      <c r="LK7">
        <v>78602</v>
      </c>
      <c r="LL7">
        <v>0</v>
      </c>
      <c r="LM7">
        <v>0</v>
      </c>
      <c r="LN7">
        <v>0</v>
      </c>
      <c r="LO7">
        <v>0</v>
      </c>
      <c r="LP7">
        <v>0</v>
      </c>
      <c r="LQ7">
        <v>0</v>
      </c>
      <c r="LR7">
        <v>0</v>
      </c>
      <c r="LS7">
        <v>0</v>
      </c>
      <c r="LT7" t="s">
        <v>271</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t="s">
        <v>271</v>
      </c>
      <c r="MS7">
        <v>0</v>
      </c>
      <c r="MT7">
        <v>0</v>
      </c>
      <c r="MU7" t="s">
        <v>271</v>
      </c>
      <c r="MV7">
        <v>0</v>
      </c>
      <c r="MW7">
        <v>0</v>
      </c>
      <c r="MX7">
        <v>0</v>
      </c>
      <c r="MY7">
        <v>0</v>
      </c>
      <c r="MZ7">
        <v>0</v>
      </c>
      <c r="NA7">
        <v>0</v>
      </c>
      <c r="NB7">
        <v>0</v>
      </c>
      <c r="NC7">
        <v>0</v>
      </c>
      <c r="ND7">
        <v>0</v>
      </c>
      <c r="NE7">
        <v>0</v>
      </c>
      <c r="NF7">
        <v>0</v>
      </c>
      <c r="NG7">
        <v>0</v>
      </c>
      <c r="NH7">
        <v>0</v>
      </c>
      <c r="NI7">
        <v>0</v>
      </c>
      <c r="NJ7">
        <v>0</v>
      </c>
      <c r="NK7">
        <v>0</v>
      </c>
      <c r="NL7">
        <v>0</v>
      </c>
      <c r="NM7">
        <v>0</v>
      </c>
      <c r="NN7">
        <v>0</v>
      </c>
      <c r="NO7">
        <v>0</v>
      </c>
      <c r="NP7" t="s">
        <v>271</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t="s">
        <v>271</v>
      </c>
      <c r="OO7">
        <v>0</v>
      </c>
      <c r="OP7">
        <v>0</v>
      </c>
      <c r="OQ7" t="s">
        <v>271</v>
      </c>
      <c r="OR7">
        <v>0</v>
      </c>
      <c r="OS7">
        <v>0</v>
      </c>
      <c r="OT7">
        <v>0</v>
      </c>
      <c r="OU7">
        <v>0</v>
      </c>
      <c r="OV7">
        <v>0</v>
      </c>
      <c r="OW7">
        <v>0</v>
      </c>
      <c r="OX7">
        <v>0</v>
      </c>
      <c r="OY7">
        <v>0</v>
      </c>
      <c r="OZ7">
        <v>0</v>
      </c>
      <c r="PA7">
        <v>0</v>
      </c>
      <c r="PB7">
        <v>0</v>
      </c>
      <c r="PC7">
        <v>0</v>
      </c>
      <c r="PD7">
        <v>0</v>
      </c>
      <c r="PE7">
        <v>0</v>
      </c>
      <c r="PF7">
        <v>0</v>
      </c>
      <c r="PG7">
        <v>0</v>
      </c>
      <c r="PH7">
        <v>0</v>
      </c>
      <c r="PI7">
        <v>0</v>
      </c>
      <c r="PJ7">
        <v>0</v>
      </c>
      <c r="PK7">
        <v>0</v>
      </c>
      <c r="PL7" t="s">
        <v>271</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t="s">
        <v>271</v>
      </c>
      <c r="QK7">
        <v>0</v>
      </c>
      <c r="QL7">
        <v>0</v>
      </c>
      <c r="QM7" t="s">
        <v>271</v>
      </c>
      <c r="QN7">
        <v>0</v>
      </c>
      <c r="QO7">
        <v>0</v>
      </c>
      <c r="QP7">
        <v>0</v>
      </c>
      <c r="QQ7">
        <v>0</v>
      </c>
      <c r="QR7">
        <v>0</v>
      </c>
      <c r="QS7">
        <v>0</v>
      </c>
      <c r="QT7">
        <v>0</v>
      </c>
      <c r="QU7">
        <v>0</v>
      </c>
      <c r="QV7">
        <v>0</v>
      </c>
      <c r="QW7">
        <v>0</v>
      </c>
      <c r="QX7">
        <v>0</v>
      </c>
      <c r="QY7">
        <v>0</v>
      </c>
      <c r="QZ7">
        <v>0</v>
      </c>
      <c r="RA7">
        <v>0</v>
      </c>
      <c r="RB7">
        <v>0</v>
      </c>
      <c r="RC7">
        <v>0</v>
      </c>
      <c r="RD7">
        <v>0</v>
      </c>
      <c r="RE7">
        <v>0</v>
      </c>
      <c r="RF7">
        <v>0</v>
      </c>
      <c r="RG7">
        <v>0</v>
      </c>
      <c r="RH7" t="s">
        <v>271</v>
      </c>
      <c r="RI7">
        <v>0</v>
      </c>
      <c r="RJ7">
        <v>0</v>
      </c>
      <c r="RK7">
        <v>0</v>
      </c>
      <c r="RL7">
        <v>0</v>
      </c>
      <c r="RM7">
        <v>0</v>
      </c>
      <c r="RN7">
        <v>0</v>
      </c>
      <c r="RO7">
        <v>0</v>
      </c>
      <c r="RP7">
        <v>0</v>
      </c>
      <c r="RQ7">
        <v>0</v>
      </c>
      <c r="RR7">
        <v>0</v>
      </c>
      <c r="RS7">
        <v>0</v>
      </c>
      <c r="RT7">
        <v>0</v>
      </c>
      <c r="RU7">
        <v>0</v>
      </c>
      <c r="RV7">
        <v>0</v>
      </c>
      <c r="RW7">
        <v>0</v>
      </c>
      <c r="RX7">
        <v>0</v>
      </c>
      <c r="RY7">
        <v>0</v>
      </c>
      <c r="RZ7">
        <v>0</v>
      </c>
      <c r="SA7">
        <v>0</v>
      </c>
      <c r="SB7">
        <v>0</v>
      </c>
      <c r="SC7">
        <v>0</v>
      </c>
      <c r="SD7">
        <v>0</v>
      </c>
      <c r="SE7">
        <v>0</v>
      </c>
      <c r="SF7" t="s">
        <v>271</v>
      </c>
      <c r="SG7">
        <v>0</v>
      </c>
      <c r="SH7">
        <v>0</v>
      </c>
      <c r="SI7" t="s">
        <v>271</v>
      </c>
      <c r="SJ7">
        <v>0</v>
      </c>
      <c r="SK7">
        <v>0</v>
      </c>
      <c r="SL7">
        <v>0</v>
      </c>
      <c r="SM7">
        <v>0</v>
      </c>
      <c r="SN7">
        <v>0</v>
      </c>
      <c r="SO7">
        <v>0</v>
      </c>
      <c r="SP7">
        <v>0</v>
      </c>
      <c r="SQ7">
        <v>0</v>
      </c>
      <c r="SR7">
        <v>0</v>
      </c>
      <c r="SS7">
        <v>0</v>
      </c>
      <c r="ST7">
        <v>0</v>
      </c>
      <c r="SU7">
        <v>0</v>
      </c>
      <c r="SV7">
        <v>0</v>
      </c>
      <c r="SW7">
        <v>0</v>
      </c>
      <c r="SX7">
        <v>0</v>
      </c>
      <c r="SY7">
        <v>0</v>
      </c>
      <c r="SZ7">
        <v>0</v>
      </c>
      <c r="TA7">
        <v>0</v>
      </c>
      <c r="TB7">
        <v>0</v>
      </c>
      <c r="TC7">
        <v>0</v>
      </c>
      <c r="TD7" t="s">
        <v>271</v>
      </c>
      <c r="TE7">
        <v>0</v>
      </c>
      <c r="TF7">
        <v>0</v>
      </c>
      <c r="TG7">
        <v>0</v>
      </c>
      <c r="TH7">
        <v>0</v>
      </c>
      <c r="TI7">
        <v>0</v>
      </c>
      <c r="TJ7">
        <v>0</v>
      </c>
      <c r="TK7">
        <v>0</v>
      </c>
      <c r="TL7">
        <v>0</v>
      </c>
      <c r="TM7">
        <v>0</v>
      </c>
      <c r="TN7">
        <v>0</v>
      </c>
      <c r="TO7">
        <v>0</v>
      </c>
      <c r="TP7">
        <v>0</v>
      </c>
      <c r="TQ7">
        <v>0</v>
      </c>
      <c r="TR7">
        <v>0</v>
      </c>
      <c r="TS7">
        <v>0</v>
      </c>
      <c r="TT7">
        <v>0</v>
      </c>
      <c r="TU7">
        <v>0</v>
      </c>
      <c r="TV7">
        <v>0</v>
      </c>
      <c r="TW7">
        <v>0</v>
      </c>
      <c r="TX7">
        <v>0</v>
      </c>
      <c r="TY7">
        <v>0</v>
      </c>
      <c r="TZ7">
        <v>0</v>
      </c>
      <c r="UA7">
        <v>0</v>
      </c>
      <c r="UB7" t="s">
        <v>271</v>
      </c>
      <c r="UC7">
        <v>0</v>
      </c>
      <c r="UD7">
        <v>0</v>
      </c>
      <c r="UE7" t="s">
        <v>271</v>
      </c>
      <c r="UF7">
        <v>0</v>
      </c>
      <c r="UG7">
        <v>0</v>
      </c>
      <c r="UH7">
        <v>0</v>
      </c>
      <c r="UI7">
        <v>0</v>
      </c>
      <c r="UJ7">
        <v>0</v>
      </c>
      <c r="UK7">
        <v>0</v>
      </c>
      <c r="UL7">
        <v>0</v>
      </c>
      <c r="UM7">
        <v>0</v>
      </c>
      <c r="UN7">
        <v>0</v>
      </c>
      <c r="UO7">
        <v>0</v>
      </c>
      <c r="UP7">
        <v>0</v>
      </c>
      <c r="UQ7">
        <v>0</v>
      </c>
      <c r="UR7">
        <v>0</v>
      </c>
      <c r="US7">
        <v>0</v>
      </c>
      <c r="UT7">
        <v>0</v>
      </c>
      <c r="UU7">
        <v>0</v>
      </c>
      <c r="UV7">
        <v>0</v>
      </c>
      <c r="UW7">
        <v>0</v>
      </c>
      <c r="UX7">
        <v>0</v>
      </c>
      <c r="UY7">
        <v>0</v>
      </c>
      <c r="UZ7" t="s">
        <v>271</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t="s">
        <v>271</v>
      </c>
      <c r="VY7">
        <v>0</v>
      </c>
      <c r="VZ7">
        <v>0</v>
      </c>
      <c r="WA7" t="s">
        <v>271</v>
      </c>
      <c r="WB7">
        <v>0</v>
      </c>
      <c r="WC7">
        <v>0</v>
      </c>
      <c r="WD7">
        <v>0</v>
      </c>
      <c r="WE7">
        <v>0</v>
      </c>
      <c r="WF7">
        <v>0</v>
      </c>
      <c r="WG7">
        <v>0</v>
      </c>
      <c r="WH7">
        <v>0</v>
      </c>
      <c r="WI7">
        <v>0</v>
      </c>
      <c r="WJ7">
        <v>0</v>
      </c>
      <c r="WK7">
        <v>0</v>
      </c>
      <c r="WL7">
        <v>0</v>
      </c>
      <c r="WM7">
        <v>0</v>
      </c>
      <c r="WN7">
        <v>0</v>
      </c>
      <c r="WO7">
        <v>0</v>
      </c>
      <c r="WP7">
        <v>0</v>
      </c>
      <c r="WQ7">
        <v>0</v>
      </c>
      <c r="WR7">
        <v>0</v>
      </c>
      <c r="WS7">
        <v>0</v>
      </c>
      <c r="WT7">
        <v>0</v>
      </c>
      <c r="WU7">
        <v>0</v>
      </c>
      <c r="WV7" t="s">
        <v>271</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t="s">
        <v>271</v>
      </c>
      <c r="XU7">
        <v>0</v>
      </c>
      <c r="XV7">
        <v>0</v>
      </c>
      <c r="XW7" t="s">
        <v>271</v>
      </c>
      <c r="XX7">
        <v>0</v>
      </c>
      <c r="XY7">
        <v>0</v>
      </c>
      <c r="XZ7">
        <v>0</v>
      </c>
      <c r="YA7">
        <v>0</v>
      </c>
      <c r="YB7">
        <v>0</v>
      </c>
      <c r="YC7">
        <v>0</v>
      </c>
      <c r="YD7">
        <v>0</v>
      </c>
      <c r="YE7">
        <v>0</v>
      </c>
      <c r="YF7">
        <v>0</v>
      </c>
      <c r="YG7">
        <v>0</v>
      </c>
      <c r="YH7">
        <v>0</v>
      </c>
      <c r="YI7">
        <v>0</v>
      </c>
      <c r="YJ7">
        <v>0</v>
      </c>
      <c r="YK7">
        <v>0</v>
      </c>
      <c r="YL7">
        <v>0</v>
      </c>
      <c r="YM7">
        <v>0</v>
      </c>
      <c r="YN7">
        <v>0</v>
      </c>
      <c r="YO7">
        <v>0</v>
      </c>
      <c r="YP7">
        <v>0</v>
      </c>
      <c r="YQ7">
        <v>0</v>
      </c>
      <c r="YR7" t="s">
        <v>271</v>
      </c>
      <c r="YS7">
        <v>0</v>
      </c>
      <c r="YT7">
        <v>0</v>
      </c>
      <c r="YU7">
        <v>0</v>
      </c>
      <c r="YV7">
        <v>0</v>
      </c>
      <c r="YW7">
        <v>0</v>
      </c>
      <c r="YX7">
        <v>0</v>
      </c>
      <c r="YY7">
        <v>0</v>
      </c>
      <c r="YZ7">
        <v>0</v>
      </c>
      <c r="ZA7">
        <v>0</v>
      </c>
      <c r="ZB7">
        <v>0</v>
      </c>
      <c r="ZC7">
        <v>0</v>
      </c>
      <c r="ZD7">
        <v>0</v>
      </c>
      <c r="ZE7">
        <v>0</v>
      </c>
      <c r="ZF7">
        <v>0</v>
      </c>
      <c r="ZG7">
        <v>0</v>
      </c>
      <c r="ZH7">
        <v>0</v>
      </c>
      <c r="ZI7">
        <v>0</v>
      </c>
      <c r="ZJ7">
        <v>0</v>
      </c>
      <c r="ZK7">
        <v>0</v>
      </c>
      <c r="ZL7">
        <v>0</v>
      </c>
      <c r="ZM7">
        <v>0</v>
      </c>
      <c r="ZN7">
        <v>0</v>
      </c>
      <c r="ZO7">
        <v>0</v>
      </c>
      <c r="ZP7" t="s">
        <v>271</v>
      </c>
      <c r="ZQ7">
        <v>0</v>
      </c>
      <c r="ZR7">
        <v>0</v>
      </c>
      <c r="ZS7" t="s">
        <v>271</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t="s">
        <v>271</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t="s">
        <v>271</v>
      </c>
      <c r="ABM7">
        <v>0</v>
      </c>
      <c r="ABN7">
        <v>0</v>
      </c>
      <c r="ABO7" t="s">
        <v>271</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t="s">
        <v>271</v>
      </c>
      <c r="ACK7">
        <v>0</v>
      </c>
      <c r="ACL7">
        <v>0</v>
      </c>
      <c r="ACM7">
        <v>0</v>
      </c>
      <c r="ACN7">
        <v>0</v>
      </c>
      <c r="ACO7">
        <v>0</v>
      </c>
      <c r="ACP7">
        <v>0</v>
      </c>
      <c r="ACQ7">
        <v>0</v>
      </c>
      <c r="ACR7">
        <v>0</v>
      </c>
      <c r="ACS7">
        <v>0</v>
      </c>
      <c r="ACT7">
        <v>0</v>
      </c>
      <c r="ACU7">
        <v>0</v>
      </c>
      <c r="ACV7">
        <v>0</v>
      </c>
      <c r="ACW7">
        <v>0</v>
      </c>
      <c r="ACX7">
        <v>0</v>
      </c>
      <c r="ACY7">
        <v>0</v>
      </c>
      <c r="ACZ7">
        <v>0</v>
      </c>
      <c r="ADA7">
        <v>0</v>
      </c>
      <c r="ADB7">
        <v>0</v>
      </c>
      <c r="ADC7">
        <v>0</v>
      </c>
      <c r="ADD7">
        <v>0</v>
      </c>
      <c r="ADE7">
        <v>0</v>
      </c>
      <c r="ADF7">
        <v>0</v>
      </c>
      <c r="ADG7">
        <v>0</v>
      </c>
      <c r="ADH7" t="s">
        <v>271</v>
      </c>
      <c r="ADI7">
        <v>0</v>
      </c>
      <c r="ADJ7">
        <v>0</v>
      </c>
      <c r="ADK7" t="s">
        <v>271</v>
      </c>
      <c r="ADL7">
        <v>0</v>
      </c>
      <c r="ADM7">
        <v>0</v>
      </c>
      <c r="ADN7">
        <v>0</v>
      </c>
      <c r="ADO7">
        <v>0</v>
      </c>
      <c r="ADP7">
        <v>0</v>
      </c>
      <c r="ADQ7">
        <v>0</v>
      </c>
      <c r="ADR7">
        <v>0</v>
      </c>
      <c r="ADS7">
        <v>0</v>
      </c>
      <c r="ADT7">
        <v>0</v>
      </c>
      <c r="ADU7">
        <v>0</v>
      </c>
      <c r="ADV7">
        <v>0</v>
      </c>
      <c r="ADW7">
        <v>0</v>
      </c>
      <c r="ADX7">
        <v>0</v>
      </c>
      <c r="ADY7">
        <v>0</v>
      </c>
      <c r="ADZ7">
        <v>0</v>
      </c>
      <c r="AEA7">
        <v>0</v>
      </c>
      <c r="AEB7">
        <v>0</v>
      </c>
      <c r="AEC7">
        <v>0</v>
      </c>
      <c r="AED7">
        <v>0</v>
      </c>
      <c r="AEE7">
        <v>0</v>
      </c>
      <c r="AEF7" t="s">
        <v>271</v>
      </c>
      <c r="AEG7">
        <v>0</v>
      </c>
      <c r="AEH7">
        <v>0</v>
      </c>
      <c r="AEI7">
        <v>0</v>
      </c>
      <c r="AEJ7">
        <v>0</v>
      </c>
      <c r="AEK7">
        <v>0</v>
      </c>
      <c r="AEL7">
        <v>0</v>
      </c>
      <c r="AEM7">
        <v>0</v>
      </c>
      <c r="AEN7">
        <v>0</v>
      </c>
      <c r="AEO7">
        <v>0</v>
      </c>
      <c r="AEP7">
        <v>0</v>
      </c>
      <c r="AEQ7">
        <v>0</v>
      </c>
      <c r="AER7">
        <v>0</v>
      </c>
      <c r="AES7">
        <v>0</v>
      </c>
      <c r="AET7">
        <v>0</v>
      </c>
      <c r="AEU7">
        <v>0</v>
      </c>
      <c r="AEV7">
        <v>0</v>
      </c>
      <c r="AEW7">
        <v>0</v>
      </c>
      <c r="AEX7">
        <v>0</v>
      </c>
      <c r="AEY7">
        <v>0</v>
      </c>
      <c r="AEZ7">
        <v>0</v>
      </c>
      <c r="AFA7">
        <v>0</v>
      </c>
      <c r="AFB7">
        <v>0</v>
      </c>
      <c r="AFC7">
        <v>0</v>
      </c>
      <c r="AFD7" t="s">
        <v>271</v>
      </c>
      <c r="AFE7">
        <v>0</v>
      </c>
      <c r="AFF7">
        <v>0</v>
      </c>
      <c r="AFG7" t="s">
        <v>271</v>
      </c>
      <c r="AFH7">
        <v>0</v>
      </c>
      <c r="AFI7">
        <v>0</v>
      </c>
      <c r="AFJ7">
        <v>0</v>
      </c>
      <c r="AFK7">
        <v>0</v>
      </c>
      <c r="AFL7">
        <v>0</v>
      </c>
      <c r="AFM7">
        <v>0</v>
      </c>
      <c r="AFN7">
        <v>0</v>
      </c>
      <c r="AFO7">
        <v>0</v>
      </c>
      <c r="AFP7">
        <v>0</v>
      </c>
      <c r="AFQ7">
        <v>0</v>
      </c>
      <c r="AFR7">
        <v>0</v>
      </c>
      <c r="AFS7">
        <v>0</v>
      </c>
      <c r="AFT7">
        <v>0</v>
      </c>
      <c r="AFU7">
        <v>0</v>
      </c>
      <c r="AFV7">
        <v>0</v>
      </c>
      <c r="AFW7">
        <v>0</v>
      </c>
      <c r="AFX7">
        <v>0</v>
      </c>
      <c r="AFY7">
        <v>0</v>
      </c>
      <c r="AFZ7">
        <v>0</v>
      </c>
      <c r="AGA7">
        <v>0</v>
      </c>
      <c r="AGB7" t="s">
        <v>271</v>
      </c>
      <c r="AGC7">
        <v>0</v>
      </c>
      <c r="AGD7">
        <v>0</v>
      </c>
      <c r="AGE7">
        <v>0</v>
      </c>
      <c r="AGF7">
        <v>0</v>
      </c>
      <c r="AGG7">
        <v>0</v>
      </c>
      <c r="AGH7">
        <v>0</v>
      </c>
      <c r="AGI7">
        <v>0</v>
      </c>
      <c r="AGJ7">
        <v>0</v>
      </c>
      <c r="AGK7">
        <v>0</v>
      </c>
      <c r="AGL7">
        <v>0</v>
      </c>
      <c r="AGM7">
        <v>0</v>
      </c>
      <c r="AGN7">
        <v>0</v>
      </c>
      <c r="AGO7">
        <v>0</v>
      </c>
      <c r="AGP7">
        <v>0</v>
      </c>
      <c r="AGQ7">
        <v>0</v>
      </c>
      <c r="AGR7">
        <v>0</v>
      </c>
      <c r="AGS7">
        <v>0</v>
      </c>
      <c r="AGT7">
        <v>0</v>
      </c>
      <c r="AGU7">
        <v>0</v>
      </c>
      <c r="AGV7">
        <v>0</v>
      </c>
      <c r="AGW7">
        <v>0</v>
      </c>
      <c r="AGX7">
        <v>0</v>
      </c>
      <c r="AGY7">
        <v>0</v>
      </c>
      <c r="AGZ7" t="s">
        <v>271</v>
      </c>
      <c r="AHA7">
        <v>0</v>
      </c>
      <c r="AHB7">
        <v>0</v>
      </c>
      <c r="AHC7" t="s">
        <v>271</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t="s">
        <v>271</v>
      </c>
      <c r="AHY7">
        <v>0</v>
      </c>
      <c r="AHZ7">
        <v>0</v>
      </c>
      <c r="AIA7">
        <v>0</v>
      </c>
      <c r="AIB7">
        <v>0</v>
      </c>
      <c r="AIC7">
        <v>0</v>
      </c>
      <c r="AID7">
        <v>0</v>
      </c>
      <c r="AIE7">
        <v>0</v>
      </c>
      <c r="AIF7">
        <v>0</v>
      </c>
      <c r="AIG7">
        <v>0</v>
      </c>
      <c r="AIH7">
        <v>0</v>
      </c>
      <c r="AII7">
        <v>0</v>
      </c>
      <c r="AIJ7">
        <v>0</v>
      </c>
      <c r="AIK7">
        <v>0</v>
      </c>
      <c r="AIL7">
        <v>0</v>
      </c>
      <c r="AIM7">
        <v>0</v>
      </c>
      <c r="AIN7">
        <v>0</v>
      </c>
      <c r="AIO7">
        <v>0</v>
      </c>
      <c r="AIP7">
        <v>0</v>
      </c>
      <c r="AIQ7">
        <v>0</v>
      </c>
      <c r="AIR7">
        <v>0</v>
      </c>
      <c r="AIS7">
        <v>0</v>
      </c>
      <c r="AIT7">
        <v>0</v>
      </c>
      <c r="AIU7">
        <v>0</v>
      </c>
      <c r="AIV7" t="s">
        <v>271</v>
      </c>
      <c r="AIW7">
        <v>0</v>
      </c>
      <c r="AIX7">
        <v>0</v>
      </c>
      <c r="AIY7" t="s">
        <v>271</v>
      </c>
      <c r="AIZ7">
        <v>0</v>
      </c>
      <c r="AJA7">
        <v>0</v>
      </c>
      <c r="AJB7">
        <v>0</v>
      </c>
      <c r="AJC7">
        <v>0</v>
      </c>
      <c r="AJD7">
        <v>0</v>
      </c>
      <c r="AJE7">
        <v>0</v>
      </c>
      <c r="AJF7">
        <v>0</v>
      </c>
      <c r="AJG7">
        <v>0</v>
      </c>
      <c r="AJH7">
        <v>0</v>
      </c>
      <c r="AJI7">
        <v>0</v>
      </c>
      <c r="AJJ7">
        <v>0</v>
      </c>
      <c r="AJK7">
        <v>0</v>
      </c>
      <c r="AJL7">
        <v>0</v>
      </c>
      <c r="AJM7">
        <v>0</v>
      </c>
      <c r="AJN7">
        <v>0</v>
      </c>
      <c r="AJO7">
        <v>0</v>
      </c>
      <c r="AJP7">
        <v>0</v>
      </c>
      <c r="AJQ7">
        <v>0</v>
      </c>
      <c r="AJR7">
        <v>0</v>
      </c>
      <c r="AJS7">
        <v>0</v>
      </c>
      <c r="AJT7" t="s">
        <v>271</v>
      </c>
      <c r="AJU7">
        <v>0</v>
      </c>
      <c r="AJV7">
        <v>0</v>
      </c>
      <c r="AJW7">
        <v>0</v>
      </c>
      <c r="AJX7">
        <v>0</v>
      </c>
      <c r="AJY7">
        <v>0</v>
      </c>
      <c r="AJZ7">
        <v>0</v>
      </c>
      <c r="AKA7">
        <v>0</v>
      </c>
      <c r="AKB7">
        <v>0</v>
      </c>
      <c r="AKC7">
        <v>0</v>
      </c>
      <c r="AKD7">
        <v>0</v>
      </c>
      <c r="AKE7">
        <v>0</v>
      </c>
      <c r="AKF7">
        <v>0</v>
      </c>
      <c r="AKG7">
        <v>0</v>
      </c>
      <c r="AKH7">
        <v>0</v>
      </c>
      <c r="AKI7">
        <v>0</v>
      </c>
      <c r="AKJ7">
        <v>0</v>
      </c>
      <c r="AKK7">
        <v>0</v>
      </c>
      <c r="AKL7">
        <v>0</v>
      </c>
      <c r="AKM7">
        <v>0</v>
      </c>
      <c r="AKN7">
        <v>0</v>
      </c>
      <c r="AKO7">
        <v>0</v>
      </c>
      <c r="AKP7">
        <v>0</v>
      </c>
      <c r="AKQ7">
        <v>0</v>
      </c>
      <c r="AKR7" t="s">
        <v>271</v>
      </c>
      <c r="AKS7">
        <v>0</v>
      </c>
      <c r="AKT7">
        <v>0</v>
      </c>
      <c r="AKU7" t="s">
        <v>271</v>
      </c>
      <c r="AKV7">
        <v>0</v>
      </c>
      <c r="AKW7">
        <v>0</v>
      </c>
      <c r="AKX7">
        <v>0</v>
      </c>
      <c r="AKY7">
        <v>0</v>
      </c>
      <c r="AKZ7">
        <v>0</v>
      </c>
      <c r="ALA7">
        <v>0</v>
      </c>
      <c r="ALB7">
        <v>0</v>
      </c>
      <c r="ALC7">
        <v>0</v>
      </c>
      <c r="ALD7">
        <v>0</v>
      </c>
      <c r="ALE7">
        <v>0</v>
      </c>
      <c r="ALF7">
        <v>0</v>
      </c>
      <c r="ALG7">
        <v>0</v>
      </c>
      <c r="ALH7">
        <v>0</v>
      </c>
      <c r="ALI7">
        <v>0</v>
      </c>
      <c r="ALJ7">
        <v>0</v>
      </c>
      <c r="ALK7">
        <v>0</v>
      </c>
      <c r="ALL7">
        <v>0</v>
      </c>
      <c r="ALM7">
        <v>0</v>
      </c>
      <c r="ALN7">
        <v>0</v>
      </c>
      <c r="ALO7">
        <v>0</v>
      </c>
      <c r="ALP7" t="s">
        <v>271</v>
      </c>
      <c r="ALQ7">
        <v>0</v>
      </c>
      <c r="ALR7">
        <v>0</v>
      </c>
      <c r="ALS7">
        <v>0</v>
      </c>
      <c r="ALT7">
        <v>0</v>
      </c>
      <c r="ALU7">
        <v>0</v>
      </c>
      <c r="ALV7">
        <v>0</v>
      </c>
      <c r="ALW7">
        <v>0</v>
      </c>
      <c r="ALX7">
        <v>0</v>
      </c>
      <c r="ALY7">
        <v>0</v>
      </c>
      <c r="ALZ7">
        <v>0</v>
      </c>
      <c r="AMA7">
        <v>0</v>
      </c>
      <c r="AMB7">
        <v>0</v>
      </c>
      <c r="AMC7">
        <v>0</v>
      </c>
      <c r="AMD7">
        <v>0</v>
      </c>
      <c r="AME7">
        <v>0</v>
      </c>
      <c r="AMF7">
        <v>0</v>
      </c>
      <c r="AMG7">
        <v>0</v>
      </c>
      <c r="AMH7">
        <v>0</v>
      </c>
      <c r="AMI7">
        <v>0</v>
      </c>
      <c r="AMJ7">
        <v>0</v>
      </c>
      <c r="AMK7">
        <v>0</v>
      </c>
      <c r="AML7">
        <v>0</v>
      </c>
      <c r="AMM7">
        <v>0</v>
      </c>
      <c r="AMN7" t="s">
        <v>271</v>
      </c>
      <c r="AMO7">
        <v>0</v>
      </c>
      <c r="AMP7">
        <v>0</v>
      </c>
      <c r="AMQ7" t="s">
        <v>271</v>
      </c>
      <c r="AMR7">
        <v>0</v>
      </c>
      <c r="AMS7">
        <v>0</v>
      </c>
      <c r="AMT7">
        <v>0</v>
      </c>
      <c r="AMU7">
        <v>0</v>
      </c>
      <c r="AMV7">
        <v>0</v>
      </c>
      <c r="AMW7">
        <v>0</v>
      </c>
      <c r="AMX7">
        <v>0</v>
      </c>
      <c r="AMY7">
        <v>0</v>
      </c>
      <c r="AMZ7">
        <v>0</v>
      </c>
      <c r="ANA7">
        <v>0</v>
      </c>
      <c r="ANB7">
        <v>0</v>
      </c>
      <c r="ANC7">
        <v>0</v>
      </c>
      <c r="AND7">
        <v>0</v>
      </c>
      <c r="ANE7">
        <v>0</v>
      </c>
      <c r="ANF7">
        <v>0</v>
      </c>
      <c r="ANG7">
        <v>0</v>
      </c>
      <c r="ANH7">
        <v>0</v>
      </c>
      <c r="ANI7">
        <v>0</v>
      </c>
      <c r="ANJ7">
        <v>0</v>
      </c>
      <c r="ANK7">
        <v>0</v>
      </c>
      <c r="ANL7" t="s">
        <v>271</v>
      </c>
      <c r="ANM7">
        <v>0</v>
      </c>
      <c r="ANN7">
        <v>0</v>
      </c>
      <c r="ANO7">
        <v>0</v>
      </c>
      <c r="ANP7">
        <v>0</v>
      </c>
      <c r="ANQ7">
        <v>0</v>
      </c>
      <c r="ANR7">
        <v>0</v>
      </c>
      <c r="ANS7">
        <v>0</v>
      </c>
      <c r="ANT7">
        <v>0</v>
      </c>
      <c r="ANU7">
        <v>0</v>
      </c>
      <c r="ANV7">
        <v>0</v>
      </c>
      <c r="ANW7">
        <v>0</v>
      </c>
      <c r="ANX7">
        <v>0</v>
      </c>
      <c r="ANY7">
        <v>0</v>
      </c>
      <c r="ANZ7">
        <v>0</v>
      </c>
      <c r="AOA7">
        <v>0</v>
      </c>
      <c r="AOB7">
        <v>0</v>
      </c>
      <c r="AOC7">
        <v>0</v>
      </c>
      <c r="AOD7">
        <v>0</v>
      </c>
      <c r="AOE7">
        <v>0</v>
      </c>
      <c r="AOF7">
        <v>0</v>
      </c>
      <c r="AOG7">
        <v>0</v>
      </c>
      <c r="AOH7">
        <v>0</v>
      </c>
      <c r="AOI7">
        <v>0</v>
      </c>
      <c r="AOJ7" t="s">
        <v>271</v>
      </c>
      <c r="AOK7">
        <v>0</v>
      </c>
      <c r="AOL7">
        <v>0</v>
      </c>
      <c r="AOM7" t="s">
        <v>271</v>
      </c>
      <c r="AON7">
        <v>0</v>
      </c>
      <c r="AOO7">
        <v>0</v>
      </c>
      <c r="AOP7">
        <v>0</v>
      </c>
      <c r="AOQ7">
        <v>0</v>
      </c>
      <c r="AOR7">
        <v>0</v>
      </c>
      <c r="AOS7">
        <v>0</v>
      </c>
      <c r="AOT7">
        <v>0</v>
      </c>
      <c r="AOU7">
        <v>0</v>
      </c>
      <c r="AOV7">
        <v>0</v>
      </c>
      <c r="AOW7">
        <v>0</v>
      </c>
      <c r="AOX7">
        <v>0</v>
      </c>
      <c r="AOY7">
        <v>0</v>
      </c>
      <c r="AOZ7">
        <v>0</v>
      </c>
      <c r="APA7">
        <v>0</v>
      </c>
      <c r="APB7">
        <v>0</v>
      </c>
      <c r="APC7">
        <v>0</v>
      </c>
      <c r="APD7">
        <v>0</v>
      </c>
      <c r="APE7">
        <v>0</v>
      </c>
      <c r="APF7">
        <v>0</v>
      </c>
      <c r="APG7">
        <v>0</v>
      </c>
      <c r="APH7" t="s">
        <v>271</v>
      </c>
      <c r="API7">
        <v>0</v>
      </c>
      <c r="APJ7">
        <v>0</v>
      </c>
      <c r="APK7">
        <v>0</v>
      </c>
      <c r="APL7">
        <v>0</v>
      </c>
      <c r="APM7">
        <v>0</v>
      </c>
      <c r="APN7">
        <v>0</v>
      </c>
      <c r="APO7">
        <v>0</v>
      </c>
      <c r="APP7">
        <v>0</v>
      </c>
      <c r="APQ7">
        <v>0</v>
      </c>
      <c r="APR7">
        <v>0</v>
      </c>
      <c r="APS7">
        <v>0</v>
      </c>
      <c r="APT7">
        <v>0</v>
      </c>
      <c r="APU7">
        <v>0</v>
      </c>
      <c r="APV7">
        <v>0</v>
      </c>
      <c r="APW7">
        <v>0</v>
      </c>
      <c r="APX7">
        <v>0</v>
      </c>
      <c r="APY7">
        <v>0</v>
      </c>
      <c r="APZ7">
        <v>0</v>
      </c>
      <c r="AQA7">
        <v>0</v>
      </c>
      <c r="AQB7">
        <v>0</v>
      </c>
      <c r="AQC7">
        <v>0</v>
      </c>
      <c r="AQD7">
        <v>0</v>
      </c>
      <c r="AQE7">
        <v>0</v>
      </c>
      <c r="AQF7" t="s">
        <v>271</v>
      </c>
      <c r="AQG7">
        <v>0</v>
      </c>
      <c r="AQH7">
        <v>0</v>
      </c>
      <c r="AQI7" t="s">
        <v>271</v>
      </c>
      <c r="AQJ7">
        <v>0</v>
      </c>
      <c r="AQK7">
        <v>0</v>
      </c>
      <c r="AQL7">
        <v>0</v>
      </c>
      <c r="AQM7">
        <v>0</v>
      </c>
      <c r="AQN7">
        <v>0</v>
      </c>
      <c r="AQO7">
        <v>0</v>
      </c>
      <c r="AQP7">
        <v>0</v>
      </c>
      <c r="AQQ7">
        <v>0</v>
      </c>
      <c r="AQR7">
        <v>0</v>
      </c>
      <c r="AQS7">
        <v>0</v>
      </c>
      <c r="AQT7">
        <v>0</v>
      </c>
      <c r="AQU7">
        <v>0</v>
      </c>
      <c r="AQV7">
        <v>0</v>
      </c>
      <c r="AQW7">
        <v>0</v>
      </c>
      <c r="AQX7">
        <v>0</v>
      </c>
      <c r="AQY7">
        <v>0</v>
      </c>
      <c r="AQZ7">
        <v>0</v>
      </c>
      <c r="ARA7">
        <v>0</v>
      </c>
      <c r="ARB7">
        <v>0</v>
      </c>
      <c r="ARC7">
        <v>0</v>
      </c>
      <c r="ARD7" t="s">
        <v>271</v>
      </c>
      <c r="ARE7">
        <v>0</v>
      </c>
      <c r="ARF7">
        <v>0</v>
      </c>
      <c r="ARG7">
        <v>0</v>
      </c>
      <c r="ARH7">
        <v>0</v>
      </c>
      <c r="ARI7">
        <v>0</v>
      </c>
      <c r="ARJ7">
        <v>0</v>
      </c>
      <c r="ARK7">
        <v>0</v>
      </c>
      <c r="ARL7">
        <v>0</v>
      </c>
      <c r="ARM7">
        <v>0</v>
      </c>
      <c r="ARN7">
        <v>0</v>
      </c>
      <c r="ARO7">
        <v>0</v>
      </c>
      <c r="ARP7">
        <v>0</v>
      </c>
      <c r="ARQ7">
        <v>0</v>
      </c>
      <c r="ARR7">
        <v>0</v>
      </c>
      <c r="ARS7">
        <v>0</v>
      </c>
      <c r="ART7">
        <v>0</v>
      </c>
      <c r="ARU7">
        <v>0</v>
      </c>
      <c r="ARV7">
        <v>0</v>
      </c>
      <c r="ARW7">
        <v>0</v>
      </c>
      <c r="ARX7">
        <v>0</v>
      </c>
      <c r="ARY7">
        <v>0</v>
      </c>
      <c r="ARZ7">
        <v>0</v>
      </c>
      <c r="ASA7">
        <v>0</v>
      </c>
      <c r="ASB7" t="s">
        <v>271</v>
      </c>
      <c r="ASC7">
        <v>0</v>
      </c>
      <c r="ASD7">
        <v>0</v>
      </c>
      <c r="ASE7" t="s">
        <v>271</v>
      </c>
      <c r="ASF7">
        <v>0</v>
      </c>
      <c r="ASG7">
        <v>0</v>
      </c>
      <c r="ASH7">
        <v>0</v>
      </c>
      <c r="ASI7">
        <v>0</v>
      </c>
      <c r="ASJ7">
        <v>0</v>
      </c>
      <c r="ASK7">
        <v>0</v>
      </c>
      <c r="ASL7">
        <v>0</v>
      </c>
      <c r="ASM7">
        <v>0</v>
      </c>
      <c r="ASN7">
        <v>0</v>
      </c>
      <c r="ASO7">
        <v>0</v>
      </c>
      <c r="ASP7">
        <v>0</v>
      </c>
      <c r="ASQ7">
        <v>0</v>
      </c>
      <c r="ASR7">
        <v>0</v>
      </c>
      <c r="ASS7">
        <v>0</v>
      </c>
      <c r="AST7">
        <v>0</v>
      </c>
      <c r="ASU7">
        <v>0</v>
      </c>
      <c r="ASV7">
        <v>0</v>
      </c>
      <c r="ASW7">
        <v>0</v>
      </c>
      <c r="ASX7">
        <v>0</v>
      </c>
      <c r="ASY7">
        <v>0</v>
      </c>
      <c r="ASZ7" t="s">
        <v>271</v>
      </c>
      <c r="ATA7">
        <v>0</v>
      </c>
      <c r="ATB7">
        <v>0</v>
      </c>
      <c r="ATC7">
        <v>0</v>
      </c>
      <c r="ATD7">
        <v>0</v>
      </c>
      <c r="ATE7">
        <v>0</v>
      </c>
      <c r="ATF7">
        <v>0</v>
      </c>
      <c r="ATG7">
        <v>0</v>
      </c>
      <c r="ATH7">
        <v>0</v>
      </c>
      <c r="ATI7">
        <v>0</v>
      </c>
      <c r="ATJ7">
        <v>0</v>
      </c>
      <c r="ATK7">
        <v>0</v>
      </c>
      <c r="ATL7">
        <v>0</v>
      </c>
      <c r="ATM7">
        <v>0</v>
      </c>
      <c r="ATN7">
        <v>0</v>
      </c>
      <c r="ATO7">
        <v>0</v>
      </c>
      <c r="ATP7">
        <v>0</v>
      </c>
      <c r="ATQ7">
        <v>0</v>
      </c>
      <c r="ATR7">
        <v>0</v>
      </c>
      <c r="ATS7">
        <v>0</v>
      </c>
      <c r="ATT7">
        <v>0</v>
      </c>
      <c r="ATU7">
        <v>0</v>
      </c>
      <c r="ATV7">
        <v>0</v>
      </c>
      <c r="ATW7">
        <v>0</v>
      </c>
      <c r="ATX7" t="s">
        <v>271</v>
      </c>
      <c r="ATY7">
        <v>0</v>
      </c>
      <c r="ATZ7">
        <v>0</v>
      </c>
      <c r="AUA7" t="s">
        <v>271</v>
      </c>
      <c r="AUB7">
        <v>0</v>
      </c>
      <c r="AUC7">
        <v>0</v>
      </c>
      <c r="AUD7">
        <v>0</v>
      </c>
      <c r="AUE7">
        <v>0</v>
      </c>
      <c r="AUF7">
        <v>0</v>
      </c>
      <c r="AUG7">
        <v>0</v>
      </c>
      <c r="AUH7">
        <v>0</v>
      </c>
      <c r="AUI7">
        <v>0</v>
      </c>
      <c r="AUJ7">
        <v>0</v>
      </c>
      <c r="AUK7">
        <v>0</v>
      </c>
      <c r="AUL7">
        <v>0</v>
      </c>
      <c r="AUM7">
        <v>0</v>
      </c>
      <c r="AUN7">
        <v>0</v>
      </c>
      <c r="AUO7">
        <v>0</v>
      </c>
      <c r="AUP7">
        <v>0</v>
      </c>
      <c r="AUQ7">
        <v>0</v>
      </c>
      <c r="AUR7">
        <v>0</v>
      </c>
      <c r="AUS7">
        <v>0</v>
      </c>
      <c r="AUT7">
        <v>0</v>
      </c>
      <c r="AUU7">
        <v>0</v>
      </c>
      <c r="AUV7" t="s">
        <v>271</v>
      </c>
      <c r="AUW7">
        <v>0</v>
      </c>
      <c r="AUX7">
        <v>0</v>
      </c>
      <c r="AUY7">
        <v>0</v>
      </c>
      <c r="AUZ7">
        <v>0</v>
      </c>
      <c r="AVA7">
        <v>0</v>
      </c>
      <c r="AVB7">
        <v>0</v>
      </c>
      <c r="AVC7">
        <v>0</v>
      </c>
      <c r="AVD7">
        <v>0</v>
      </c>
      <c r="AVE7">
        <v>0</v>
      </c>
      <c r="AVF7">
        <v>0</v>
      </c>
      <c r="AVG7">
        <v>0</v>
      </c>
      <c r="AVH7">
        <v>0</v>
      </c>
      <c r="AVI7">
        <v>0</v>
      </c>
      <c r="AVJ7">
        <v>0</v>
      </c>
      <c r="AVK7">
        <v>0</v>
      </c>
      <c r="AVL7">
        <v>0</v>
      </c>
      <c r="AVM7">
        <v>0</v>
      </c>
      <c r="AVN7">
        <v>0</v>
      </c>
      <c r="AVO7">
        <v>0</v>
      </c>
      <c r="AVP7">
        <v>0</v>
      </c>
      <c r="AVQ7">
        <v>0</v>
      </c>
      <c r="AVR7">
        <v>0</v>
      </c>
      <c r="AVS7">
        <v>0</v>
      </c>
      <c r="AVT7" t="s">
        <v>271</v>
      </c>
      <c r="AVU7">
        <v>0</v>
      </c>
      <c r="AVV7">
        <v>0</v>
      </c>
      <c r="AVW7" t="s">
        <v>271</v>
      </c>
      <c r="AVX7">
        <v>0</v>
      </c>
      <c r="AVY7">
        <v>0</v>
      </c>
      <c r="AVZ7">
        <v>0</v>
      </c>
      <c r="AWA7">
        <v>0</v>
      </c>
      <c r="AWB7">
        <v>0</v>
      </c>
      <c r="AWC7">
        <v>0</v>
      </c>
      <c r="AWD7">
        <v>0</v>
      </c>
      <c r="AWE7">
        <v>0</v>
      </c>
      <c r="AWF7">
        <v>0</v>
      </c>
      <c r="AWG7">
        <v>0</v>
      </c>
      <c r="AWH7">
        <v>0</v>
      </c>
      <c r="AWI7">
        <v>0</v>
      </c>
      <c r="AWJ7">
        <v>0</v>
      </c>
      <c r="AWK7">
        <v>0</v>
      </c>
      <c r="AWL7">
        <v>0</v>
      </c>
      <c r="AWM7">
        <v>0</v>
      </c>
      <c r="AWN7">
        <v>0</v>
      </c>
      <c r="AWO7">
        <v>0</v>
      </c>
      <c r="AWP7">
        <v>0</v>
      </c>
      <c r="AWQ7">
        <v>0</v>
      </c>
      <c r="AWR7" t="s">
        <v>271</v>
      </c>
      <c r="AWS7">
        <v>0</v>
      </c>
      <c r="AWT7">
        <v>0</v>
      </c>
      <c r="AWU7">
        <v>0</v>
      </c>
      <c r="AWV7">
        <v>0</v>
      </c>
      <c r="AWW7">
        <v>0</v>
      </c>
      <c r="AWX7">
        <v>0</v>
      </c>
      <c r="AWY7">
        <v>0</v>
      </c>
      <c r="AWZ7">
        <v>0</v>
      </c>
      <c r="AXA7">
        <v>0</v>
      </c>
      <c r="AXB7">
        <v>0</v>
      </c>
      <c r="AXC7">
        <v>0</v>
      </c>
      <c r="AXD7">
        <v>0</v>
      </c>
      <c r="AXE7">
        <v>0</v>
      </c>
      <c r="AXF7">
        <v>0</v>
      </c>
      <c r="AXG7">
        <v>0</v>
      </c>
      <c r="AXH7">
        <v>0</v>
      </c>
      <c r="AXI7">
        <v>0</v>
      </c>
      <c r="AXJ7">
        <v>0</v>
      </c>
      <c r="AXK7">
        <v>0</v>
      </c>
      <c r="AXL7">
        <v>0</v>
      </c>
      <c r="AXM7">
        <v>0</v>
      </c>
      <c r="AXN7">
        <v>0</v>
      </c>
      <c r="AXO7">
        <v>0</v>
      </c>
      <c r="AXP7" t="s">
        <v>271</v>
      </c>
      <c r="AXQ7">
        <v>0</v>
      </c>
      <c r="AXR7">
        <v>0</v>
      </c>
      <c r="AXS7" t="s">
        <v>271</v>
      </c>
      <c r="AXT7">
        <v>0</v>
      </c>
      <c r="AXU7">
        <v>0</v>
      </c>
      <c r="AXV7">
        <v>0</v>
      </c>
      <c r="AXW7">
        <v>0</v>
      </c>
      <c r="AXX7">
        <v>0</v>
      </c>
      <c r="AXY7">
        <v>0</v>
      </c>
      <c r="AXZ7">
        <v>0</v>
      </c>
      <c r="AYA7">
        <v>0</v>
      </c>
      <c r="AYB7">
        <v>0</v>
      </c>
      <c r="AYC7">
        <v>0</v>
      </c>
      <c r="AYD7">
        <v>0</v>
      </c>
      <c r="AYE7">
        <v>0</v>
      </c>
      <c r="AYF7">
        <v>0</v>
      </c>
      <c r="AYG7">
        <v>0</v>
      </c>
      <c r="AYH7">
        <v>0</v>
      </c>
      <c r="AYI7">
        <v>0</v>
      </c>
      <c r="AYJ7">
        <v>0</v>
      </c>
      <c r="AYK7">
        <v>0</v>
      </c>
      <c r="AYL7">
        <v>0</v>
      </c>
      <c r="AYM7">
        <v>0</v>
      </c>
      <c r="AYN7" t="s">
        <v>271</v>
      </c>
      <c r="AYO7">
        <v>0</v>
      </c>
      <c r="AYP7">
        <v>0</v>
      </c>
      <c r="AYQ7">
        <v>0</v>
      </c>
      <c r="AYR7">
        <v>0</v>
      </c>
      <c r="AYS7">
        <v>0</v>
      </c>
      <c r="AYT7">
        <v>0</v>
      </c>
      <c r="AYU7">
        <v>0</v>
      </c>
      <c r="AYV7">
        <v>0</v>
      </c>
      <c r="AYW7">
        <v>0</v>
      </c>
      <c r="AYX7">
        <v>0</v>
      </c>
      <c r="AYY7">
        <v>0</v>
      </c>
      <c r="AYZ7">
        <v>0</v>
      </c>
      <c r="AZA7">
        <v>0</v>
      </c>
      <c r="AZB7">
        <v>0</v>
      </c>
      <c r="AZC7">
        <v>0</v>
      </c>
      <c r="AZD7">
        <v>0</v>
      </c>
      <c r="AZE7">
        <v>0</v>
      </c>
      <c r="AZF7">
        <v>0</v>
      </c>
      <c r="AZG7">
        <v>0</v>
      </c>
      <c r="AZH7">
        <v>0</v>
      </c>
      <c r="AZI7">
        <v>0</v>
      </c>
      <c r="AZJ7">
        <v>0</v>
      </c>
      <c r="AZK7">
        <v>0</v>
      </c>
      <c r="AZL7" t="s">
        <v>271</v>
      </c>
      <c r="AZM7">
        <v>0</v>
      </c>
      <c r="AZN7">
        <v>0</v>
      </c>
      <c r="AZO7" t="s">
        <v>271</v>
      </c>
      <c r="AZP7">
        <v>0</v>
      </c>
      <c r="AZQ7">
        <v>0</v>
      </c>
      <c r="AZR7">
        <v>0</v>
      </c>
      <c r="AZS7">
        <v>0</v>
      </c>
      <c r="AZT7">
        <v>0</v>
      </c>
      <c r="AZU7">
        <v>0</v>
      </c>
      <c r="AZV7">
        <v>0</v>
      </c>
      <c r="AZW7">
        <v>0</v>
      </c>
      <c r="AZX7">
        <v>0</v>
      </c>
      <c r="AZY7">
        <v>0</v>
      </c>
      <c r="AZZ7">
        <v>0</v>
      </c>
      <c r="BAA7">
        <v>0</v>
      </c>
      <c r="BAB7">
        <v>0</v>
      </c>
      <c r="BAC7">
        <v>0</v>
      </c>
      <c r="BAD7">
        <v>0</v>
      </c>
      <c r="BAE7">
        <v>0</v>
      </c>
      <c r="BAF7">
        <v>0</v>
      </c>
      <c r="BAG7">
        <v>0</v>
      </c>
      <c r="BAH7">
        <v>0</v>
      </c>
      <c r="BAI7">
        <v>0</v>
      </c>
      <c r="BAJ7" t="s">
        <v>271</v>
      </c>
      <c r="BAK7">
        <v>337895</v>
      </c>
      <c r="BAL7">
        <v>18776.150000000001</v>
      </c>
      <c r="BAM7">
        <v>17524.150000000001</v>
      </c>
      <c r="BAN7">
        <v>1252</v>
      </c>
      <c r="BAO7">
        <v>200</v>
      </c>
      <c r="BAP7">
        <v>0</v>
      </c>
      <c r="BAQ7">
        <v>593</v>
      </c>
      <c r="BAR7">
        <v>0</v>
      </c>
      <c r="BAS7">
        <v>0</v>
      </c>
      <c r="BAT7">
        <v>0</v>
      </c>
      <c r="BAU7">
        <v>0</v>
      </c>
      <c r="BAV7">
        <v>0</v>
      </c>
      <c r="BAW7">
        <v>0</v>
      </c>
      <c r="BAX7">
        <v>0</v>
      </c>
      <c r="BAY7">
        <v>0</v>
      </c>
      <c r="BAZ7">
        <v>0</v>
      </c>
      <c r="BBA7">
        <v>0</v>
      </c>
      <c r="BBB7">
        <v>0</v>
      </c>
      <c r="BBC7">
        <v>0</v>
      </c>
      <c r="BBD7">
        <v>0</v>
      </c>
      <c r="BBE7">
        <v>0</v>
      </c>
      <c r="BBF7">
        <v>0</v>
      </c>
      <c r="BBG7">
        <v>0</v>
      </c>
      <c r="BBH7">
        <v>0</v>
      </c>
      <c r="BBI7">
        <v>0</v>
      </c>
      <c r="BBJ7">
        <v>0</v>
      </c>
      <c r="BBK7">
        <v>0</v>
      </c>
      <c r="BBL7">
        <v>0</v>
      </c>
      <c r="BBM7">
        <v>0</v>
      </c>
      <c r="BBN7">
        <v>0</v>
      </c>
      <c r="BBO7">
        <v>0</v>
      </c>
      <c r="BBP7">
        <v>0</v>
      </c>
      <c r="BBQ7">
        <v>0</v>
      </c>
      <c r="BBR7">
        <v>0</v>
      </c>
      <c r="BBS7">
        <v>0</v>
      </c>
      <c r="BBT7">
        <v>0</v>
      </c>
      <c r="BBU7">
        <v>0</v>
      </c>
      <c r="BBV7">
        <v>0</v>
      </c>
      <c r="BBW7">
        <v>0</v>
      </c>
      <c r="BBX7">
        <v>0</v>
      </c>
      <c r="BBY7">
        <v>0</v>
      </c>
      <c r="BBZ7">
        <v>0</v>
      </c>
      <c r="BCA7">
        <v>0</v>
      </c>
      <c r="BCB7">
        <v>0</v>
      </c>
      <c r="BCC7">
        <v>0</v>
      </c>
      <c r="BCD7">
        <v>0</v>
      </c>
      <c r="BCE7">
        <v>0</v>
      </c>
      <c r="BCF7">
        <v>0</v>
      </c>
      <c r="BCG7">
        <v>0</v>
      </c>
      <c r="BCH7">
        <v>0</v>
      </c>
      <c r="BCI7">
        <v>0</v>
      </c>
      <c r="BCJ7">
        <v>0</v>
      </c>
      <c r="BCK7">
        <v>0</v>
      </c>
      <c r="BCL7">
        <v>0</v>
      </c>
      <c r="BCM7">
        <v>0</v>
      </c>
      <c r="BCN7">
        <v>0</v>
      </c>
      <c r="BCO7">
        <v>0</v>
      </c>
      <c r="BCP7">
        <v>0</v>
      </c>
      <c r="BCQ7">
        <v>0</v>
      </c>
      <c r="BCR7">
        <v>0</v>
      </c>
      <c r="BCS7">
        <v>0</v>
      </c>
      <c r="BCT7">
        <v>0</v>
      </c>
      <c r="BCU7">
        <v>0</v>
      </c>
      <c r="BCV7">
        <v>0</v>
      </c>
      <c r="BCW7">
        <v>0</v>
      </c>
      <c r="BCX7">
        <v>0</v>
      </c>
      <c r="BCY7">
        <v>0</v>
      </c>
      <c r="BCZ7">
        <v>0</v>
      </c>
      <c r="BDA7">
        <v>0</v>
      </c>
      <c r="BDB7">
        <v>0</v>
      </c>
      <c r="BDC7">
        <v>0</v>
      </c>
      <c r="BDD7">
        <v>0</v>
      </c>
      <c r="BDE7">
        <v>0</v>
      </c>
      <c r="BDF7">
        <v>0</v>
      </c>
      <c r="BDG7">
        <v>0</v>
      </c>
      <c r="BDH7">
        <v>0</v>
      </c>
      <c r="BDI7">
        <v>0</v>
      </c>
      <c r="BDJ7">
        <v>0</v>
      </c>
      <c r="BDK7">
        <v>0</v>
      </c>
      <c r="BDL7">
        <v>0</v>
      </c>
      <c r="BDM7">
        <v>0</v>
      </c>
      <c r="BDN7">
        <v>0</v>
      </c>
      <c r="BDO7">
        <v>0</v>
      </c>
      <c r="BDP7">
        <v>0</v>
      </c>
      <c r="BDQ7">
        <v>0</v>
      </c>
      <c r="BDR7">
        <v>0</v>
      </c>
      <c r="BDS7">
        <v>0</v>
      </c>
      <c r="BDT7">
        <v>0</v>
      </c>
      <c r="BDU7">
        <v>0</v>
      </c>
      <c r="BDV7">
        <v>0</v>
      </c>
      <c r="BDW7">
        <v>0</v>
      </c>
      <c r="BDX7">
        <v>0</v>
      </c>
      <c r="BDY7">
        <v>0</v>
      </c>
      <c r="BDZ7">
        <v>0</v>
      </c>
      <c r="BEA7">
        <v>0</v>
      </c>
      <c r="BEB7">
        <v>0</v>
      </c>
      <c r="BEC7">
        <v>0</v>
      </c>
      <c r="BED7">
        <v>0</v>
      </c>
      <c r="BEE7">
        <v>0</v>
      </c>
      <c r="BEF7">
        <v>0</v>
      </c>
      <c r="BEG7">
        <v>0</v>
      </c>
      <c r="BEH7">
        <v>0</v>
      </c>
      <c r="BEI7">
        <v>0</v>
      </c>
      <c r="BEJ7">
        <v>0</v>
      </c>
      <c r="BEK7">
        <v>0</v>
      </c>
      <c r="BEL7">
        <v>0</v>
      </c>
      <c r="BEM7">
        <v>0</v>
      </c>
      <c r="BEN7">
        <v>0</v>
      </c>
      <c r="BEO7">
        <v>0</v>
      </c>
      <c r="BEP7">
        <v>0</v>
      </c>
      <c r="BEQ7">
        <v>0</v>
      </c>
      <c r="BER7">
        <v>0</v>
      </c>
      <c r="BES7">
        <v>0</v>
      </c>
      <c r="BET7">
        <v>0</v>
      </c>
      <c r="BEU7">
        <v>0</v>
      </c>
      <c r="BEV7">
        <v>0</v>
      </c>
      <c r="BEW7">
        <v>0</v>
      </c>
      <c r="BEX7">
        <v>0</v>
      </c>
      <c r="BEY7">
        <v>0</v>
      </c>
      <c r="BEZ7">
        <v>0</v>
      </c>
      <c r="BFA7">
        <v>0</v>
      </c>
      <c r="BFB7">
        <v>0</v>
      </c>
      <c r="BFC7">
        <v>0</v>
      </c>
      <c r="BFD7" t="b">
        <v>0</v>
      </c>
      <c r="BFE7" t="b">
        <v>0</v>
      </c>
      <c r="BFF7" t="b">
        <v>0</v>
      </c>
      <c r="BFG7" t="b">
        <v>0</v>
      </c>
      <c r="BFH7">
        <v>0</v>
      </c>
      <c r="BFI7">
        <v>0</v>
      </c>
      <c r="BFJ7">
        <v>0</v>
      </c>
      <c r="BFK7">
        <v>0</v>
      </c>
      <c r="BFL7">
        <v>0</v>
      </c>
      <c r="BFM7">
        <v>0</v>
      </c>
      <c r="BFN7">
        <v>0</v>
      </c>
      <c r="BFO7">
        <v>0</v>
      </c>
      <c r="BFP7">
        <v>0</v>
      </c>
      <c r="BFQ7">
        <v>0</v>
      </c>
      <c r="BFR7">
        <v>0</v>
      </c>
      <c r="BFS7">
        <v>0</v>
      </c>
      <c r="BFT7">
        <v>0</v>
      </c>
      <c r="BFU7">
        <v>0</v>
      </c>
      <c r="BFV7">
        <v>0</v>
      </c>
      <c r="BFW7">
        <v>0</v>
      </c>
      <c r="BFX7">
        <v>0</v>
      </c>
      <c r="BFY7">
        <v>0</v>
      </c>
    </row>
    <row r="8" spans="1:1533" x14ac:dyDescent="0.25">
      <c r="A8" t="s">
        <v>2771</v>
      </c>
      <c r="B8" t="s">
        <v>2772</v>
      </c>
      <c r="C8">
        <v>130</v>
      </c>
      <c r="D8">
        <v>45</v>
      </c>
      <c r="E8" t="s">
        <v>2613</v>
      </c>
      <c r="F8">
        <v>234234</v>
      </c>
      <c r="G8">
        <v>123123</v>
      </c>
      <c r="H8" t="s">
        <v>2404</v>
      </c>
      <c r="I8" t="s">
        <v>2403</v>
      </c>
      <c r="J8" t="s">
        <v>2403</v>
      </c>
      <c r="K8" t="s">
        <v>2403</v>
      </c>
      <c r="L8" t="s">
        <v>2403</v>
      </c>
      <c r="M8" t="s">
        <v>1883</v>
      </c>
      <c r="N8" t="s">
        <v>2403</v>
      </c>
      <c r="O8" t="s">
        <v>1883</v>
      </c>
      <c r="P8" t="s">
        <v>1883</v>
      </c>
      <c r="Q8" t="s">
        <v>2403</v>
      </c>
      <c r="R8" t="s">
        <v>1883</v>
      </c>
      <c r="S8" t="s">
        <v>1639</v>
      </c>
      <c r="T8" t="s">
        <v>2404</v>
      </c>
      <c r="U8" t="s">
        <v>2424</v>
      </c>
      <c r="V8" t="s">
        <v>2614</v>
      </c>
      <c r="W8" t="s">
        <v>309</v>
      </c>
      <c r="X8">
        <v>900</v>
      </c>
      <c r="Y8">
        <v>43487</v>
      </c>
      <c r="Z8">
        <v>0</v>
      </c>
      <c r="AA8">
        <v>0</v>
      </c>
      <c r="AB8">
        <v>0</v>
      </c>
      <c r="AC8" t="s">
        <v>272</v>
      </c>
      <c r="AD8">
        <v>25</v>
      </c>
      <c r="AE8">
        <v>0</v>
      </c>
      <c r="AF8">
        <v>43513</v>
      </c>
      <c r="AG8">
        <v>45</v>
      </c>
      <c r="AH8">
        <v>0</v>
      </c>
      <c r="AI8">
        <v>0</v>
      </c>
      <c r="AJ8" t="s">
        <v>271</v>
      </c>
      <c r="AK8">
        <v>0.12</v>
      </c>
      <c r="AL8">
        <v>0</v>
      </c>
      <c r="AM8">
        <v>50</v>
      </c>
      <c r="AN8">
        <v>44029</v>
      </c>
      <c r="AO8">
        <v>0.24657897254367267</v>
      </c>
      <c r="AP8">
        <v>3262.92</v>
      </c>
      <c r="AQ8">
        <v>666.57999999999947</v>
      </c>
      <c r="AR8">
        <v>3929.4999999999995</v>
      </c>
      <c r="AS8">
        <v>218.31</v>
      </c>
      <c r="AT8">
        <v>218.23</v>
      </c>
      <c r="AU8" t="s">
        <v>1911</v>
      </c>
      <c r="AV8" t="s">
        <v>2737</v>
      </c>
      <c r="AW8" t="s">
        <v>2738</v>
      </c>
      <c r="AX8">
        <v>19</v>
      </c>
      <c r="AY8">
        <v>0</v>
      </c>
      <c r="AZ8">
        <v>43481</v>
      </c>
      <c r="BA8">
        <v>100</v>
      </c>
      <c r="BB8">
        <v>1</v>
      </c>
      <c r="BC8">
        <v>1</v>
      </c>
      <c r="BD8" t="s">
        <v>415</v>
      </c>
      <c r="BE8">
        <v>0</v>
      </c>
      <c r="BF8">
        <v>90</v>
      </c>
      <c r="BG8">
        <v>43484</v>
      </c>
      <c r="BH8">
        <v>17</v>
      </c>
      <c r="BI8">
        <v>0</v>
      </c>
      <c r="BJ8">
        <v>50</v>
      </c>
      <c r="BK8">
        <v>43469</v>
      </c>
      <c r="BL8">
        <v>0</v>
      </c>
      <c r="BM8">
        <v>0</v>
      </c>
      <c r="BN8">
        <v>0</v>
      </c>
      <c r="BO8" t="s">
        <v>2773</v>
      </c>
      <c r="BP8" t="s">
        <v>2403</v>
      </c>
      <c r="BQ8" t="s">
        <v>2403</v>
      </c>
      <c r="BR8" t="s">
        <v>2403</v>
      </c>
      <c r="BS8">
        <v>456213256</v>
      </c>
      <c r="BT8">
        <v>20797</v>
      </c>
      <c r="BU8" t="s">
        <v>2774</v>
      </c>
      <c r="BV8" t="s">
        <v>2775</v>
      </c>
      <c r="BW8" t="s">
        <v>1633</v>
      </c>
      <c r="BX8">
        <v>78040</v>
      </c>
      <c r="BY8" t="s">
        <v>2774</v>
      </c>
      <c r="BZ8" t="s">
        <v>2775</v>
      </c>
      <c r="CA8">
        <v>78040</v>
      </c>
      <c r="CB8" t="s">
        <v>1633</v>
      </c>
      <c r="CC8" t="s">
        <v>2040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900</v>
      </c>
      <c r="EP8">
        <v>3028.919921875</v>
      </c>
      <c r="EQ8">
        <v>0</v>
      </c>
      <c r="ER8">
        <v>0</v>
      </c>
      <c r="ES8">
        <v>0</v>
      </c>
      <c r="ET8">
        <v>0</v>
      </c>
      <c r="EU8">
        <v>0</v>
      </c>
      <c r="EV8">
        <v>0</v>
      </c>
      <c r="EW8">
        <v>0</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33400542010</v>
      </c>
      <c r="GQ8">
        <v>33400542010</v>
      </c>
      <c r="GR8">
        <v>33400542010</v>
      </c>
      <c r="GS8">
        <v>0</v>
      </c>
      <c r="GT8" t="s">
        <v>2776</v>
      </c>
      <c r="GU8">
        <v>1358.14</v>
      </c>
      <c r="GV8">
        <v>936.81</v>
      </c>
      <c r="GW8">
        <v>733.97</v>
      </c>
      <c r="GX8">
        <v>0</v>
      </c>
      <c r="GY8">
        <v>0</v>
      </c>
      <c r="GZ8">
        <v>0</v>
      </c>
      <c r="HA8">
        <v>0</v>
      </c>
      <c r="HB8">
        <v>0</v>
      </c>
      <c r="HC8">
        <v>3028.919921875</v>
      </c>
      <c r="HD8">
        <v>64912</v>
      </c>
      <c r="HE8">
        <v>35240</v>
      </c>
      <c r="HF8" t="s">
        <v>2775</v>
      </c>
      <c r="HG8" t="s">
        <v>245</v>
      </c>
      <c r="HH8" t="s">
        <v>271</v>
      </c>
      <c r="HI8">
        <v>64912</v>
      </c>
      <c r="HJ8" t="s">
        <v>271</v>
      </c>
      <c r="HK8">
        <v>0</v>
      </c>
      <c r="HL8">
        <v>0</v>
      </c>
      <c r="HM8">
        <v>0</v>
      </c>
      <c r="HN8">
        <v>0</v>
      </c>
      <c r="HO8" t="s">
        <v>2777</v>
      </c>
      <c r="HP8">
        <v>0</v>
      </c>
      <c r="HQ8">
        <v>0</v>
      </c>
      <c r="HR8" t="s">
        <v>1633</v>
      </c>
      <c r="HS8" t="s">
        <v>2778</v>
      </c>
      <c r="HT8" t="s">
        <v>669</v>
      </c>
      <c r="HU8" t="s">
        <v>2779</v>
      </c>
      <c r="HV8">
        <v>0</v>
      </c>
      <c r="HW8" t="s">
        <v>2780</v>
      </c>
      <c r="HX8" t="s">
        <v>2780</v>
      </c>
      <c r="HY8" t="s">
        <v>2780</v>
      </c>
      <c r="HZ8">
        <v>0</v>
      </c>
      <c r="IA8">
        <v>78040</v>
      </c>
      <c r="IB8" t="s">
        <v>271</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t="s">
        <v>271</v>
      </c>
      <c r="JA8">
        <v>0</v>
      </c>
      <c r="JB8" t="s">
        <v>271</v>
      </c>
      <c r="JC8">
        <v>0</v>
      </c>
      <c r="JD8">
        <v>0</v>
      </c>
      <c r="JE8">
        <v>0</v>
      </c>
      <c r="JF8">
        <v>0</v>
      </c>
      <c r="JG8">
        <v>0</v>
      </c>
      <c r="JH8">
        <v>0</v>
      </c>
      <c r="JI8">
        <v>0</v>
      </c>
      <c r="JJ8">
        <v>0</v>
      </c>
      <c r="JK8">
        <v>0</v>
      </c>
      <c r="JL8">
        <v>0</v>
      </c>
      <c r="JM8">
        <v>0</v>
      </c>
      <c r="JN8">
        <v>0</v>
      </c>
      <c r="JO8">
        <v>0</v>
      </c>
      <c r="JP8">
        <v>0</v>
      </c>
      <c r="JQ8">
        <v>0</v>
      </c>
      <c r="JR8">
        <v>0</v>
      </c>
      <c r="JS8">
        <v>0</v>
      </c>
      <c r="JT8">
        <v>0</v>
      </c>
      <c r="JU8">
        <v>0</v>
      </c>
      <c r="JV8">
        <v>0</v>
      </c>
      <c r="JW8">
        <v>0</v>
      </c>
      <c r="JX8" t="s">
        <v>271</v>
      </c>
      <c r="JY8">
        <v>0</v>
      </c>
      <c r="JZ8">
        <v>0</v>
      </c>
      <c r="KA8">
        <v>0</v>
      </c>
      <c r="KB8">
        <v>0</v>
      </c>
      <c r="KC8">
        <v>0</v>
      </c>
      <c r="KD8">
        <v>0</v>
      </c>
      <c r="KE8">
        <v>0</v>
      </c>
      <c r="KF8">
        <v>0</v>
      </c>
      <c r="KG8">
        <v>0</v>
      </c>
      <c r="KH8">
        <v>0</v>
      </c>
      <c r="KI8">
        <v>0</v>
      </c>
      <c r="KJ8">
        <v>0</v>
      </c>
      <c r="KK8">
        <v>0</v>
      </c>
      <c r="KL8">
        <v>0</v>
      </c>
      <c r="KM8">
        <v>0</v>
      </c>
      <c r="KN8">
        <v>0</v>
      </c>
      <c r="KO8">
        <v>0</v>
      </c>
      <c r="KP8">
        <v>0</v>
      </c>
      <c r="KQ8">
        <v>0</v>
      </c>
      <c r="KR8">
        <v>0</v>
      </c>
      <c r="KS8">
        <v>0</v>
      </c>
      <c r="KT8">
        <v>0</v>
      </c>
      <c r="KU8">
        <v>0</v>
      </c>
      <c r="KV8" t="s">
        <v>271</v>
      </c>
      <c r="KW8">
        <v>0</v>
      </c>
      <c r="KX8">
        <v>0</v>
      </c>
      <c r="KY8" t="s">
        <v>271</v>
      </c>
      <c r="KZ8">
        <v>0</v>
      </c>
      <c r="LA8">
        <v>0</v>
      </c>
      <c r="LB8">
        <v>0</v>
      </c>
      <c r="LC8">
        <v>0</v>
      </c>
      <c r="LD8">
        <v>0</v>
      </c>
      <c r="LE8">
        <v>0</v>
      </c>
      <c r="LF8">
        <v>0</v>
      </c>
      <c r="LG8">
        <v>0</v>
      </c>
      <c r="LH8">
        <v>0</v>
      </c>
      <c r="LI8">
        <v>0</v>
      </c>
      <c r="LJ8">
        <v>0</v>
      </c>
      <c r="LK8">
        <v>0</v>
      </c>
      <c r="LL8">
        <v>0</v>
      </c>
      <c r="LM8">
        <v>0</v>
      </c>
      <c r="LN8">
        <v>0</v>
      </c>
      <c r="LO8">
        <v>0</v>
      </c>
      <c r="LP8">
        <v>0</v>
      </c>
      <c r="LQ8">
        <v>0</v>
      </c>
      <c r="LR8">
        <v>0</v>
      </c>
      <c r="LS8">
        <v>0</v>
      </c>
      <c r="LT8" t="s">
        <v>271</v>
      </c>
      <c r="LU8">
        <v>0</v>
      </c>
      <c r="LV8">
        <v>0</v>
      </c>
      <c r="LW8">
        <v>0</v>
      </c>
      <c r="LX8">
        <v>0</v>
      </c>
      <c r="LY8">
        <v>0</v>
      </c>
      <c r="LZ8">
        <v>0</v>
      </c>
      <c r="MA8">
        <v>0</v>
      </c>
      <c r="MB8">
        <v>0</v>
      </c>
      <c r="MC8">
        <v>0</v>
      </c>
      <c r="MD8">
        <v>0</v>
      </c>
      <c r="ME8">
        <v>0</v>
      </c>
      <c r="MF8">
        <v>0</v>
      </c>
      <c r="MG8">
        <v>0</v>
      </c>
      <c r="MH8">
        <v>0</v>
      </c>
      <c r="MI8">
        <v>0</v>
      </c>
      <c r="MJ8">
        <v>0</v>
      </c>
      <c r="MK8">
        <v>0</v>
      </c>
      <c r="ML8">
        <v>0</v>
      </c>
      <c r="MM8">
        <v>0</v>
      </c>
      <c r="MN8">
        <v>0</v>
      </c>
      <c r="MO8">
        <v>0</v>
      </c>
      <c r="MP8">
        <v>0</v>
      </c>
      <c r="MQ8">
        <v>0</v>
      </c>
      <c r="MR8" t="s">
        <v>271</v>
      </c>
      <c r="MS8">
        <v>0</v>
      </c>
      <c r="MT8">
        <v>0</v>
      </c>
      <c r="MU8" t="s">
        <v>271</v>
      </c>
      <c r="MV8">
        <v>0</v>
      </c>
      <c r="MW8">
        <v>0</v>
      </c>
      <c r="MX8">
        <v>0</v>
      </c>
      <c r="MY8">
        <v>0</v>
      </c>
      <c r="MZ8">
        <v>0</v>
      </c>
      <c r="NA8">
        <v>0</v>
      </c>
      <c r="NB8">
        <v>0</v>
      </c>
      <c r="NC8">
        <v>0</v>
      </c>
      <c r="ND8">
        <v>0</v>
      </c>
      <c r="NE8">
        <v>0</v>
      </c>
      <c r="NF8">
        <v>0</v>
      </c>
      <c r="NG8">
        <v>0</v>
      </c>
      <c r="NH8">
        <v>0</v>
      </c>
      <c r="NI8">
        <v>0</v>
      </c>
      <c r="NJ8">
        <v>0</v>
      </c>
      <c r="NK8">
        <v>0</v>
      </c>
      <c r="NL8">
        <v>0</v>
      </c>
      <c r="NM8">
        <v>0</v>
      </c>
      <c r="NN8">
        <v>0</v>
      </c>
      <c r="NO8">
        <v>0</v>
      </c>
      <c r="NP8" t="s">
        <v>271</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t="s">
        <v>271</v>
      </c>
      <c r="OO8">
        <v>0</v>
      </c>
      <c r="OP8">
        <v>0</v>
      </c>
      <c r="OQ8" t="s">
        <v>271</v>
      </c>
      <c r="OR8">
        <v>0</v>
      </c>
      <c r="OS8">
        <v>0</v>
      </c>
      <c r="OT8">
        <v>0</v>
      </c>
      <c r="OU8">
        <v>0</v>
      </c>
      <c r="OV8">
        <v>0</v>
      </c>
      <c r="OW8">
        <v>0</v>
      </c>
      <c r="OX8">
        <v>0</v>
      </c>
      <c r="OY8">
        <v>0</v>
      </c>
      <c r="OZ8">
        <v>0</v>
      </c>
      <c r="PA8">
        <v>0</v>
      </c>
      <c r="PB8">
        <v>0</v>
      </c>
      <c r="PC8">
        <v>0</v>
      </c>
      <c r="PD8">
        <v>0</v>
      </c>
      <c r="PE8">
        <v>0</v>
      </c>
      <c r="PF8">
        <v>0</v>
      </c>
      <c r="PG8">
        <v>0</v>
      </c>
      <c r="PH8">
        <v>0</v>
      </c>
      <c r="PI8">
        <v>0</v>
      </c>
      <c r="PJ8">
        <v>0</v>
      </c>
      <c r="PK8">
        <v>0</v>
      </c>
      <c r="PL8" t="s">
        <v>271</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I8">
        <v>0</v>
      </c>
      <c r="QJ8" t="s">
        <v>271</v>
      </c>
      <c r="QK8">
        <v>0</v>
      </c>
      <c r="QL8">
        <v>0</v>
      </c>
      <c r="QM8" t="s">
        <v>271</v>
      </c>
      <c r="QN8">
        <v>0</v>
      </c>
      <c r="QO8">
        <v>0</v>
      </c>
      <c r="QP8">
        <v>0</v>
      </c>
      <c r="QQ8">
        <v>0</v>
      </c>
      <c r="QR8">
        <v>0</v>
      </c>
      <c r="QS8">
        <v>0</v>
      </c>
      <c r="QT8">
        <v>0</v>
      </c>
      <c r="QU8">
        <v>0</v>
      </c>
      <c r="QV8">
        <v>0</v>
      </c>
      <c r="QW8">
        <v>0</v>
      </c>
      <c r="QX8">
        <v>0</v>
      </c>
      <c r="QY8">
        <v>0</v>
      </c>
      <c r="QZ8">
        <v>0</v>
      </c>
      <c r="RA8">
        <v>0</v>
      </c>
      <c r="RB8">
        <v>0</v>
      </c>
      <c r="RC8">
        <v>0</v>
      </c>
      <c r="RD8">
        <v>0</v>
      </c>
      <c r="RE8">
        <v>0</v>
      </c>
      <c r="RF8">
        <v>0</v>
      </c>
      <c r="RG8">
        <v>0</v>
      </c>
      <c r="RH8" t="s">
        <v>271</v>
      </c>
      <c r="RI8">
        <v>0</v>
      </c>
      <c r="RJ8">
        <v>0</v>
      </c>
      <c r="RK8">
        <v>0</v>
      </c>
      <c r="RL8">
        <v>0</v>
      </c>
      <c r="RM8">
        <v>0</v>
      </c>
      <c r="RN8">
        <v>0</v>
      </c>
      <c r="RO8">
        <v>0</v>
      </c>
      <c r="RP8">
        <v>0</v>
      </c>
      <c r="RQ8">
        <v>0</v>
      </c>
      <c r="RR8">
        <v>0</v>
      </c>
      <c r="RS8">
        <v>0</v>
      </c>
      <c r="RT8">
        <v>0</v>
      </c>
      <c r="RU8">
        <v>0</v>
      </c>
      <c r="RV8">
        <v>0</v>
      </c>
      <c r="RW8">
        <v>0</v>
      </c>
      <c r="RX8">
        <v>0</v>
      </c>
      <c r="RY8">
        <v>0</v>
      </c>
      <c r="RZ8">
        <v>0</v>
      </c>
      <c r="SA8">
        <v>0</v>
      </c>
      <c r="SB8">
        <v>0</v>
      </c>
      <c r="SC8">
        <v>0</v>
      </c>
      <c r="SD8">
        <v>0</v>
      </c>
      <c r="SE8">
        <v>0</v>
      </c>
      <c r="SF8" t="s">
        <v>271</v>
      </c>
      <c r="SG8">
        <v>0</v>
      </c>
      <c r="SH8">
        <v>0</v>
      </c>
      <c r="SI8" t="s">
        <v>271</v>
      </c>
      <c r="SJ8">
        <v>0</v>
      </c>
      <c r="SK8">
        <v>0</v>
      </c>
      <c r="SL8">
        <v>0</v>
      </c>
      <c r="SM8">
        <v>0</v>
      </c>
      <c r="SN8">
        <v>0</v>
      </c>
      <c r="SO8">
        <v>0</v>
      </c>
      <c r="SP8">
        <v>0</v>
      </c>
      <c r="SQ8">
        <v>0</v>
      </c>
      <c r="SR8">
        <v>0</v>
      </c>
      <c r="SS8">
        <v>0</v>
      </c>
      <c r="ST8">
        <v>0</v>
      </c>
      <c r="SU8">
        <v>0</v>
      </c>
      <c r="SV8">
        <v>0</v>
      </c>
      <c r="SW8">
        <v>0</v>
      </c>
      <c r="SX8">
        <v>0</v>
      </c>
      <c r="SY8">
        <v>0</v>
      </c>
      <c r="SZ8">
        <v>0</v>
      </c>
      <c r="TA8">
        <v>0</v>
      </c>
      <c r="TB8">
        <v>0</v>
      </c>
      <c r="TC8">
        <v>0</v>
      </c>
      <c r="TD8" t="s">
        <v>271</v>
      </c>
      <c r="TE8">
        <v>0</v>
      </c>
      <c r="TF8">
        <v>0</v>
      </c>
      <c r="TG8">
        <v>0</v>
      </c>
      <c r="TH8">
        <v>0</v>
      </c>
      <c r="TI8">
        <v>0</v>
      </c>
      <c r="TJ8">
        <v>0</v>
      </c>
      <c r="TK8">
        <v>0</v>
      </c>
      <c r="TL8">
        <v>0</v>
      </c>
      <c r="TM8">
        <v>0</v>
      </c>
      <c r="TN8">
        <v>0</v>
      </c>
      <c r="TO8">
        <v>0</v>
      </c>
      <c r="TP8">
        <v>0</v>
      </c>
      <c r="TQ8">
        <v>0</v>
      </c>
      <c r="TR8">
        <v>0</v>
      </c>
      <c r="TS8">
        <v>0</v>
      </c>
      <c r="TT8">
        <v>0</v>
      </c>
      <c r="TU8">
        <v>0</v>
      </c>
      <c r="TV8">
        <v>0</v>
      </c>
      <c r="TW8">
        <v>0</v>
      </c>
      <c r="TX8">
        <v>0</v>
      </c>
      <c r="TY8">
        <v>0</v>
      </c>
      <c r="TZ8">
        <v>0</v>
      </c>
      <c r="UA8">
        <v>0</v>
      </c>
      <c r="UB8" t="s">
        <v>271</v>
      </c>
      <c r="UC8">
        <v>0</v>
      </c>
      <c r="UD8">
        <v>0</v>
      </c>
      <c r="UE8" t="s">
        <v>271</v>
      </c>
      <c r="UF8">
        <v>0</v>
      </c>
      <c r="UG8">
        <v>0</v>
      </c>
      <c r="UH8">
        <v>0</v>
      </c>
      <c r="UI8">
        <v>0</v>
      </c>
      <c r="UJ8">
        <v>0</v>
      </c>
      <c r="UK8">
        <v>0</v>
      </c>
      <c r="UL8">
        <v>0</v>
      </c>
      <c r="UM8">
        <v>0</v>
      </c>
      <c r="UN8">
        <v>0</v>
      </c>
      <c r="UO8">
        <v>0</v>
      </c>
      <c r="UP8">
        <v>0</v>
      </c>
      <c r="UQ8">
        <v>0</v>
      </c>
      <c r="UR8">
        <v>0</v>
      </c>
      <c r="US8">
        <v>0</v>
      </c>
      <c r="UT8">
        <v>0</v>
      </c>
      <c r="UU8">
        <v>0</v>
      </c>
      <c r="UV8">
        <v>0</v>
      </c>
      <c r="UW8">
        <v>0</v>
      </c>
      <c r="UX8">
        <v>0</v>
      </c>
      <c r="UY8">
        <v>0</v>
      </c>
      <c r="UZ8" t="s">
        <v>271</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t="s">
        <v>271</v>
      </c>
      <c r="VY8">
        <v>0</v>
      </c>
      <c r="VZ8">
        <v>0</v>
      </c>
      <c r="WA8" t="s">
        <v>271</v>
      </c>
      <c r="WB8">
        <v>0</v>
      </c>
      <c r="WC8">
        <v>0</v>
      </c>
      <c r="WD8">
        <v>0</v>
      </c>
      <c r="WE8">
        <v>0</v>
      </c>
      <c r="WF8">
        <v>0</v>
      </c>
      <c r="WG8">
        <v>0</v>
      </c>
      <c r="WH8">
        <v>0</v>
      </c>
      <c r="WI8">
        <v>0</v>
      </c>
      <c r="WJ8">
        <v>0</v>
      </c>
      <c r="WK8">
        <v>0</v>
      </c>
      <c r="WL8">
        <v>0</v>
      </c>
      <c r="WM8">
        <v>0</v>
      </c>
      <c r="WN8">
        <v>0</v>
      </c>
      <c r="WO8">
        <v>0</v>
      </c>
      <c r="WP8">
        <v>0</v>
      </c>
      <c r="WQ8">
        <v>0</v>
      </c>
      <c r="WR8">
        <v>0</v>
      </c>
      <c r="WS8">
        <v>0</v>
      </c>
      <c r="WT8">
        <v>0</v>
      </c>
      <c r="WU8">
        <v>0</v>
      </c>
      <c r="WV8" t="s">
        <v>271</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t="s">
        <v>271</v>
      </c>
      <c r="XU8">
        <v>0</v>
      </c>
      <c r="XV8">
        <v>0</v>
      </c>
      <c r="XW8" t="s">
        <v>271</v>
      </c>
      <c r="XX8">
        <v>0</v>
      </c>
      <c r="XY8">
        <v>0</v>
      </c>
      <c r="XZ8">
        <v>0</v>
      </c>
      <c r="YA8">
        <v>0</v>
      </c>
      <c r="YB8">
        <v>0</v>
      </c>
      <c r="YC8">
        <v>0</v>
      </c>
      <c r="YD8">
        <v>0</v>
      </c>
      <c r="YE8">
        <v>0</v>
      </c>
      <c r="YF8">
        <v>0</v>
      </c>
      <c r="YG8">
        <v>0</v>
      </c>
      <c r="YH8">
        <v>0</v>
      </c>
      <c r="YI8">
        <v>0</v>
      </c>
      <c r="YJ8">
        <v>0</v>
      </c>
      <c r="YK8">
        <v>0</v>
      </c>
      <c r="YL8">
        <v>0</v>
      </c>
      <c r="YM8">
        <v>0</v>
      </c>
      <c r="YN8">
        <v>0</v>
      </c>
      <c r="YO8">
        <v>0</v>
      </c>
      <c r="YP8">
        <v>0</v>
      </c>
      <c r="YQ8">
        <v>0</v>
      </c>
      <c r="YR8" t="s">
        <v>271</v>
      </c>
      <c r="YS8">
        <v>0</v>
      </c>
      <c r="YT8">
        <v>0</v>
      </c>
      <c r="YU8">
        <v>0</v>
      </c>
      <c r="YV8">
        <v>0</v>
      </c>
      <c r="YW8">
        <v>0</v>
      </c>
      <c r="YX8">
        <v>0</v>
      </c>
      <c r="YY8">
        <v>0</v>
      </c>
      <c r="YZ8">
        <v>0</v>
      </c>
      <c r="ZA8">
        <v>0</v>
      </c>
      <c r="ZB8">
        <v>0</v>
      </c>
      <c r="ZC8">
        <v>0</v>
      </c>
      <c r="ZD8">
        <v>0</v>
      </c>
      <c r="ZE8">
        <v>0</v>
      </c>
      <c r="ZF8">
        <v>0</v>
      </c>
      <c r="ZG8">
        <v>0</v>
      </c>
      <c r="ZH8">
        <v>0</v>
      </c>
      <c r="ZI8">
        <v>0</v>
      </c>
      <c r="ZJ8">
        <v>0</v>
      </c>
      <c r="ZK8">
        <v>0</v>
      </c>
      <c r="ZL8">
        <v>0</v>
      </c>
      <c r="ZM8">
        <v>0</v>
      </c>
      <c r="ZN8">
        <v>0</v>
      </c>
      <c r="ZO8">
        <v>0</v>
      </c>
      <c r="ZP8" t="s">
        <v>271</v>
      </c>
      <c r="ZQ8">
        <v>0</v>
      </c>
      <c r="ZR8">
        <v>0</v>
      </c>
      <c r="ZS8" t="s">
        <v>271</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t="s">
        <v>271</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t="s">
        <v>271</v>
      </c>
      <c r="ABM8">
        <v>0</v>
      </c>
      <c r="ABN8">
        <v>0</v>
      </c>
      <c r="ABO8" t="s">
        <v>271</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t="s">
        <v>271</v>
      </c>
      <c r="ACK8">
        <v>0</v>
      </c>
      <c r="ACL8">
        <v>0</v>
      </c>
      <c r="ACM8">
        <v>0</v>
      </c>
      <c r="ACN8">
        <v>0</v>
      </c>
      <c r="ACO8">
        <v>0</v>
      </c>
      <c r="ACP8">
        <v>0</v>
      </c>
      <c r="ACQ8">
        <v>0</v>
      </c>
      <c r="ACR8">
        <v>0</v>
      </c>
      <c r="ACS8">
        <v>0</v>
      </c>
      <c r="ACT8">
        <v>0</v>
      </c>
      <c r="ACU8">
        <v>0</v>
      </c>
      <c r="ACV8">
        <v>0</v>
      </c>
      <c r="ACW8">
        <v>0</v>
      </c>
      <c r="ACX8">
        <v>0</v>
      </c>
      <c r="ACY8">
        <v>0</v>
      </c>
      <c r="ACZ8">
        <v>0</v>
      </c>
      <c r="ADA8">
        <v>0</v>
      </c>
      <c r="ADB8">
        <v>0</v>
      </c>
      <c r="ADC8">
        <v>0</v>
      </c>
      <c r="ADD8">
        <v>0</v>
      </c>
      <c r="ADE8">
        <v>0</v>
      </c>
      <c r="ADF8">
        <v>0</v>
      </c>
      <c r="ADG8">
        <v>0</v>
      </c>
      <c r="ADH8" t="s">
        <v>271</v>
      </c>
      <c r="ADI8">
        <v>0</v>
      </c>
      <c r="ADJ8">
        <v>0</v>
      </c>
      <c r="ADK8" t="s">
        <v>271</v>
      </c>
      <c r="ADL8">
        <v>0</v>
      </c>
      <c r="ADM8">
        <v>0</v>
      </c>
      <c r="ADN8">
        <v>0</v>
      </c>
      <c r="ADO8">
        <v>0</v>
      </c>
      <c r="ADP8">
        <v>0</v>
      </c>
      <c r="ADQ8">
        <v>0</v>
      </c>
      <c r="ADR8">
        <v>0</v>
      </c>
      <c r="ADS8">
        <v>0</v>
      </c>
      <c r="ADT8">
        <v>0</v>
      </c>
      <c r="ADU8">
        <v>0</v>
      </c>
      <c r="ADV8">
        <v>0</v>
      </c>
      <c r="ADW8">
        <v>0</v>
      </c>
      <c r="ADX8">
        <v>0</v>
      </c>
      <c r="ADY8">
        <v>0</v>
      </c>
      <c r="ADZ8">
        <v>0</v>
      </c>
      <c r="AEA8">
        <v>0</v>
      </c>
      <c r="AEB8">
        <v>0</v>
      </c>
      <c r="AEC8">
        <v>0</v>
      </c>
      <c r="AED8">
        <v>0</v>
      </c>
      <c r="AEE8">
        <v>0</v>
      </c>
      <c r="AEF8" t="s">
        <v>271</v>
      </c>
      <c r="AEG8">
        <v>0</v>
      </c>
      <c r="AEH8">
        <v>0</v>
      </c>
      <c r="AEI8">
        <v>0</v>
      </c>
      <c r="AEJ8">
        <v>0</v>
      </c>
      <c r="AEK8">
        <v>0</v>
      </c>
      <c r="AEL8">
        <v>0</v>
      </c>
      <c r="AEM8">
        <v>0</v>
      </c>
      <c r="AEN8">
        <v>0</v>
      </c>
      <c r="AEO8">
        <v>0</v>
      </c>
      <c r="AEP8">
        <v>0</v>
      </c>
      <c r="AEQ8">
        <v>0</v>
      </c>
      <c r="AER8">
        <v>0</v>
      </c>
      <c r="AES8">
        <v>0</v>
      </c>
      <c r="AET8">
        <v>0</v>
      </c>
      <c r="AEU8">
        <v>0</v>
      </c>
      <c r="AEV8">
        <v>0</v>
      </c>
      <c r="AEW8">
        <v>0</v>
      </c>
      <c r="AEX8">
        <v>0</v>
      </c>
      <c r="AEY8">
        <v>0</v>
      </c>
      <c r="AEZ8">
        <v>0</v>
      </c>
      <c r="AFA8">
        <v>0</v>
      </c>
      <c r="AFB8">
        <v>0</v>
      </c>
      <c r="AFC8">
        <v>0</v>
      </c>
      <c r="AFD8" t="s">
        <v>271</v>
      </c>
      <c r="AFE8">
        <v>0</v>
      </c>
      <c r="AFF8">
        <v>0</v>
      </c>
      <c r="AFG8" t="s">
        <v>271</v>
      </c>
      <c r="AFH8">
        <v>0</v>
      </c>
      <c r="AFI8">
        <v>0</v>
      </c>
      <c r="AFJ8">
        <v>0</v>
      </c>
      <c r="AFK8">
        <v>0</v>
      </c>
      <c r="AFL8">
        <v>0</v>
      </c>
      <c r="AFM8">
        <v>0</v>
      </c>
      <c r="AFN8">
        <v>0</v>
      </c>
      <c r="AFO8">
        <v>0</v>
      </c>
      <c r="AFP8">
        <v>0</v>
      </c>
      <c r="AFQ8">
        <v>0</v>
      </c>
      <c r="AFR8">
        <v>0</v>
      </c>
      <c r="AFS8">
        <v>0</v>
      </c>
      <c r="AFT8">
        <v>0</v>
      </c>
      <c r="AFU8">
        <v>0</v>
      </c>
      <c r="AFV8">
        <v>0</v>
      </c>
      <c r="AFW8">
        <v>0</v>
      </c>
      <c r="AFX8">
        <v>0</v>
      </c>
      <c r="AFY8">
        <v>0</v>
      </c>
      <c r="AFZ8">
        <v>0</v>
      </c>
      <c r="AGA8">
        <v>0</v>
      </c>
      <c r="AGB8" t="s">
        <v>271</v>
      </c>
      <c r="AGC8">
        <v>0</v>
      </c>
      <c r="AGD8">
        <v>0</v>
      </c>
      <c r="AGE8">
        <v>0</v>
      </c>
      <c r="AGF8">
        <v>0</v>
      </c>
      <c r="AGG8">
        <v>0</v>
      </c>
      <c r="AGH8">
        <v>0</v>
      </c>
      <c r="AGI8">
        <v>0</v>
      </c>
      <c r="AGJ8">
        <v>0</v>
      </c>
      <c r="AGK8">
        <v>0</v>
      </c>
      <c r="AGL8">
        <v>0</v>
      </c>
      <c r="AGM8">
        <v>0</v>
      </c>
      <c r="AGN8">
        <v>0</v>
      </c>
      <c r="AGO8">
        <v>0</v>
      </c>
      <c r="AGP8">
        <v>0</v>
      </c>
      <c r="AGQ8">
        <v>0</v>
      </c>
      <c r="AGR8">
        <v>0</v>
      </c>
      <c r="AGS8">
        <v>0</v>
      </c>
      <c r="AGT8">
        <v>0</v>
      </c>
      <c r="AGU8">
        <v>0</v>
      </c>
      <c r="AGV8">
        <v>0</v>
      </c>
      <c r="AGW8">
        <v>0</v>
      </c>
      <c r="AGX8">
        <v>0</v>
      </c>
      <c r="AGY8">
        <v>0</v>
      </c>
      <c r="AGZ8" t="s">
        <v>271</v>
      </c>
      <c r="AHA8">
        <v>0</v>
      </c>
      <c r="AHB8">
        <v>0</v>
      </c>
      <c r="AHC8" t="s">
        <v>271</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t="s">
        <v>271</v>
      </c>
      <c r="AHY8">
        <v>0</v>
      </c>
      <c r="AHZ8">
        <v>0</v>
      </c>
      <c r="AIA8">
        <v>0</v>
      </c>
      <c r="AIB8">
        <v>0</v>
      </c>
      <c r="AIC8">
        <v>0</v>
      </c>
      <c r="AID8">
        <v>0</v>
      </c>
      <c r="AIE8">
        <v>0</v>
      </c>
      <c r="AIF8">
        <v>0</v>
      </c>
      <c r="AIG8">
        <v>0</v>
      </c>
      <c r="AIH8">
        <v>0</v>
      </c>
      <c r="AII8">
        <v>0</v>
      </c>
      <c r="AIJ8">
        <v>0</v>
      </c>
      <c r="AIK8">
        <v>0</v>
      </c>
      <c r="AIL8">
        <v>0</v>
      </c>
      <c r="AIM8">
        <v>0</v>
      </c>
      <c r="AIN8">
        <v>0</v>
      </c>
      <c r="AIO8">
        <v>0</v>
      </c>
      <c r="AIP8">
        <v>0</v>
      </c>
      <c r="AIQ8">
        <v>0</v>
      </c>
      <c r="AIR8">
        <v>0</v>
      </c>
      <c r="AIS8">
        <v>0</v>
      </c>
      <c r="AIT8">
        <v>0</v>
      </c>
      <c r="AIU8">
        <v>0</v>
      </c>
      <c r="AIV8" t="s">
        <v>271</v>
      </c>
      <c r="AIW8">
        <v>0</v>
      </c>
      <c r="AIX8">
        <v>0</v>
      </c>
      <c r="AIY8" t="s">
        <v>271</v>
      </c>
      <c r="AIZ8">
        <v>0</v>
      </c>
      <c r="AJA8">
        <v>0</v>
      </c>
      <c r="AJB8">
        <v>0</v>
      </c>
      <c r="AJC8">
        <v>0</v>
      </c>
      <c r="AJD8">
        <v>0</v>
      </c>
      <c r="AJE8">
        <v>0</v>
      </c>
      <c r="AJF8">
        <v>0</v>
      </c>
      <c r="AJG8">
        <v>0</v>
      </c>
      <c r="AJH8">
        <v>0</v>
      </c>
      <c r="AJI8">
        <v>0</v>
      </c>
      <c r="AJJ8">
        <v>0</v>
      </c>
      <c r="AJK8">
        <v>0</v>
      </c>
      <c r="AJL8">
        <v>0</v>
      </c>
      <c r="AJM8">
        <v>0</v>
      </c>
      <c r="AJN8">
        <v>0</v>
      </c>
      <c r="AJO8">
        <v>0</v>
      </c>
      <c r="AJP8">
        <v>0</v>
      </c>
      <c r="AJQ8">
        <v>0</v>
      </c>
      <c r="AJR8">
        <v>0</v>
      </c>
      <c r="AJS8">
        <v>0</v>
      </c>
      <c r="AJT8" t="s">
        <v>271</v>
      </c>
      <c r="AJU8">
        <v>0</v>
      </c>
      <c r="AJV8">
        <v>0</v>
      </c>
      <c r="AJW8">
        <v>0</v>
      </c>
      <c r="AJX8">
        <v>0</v>
      </c>
      <c r="AJY8">
        <v>0</v>
      </c>
      <c r="AJZ8">
        <v>0</v>
      </c>
      <c r="AKA8">
        <v>0</v>
      </c>
      <c r="AKB8">
        <v>0</v>
      </c>
      <c r="AKC8">
        <v>0</v>
      </c>
      <c r="AKD8">
        <v>0</v>
      </c>
      <c r="AKE8">
        <v>0</v>
      </c>
      <c r="AKF8">
        <v>0</v>
      </c>
      <c r="AKG8">
        <v>0</v>
      </c>
      <c r="AKH8">
        <v>0</v>
      </c>
      <c r="AKI8">
        <v>0</v>
      </c>
      <c r="AKJ8">
        <v>0</v>
      </c>
      <c r="AKK8">
        <v>0</v>
      </c>
      <c r="AKL8">
        <v>0</v>
      </c>
      <c r="AKM8">
        <v>0</v>
      </c>
      <c r="AKN8">
        <v>0</v>
      </c>
      <c r="AKO8">
        <v>0</v>
      </c>
      <c r="AKP8">
        <v>0</v>
      </c>
      <c r="AKQ8">
        <v>0</v>
      </c>
      <c r="AKR8" t="s">
        <v>271</v>
      </c>
      <c r="AKS8">
        <v>0</v>
      </c>
      <c r="AKT8">
        <v>0</v>
      </c>
      <c r="AKU8" t="s">
        <v>271</v>
      </c>
      <c r="AKV8">
        <v>0</v>
      </c>
      <c r="AKW8">
        <v>0</v>
      </c>
      <c r="AKX8">
        <v>0</v>
      </c>
      <c r="AKY8">
        <v>0</v>
      </c>
      <c r="AKZ8">
        <v>0</v>
      </c>
      <c r="ALA8">
        <v>0</v>
      </c>
      <c r="ALB8">
        <v>0</v>
      </c>
      <c r="ALC8">
        <v>0</v>
      </c>
      <c r="ALD8">
        <v>0</v>
      </c>
      <c r="ALE8">
        <v>0</v>
      </c>
      <c r="ALF8">
        <v>0</v>
      </c>
      <c r="ALG8">
        <v>0</v>
      </c>
      <c r="ALH8">
        <v>0</v>
      </c>
      <c r="ALI8">
        <v>0</v>
      </c>
      <c r="ALJ8">
        <v>0</v>
      </c>
      <c r="ALK8">
        <v>0</v>
      </c>
      <c r="ALL8">
        <v>0</v>
      </c>
      <c r="ALM8">
        <v>0</v>
      </c>
      <c r="ALN8">
        <v>0</v>
      </c>
      <c r="ALO8">
        <v>0</v>
      </c>
      <c r="ALP8" t="s">
        <v>271</v>
      </c>
      <c r="ALQ8">
        <v>0</v>
      </c>
      <c r="ALR8">
        <v>0</v>
      </c>
      <c r="ALS8">
        <v>0</v>
      </c>
      <c r="ALT8">
        <v>0</v>
      </c>
      <c r="ALU8">
        <v>0</v>
      </c>
      <c r="ALV8">
        <v>0</v>
      </c>
      <c r="ALW8">
        <v>0</v>
      </c>
      <c r="ALX8">
        <v>0</v>
      </c>
      <c r="ALY8">
        <v>0</v>
      </c>
      <c r="ALZ8">
        <v>0</v>
      </c>
      <c r="AMA8">
        <v>0</v>
      </c>
      <c r="AMB8">
        <v>0</v>
      </c>
      <c r="AMC8">
        <v>0</v>
      </c>
      <c r="AMD8">
        <v>0</v>
      </c>
      <c r="AME8">
        <v>0</v>
      </c>
      <c r="AMF8">
        <v>0</v>
      </c>
      <c r="AMG8">
        <v>0</v>
      </c>
      <c r="AMH8">
        <v>0</v>
      </c>
      <c r="AMI8">
        <v>0</v>
      </c>
      <c r="AMJ8">
        <v>0</v>
      </c>
      <c r="AMK8">
        <v>0</v>
      </c>
      <c r="AML8">
        <v>0</v>
      </c>
      <c r="AMM8">
        <v>0</v>
      </c>
      <c r="AMN8" t="s">
        <v>271</v>
      </c>
      <c r="AMO8">
        <v>0</v>
      </c>
      <c r="AMP8">
        <v>0</v>
      </c>
      <c r="AMQ8" t="s">
        <v>271</v>
      </c>
      <c r="AMR8">
        <v>0</v>
      </c>
      <c r="AMS8">
        <v>0</v>
      </c>
      <c r="AMT8">
        <v>0</v>
      </c>
      <c r="AMU8">
        <v>0</v>
      </c>
      <c r="AMV8">
        <v>0</v>
      </c>
      <c r="AMW8">
        <v>0</v>
      </c>
      <c r="AMX8">
        <v>0</v>
      </c>
      <c r="AMY8">
        <v>0</v>
      </c>
      <c r="AMZ8">
        <v>0</v>
      </c>
      <c r="ANA8">
        <v>0</v>
      </c>
      <c r="ANB8">
        <v>0</v>
      </c>
      <c r="ANC8">
        <v>0</v>
      </c>
      <c r="AND8">
        <v>0</v>
      </c>
      <c r="ANE8">
        <v>0</v>
      </c>
      <c r="ANF8">
        <v>0</v>
      </c>
      <c r="ANG8">
        <v>0</v>
      </c>
      <c r="ANH8">
        <v>0</v>
      </c>
      <c r="ANI8">
        <v>0</v>
      </c>
      <c r="ANJ8">
        <v>0</v>
      </c>
      <c r="ANK8">
        <v>0</v>
      </c>
      <c r="ANL8" t="s">
        <v>271</v>
      </c>
      <c r="ANM8">
        <v>0</v>
      </c>
      <c r="ANN8">
        <v>0</v>
      </c>
      <c r="ANO8">
        <v>0</v>
      </c>
      <c r="ANP8">
        <v>0</v>
      </c>
      <c r="ANQ8">
        <v>0</v>
      </c>
      <c r="ANR8">
        <v>0</v>
      </c>
      <c r="ANS8">
        <v>0</v>
      </c>
      <c r="ANT8">
        <v>0</v>
      </c>
      <c r="ANU8">
        <v>0</v>
      </c>
      <c r="ANV8">
        <v>0</v>
      </c>
      <c r="ANW8">
        <v>0</v>
      </c>
      <c r="ANX8">
        <v>0</v>
      </c>
      <c r="ANY8">
        <v>0</v>
      </c>
      <c r="ANZ8">
        <v>0</v>
      </c>
      <c r="AOA8">
        <v>0</v>
      </c>
      <c r="AOB8">
        <v>0</v>
      </c>
      <c r="AOC8">
        <v>0</v>
      </c>
      <c r="AOD8">
        <v>0</v>
      </c>
      <c r="AOE8">
        <v>0</v>
      </c>
      <c r="AOF8">
        <v>0</v>
      </c>
      <c r="AOG8">
        <v>0</v>
      </c>
      <c r="AOH8">
        <v>0</v>
      </c>
      <c r="AOI8">
        <v>0</v>
      </c>
      <c r="AOJ8" t="s">
        <v>271</v>
      </c>
      <c r="AOK8">
        <v>0</v>
      </c>
      <c r="AOL8">
        <v>0</v>
      </c>
      <c r="AOM8" t="s">
        <v>271</v>
      </c>
      <c r="AON8">
        <v>0</v>
      </c>
      <c r="AOO8">
        <v>0</v>
      </c>
      <c r="AOP8">
        <v>0</v>
      </c>
      <c r="AOQ8">
        <v>0</v>
      </c>
      <c r="AOR8">
        <v>0</v>
      </c>
      <c r="AOS8">
        <v>0</v>
      </c>
      <c r="AOT8">
        <v>0</v>
      </c>
      <c r="AOU8">
        <v>0</v>
      </c>
      <c r="AOV8">
        <v>0</v>
      </c>
      <c r="AOW8">
        <v>0</v>
      </c>
      <c r="AOX8">
        <v>0</v>
      </c>
      <c r="AOY8">
        <v>0</v>
      </c>
      <c r="AOZ8">
        <v>0</v>
      </c>
      <c r="APA8">
        <v>0</v>
      </c>
      <c r="APB8">
        <v>0</v>
      </c>
      <c r="APC8">
        <v>0</v>
      </c>
      <c r="APD8">
        <v>0</v>
      </c>
      <c r="APE8">
        <v>0</v>
      </c>
      <c r="APF8">
        <v>0</v>
      </c>
      <c r="APG8">
        <v>0</v>
      </c>
      <c r="APH8" t="s">
        <v>271</v>
      </c>
      <c r="API8">
        <v>0</v>
      </c>
      <c r="APJ8">
        <v>0</v>
      </c>
      <c r="APK8">
        <v>0</v>
      </c>
      <c r="APL8">
        <v>0</v>
      </c>
      <c r="APM8">
        <v>0</v>
      </c>
      <c r="APN8">
        <v>0</v>
      </c>
      <c r="APO8">
        <v>0</v>
      </c>
      <c r="APP8">
        <v>0</v>
      </c>
      <c r="APQ8">
        <v>0</v>
      </c>
      <c r="APR8">
        <v>0</v>
      </c>
      <c r="APS8">
        <v>0</v>
      </c>
      <c r="APT8">
        <v>0</v>
      </c>
      <c r="APU8">
        <v>0</v>
      </c>
      <c r="APV8">
        <v>0</v>
      </c>
      <c r="APW8">
        <v>0</v>
      </c>
      <c r="APX8">
        <v>0</v>
      </c>
      <c r="APY8">
        <v>0</v>
      </c>
      <c r="APZ8">
        <v>0</v>
      </c>
      <c r="AQA8">
        <v>0</v>
      </c>
      <c r="AQB8">
        <v>0</v>
      </c>
      <c r="AQC8">
        <v>0</v>
      </c>
      <c r="AQD8">
        <v>0</v>
      </c>
      <c r="AQE8">
        <v>0</v>
      </c>
      <c r="AQF8" t="s">
        <v>271</v>
      </c>
      <c r="AQG8">
        <v>0</v>
      </c>
      <c r="AQH8">
        <v>0</v>
      </c>
      <c r="AQI8" t="s">
        <v>271</v>
      </c>
      <c r="AQJ8">
        <v>0</v>
      </c>
      <c r="AQK8">
        <v>0</v>
      </c>
      <c r="AQL8">
        <v>0</v>
      </c>
      <c r="AQM8">
        <v>0</v>
      </c>
      <c r="AQN8">
        <v>0</v>
      </c>
      <c r="AQO8">
        <v>0</v>
      </c>
      <c r="AQP8">
        <v>0</v>
      </c>
      <c r="AQQ8">
        <v>0</v>
      </c>
      <c r="AQR8">
        <v>0</v>
      </c>
      <c r="AQS8">
        <v>0</v>
      </c>
      <c r="AQT8">
        <v>0</v>
      </c>
      <c r="AQU8">
        <v>0</v>
      </c>
      <c r="AQV8">
        <v>0</v>
      </c>
      <c r="AQW8">
        <v>0</v>
      </c>
      <c r="AQX8">
        <v>0</v>
      </c>
      <c r="AQY8">
        <v>0</v>
      </c>
      <c r="AQZ8">
        <v>0</v>
      </c>
      <c r="ARA8">
        <v>0</v>
      </c>
      <c r="ARB8">
        <v>0</v>
      </c>
      <c r="ARC8">
        <v>0</v>
      </c>
      <c r="ARD8" t="s">
        <v>271</v>
      </c>
      <c r="ARE8">
        <v>0</v>
      </c>
      <c r="ARF8">
        <v>0</v>
      </c>
      <c r="ARG8">
        <v>0</v>
      </c>
      <c r="ARH8">
        <v>0</v>
      </c>
      <c r="ARI8">
        <v>0</v>
      </c>
      <c r="ARJ8">
        <v>0</v>
      </c>
      <c r="ARK8">
        <v>0</v>
      </c>
      <c r="ARL8">
        <v>0</v>
      </c>
      <c r="ARM8">
        <v>0</v>
      </c>
      <c r="ARN8">
        <v>0</v>
      </c>
      <c r="ARO8">
        <v>0</v>
      </c>
      <c r="ARP8">
        <v>0</v>
      </c>
      <c r="ARQ8">
        <v>0</v>
      </c>
      <c r="ARR8">
        <v>0</v>
      </c>
      <c r="ARS8">
        <v>0</v>
      </c>
      <c r="ART8">
        <v>0</v>
      </c>
      <c r="ARU8">
        <v>0</v>
      </c>
      <c r="ARV8">
        <v>0</v>
      </c>
      <c r="ARW8">
        <v>0</v>
      </c>
      <c r="ARX8">
        <v>0</v>
      </c>
      <c r="ARY8">
        <v>0</v>
      </c>
      <c r="ARZ8">
        <v>0</v>
      </c>
      <c r="ASA8">
        <v>0</v>
      </c>
      <c r="ASB8" t="s">
        <v>271</v>
      </c>
      <c r="ASC8">
        <v>0</v>
      </c>
      <c r="ASD8">
        <v>0</v>
      </c>
      <c r="ASE8" t="s">
        <v>271</v>
      </c>
      <c r="ASF8">
        <v>0</v>
      </c>
      <c r="ASG8">
        <v>0</v>
      </c>
      <c r="ASH8">
        <v>0</v>
      </c>
      <c r="ASI8">
        <v>0</v>
      </c>
      <c r="ASJ8">
        <v>0</v>
      </c>
      <c r="ASK8">
        <v>0</v>
      </c>
      <c r="ASL8">
        <v>0</v>
      </c>
      <c r="ASM8">
        <v>0</v>
      </c>
      <c r="ASN8">
        <v>0</v>
      </c>
      <c r="ASO8">
        <v>0</v>
      </c>
      <c r="ASP8">
        <v>0</v>
      </c>
      <c r="ASQ8">
        <v>0</v>
      </c>
      <c r="ASR8">
        <v>0</v>
      </c>
      <c r="ASS8">
        <v>0</v>
      </c>
      <c r="AST8">
        <v>0</v>
      </c>
      <c r="ASU8">
        <v>0</v>
      </c>
      <c r="ASV8">
        <v>0</v>
      </c>
      <c r="ASW8">
        <v>0</v>
      </c>
      <c r="ASX8">
        <v>0</v>
      </c>
      <c r="ASY8">
        <v>0</v>
      </c>
      <c r="ASZ8" t="s">
        <v>271</v>
      </c>
      <c r="ATA8">
        <v>0</v>
      </c>
      <c r="ATB8">
        <v>0</v>
      </c>
      <c r="ATC8">
        <v>0</v>
      </c>
      <c r="ATD8">
        <v>0</v>
      </c>
      <c r="ATE8">
        <v>0</v>
      </c>
      <c r="ATF8">
        <v>0</v>
      </c>
      <c r="ATG8">
        <v>0</v>
      </c>
      <c r="ATH8">
        <v>0</v>
      </c>
      <c r="ATI8">
        <v>0</v>
      </c>
      <c r="ATJ8">
        <v>0</v>
      </c>
      <c r="ATK8">
        <v>0</v>
      </c>
      <c r="ATL8">
        <v>0</v>
      </c>
      <c r="ATM8">
        <v>0</v>
      </c>
      <c r="ATN8">
        <v>0</v>
      </c>
      <c r="ATO8">
        <v>0</v>
      </c>
      <c r="ATP8">
        <v>0</v>
      </c>
      <c r="ATQ8">
        <v>0</v>
      </c>
      <c r="ATR8">
        <v>0</v>
      </c>
      <c r="ATS8">
        <v>0</v>
      </c>
      <c r="ATT8">
        <v>0</v>
      </c>
      <c r="ATU8">
        <v>0</v>
      </c>
      <c r="ATV8">
        <v>0</v>
      </c>
      <c r="ATW8">
        <v>0</v>
      </c>
      <c r="ATX8" t="s">
        <v>271</v>
      </c>
      <c r="ATY8">
        <v>0</v>
      </c>
      <c r="ATZ8">
        <v>0</v>
      </c>
      <c r="AUA8" t="s">
        <v>271</v>
      </c>
      <c r="AUB8">
        <v>0</v>
      </c>
      <c r="AUC8">
        <v>0</v>
      </c>
      <c r="AUD8">
        <v>0</v>
      </c>
      <c r="AUE8">
        <v>0</v>
      </c>
      <c r="AUF8">
        <v>0</v>
      </c>
      <c r="AUG8">
        <v>0</v>
      </c>
      <c r="AUH8">
        <v>0</v>
      </c>
      <c r="AUI8">
        <v>0</v>
      </c>
      <c r="AUJ8">
        <v>0</v>
      </c>
      <c r="AUK8">
        <v>0</v>
      </c>
      <c r="AUL8">
        <v>0</v>
      </c>
      <c r="AUM8">
        <v>0</v>
      </c>
      <c r="AUN8">
        <v>0</v>
      </c>
      <c r="AUO8">
        <v>0</v>
      </c>
      <c r="AUP8">
        <v>0</v>
      </c>
      <c r="AUQ8">
        <v>0</v>
      </c>
      <c r="AUR8">
        <v>0</v>
      </c>
      <c r="AUS8">
        <v>0</v>
      </c>
      <c r="AUT8">
        <v>0</v>
      </c>
      <c r="AUU8">
        <v>0</v>
      </c>
      <c r="AUV8" t="s">
        <v>271</v>
      </c>
      <c r="AUW8">
        <v>0</v>
      </c>
      <c r="AUX8">
        <v>0</v>
      </c>
      <c r="AUY8">
        <v>0</v>
      </c>
      <c r="AUZ8">
        <v>0</v>
      </c>
      <c r="AVA8">
        <v>0</v>
      </c>
      <c r="AVB8">
        <v>0</v>
      </c>
      <c r="AVC8">
        <v>0</v>
      </c>
      <c r="AVD8">
        <v>0</v>
      </c>
      <c r="AVE8">
        <v>0</v>
      </c>
      <c r="AVF8">
        <v>0</v>
      </c>
      <c r="AVG8">
        <v>0</v>
      </c>
      <c r="AVH8">
        <v>0</v>
      </c>
      <c r="AVI8">
        <v>0</v>
      </c>
      <c r="AVJ8">
        <v>0</v>
      </c>
      <c r="AVK8">
        <v>0</v>
      </c>
      <c r="AVL8">
        <v>0</v>
      </c>
      <c r="AVM8">
        <v>0</v>
      </c>
      <c r="AVN8">
        <v>0</v>
      </c>
      <c r="AVO8">
        <v>0</v>
      </c>
      <c r="AVP8">
        <v>0</v>
      </c>
      <c r="AVQ8">
        <v>0</v>
      </c>
      <c r="AVR8">
        <v>0</v>
      </c>
      <c r="AVS8">
        <v>0</v>
      </c>
      <c r="AVT8" t="s">
        <v>271</v>
      </c>
      <c r="AVU8">
        <v>0</v>
      </c>
      <c r="AVV8">
        <v>0</v>
      </c>
      <c r="AVW8" t="s">
        <v>271</v>
      </c>
      <c r="AVX8">
        <v>0</v>
      </c>
      <c r="AVY8">
        <v>0</v>
      </c>
      <c r="AVZ8">
        <v>0</v>
      </c>
      <c r="AWA8">
        <v>0</v>
      </c>
      <c r="AWB8">
        <v>0</v>
      </c>
      <c r="AWC8">
        <v>0</v>
      </c>
      <c r="AWD8">
        <v>0</v>
      </c>
      <c r="AWE8">
        <v>0</v>
      </c>
      <c r="AWF8">
        <v>0</v>
      </c>
      <c r="AWG8">
        <v>0</v>
      </c>
      <c r="AWH8">
        <v>0</v>
      </c>
      <c r="AWI8">
        <v>0</v>
      </c>
      <c r="AWJ8">
        <v>0</v>
      </c>
      <c r="AWK8">
        <v>0</v>
      </c>
      <c r="AWL8">
        <v>0</v>
      </c>
      <c r="AWM8">
        <v>0</v>
      </c>
      <c r="AWN8">
        <v>0</v>
      </c>
      <c r="AWO8">
        <v>0</v>
      </c>
      <c r="AWP8">
        <v>0</v>
      </c>
      <c r="AWQ8">
        <v>0</v>
      </c>
      <c r="AWR8" t="s">
        <v>271</v>
      </c>
      <c r="AWS8">
        <v>0</v>
      </c>
      <c r="AWT8">
        <v>0</v>
      </c>
      <c r="AWU8">
        <v>0</v>
      </c>
      <c r="AWV8">
        <v>0</v>
      </c>
      <c r="AWW8">
        <v>0</v>
      </c>
      <c r="AWX8">
        <v>0</v>
      </c>
      <c r="AWY8">
        <v>0</v>
      </c>
      <c r="AWZ8">
        <v>0</v>
      </c>
      <c r="AXA8">
        <v>0</v>
      </c>
      <c r="AXB8">
        <v>0</v>
      </c>
      <c r="AXC8">
        <v>0</v>
      </c>
      <c r="AXD8">
        <v>0</v>
      </c>
      <c r="AXE8">
        <v>0</v>
      </c>
      <c r="AXF8">
        <v>0</v>
      </c>
      <c r="AXG8">
        <v>0</v>
      </c>
      <c r="AXH8">
        <v>0</v>
      </c>
      <c r="AXI8">
        <v>0</v>
      </c>
      <c r="AXJ8">
        <v>0</v>
      </c>
      <c r="AXK8">
        <v>0</v>
      </c>
      <c r="AXL8">
        <v>0</v>
      </c>
      <c r="AXM8">
        <v>0</v>
      </c>
      <c r="AXN8">
        <v>0</v>
      </c>
      <c r="AXO8">
        <v>0</v>
      </c>
      <c r="AXP8" t="s">
        <v>271</v>
      </c>
      <c r="AXQ8">
        <v>0</v>
      </c>
      <c r="AXR8">
        <v>0</v>
      </c>
      <c r="AXS8" t="s">
        <v>271</v>
      </c>
      <c r="AXT8">
        <v>0</v>
      </c>
      <c r="AXU8">
        <v>0</v>
      </c>
      <c r="AXV8">
        <v>0</v>
      </c>
      <c r="AXW8">
        <v>0</v>
      </c>
      <c r="AXX8">
        <v>0</v>
      </c>
      <c r="AXY8">
        <v>0</v>
      </c>
      <c r="AXZ8">
        <v>0</v>
      </c>
      <c r="AYA8">
        <v>0</v>
      </c>
      <c r="AYB8">
        <v>0</v>
      </c>
      <c r="AYC8">
        <v>0</v>
      </c>
      <c r="AYD8">
        <v>0</v>
      </c>
      <c r="AYE8">
        <v>0</v>
      </c>
      <c r="AYF8">
        <v>0</v>
      </c>
      <c r="AYG8">
        <v>0</v>
      </c>
      <c r="AYH8">
        <v>0</v>
      </c>
      <c r="AYI8">
        <v>0</v>
      </c>
      <c r="AYJ8">
        <v>0</v>
      </c>
      <c r="AYK8">
        <v>0</v>
      </c>
      <c r="AYL8">
        <v>0</v>
      </c>
      <c r="AYM8">
        <v>0</v>
      </c>
      <c r="AYN8" t="s">
        <v>271</v>
      </c>
      <c r="AYO8">
        <v>0</v>
      </c>
      <c r="AYP8">
        <v>0</v>
      </c>
      <c r="AYQ8">
        <v>0</v>
      </c>
      <c r="AYR8">
        <v>0</v>
      </c>
      <c r="AYS8">
        <v>0</v>
      </c>
      <c r="AYT8">
        <v>0</v>
      </c>
      <c r="AYU8">
        <v>0</v>
      </c>
      <c r="AYV8">
        <v>0</v>
      </c>
      <c r="AYW8">
        <v>0</v>
      </c>
      <c r="AYX8">
        <v>0</v>
      </c>
      <c r="AYY8">
        <v>0</v>
      </c>
      <c r="AYZ8">
        <v>0</v>
      </c>
      <c r="AZA8">
        <v>0</v>
      </c>
      <c r="AZB8">
        <v>0</v>
      </c>
      <c r="AZC8">
        <v>0</v>
      </c>
      <c r="AZD8">
        <v>0</v>
      </c>
      <c r="AZE8">
        <v>0</v>
      </c>
      <c r="AZF8">
        <v>0</v>
      </c>
      <c r="AZG8">
        <v>0</v>
      </c>
      <c r="AZH8">
        <v>0</v>
      </c>
      <c r="AZI8">
        <v>0</v>
      </c>
      <c r="AZJ8">
        <v>0</v>
      </c>
      <c r="AZK8">
        <v>0</v>
      </c>
      <c r="AZL8" t="s">
        <v>271</v>
      </c>
      <c r="AZM8">
        <v>0</v>
      </c>
      <c r="AZN8">
        <v>0</v>
      </c>
      <c r="AZO8" t="s">
        <v>271</v>
      </c>
      <c r="AZP8">
        <v>0</v>
      </c>
      <c r="AZQ8">
        <v>0</v>
      </c>
      <c r="AZR8">
        <v>0</v>
      </c>
      <c r="AZS8">
        <v>0</v>
      </c>
      <c r="AZT8">
        <v>0</v>
      </c>
      <c r="AZU8">
        <v>0</v>
      </c>
      <c r="AZV8">
        <v>0</v>
      </c>
      <c r="AZW8">
        <v>0</v>
      </c>
      <c r="AZX8">
        <v>0</v>
      </c>
      <c r="AZY8">
        <v>0</v>
      </c>
      <c r="AZZ8">
        <v>0</v>
      </c>
      <c r="BAA8">
        <v>0</v>
      </c>
      <c r="BAB8">
        <v>0</v>
      </c>
      <c r="BAC8">
        <v>0</v>
      </c>
      <c r="BAD8">
        <v>0</v>
      </c>
      <c r="BAE8">
        <v>0</v>
      </c>
      <c r="BAF8">
        <v>0</v>
      </c>
      <c r="BAG8">
        <v>0</v>
      </c>
      <c r="BAH8">
        <v>0</v>
      </c>
      <c r="BAI8">
        <v>0</v>
      </c>
      <c r="BAJ8" t="s">
        <v>271</v>
      </c>
      <c r="BAK8">
        <v>1006715</v>
      </c>
      <c r="BAL8">
        <v>3582.92</v>
      </c>
      <c r="BAM8">
        <v>3028.92</v>
      </c>
      <c r="BAN8">
        <v>554</v>
      </c>
      <c r="BAO8">
        <v>0</v>
      </c>
      <c r="BAP8">
        <v>0</v>
      </c>
      <c r="BAQ8">
        <v>0</v>
      </c>
      <c r="BAR8">
        <v>0</v>
      </c>
      <c r="BAS8">
        <v>0</v>
      </c>
      <c r="BAT8">
        <v>0</v>
      </c>
      <c r="BAU8">
        <v>0</v>
      </c>
      <c r="BAV8">
        <v>0</v>
      </c>
      <c r="BAW8">
        <v>0</v>
      </c>
      <c r="BAX8">
        <v>0</v>
      </c>
      <c r="BAY8">
        <v>0</v>
      </c>
      <c r="BAZ8">
        <v>0</v>
      </c>
      <c r="BBA8">
        <v>0</v>
      </c>
      <c r="BBB8">
        <v>0</v>
      </c>
      <c r="BBC8">
        <v>0</v>
      </c>
      <c r="BBD8">
        <v>0</v>
      </c>
      <c r="BBE8">
        <v>0</v>
      </c>
      <c r="BBF8">
        <v>0</v>
      </c>
      <c r="BBG8">
        <v>0</v>
      </c>
      <c r="BBH8">
        <v>0</v>
      </c>
      <c r="BBI8">
        <v>0</v>
      </c>
      <c r="BBJ8">
        <v>0</v>
      </c>
      <c r="BBK8">
        <v>0</v>
      </c>
      <c r="BBL8">
        <v>0</v>
      </c>
      <c r="BBM8">
        <v>0</v>
      </c>
      <c r="BBN8">
        <v>0</v>
      </c>
      <c r="BBO8">
        <v>0</v>
      </c>
      <c r="BBP8">
        <v>0</v>
      </c>
      <c r="BBQ8">
        <v>0</v>
      </c>
      <c r="BBR8">
        <v>0</v>
      </c>
      <c r="BBS8">
        <v>0</v>
      </c>
      <c r="BBT8">
        <v>0</v>
      </c>
      <c r="BBU8">
        <v>0</v>
      </c>
      <c r="BBV8">
        <v>0</v>
      </c>
      <c r="BBW8">
        <v>0</v>
      </c>
      <c r="BBX8">
        <v>0</v>
      </c>
      <c r="BBY8">
        <v>0</v>
      </c>
      <c r="BBZ8">
        <v>0</v>
      </c>
      <c r="BCA8">
        <v>0</v>
      </c>
      <c r="BCB8">
        <v>0</v>
      </c>
      <c r="BCC8">
        <v>0</v>
      </c>
      <c r="BCD8">
        <v>0</v>
      </c>
      <c r="BCE8">
        <v>0</v>
      </c>
      <c r="BCF8">
        <v>0</v>
      </c>
      <c r="BCG8">
        <v>0</v>
      </c>
      <c r="BCH8">
        <v>0</v>
      </c>
      <c r="BCI8">
        <v>0</v>
      </c>
      <c r="BCJ8">
        <v>0</v>
      </c>
      <c r="BCK8">
        <v>0</v>
      </c>
      <c r="BCL8">
        <v>0</v>
      </c>
      <c r="BCM8">
        <v>0</v>
      </c>
      <c r="BCN8">
        <v>0</v>
      </c>
      <c r="BCO8">
        <v>0</v>
      </c>
      <c r="BCP8">
        <v>0</v>
      </c>
      <c r="BCQ8">
        <v>0</v>
      </c>
      <c r="BCR8">
        <v>0</v>
      </c>
      <c r="BCS8">
        <v>0</v>
      </c>
      <c r="BCT8">
        <v>0</v>
      </c>
      <c r="BCU8">
        <v>0</v>
      </c>
      <c r="BCV8">
        <v>0</v>
      </c>
      <c r="BCW8">
        <v>0</v>
      </c>
      <c r="BCX8">
        <v>0</v>
      </c>
      <c r="BCY8">
        <v>0</v>
      </c>
      <c r="BCZ8">
        <v>0</v>
      </c>
      <c r="BDA8">
        <v>0</v>
      </c>
      <c r="BDB8">
        <v>0</v>
      </c>
      <c r="BDC8">
        <v>0</v>
      </c>
      <c r="BDD8">
        <v>0</v>
      </c>
      <c r="BDE8">
        <v>0</v>
      </c>
      <c r="BDF8">
        <v>0</v>
      </c>
      <c r="BDG8">
        <v>0</v>
      </c>
      <c r="BDH8">
        <v>0</v>
      </c>
      <c r="BDI8">
        <v>0</v>
      </c>
      <c r="BDJ8">
        <v>0</v>
      </c>
      <c r="BDK8">
        <v>0</v>
      </c>
      <c r="BDL8">
        <v>0</v>
      </c>
      <c r="BDM8">
        <v>0</v>
      </c>
      <c r="BDN8">
        <v>0</v>
      </c>
      <c r="BDO8">
        <v>0</v>
      </c>
      <c r="BDP8">
        <v>0</v>
      </c>
      <c r="BDQ8">
        <v>0</v>
      </c>
      <c r="BDR8">
        <v>0</v>
      </c>
      <c r="BDS8">
        <v>0</v>
      </c>
      <c r="BDT8">
        <v>0</v>
      </c>
      <c r="BDU8">
        <v>0</v>
      </c>
      <c r="BDV8">
        <v>0</v>
      </c>
      <c r="BDW8">
        <v>0</v>
      </c>
      <c r="BDX8">
        <v>0</v>
      </c>
      <c r="BDY8">
        <v>0</v>
      </c>
      <c r="BDZ8">
        <v>0</v>
      </c>
      <c r="BEA8">
        <v>0</v>
      </c>
      <c r="BEB8">
        <v>0</v>
      </c>
      <c r="BEC8">
        <v>0</v>
      </c>
      <c r="BED8">
        <v>0</v>
      </c>
      <c r="BEE8">
        <v>0</v>
      </c>
      <c r="BEF8">
        <v>0</v>
      </c>
      <c r="BEG8">
        <v>0</v>
      </c>
      <c r="BEH8">
        <v>0</v>
      </c>
      <c r="BEI8">
        <v>0</v>
      </c>
      <c r="BEJ8">
        <v>0</v>
      </c>
      <c r="BEK8">
        <v>0</v>
      </c>
      <c r="BEL8">
        <v>0</v>
      </c>
      <c r="BEM8">
        <v>0</v>
      </c>
      <c r="BEN8">
        <v>0</v>
      </c>
      <c r="BEO8">
        <v>0</v>
      </c>
      <c r="BEP8">
        <v>0</v>
      </c>
      <c r="BEQ8">
        <v>0</v>
      </c>
      <c r="BER8">
        <v>0</v>
      </c>
      <c r="BES8">
        <v>0</v>
      </c>
      <c r="BET8">
        <v>0</v>
      </c>
      <c r="BEU8">
        <v>0</v>
      </c>
      <c r="BEV8">
        <v>0</v>
      </c>
      <c r="BEW8">
        <v>0</v>
      </c>
      <c r="BEX8">
        <v>0</v>
      </c>
      <c r="BEY8">
        <v>0</v>
      </c>
      <c r="BEZ8">
        <v>0</v>
      </c>
      <c r="BFA8">
        <v>0</v>
      </c>
      <c r="BFB8">
        <v>0</v>
      </c>
      <c r="BFC8">
        <v>0</v>
      </c>
      <c r="BFD8" t="b">
        <v>0</v>
      </c>
      <c r="BFE8" t="b">
        <v>0</v>
      </c>
      <c r="BFF8" t="b">
        <v>0</v>
      </c>
      <c r="BFG8" t="b">
        <v>0</v>
      </c>
      <c r="BFH8">
        <v>0</v>
      </c>
      <c r="BFI8">
        <v>0</v>
      </c>
      <c r="BFJ8">
        <v>0</v>
      </c>
      <c r="BFK8">
        <v>0</v>
      </c>
      <c r="BFL8">
        <v>0</v>
      </c>
      <c r="BFM8">
        <v>0</v>
      </c>
      <c r="BFN8">
        <v>0</v>
      </c>
      <c r="BFO8">
        <v>0</v>
      </c>
      <c r="BFP8">
        <v>0</v>
      </c>
      <c r="BFQ8">
        <v>0</v>
      </c>
      <c r="BFR8">
        <v>0</v>
      </c>
      <c r="BFS8">
        <v>0</v>
      </c>
      <c r="BFT8">
        <v>0</v>
      </c>
      <c r="BFU8">
        <v>0</v>
      </c>
      <c r="BFV8">
        <v>0</v>
      </c>
      <c r="BFW8">
        <v>0</v>
      </c>
      <c r="BFX8">
        <v>0</v>
      </c>
      <c r="BFY8">
        <v>0</v>
      </c>
    </row>
    <row r="9" spans="1:1533" x14ac:dyDescent="0.25">
      <c r="A9" t="s">
        <v>2781</v>
      </c>
      <c r="B9" t="s">
        <v>2782</v>
      </c>
      <c r="C9">
        <v>130</v>
      </c>
      <c r="D9">
        <v>45</v>
      </c>
      <c r="E9" t="s">
        <v>2613</v>
      </c>
      <c r="F9">
        <v>234234</v>
      </c>
      <c r="G9">
        <v>123123</v>
      </c>
      <c r="H9" t="s">
        <v>2404</v>
      </c>
      <c r="I9" t="s">
        <v>2403</v>
      </c>
      <c r="J9" t="s">
        <v>2403</v>
      </c>
      <c r="K9" t="s">
        <v>2403</v>
      </c>
      <c r="L9" t="s">
        <v>2403</v>
      </c>
      <c r="M9" t="s">
        <v>1883</v>
      </c>
      <c r="N9" t="s">
        <v>2403</v>
      </c>
      <c r="O9" t="s">
        <v>1883</v>
      </c>
      <c r="P9" t="s">
        <v>1883</v>
      </c>
      <c r="Q9" t="s">
        <v>2403</v>
      </c>
      <c r="R9" t="s">
        <v>1883</v>
      </c>
      <c r="S9" t="s">
        <v>1639</v>
      </c>
      <c r="T9" t="s">
        <v>2404</v>
      </c>
      <c r="U9" t="s">
        <v>2424</v>
      </c>
      <c r="V9" t="s">
        <v>2614</v>
      </c>
      <c r="W9" t="s">
        <v>309</v>
      </c>
      <c r="X9">
        <v>0</v>
      </c>
      <c r="Y9">
        <v>43483</v>
      </c>
      <c r="Z9">
        <v>0</v>
      </c>
      <c r="AA9">
        <v>0</v>
      </c>
      <c r="AB9">
        <v>100</v>
      </c>
      <c r="AC9" t="s">
        <v>272</v>
      </c>
      <c r="AD9">
        <v>25</v>
      </c>
      <c r="AE9">
        <v>0</v>
      </c>
      <c r="AF9">
        <v>43480</v>
      </c>
      <c r="AG9">
        <v>45</v>
      </c>
      <c r="AH9">
        <v>0</v>
      </c>
      <c r="AI9">
        <v>0</v>
      </c>
      <c r="AJ9" t="s">
        <v>271</v>
      </c>
      <c r="AK9">
        <v>0.159</v>
      </c>
      <c r="AL9">
        <v>0</v>
      </c>
      <c r="AM9">
        <v>50</v>
      </c>
      <c r="AN9">
        <v>47133</v>
      </c>
      <c r="AO9">
        <v>0.6100865405334881</v>
      </c>
      <c r="AP9">
        <v>336</v>
      </c>
      <c r="AQ9">
        <v>1633.9099999999974</v>
      </c>
      <c r="AR9">
        <v>1969.9099999999974</v>
      </c>
      <c r="AS9">
        <v>16.29</v>
      </c>
      <c r="AT9">
        <v>15.11</v>
      </c>
      <c r="AU9" t="s">
        <v>1910</v>
      </c>
      <c r="AV9" t="s">
        <v>2737</v>
      </c>
      <c r="AW9" t="s">
        <v>2738</v>
      </c>
      <c r="AX9">
        <v>19</v>
      </c>
      <c r="AY9">
        <v>0</v>
      </c>
      <c r="AZ9">
        <v>43473</v>
      </c>
      <c r="BA9">
        <v>100</v>
      </c>
      <c r="BB9">
        <v>2</v>
      </c>
      <c r="BC9">
        <v>1</v>
      </c>
      <c r="BD9" t="s">
        <v>415</v>
      </c>
      <c r="BE9">
        <v>336</v>
      </c>
      <c r="BF9">
        <v>92</v>
      </c>
      <c r="BG9">
        <v>43480</v>
      </c>
      <c r="BH9">
        <v>120</v>
      </c>
      <c r="BI9">
        <v>0</v>
      </c>
      <c r="BJ9">
        <v>50</v>
      </c>
      <c r="BK9">
        <v>43470</v>
      </c>
      <c r="BL9">
        <v>0</v>
      </c>
      <c r="BM9">
        <v>0</v>
      </c>
      <c r="BN9">
        <v>0</v>
      </c>
      <c r="BO9" t="s">
        <v>2783</v>
      </c>
      <c r="BP9" t="s">
        <v>2403</v>
      </c>
      <c r="BQ9" t="s">
        <v>2403</v>
      </c>
      <c r="BR9" t="s">
        <v>2403</v>
      </c>
      <c r="BS9">
        <v>351409219</v>
      </c>
      <c r="BT9">
        <v>17889</v>
      </c>
      <c r="BU9" t="s">
        <v>2784</v>
      </c>
      <c r="BV9" t="s">
        <v>2785</v>
      </c>
      <c r="BW9" t="s">
        <v>1633</v>
      </c>
      <c r="BX9">
        <v>78542</v>
      </c>
      <c r="BY9" t="s">
        <v>2784</v>
      </c>
      <c r="BZ9" t="s">
        <v>2785</v>
      </c>
      <c r="CA9">
        <v>78542</v>
      </c>
      <c r="CB9" t="s">
        <v>1633</v>
      </c>
      <c r="CC9" t="s">
        <v>316</v>
      </c>
      <c r="CD9">
        <v>0</v>
      </c>
      <c r="CE9">
        <v>0</v>
      </c>
      <c r="CF9">
        <v>0</v>
      </c>
      <c r="CG9">
        <v>0</v>
      </c>
      <c r="CH9">
        <v>0</v>
      </c>
      <c r="CI9">
        <v>0</v>
      </c>
      <c r="CJ9">
        <v>0</v>
      </c>
      <c r="CK9">
        <v>9564602626</v>
      </c>
      <c r="CL9">
        <v>9564974769</v>
      </c>
      <c r="CM9">
        <v>9564602626</v>
      </c>
      <c r="CN9" t="s">
        <v>2787</v>
      </c>
      <c r="CO9" t="s">
        <v>2786</v>
      </c>
      <c r="CP9">
        <v>0</v>
      </c>
      <c r="CQ9">
        <v>0</v>
      </c>
      <c r="CR9">
        <v>0</v>
      </c>
      <c r="CS9">
        <v>0</v>
      </c>
      <c r="CT9">
        <v>0</v>
      </c>
      <c r="CU9">
        <v>0</v>
      </c>
      <c r="CV9">
        <v>0</v>
      </c>
      <c r="CW9">
        <v>520567837</v>
      </c>
      <c r="CX9">
        <v>16851</v>
      </c>
      <c r="CY9" t="s">
        <v>2784</v>
      </c>
      <c r="CZ9" t="s">
        <v>2785</v>
      </c>
      <c r="DA9">
        <v>78542</v>
      </c>
      <c r="DB9" t="s">
        <v>1633</v>
      </c>
      <c r="DC9" t="s">
        <v>316</v>
      </c>
      <c r="DD9">
        <v>0</v>
      </c>
      <c r="DE9">
        <v>0</v>
      </c>
      <c r="DF9">
        <v>0</v>
      </c>
      <c r="DG9">
        <v>0</v>
      </c>
      <c r="DH9">
        <v>0</v>
      </c>
      <c r="DI9">
        <v>0</v>
      </c>
      <c r="DJ9">
        <v>0</v>
      </c>
      <c r="DK9">
        <v>9564602626</v>
      </c>
      <c r="DL9">
        <v>0</v>
      </c>
      <c r="DM9">
        <v>0</v>
      </c>
      <c r="DN9" t="s">
        <v>2787</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0</v>
      </c>
      <c r="GC9">
        <v>0</v>
      </c>
      <c r="GD9">
        <v>0</v>
      </c>
      <c r="GE9">
        <v>0</v>
      </c>
      <c r="GF9">
        <v>0</v>
      </c>
      <c r="GG9">
        <v>0</v>
      </c>
      <c r="GH9">
        <v>0</v>
      </c>
      <c r="GI9">
        <v>0</v>
      </c>
      <c r="GJ9">
        <v>0</v>
      </c>
      <c r="GK9">
        <v>0</v>
      </c>
      <c r="GL9">
        <v>0</v>
      </c>
      <c r="GM9">
        <v>0</v>
      </c>
      <c r="GN9">
        <v>0</v>
      </c>
      <c r="GO9">
        <v>0</v>
      </c>
      <c r="GP9">
        <v>0</v>
      </c>
      <c r="GQ9">
        <v>0</v>
      </c>
      <c r="GR9">
        <v>0</v>
      </c>
      <c r="GS9">
        <v>0</v>
      </c>
      <c r="GT9" t="s">
        <v>2788</v>
      </c>
      <c r="GU9">
        <v>0</v>
      </c>
      <c r="GV9">
        <v>0</v>
      </c>
      <c r="GW9">
        <v>0</v>
      </c>
      <c r="GX9">
        <v>0</v>
      </c>
      <c r="GY9">
        <v>0</v>
      </c>
      <c r="GZ9">
        <v>0</v>
      </c>
      <c r="HA9">
        <v>0</v>
      </c>
      <c r="HB9">
        <v>0</v>
      </c>
      <c r="HC9">
        <v>0</v>
      </c>
      <c r="HD9">
        <v>292349</v>
      </c>
      <c r="HE9">
        <v>83074</v>
      </c>
      <c r="HF9" t="s">
        <v>2785</v>
      </c>
      <c r="HG9" t="s">
        <v>113</v>
      </c>
      <c r="HH9" t="s">
        <v>271</v>
      </c>
      <c r="HI9">
        <v>292349</v>
      </c>
      <c r="HJ9" t="s">
        <v>271</v>
      </c>
      <c r="HK9">
        <v>0</v>
      </c>
      <c r="HL9">
        <v>0</v>
      </c>
      <c r="HM9">
        <v>0</v>
      </c>
      <c r="HN9">
        <v>0</v>
      </c>
      <c r="HO9">
        <v>0</v>
      </c>
      <c r="HP9">
        <v>0</v>
      </c>
      <c r="HQ9">
        <v>0</v>
      </c>
      <c r="HR9" t="s">
        <v>1633</v>
      </c>
      <c r="HS9" t="s">
        <v>2789</v>
      </c>
      <c r="HT9">
        <v>0</v>
      </c>
      <c r="HU9">
        <v>0</v>
      </c>
      <c r="HV9">
        <v>0</v>
      </c>
      <c r="HW9">
        <v>0</v>
      </c>
      <c r="HX9">
        <v>0</v>
      </c>
      <c r="HY9">
        <v>0</v>
      </c>
      <c r="HZ9">
        <v>0</v>
      </c>
      <c r="IA9">
        <v>78542</v>
      </c>
      <c r="IB9" t="s">
        <v>271</v>
      </c>
      <c r="IC9">
        <v>0</v>
      </c>
      <c r="ID9">
        <v>0</v>
      </c>
      <c r="IE9">
        <v>0</v>
      </c>
      <c r="IF9">
        <v>0</v>
      </c>
      <c r="IG9">
        <v>0</v>
      </c>
      <c r="IH9">
        <v>0</v>
      </c>
      <c r="II9">
        <v>0</v>
      </c>
      <c r="IJ9">
        <v>0</v>
      </c>
      <c r="IK9">
        <v>0</v>
      </c>
      <c r="IL9">
        <v>0</v>
      </c>
      <c r="IM9">
        <v>0</v>
      </c>
      <c r="IN9">
        <v>0</v>
      </c>
      <c r="IO9">
        <v>0</v>
      </c>
      <c r="IP9">
        <v>0</v>
      </c>
      <c r="IQ9">
        <v>0</v>
      </c>
      <c r="IR9">
        <v>0</v>
      </c>
      <c r="IS9">
        <v>0</v>
      </c>
      <c r="IT9">
        <v>0</v>
      </c>
      <c r="IU9">
        <v>0</v>
      </c>
      <c r="IV9">
        <v>0</v>
      </c>
      <c r="IW9">
        <v>0</v>
      </c>
      <c r="IX9">
        <v>0</v>
      </c>
      <c r="IY9">
        <v>0</v>
      </c>
      <c r="IZ9" t="s">
        <v>271</v>
      </c>
      <c r="JA9">
        <v>0</v>
      </c>
      <c r="JB9" t="s">
        <v>271</v>
      </c>
      <c r="JC9">
        <v>0</v>
      </c>
      <c r="JD9">
        <v>0</v>
      </c>
      <c r="JE9">
        <v>0</v>
      </c>
      <c r="JF9">
        <v>0</v>
      </c>
      <c r="JG9">
        <v>0</v>
      </c>
      <c r="JH9">
        <v>0</v>
      </c>
      <c r="JI9">
        <v>0</v>
      </c>
      <c r="JJ9">
        <v>0</v>
      </c>
      <c r="JK9">
        <v>0</v>
      </c>
      <c r="JL9">
        <v>0</v>
      </c>
      <c r="JM9">
        <v>0</v>
      </c>
      <c r="JN9">
        <v>0</v>
      </c>
      <c r="JO9">
        <v>0</v>
      </c>
      <c r="JP9">
        <v>0</v>
      </c>
      <c r="JQ9">
        <v>0</v>
      </c>
      <c r="JR9">
        <v>0</v>
      </c>
      <c r="JS9">
        <v>0</v>
      </c>
      <c r="JT9">
        <v>0</v>
      </c>
      <c r="JU9">
        <v>0</v>
      </c>
      <c r="JV9">
        <v>0</v>
      </c>
      <c r="JW9">
        <v>0</v>
      </c>
      <c r="JX9" t="s">
        <v>271</v>
      </c>
      <c r="JY9">
        <v>0</v>
      </c>
      <c r="JZ9">
        <v>0</v>
      </c>
      <c r="KA9">
        <v>0</v>
      </c>
      <c r="KB9">
        <v>0</v>
      </c>
      <c r="KC9">
        <v>0</v>
      </c>
      <c r="KD9">
        <v>0</v>
      </c>
      <c r="KE9">
        <v>0</v>
      </c>
      <c r="KF9">
        <v>0</v>
      </c>
      <c r="KG9">
        <v>0</v>
      </c>
      <c r="KH9">
        <v>0</v>
      </c>
      <c r="KI9">
        <v>0</v>
      </c>
      <c r="KJ9">
        <v>0</v>
      </c>
      <c r="KK9">
        <v>0</v>
      </c>
      <c r="KL9">
        <v>0</v>
      </c>
      <c r="KM9">
        <v>0</v>
      </c>
      <c r="KN9">
        <v>0</v>
      </c>
      <c r="KO9">
        <v>0</v>
      </c>
      <c r="KP9">
        <v>0</v>
      </c>
      <c r="KQ9">
        <v>0</v>
      </c>
      <c r="KR9">
        <v>0</v>
      </c>
      <c r="KS9">
        <v>0</v>
      </c>
      <c r="KT9">
        <v>0</v>
      </c>
      <c r="KU9">
        <v>0</v>
      </c>
      <c r="KV9" t="s">
        <v>271</v>
      </c>
      <c r="KW9">
        <v>0</v>
      </c>
      <c r="KX9">
        <v>0</v>
      </c>
      <c r="KY9" t="s">
        <v>271</v>
      </c>
      <c r="KZ9">
        <v>0</v>
      </c>
      <c r="LA9">
        <v>0</v>
      </c>
      <c r="LB9">
        <v>0</v>
      </c>
      <c r="LC9">
        <v>0</v>
      </c>
      <c r="LD9">
        <v>0</v>
      </c>
      <c r="LE9">
        <v>0</v>
      </c>
      <c r="LF9">
        <v>0</v>
      </c>
      <c r="LG9">
        <v>0</v>
      </c>
      <c r="LH9">
        <v>0</v>
      </c>
      <c r="LI9">
        <v>0</v>
      </c>
      <c r="LJ9">
        <v>0</v>
      </c>
      <c r="LK9">
        <v>0</v>
      </c>
      <c r="LL9">
        <v>0</v>
      </c>
      <c r="LM9">
        <v>0</v>
      </c>
      <c r="LN9">
        <v>0</v>
      </c>
      <c r="LO9">
        <v>0</v>
      </c>
      <c r="LP9">
        <v>0</v>
      </c>
      <c r="LQ9">
        <v>0</v>
      </c>
      <c r="LR9">
        <v>0</v>
      </c>
      <c r="LS9">
        <v>0</v>
      </c>
      <c r="LT9" t="s">
        <v>271</v>
      </c>
      <c r="LU9">
        <v>0</v>
      </c>
      <c r="LV9">
        <v>0</v>
      </c>
      <c r="LW9">
        <v>0</v>
      </c>
      <c r="LX9">
        <v>0</v>
      </c>
      <c r="LY9">
        <v>0</v>
      </c>
      <c r="LZ9">
        <v>0</v>
      </c>
      <c r="MA9">
        <v>0</v>
      </c>
      <c r="MB9">
        <v>0</v>
      </c>
      <c r="MC9">
        <v>0</v>
      </c>
      <c r="MD9">
        <v>0</v>
      </c>
      <c r="ME9">
        <v>0</v>
      </c>
      <c r="MF9">
        <v>0</v>
      </c>
      <c r="MG9">
        <v>0</v>
      </c>
      <c r="MH9">
        <v>0</v>
      </c>
      <c r="MI9">
        <v>0</v>
      </c>
      <c r="MJ9">
        <v>0</v>
      </c>
      <c r="MK9">
        <v>0</v>
      </c>
      <c r="ML9">
        <v>0</v>
      </c>
      <c r="MM9">
        <v>0</v>
      </c>
      <c r="MN9">
        <v>0</v>
      </c>
      <c r="MO9">
        <v>0</v>
      </c>
      <c r="MP9">
        <v>0</v>
      </c>
      <c r="MQ9">
        <v>0</v>
      </c>
      <c r="MR9" t="s">
        <v>271</v>
      </c>
      <c r="MS9">
        <v>0</v>
      </c>
      <c r="MT9">
        <v>0</v>
      </c>
      <c r="MU9" t="s">
        <v>271</v>
      </c>
      <c r="MV9">
        <v>0</v>
      </c>
      <c r="MW9">
        <v>0</v>
      </c>
      <c r="MX9">
        <v>0</v>
      </c>
      <c r="MY9">
        <v>0</v>
      </c>
      <c r="MZ9">
        <v>0</v>
      </c>
      <c r="NA9">
        <v>0</v>
      </c>
      <c r="NB9">
        <v>0</v>
      </c>
      <c r="NC9">
        <v>0</v>
      </c>
      <c r="ND9">
        <v>0</v>
      </c>
      <c r="NE9">
        <v>0</v>
      </c>
      <c r="NF9">
        <v>0</v>
      </c>
      <c r="NG9">
        <v>0</v>
      </c>
      <c r="NH9">
        <v>0</v>
      </c>
      <c r="NI9">
        <v>0</v>
      </c>
      <c r="NJ9">
        <v>0</v>
      </c>
      <c r="NK9">
        <v>0</v>
      </c>
      <c r="NL9">
        <v>0</v>
      </c>
      <c r="NM9">
        <v>0</v>
      </c>
      <c r="NN9">
        <v>0</v>
      </c>
      <c r="NO9">
        <v>0</v>
      </c>
      <c r="NP9" t="s">
        <v>271</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t="s">
        <v>271</v>
      </c>
      <c r="OO9">
        <v>0</v>
      </c>
      <c r="OP9">
        <v>0</v>
      </c>
      <c r="OQ9" t="s">
        <v>271</v>
      </c>
      <c r="OR9">
        <v>0</v>
      </c>
      <c r="OS9">
        <v>0</v>
      </c>
      <c r="OT9">
        <v>0</v>
      </c>
      <c r="OU9">
        <v>0</v>
      </c>
      <c r="OV9">
        <v>0</v>
      </c>
      <c r="OW9">
        <v>0</v>
      </c>
      <c r="OX9">
        <v>0</v>
      </c>
      <c r="OY9">
        <v>0</v>
      </c>
      <c r="OZ9">
        <v>0</v>
      </c>
      <c r="PA9">
        <v>0</v>
      </c>
      <c r="PB9">
        <v>0</v>
      </c>
      <c r="PC9">
        <v>0</v>
      </c>
      <c r="PD9">
        <v>0</v>
      </c>
      <c r="PE9">
        <v>0</v>
      </c>
      <c r="PF9">
        <v>0</v>
      </c>
      <c r="PG9">
        <v>0</v>
      </c>
      <c r="PH9">
        <v>0</v>
      </c>
      <c r="PI9">
        <v>0</v>
      </c>
      <c r="PJ9">
        <v>0</v>
      </c>
      <c r="PK9">
        <v>0</v>
      </c>
      <c r="PL9" t="s">
        <v>271</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I9">
        <v>0</v>
      </c>
      <c r="QJ9" t="s">
        <v>271</v>
      </c>
      <c r="QK9">
        <v>0</v>
      </c>
      <c r="QL9">
        <v>0</v>
      </c>
      <c r="QM9" t="s">
        <v>271</v>
      </c>
      <c r="QN9">
        <v>0</v>
      </c>
      <c r="QO9">
        <v>0</v>
      </c>
      <c r="QP9">
        <v>0</v>
      </c>
      <c r="QQ9">
        <v>0</v>
      </c>
      <c r="QR9">
        <v>0</v>
      </c>
      <c r="QS9">
        <v>0</v>
      </c>
      <c r="QT9">
        <v>0</v>
      </c>
      <c r="QU9">
        <v>0</v>
      </c>
      <c r="QV9">
        <v>0</v>
      </c>
      <c r="QW9">
        <v>0</v>
      </c>
      <c r="QX9">
        <v>0</v>
      </c>
      <c r="QY9">
        <v>0</v>
      </c>
      <c r="QZ9">
        <v>0</v>
      </c>
      <c r="RA9">
        <v>0</v>
      </c>
      <c r="RB9">
        <v>0</v>
      </c>
      <c r="RC9">
        <v>0</v>
      </c>
      <c r="RD9">
        <v>0</v>
      </c>
      <c r="RE9">
        <v>0</v>
      </c>
      <c r="RF9">
        <v>0</v>
      </c>
      <c r="RG9">
        <v>0</v>
      </c>
      <c r="RH9" t="s">
        <v>271</v>
      </c>
      <c r="RI9">
        <v>0</v>
      </c>
      <c r="RJ9">
        <v>0</v>
      </c>
      <c r="RK9">
        <v>0</v>
      </c>
      <c r="RL9">
        <v>0</v>
      </c>
      <c r="RM9">
        <v>0</v>
      </c>
      <c r="RN9">
        <v>0</v>
      </c>
      <c r="RO9">
        <v>0</v>
      </c>
      <c r="RP9">
        <v>0</v>
      </c>
      <c r="RQ9">
        <v>0</v>
      </c>
      <c r="RR9">
        <v>0</v>
      </c>
      <c r="RS9">
        <v>0</v>
      </c>
      <c r="RT9">
        <v>0</v>
      </c>
      <c r="RU9">
        <v>0</v>
      </c>
      <c r="RV9">
        <v>0</v>
      </c>
      <c r="RW9">
        <v>0</v>
      </c>
      <c r="RX9">
        <v>0</v>
      </c>
      <c r="RY9">
        <v>0</v>
      </c>
      <c r="RZ9">
        <v>0</v>
      </c>
      <c r="SA9">
        <v>0</v>
      </c>
      <c r="SB9">
        <v>0</v>
      </c>
      <c r="SC9">
        <v>0</v>
      </c>
      <c r="SD9">
        <v>0</v>
      </c>
      <c r="SE9">
        <v>0</v>
      </c>
      <c r="SF9" t="s">
        <v>271</v>
      </c>
      <c r="SG9">
        <v>0</v>
      </c>
      <c r="SH9">
        <v>0</v>
      </c>
      <c r="SI9" t="s">
        <v>271</v>
      </c>
      <c r="SJ9">
        <v>0</v>
      </c>
      <c r="SK9">
        <v>0</v>
      </c>
      <c r="SL9">
        <v>0</v>
      </c>
      <c r="SM9">
        <v>0</v>
      </c>
      <c r="SN9">
        <v>0</v>
      </c>
      <c r="SO9">
        <v>0</v>
      </c>
      <c r="SP9">
        <v>0</v>
      </c>
      <c r="SQ9">
        <v>0</v>
      </c>
      <c r="SR9">
        <v>0</v>
      </c>
      <c r="SS9">
        <v>0</v>
      </c>
      <c r="ST9">
        <v>0</v>
      </c>
      <c r="SU9">
        <v>0</v>
      </c>
      <c r="SV9">
        <v>0</v>
      </c>
      <c r="SW9">
        <v>0</v>
      </c>
      <c r="SX9">
        <v>0</v>
      </c>
      <c r="SY9">
        <v>0</v>
      </c>
      <c r="SZ9">
        <v>0</v>
      </c>
      <c r="TA9">
        <v>0</v>
      </c>
      <c r="TB9">
        <v>0</v>
      </c>
      <c r="TC9">
        <v>0</v>
      </c>
      <c r="TD9" t="s">
        <v>271</v>
      </c>
      <c r="TE9">
        <v>0</v>
      </c>
      <c r="TF9">
        <v>0</v>
      </c>
      <c r="TG9">
        <v>0</v>
      </c>
      <c r="TH9">
        <v>0</v>
      </c>
      <c r="TI9">
        <v>0</v>
      </c>
      <c r="TJ9">
        <v>0</v>
      </c>
      <c r="TK9">
        <v>0</v>
      </c>
      <c r="TL9">
        <v>0</v>
      </c>
      <c r="TM9">
        <v>0</v>
      </c>
      <c r="TN9">
        <v>0</v>
      </c>
      <c r="TO9">
        <v>0</v>
      </c>
      <c r="TP9">
        <v>0</v>
      </c>
      <c r="TQ9">
        <v>0</v>
      </c>
      <c r="TR9">
        <v>0</v>
      </c>
      <c r="TS9">
        <v>0</v>
      </c>
      <c r="TT9">
        <v>0</v>
      </c>
      <c r="TU9">
        <v>0</v>
      </c>
      <c r="TV9">
        <v>0</v>
      </c>
      <c r="TW9">
        <v>0</v>
      </c>
      <c r="TX9">
        <v>0</v>
      </c>
      <c r="TY9">
        <v>0</v>
      </c>
      <c r="TZ9">
        <v>0</v>
      </c>
      <c r="UA9">
        <v>0</v>
      </c>
      <c r="UB9" t="s">
        <v>271</v>
      </c>
      <c r="UC9">
        <v>0</v>
      </c>
      <c r="UD9">
        <v>0</v>
      </c>
      <c r="UE9" t="s">
        <v>271</v>
      </c>
      <c r="UF9">
        <v>0</v>
      </c>
      <c r="UG9">
        <v>0</v>
      </c>
      <c r="UH9">
        <v>0</v>
      </c>
      <c r="UI9">
        <v>0</v>
      </c>
      <c r="UJ9">
        <v>0</v>
      </c>
      <c r="UK9">
        <v>0</v>
      </c>
      <c r="UL9">
        <v>0</v>
      </c>
      <c r="UM9">
        <v>0</v>
      </c>
      <c r="UN9">
        <v>0</v>
      </c>
      <c r="UO9">
        <v>0</v>
      </c>
      <c r="UP9">
        <v>0</v>
      </c>
      <c r="UQ9">
        <v>0</v>
      </c>
      <c r="UR9">
        <v>0</v>
      </c>
      <c r="US9">
        <v>0</v>
      </c>
      <c r="UT9">
        <v>0</v>
      </c>
      <c r="UU9">
        <v>0</v>
      </c>
      <c r="UV9">
        <v>0</v>
      </c>
      <c r="UW9">
        <v>0</v>
      </c>
      <c r="UX9">
        <v>0</v>
      </c>
      <c r="UY9">
        <v>0</v>
      </c>
      <c r="UZ9" t="s">
        <v>271</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t="s">
        <v>271</v>
      </c>
      <c r="VY9">
        <v>0</v>
      </c>
      <c r="VZ9">
        <v>0</v>
      </c>
      <c r="WA9" t="s">
        <v>271</v>
      </c>
      <c r="WB9">
        <v>0</v>
      </c>
      <c r="WC9">
        <v>0</v>
      </c>
      <c r="WD9">
        <v>0</v>
      </c>
      <c r="WE9">
        <v>0</v>
      </c>
      <c r="WF9">
        <v>0</v>
      </c>
      <c r="WG9">
        <v>0</v>
      </c>
      <c r="WH9">
        <v>0</v>
      </c>
      <c r="WI9">
        <v>0</v>
      </c>
      <c r="WJ9">
        <v>0</v>
      </c>
      <c r="WK9">
        <v>0</v>
      </c>
      <c r="WL9">
        <v>0</v>
      </c>
      <c r="WM9">
        <v>0</v>
      </c>
      <c r="WN9">
        <v>0</v>
      </c>
      <c r="WO9">
        <v>0</v>
      </c>
      <c r="WP9">
        <v>0</v>
      </c>
      <c r="WQ9">
        <v>0</v>
      </c>
      <c r="WR9">
        <v>0</v>
      </c>
      <c r="WS9">
        <v>0</v>
      </c>
      <c r="WT9">
        <v>0</v>
      </c>
      <c r="WU9">
        <v>0</v>
      </c>
      <c r="WV9" t="s">
        <v>271</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t="s">
        <v>271</v>
      </c>
      <c r="XU9">
        <v>0</v>
      </c>
      <c r="XV9">
        <v>0</v>
      </c>
      <c r="XW9" t="s">
        <v>271</v>
      </c>
      <c r="XX9">
        <v>0</v>
      </c>
      <c r="XY9">
        <v>0</v>
      </c>
      <c r="XZ9">
        <v>0</v>
      </c>
      <c r="YA9">
        <v>0</v>
      </c>
      <c r="YB9">
        <v>0</v>
      </c>
      <c r="YC9">
        <v>0</v>
      </c>
      <c r="YD9">
        <v>0</v>
      </c>
      <c r="YE9">
        <v>0</v>
      </c>
      <c r="YF9">
        <v>0</v>
      </c>
      <c r="YG9">
        <v>0</v>
      </c>
      <c r="YH9">
        <v>0</v>
      </c>
      <c r="YI9">
        <v>0</v>
      </c>
      <c r="YJ9">
        <v>0</v>
      </c>
      <c r="YK9">
        <v>0</v>
      </c>
      <c r="YL9">
        <v>0</v>
      </c>
      <c r="YM9">
        <v>0</v>
      </c>
      <c r="YN9">
        <v>0</v>
      </c>
      <c r="YO9">
        <v>0</v>
      </c>
      <c r="YP9">
        <v>0</v>
      </c>
      <c r="YQ9">
        <v>0</v>
      </c>
      <c r="YR9" t="s">
        <v>271</v>
      </c>
      <c r="YS9">
        <v>0</v>
      </c>
      <c r="YT9">
        <v>0</v>
      </c>
      <c r="YU9">
        <v>0</v>
      </c>
      <c r="YV9">
        <v>0</v>
      </c>
      <c r="YW9">
        <v>0</v>
      </c>
      <c r="YX9">
        <v>0</v>
      </c>
      <c r="YY9">
        <v>0</v>
      </c>
      <c r="YZ9">
        <v>0</v>
      </c>
      <c r="ZA9">
        <v>0</v>
      </c>
      <c r="ZB9">
        <v>0</v>
      </c>
      <c r="ZC9">
        <v>0</v>
      </c>
      <c r="ZD9">
        <v>0</v>
      </c>
      <c r="ZE9">
        <v>0</v>
      </c>
      <c r="ZF9">
        <v>0</v>
      </c>
      <c r="ZG9">
        <v>0</v>
      </c>
      <c r="ZH9">
        <v>0</v>
      </c>
      <c r="ZI9">
        <v>0</v>
      </c>
      <c r="ZJ9">
        <v>0</v>
      </c>
      <c r="ZK9">
        <v>0</v>
      </c>
      <c r="ZL9">
        <v>0</v>
      </c>
      <c r="ZM9">
        <v>0</v>
      </c>
      <c r="ZN9">
        <v>0</v>
      </c>
      <c r="ZO9">
        <v>0</v>
      </c>
      <c r="ZP9" t="s">
        <v>271</v>
      </c>
      <c r="ZQ9">
        <v>0</v>
      </c>
      <c r="ZR9">
        <v>0</v>
      </c>
      <c r="ZS9" t="s">
        <v>271</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t="s">
        <v>271</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t="s">
        <v>271</v>
      </c>
      <c r="ABM9">
        <v>0</v>
      </c>
      <c r="ABN9">
        <v>0</v>
      </c>
      <c r="ABO9" t="s">
        <v>271</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t="s">
        <v>271</v>
      </c>
      <c r="ACK9">
        <v>0</v>
      </c>
      <c r="ACL9">
        <v>0</v>
      </c>
      <c r="ACM9">
        <v>0</v>
      </c>
      <c r="ACN9">
        <v>0</v>
      </c>
      <c r="ACO9">
        <v>0</v>
      </c>
      <c r="ACP9">
        <v>0</v>
      </c>
      <c r="ACQ9">
        <v>0</v>
      </c>
      <c r="ACR9">
        <v>0</v>
      </c>
      <c r="ACS9">
        <v>0</v>
      </c>
      <c r="ACT9">
        <v>0</v>
      </c>
      <c r="ACU9">
        <v>0</v>
      </c>
      <c r="ACV9">
        <v>0</v>
      </c>
      <c r="ACW9">
        <v>0</v>
      </c>
      <c r="ACX9">
        <v>0</v>
      </c>
      <c r="ACY9">
        <v>0</v>
      </c>
      <c r="ACZ9">
        <v>0</v>
      </c>
      <c r="ADA9">
        <v>0</v>
      </c>
      <c r="ADB9">
        <v>0</v>
      </c>
      <c r="ADC9">
        <v>0</v>
      </c>
      <c r="ADD9">
        <v>0</v>
      </c>
      <c r="ADE9">
        <v>0</v>
      </c>
      <c r="ADF9">
        <v>0</v>
      </c>
      <c r="ADG9">
        <v>0</v>
      </c>
      <c r="ADH9" t="s">
        <v>271</v>
      </c>
      <c r="ADI9">
        <v>0</v>
      </c>
      <c r="ADJ9">
        <v>0</v>
      </c>
      <c r="ADK9" t="s">
        <v>271</v>
      </c>
      <c r="ADL9">
        <v>0</v>
      </c>
      <c r="ADM9">
        <v>0</v>
      </c>
      <c r="ADN9">
        <v>0</v>
      </c>
      <c r="ADO9">
        <v>0</v>
      </c>
      <c r="ADP9">
        <v>0</v>
      </c>
      <c r="ADQ9">
        <v>0</v>
      </c>
      <c r="ADR9">
        <v>0</v>
      </c>
      <c r="ADS9">
        <v>0</v>
      </c>
      <c r="ADT9">
        <v>0</v>
      </c>
      <c r="ADU9">
        <v>0</v>
      </c>
      <c r="ADV9">
        <v>0</v>
      </c>
      <c r="ADW9">
        <v>0</v>
      </c>
      <c r="ADX9">
        <v>0</v>
      </c>
      <c r="ADY9">
        <v>0</v>
      </c>
      <c r="ADZ9">
        <v>0</v>
      </c>
      <c r="AEA9">
        <v>0</v>
      </c>
      <c r="AEB9">
        <v>0</v>
      </c>
      <c r="AEC9">
        <v>0</v>
      </c>
      <c r="AED9">
        <v>0</v>
      </c>
      <c r="AEE9">
        <v>0</v>
      </c>
      <c r="AEF9" t="s">
        <v>271</v>
      </c>
      <c r="AEG9">
        <v>0</v>
      </c>
      <c r="AEH9">
        <v>0</v>
      </c>
      <c r="AEI9">
        <v>0</v>
      </c>
      <c r="AEJ9">
        <v>0</v>
      </c>
      <c r="AEK9">
        <v>0</v>
      </c>
      <c r="AEL9">
        <v>0</v>
      </c>
      <c r="AEM9">
        <v>0</v>
      </c>
      <c r="AEN9">
        <v>0</v>
      </c>
      <c r="AEO9">
        <v>0</v>
      </c>
      <c r="AEP9">
        <v>0</v>
      </c>
      <c r="AEQ9">
        <v>0</v>
      </c>
      <c r="AER9">
        <v>0</v>
      </c>
      <c r="AES9">
        <v>0</v>
      </c>
      <c r="AET9">
        <v>0</v>
      </c>
      <c r="AEU9">
        <v>0</v>
      </c>
      <c r="AEV9">
        <v>0</v>
      </c>
      <c r="AEW9">
        <v>0</v>
      </c>
      <c r="AEX9">
        <v>0</v>
      </c>
      <c r="AEY9">
        <v>0</v>
      </c>
      <c r="AEZ9">
        <v>0</v>
      </c>
      <c r="AFA9">
        <v>0</v>
      </c>
      <c r="AFB9">
        <v>0</v>
      </c>
      <c r="AFC9">
        <v>0</v>
      </c>
      <c r="AFD9" t="s">
        <v>271</v>
      </c>
      <c r="AFE9">
        <v>0</v>
      </c>
      <c r="AFF9">
        <v>0</v>
      </c>
      <c r="AFG9" t="s">
        <v>271</v>
      </c>
      <c r="AFH9">
        <v>0</v>
      </c>
      <c r="AFI9">
        <v>0</v>
      </c>
      <c r="AFJ9">
        <v>0</v>
      </c>
      <c r="AFK9">
        <v>0</v>
      </c>
      <c r="AFL9">
        <v>0</v>
      </c>
      <c r="AFM9">
        <v>0</v>
      </c>
      <c r="AFN9">
        <v>0</v>
      </c>
      <c r="AFO9">
        <v>0</v>
      </c>
      <c r="AFP9">
        <v>0</v>
      </c>
      <c r="AFQ9">
        <v>0</v>
      </c>
      <c r="AFR9">
        <v>0</v>
      </c>
      <c r="AFS9">
        <v>0</v>
      </c>
      <c r="AFT9">
        <v>0</v>
      </c>
      <c r="AFU9">
        <v>0</v>
      </c>
      <c r="AFV9">
        <v>0</v>
      </c>
      <c r="AFW9">
        <v>0</v>
      </c>
      <c r="AFX9">
        <v>0</v>
      </c>
      <c r="AFY9">
        <v>0</v>
      </c>
      <c r="AFZ9">
        <v>0</v>
      </c>
      <c r="AGA9">
        <v>0</v>
      </c>
      <c r="AGB9" t="s">
        <v>271</v>
      </c>
      <c r="AGC9">
        <v>0</v>
      </c>
      <c r="AGD9">
        <v>0</v>
      </c>
      <c r="AGE9">
        <v>0</v>
      </c>
      <c r="AGF9">
        <v>0</v>
      </c>
      <c r="AGG9">
        <v>0</v>
      </c>
      <c r="AGH9">
        <v>0</v>
      </c>
      <c r="AGI9">
        <v>0</v>
      </c>
      <c r="AGJ9">
        <v>0</v>
      </c>
      <c r="AGK9">
        <v>0</v>
      </c>
      <c r="AGL9">
        <v>0</v>
      </c>
      <c r="AGM9">
        <v>0</v>
      </c>
      <c r="AGN9">
        <v>0</v>
      </c>
      <c r="AGO9">
        <v>0</v>
      </c>
      <c r="AGP9">
        <v>0</v>
      </c>
      <c r="AGQ9">
        <v>0</v>
      </c>
      <c r="AGR9">
        <v>0</v>
      </c>
      <c r="AGS9">
        <v>0</v>
      </c>
      <c r="AGT9">
        <v>0</v>
      </c>
      <c r="AGU9">
        <v>0</v>
      </c>
      <c r="AGV9">
        <v>0</v>
      </c>
      <c r="AGW9">
        <v>0</v>
      </c>
      <c r="AGX9">
        <v>0</v>
      </c>
      <c r="AGY9">
        <v>0</v>
      </c>
      <c r="AGZ9" t="s">
        <v>271</v>
      </c>
      <c r="AHA9">
        <v>0</v>
      </c>
      <c r="AHB9">
        <v>0</v>
      </c>
      <c r="AHC9" t="s">
        <v>271</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t="s">
        <v>271</v>
      </c>
      <c r="AHY9">
        <v>0</v>
      </c>
      <c r="AHZ9">
        <v>0</v>
      </c>
      <c r="AIA9">
        <v>0</v>
      </c>
      <c r="AIB9">
        <v>0</v>
      </c>
      <c r="AIC9">
        <v>0</v>
      </c>
      <c r="AID9">
        <v>0</v>
      </c>
      <c r="AIE9">
        <v>0</v>
      </c>
      <c r="AIF9">
        <v>0</v>
      </c>
      <c r="AIG9">
        <v>0</v>
      </c>
      <c r="AIH9">
        <v>0</v>
      </c>
      <c r="AII9">
        <v>0</v>
      </c>
      <c r="AIJ9">
        <v>0</v>
      </c>
      <c r="AIK9">
        <v>0</v>
      </c>
      <c r="AIL9">
        <v>0</v>
      </c>
      <c r="AIM9">
        <v>0</v>
      </c>
      <c r="AIN9">
        <v>0</v>
      </c>
      <c r="AIO9">
        <v>0</v>
      </c>
      <c r="AIP9">
        <v>0</v>
      </c>
      <c r="AIQ9">
        <v>0</v>
      </c>
      <c r="AIR9">
        <v>0</v>
      </c>
      <c r="AIS9">
        <v>0</v>
      </c>
      <c r="AIT9">
        <v>0</v>
      </c>
      <c r="AIU9">
        <v>0</v>
      </c>
      <c r="AIV9" t="s">
        <v>271</v>
      </c>
      <c r="AIW9">
        <v>0</v>
      </c>
      <c r="AIX9">
        <v>0</v>
      </c>
      <c r="AIY9" t="s">
        <v>271</v>
      </c>
      <c r="AIZ9">
        <v>0</v>
      </c>
      <c r="AJA9">
        <v>0</v>
      </c>
      <c r="AJB9">
        <v>0</v>
      </c>
      <c r="AJC9">
        <v>0</v>
      </c>
      <c r="AJD9">
        <v>0</v>
      </c>
      <c r="AJE9">
        <v>0</v>
      </c>
      <c r="AJF9">
        <v>0</v>
      </c>
      <c r="AJG9">
        <v>0</v>
      </c>
      <c r="AJH9">
        <v>0</v>
      </c>
      <c r="AJI9">
        <v>0</v>
      </c>
      <c r="AJJ9">
        <v>0</v>
      </c>
      <c r="AJK9">
        <v>0</v>
      </c>
      <c r="AJL9">
        <v>0</v>
      </c>
      <c r="AJM9">
        <v>0</v>
      </c>
      <c r="AJN9">
        <v>0</v>
      </c>
      <c r="AJO9">
        <v>0</v>
      </c>
      <c r="AJP9">
        <v>0</v>
      </c>
      <c r="AJQ9">
        <v>0</v>
      </c>
      <c r="AJR9">
        <v>0</v>
      </c>
      <c r="AJS9">
        <v>0</v>
      </c>
      <c r="AJT9" t="s">
        <v>271</v>
      </c>
      <c r="AJU9">
        <v>0</v>
      </c>
      <c r="AJV9">
        <v>0</v>
      </c>
      <c r="AJW9">
        <v>0</v>
      </c>
      <c r="AJX9">
        <v>0</v>
      </c>
      <c r="AJY9">
        <v>0</v>
      </c>
      <c r="AJZ9">
        <v>0</v>
      </c>
      <c r="AKA9">
        <v>0</v>
      </c>
      <c r="AKB9">
        <v>0</v>
      </c>
      <c r="AKC9">
        <v>0</v>
      </c>
      <c r="AKD9">
        <v>0</v>
      </c>
      <c r="AKE9">
        <v>0</v>
      </c>
      <c r="AKF9">
        <v>0</v>
      </c>
      <c r="AKG9">
        <v>0</v>
      </c>
      <c r="AKH9">
        <v>0</v>
      </c>
      <c r="AKI9">
        <v>0</v>
      </c>
      <c r="AKJ9">
        <v>0</v>
      </c>
      <c r="AKK9">
        <v>0</v>
      </c>
      <c r="AKL9">
        <v>0</v>
      </c>
      <c r="AKM9">
        <v>0</v>
      </c>
      <c r="AKN9">
        <v>0</v>
      </c>
      <c r="AKO9">
        <v>0</v>
      </c>
      <c r="AKP9">
        <v>0</v>
      </c>
      <c r="AKQ9">
        <v>0</v>
      </c>
      <c r="AKR9" t="s">
        <v>271</v>
      </c>
      <c r="AKS9">
        <v>0</v>
      </c>
      <c r="AKT9">
        <v>0</v>
      </c>
      <c r="AKU9" t="s">
        <v>271</v>
      </c>
      <c r="AKV9">
        <v>0</v>
      </c>
      <c r="AKW9">
        <v>0</v>
      </c>
      <c r="AKX9">
        <v>0</v>
      </c>
      <c r="AKY9">
        <v>0</v>
      </c>
      <c r="AKZ9">
        <v>0</v>
      </c>
      <c r="ALA9">
        <v>0</v>
      </c>
      <c r="ALB9">
        <v>0</v>
      </c>
      <c r="ALC9">
        <v>0</v>
      </c>
      <c r="ALD9">
        <v>0</v>
      </c>
      <c r="ALE9">
        <v>0</v>
      </c>
      <c r="ALF9">
        <v>0</v>
      </c>
      <c r="ALG9">
        <v>0</v>
      </c>
      <c r="ALH9">
        <v>0</v>
      </c>
      <c r="ALI9">
        <v>0</v>
      </c>
      <c r="ALJ9">
        <v>0</v>
      </c>
      <c r="ALK9">
        <v>0</v>
      </c>
      <c r="ALL9">
        <v>0</v>
      </c>
      <c r="ALM9">
        <v>0</v>
      </c>
      <c r="ALN9">
        <v>0</v>
      </c>
      <c r="ALO9">
        <v>0</v>
      </c>
      <c r="ALP9" t="s">
        <v>271</v>
      </c>
      <c r="ALQ9">
        <v>0</v>
      </c>
      <c r="ALR9">
        <v>0</v>
      </c>
      <c r="ALS9">
        <v>0</v>
      </c>
      <c r="ALT9">
        <v>0</v>
      </c>
      <c r="ALU9">
        <v>0</v>
      </c>
      <c r="ALV9">
        <v>0</v>
      </c>
      <c r="ALW9">
        <v>0</v>
      </c>
      <c r="ALX9">
        <v>0</v>
      </c>
      <c r="ALY9">
        <v>0</v>
      </c>
      <c r="ALZ9">
        <v>0</v>
      </c>
      <c r="AMA9">
        <v>0</v>
      </c>
      <c r="AMB9">
        <v>0</v>
      </c>
      <c r="AMC9">
        <v>0</v>
      </c>
      <c r="AMD9">
        <v>0</v>
      </c>
      <c r="AME9">
        <v>0</v>
      </c>
      <c r="AMF9">
        <v>0</v>
      </c>
      <c r="AMG9">
        <v>0</v>
      </c>
      <c r="AMH9">
        <v>0</v>
      </c>
      <c r="AMI9">
        <v>0</v>
      </c>
      <c r="AMJ9">
        <v>0</v>
      </c>
      <c r="AMK9">
        <v>0</v>
      </c>
      <c r="AML9">
        <v>0</v>
      </c>
      <c r="AMM9">
        <v>0</v>
      </c>
      <c r="AMN9" t="s">
        <v>271</v>
      </c>
      <c r="AMO9">
        <v>0</v>
      </c>
      <c r="AMP9">
        <v>0</v>
      </c>
      <c r="AMQ9" t="s">
        <v>271</v>
      </c>
      <c r="AMR9">
        <v>0</v>
      </c>
      <c r="AMS9">
        <v>0</v>
      </c>
      <c r="AMT9">
        <v>0</v>
      </c>
      <c r="AMU9">
        <v>0</v>
      </c>
      <c r="AMV9">
        <v>0</v>
      </c>
      <c r="AMW9">
        <v>0</v>
      </c>
      <c r="AMX9">
        <v>0</v>
      </c>
      <c r="AMY9">
        <v>0</v>
      </c>
      <c r="AMZ9">
        <v>0</v>
      </c>
      <c r="ANA9">
        <v>0</v>
      </c>
      <c r="ANB9">
        <v>0</v>
      </c>
      <c r="ANC9">
        <v>0</v>
      </c>
      <c r="AND9">
        <v>0</v>
      </c>
      <c r="ANE9">
        <v>0</v>
      </c>
      <c r="ANF9">
        <v>0</v>
      </c>
      <c r="ANG9">
        <v>0</v>
      </c>
      <c r="ANH9">
        <v>0</v>
      </c>
      <c r="ANI9">
        <v>0</v>
      </c>
      <c r="ANJ9">
        <v>0</v>
      </c>
      <c r="ANK9">
        <v>0</v>
      </c>
      <c r="ANL9" t="s">
        <v>271</v>
      </c>
      <c r="ANM9">
        <v>0</v>
      </c>
      <c r="ANN9">
        <v>0</v>
      </c>
      <c r="ANO9">
        <v>0</v>
      </c>
      <c r="ANP9">
        <v>0</v>
      </c>
      <c r="ANQ9">
        <v>0</v>
      </c>
      <c r="ANR9">
        <v>0</v>
      </c>
      <c r="ANS9">
        <v>0</v>
      </c>
      <c r="ANT9">
        <v>0</v>
      </c>
      <c r="ANU9">
        <v>0</v>
      </c>
      <c r="ANV9">
        <v>0</v>
      </c>
      <c r="ANW9">
        <v>0</v>
      </c>
      <c r="ANX9">
        <v>0</v>
      </c>
      <c r="ANY9">
        <v>0</v>
      </c>
      <c r="ANZ9">
        <v>0</v>
      </c>
      <c r="AOA9">
        <v>0</v>
      </c>
      <c r="AOB9">
        <v>0</v>
      </c>
      <c r="AOC9">
        <v>0</v>
      </c>
      <c r="AOD9">
        <v>0</v>
      </c>
      <c r="AOE9">
        <v>0</v>
      </c>
      <c r="AOF9">
        <v>0</v>
      </c>
      <c r="AOG9">
        <v>0</v>
      </c>
      <c r="AOH9">
        <v>0</v>
      </c>
      <c r="AOI9">
        <v>0</v>
      </c>
      <c r="AOJ9" t="s">
        <v>271</v>
      </c>
      <c r="AOK9">
        <v>0</v>
      </c>
      <c r="AOL9">
        <v>0</v>
      </c>
      <c r="AOM9" t="s">
        <v>271</v>
      </c>
      <c r="AON9">
        <v>0</v>
      </c>
      <c r="AOO9">
        <v>0</v>
      </c>
      <c r="AOP9">
        <v>0</v>
      </c>
      <c r="AOQ9">
        <v>0</v>
      </c>
      <c r="AOR9">
        <v>0</v>
      </c>
      <c r="AOS9">
        <v>0</v>
      </c>
      <c r="AOT9">
        <v>0</v>
      </c>
      <c r="AOU9">
        <v>0</v>
      </c>
      <c r="AOV9">
        <v>0</v>
      </c>
      <c r="AOW9">
        <v>0</v>
      </c>
      <c r="AOX9">
        <v>0</v>
      </c>
      <c r="AOY9">
        <v>0</v>
      </c>
      <c r="AOZ9">
        <v>0</v>
      </c>
      <c r="APA9">
        <v>0</v>
      </c>
      <c r="APB9">
        <v>0</v>
      </c>
      <c r="APC9">
        <v>0</v>
      </c>
      <c r="APD9">
        <v>0</v>
      </c>
      <c r="APE9">
        <v>0</v>
      </c>
      <c r="APF9">
        <v>0</v>
      </c>
      <c r="APG9">
        <v>0</v>
      </c>
      <c r="APH9" t="s">
        <v>271</v>
      </c>
      <c r="API9">
        <v>0</v>
      </c>
      <c r="APJ9">
        <v>0</v>
      </c>
      <c r="APK9">
        <v>0</v>
      </c>
      <c r="APL9">
        <v>0</v>
      </c>
      <c r="APM9">
        <v>0</v>
      </c>
      <c r="APN9">
        <v>0</v>
      </c>
      <c r="APO9">
        <v>0</v>
      </c>
      <c r="APP9">
        <v>0</v>
      </c>
      <c r="APQ9">
        <v>0</v>
      </c>
      <c r="APR9">
        <v>0</v>
      </c>
      <c r="APS9">
        <v>0</v>
      </c>
      <c r="APT9">
        <v>0</v>
      </c>
      <c r="APU9">
        <v>0</v>
      </c>
      <c r="APV9">
        <v>0</v>
      </c>
      <c r="APW9">
        <v>0</v>
      </c>
      <c r="APX9">
        <v>0</v>
      </c>
      <c r="APY9">
        <v>0</v>
      </c>
      <c r="APZ9">
        <v>0</v>
      </c>
      <c r="AQA9">
        <v>0</v>
      </c>
      <c r="AQB9">
        <v>0</v>
      </c>
      <c r="AQC9">
        <v>0</v>
      </c>
      <c r="AQD9">
        <v>0</v>
      </c>
      <c r="AQE9">
        <v>0</v>
      </c>
      <c r="AQF9" t="s">
        <v>271</v>
      </c>
      <c r="AQG9">
        <v>0</v>
      </c>
      <c r="AQH9">
        <v>0</v>
      </c>
      <c r="AQI9" t="s">
        <v>271</v>
      </c>
      <c r="AQJ9">
        <v>0</v>
      </c>
      <c r="AQK9">
        <v>0</v>
      </c>
      <c r="AQL9">
        <v>0</v>
      </c>
      <c r="AQM9">
        <v>0</v>
      </c>
      <c r="AQN9">
        <v>0</v>
      </c>
      <c r="AQO9">
        <v>0</v>
      </c>
      <c r="AQP9">
        <v>0</v>
      </c>
      <c r="AQQ9">
        <v>0</v>
      </c>
      <c r="AQR9">
        <v>0</v>
      </c>
      <c r="AQS9">
        <v>0</v>
      </c>
      <c r="AQT9">
        <v>0</v>
      </c>
      <c r="AQU9">
        <v>0</v>
      </c>
      <c r="AQV9">
        <v>0</v>
      </c>
      <c r="AQW9">
        <v>0</v>
      </c>
      <c r="AQX9">
        <v>0</v>
      </c>
      <c r="AQY9">
        <v>0</v>
      </c>
      <c r="AQZ9">
        <v>0</v>
      </c>
      <c r="ARA9">
        <v>0</v>
      </c>
      <c r="ARB9">
        <v>0</v>
      </c>
      <c r="ARC9">
        <v>0</v>
      </c>
      <c r="ARD9" t="s">
        <v>271</v>
      </c>
      <c r="ARE9">
        <v>0</v>
      </c>
      <c r="ARF9">
        <v>0</v>
      </c>
      <c r="ARG9">
        <v>0</v>
      </c>
      <c r="ARH9">
        <v>0</v>
      </c>
      <c r="ARI9">
        <v>0</v>
      </c>
      <c r="ARJ9">
        <v>0</v>
      </c>
      <c r="ARK9">
        <v>0</v>
      </c>
      <c r="ARL9">
        <v>0</v>
      </c>
      <c r="ARM9">
        <v>0</v>
      </c>
      <c r="ARN9">
        <v>0</v>
      </c>
      <c r="ARO9">
        <v>0</v>
      </c>
      <c r="ARP9">
        <v>0</v>
      </c>
      <c r="ARQ9">
        <v>0</v>
      </c>
      <c r="ARR9">
        <v>0</v>
      </c>
      <c r="ARS9">
        <v>0</v>
      </c>
      <c r="ART9">
        <v>0</v>
      </c>
      <c r="ARU9">
        <v>0</v>
      </c>
      <c r="ARV9">
        <v>0</v>
      </c>
      <c r="ARW9">
        <v>0</v>
      </c>
      <c r="ARX9">
        <v>0</v>
      </c>
      <c r="ARY9">
        <v>0</v>
      </c>
      <c r="ARZ9">
        <v>0</v>
      </c>
      <c r="ASA9">
        <v>0</v>
      </c>
      <c r="ASB9" t="s">
        <v>271</v>
      </c>
      <c r="ASC9">
        <v>0</v>
      </c>
      <c r="ASD9">
        <v>0</v>
      </c>
      <c r="ASE9" t="s">
        <v>271</v>
      </c>
      <c r="ASF9">
        <v>0</v>
      </c>
      <c r="ASG9">
        <v>0</v>
      </c>
      <c r="ASH9">
        <v>0</v>
      </c>
      <c r="ASI9">
        <v>0</v>
      </c>
      <c r="ASJ9">
        <v>0</v>
      </c>
      <c r="ASK9">
        <v>0</v>
      </c>
      <c r="ASL9">
        <v>0</v>
      </c>
      <c r="ASM9">
        <v>0</v>
      </c>
      <c r="ASN9">
        <v>0</v>
      </c>
      <c r="ASO9">
        <v>0</v>
      </c>
      <c r="ASP9">
        <v>0</v>
      </c>
      <c r="ASQ9">
        <v>0</v>
      </c>
      <c r="ASR9">
        <v>0</v>
      </c>
      <c r="ASS9">
        <v>0</v>
      </c>
      <c r="AST9">
        <v>0</v>
      </c>
      <c r="ASU9">
        <v>0</v>
      </c>
      <c r="ASV9">
        <v>0</v>
      </c>
      <c r="ASW9">
        <v>0</v>
      </c>
      <c r="ASX9">
        <v>0</v>
      </c>
      <c r="ASY9">
        <v>0</v>
      </c>
      <c r="ASZ9" t="s">
        <v>271</v>
      </c>
      <c r="ATA9">
        <v>0</v>
      </c>
      <c r="ATB9">
        <v>0</v>
      </c>
      <c r="ATC9">
        <v>0</v>
      </c>
      <c r="ATD9">
        <v>0</v>
      </c>
      <c r="ATE9">
        <v>0</v>
      </c>
      <c r="ATF9">
        <v>0</v>
      </c>
      <c r="ATG9">
        <v>0</v>
      </c>
      <c r="ATH9">
        <v>0</v>
      </c>
      <c r="ATI9">
        <v>0</v>
      </c>
      <c r="ATJ9">
        <v>0</v>
      </c>
      <c r="ATK9">
        <v>0</v>
      </c>
      <c r="ATL9">
        <v>0</v>
      </c>
      <c r="ATM9">
        <v>0</v>
      </c>
      <c r="ATN9">
        <v>0</v>
      </c>
      <c r="ATO9">
        <v>0</v>
      </c>
      <c r="ATP9">
        <v>0</v>
      </c>
      <c r="ATQ9">
        <v>0</v>
      </c>
      <c r="ATR9">
        <v>0</v>
      </c>
      <c r="ATS9">
        <v>0</v>
      </c>
      <c r="ATT9">
        <v>0</v>
      </c>
      <c r="ATU9">
        <v>0</v>
      </c>
      <c r="ATV9">
        <v>0</v>
      </c>
      <c r="ATW9">
        <v>0</v>
      </c>
      <c r="ATX9" t="s">
        <v>271</v>
      </c>
      <c r="ATY9">
        <v>0</v>
      </c>
      <c r="ATZ9">
        <v>0</v>
      </c>
      <c r="AUA9" t="s">
        <v>271</v>
      </c>
      <c r="AUB9">
        <v>0</v>
      </c>
      <c r="AUC9">
        <v>0</v>
      </c>
      <c r="AUD9">
        <v>0</v>
      </c>
      <c r="AUE9">
        <v>0</v>
      </c>
      <c r="AUF9">
        <v>0</v>
      </c>
      <c r="AUG9">
        <v>0</v>
      </c>
      <c r="AUH9">
        <v>0</v>
      </c>
      <c r="AUI9">
        <v>0</v>
      </c>
      <c r="AUJ9">
        <v>0</v>
      </c>
      <c r="AUK9">
        <v>0</v>
      </c>
      <c r="AUL9">
        <v>0</v>
      </c>
      <c r="AUM9">
        <v>0</v>
      </c>
      <c r="AUN9">
        <v>0</v>
      </c>
      <c r="AUO9">
        <v>0</v>
      </c>
      <c r="AUP9">
        <v>0</v>
      </c>
      <c r="AUQ9">
        <v>0</v>
      </c>
      <c r="AUR9">
        <v>0</v>
      </c>
      <c r="AUS9">
        <v>0</v>
      </c>
      <c r="AUT9">
        <v>0</v>
      </c>
      <c r="AUU9">
        <v>0</v>
      </c>
      <c r="AUV9" t="s">
        <v>271</v>
      </c>
      <c r="AUW9">
        <v>0</v>
      </c>
      <c r="AUX9">
        <v>0</v>
      </c>
      <c r="AUY9">
        <v>0</v>
      </c>
      <c r="AUZ9">
        <v>0</v>
      </c>
      <c r="AVA9">
        <v>0</v>
      </c>
      <c r="AVB9">
        <v>0</v>
      </c>
      <c r="AVC9">
        <v>0</v>
      </c>
      <c r="AVD9">
        <v>0</v>
      </c>
      <c r="AVE9">
        <v>0</v>
      </c>
      <c r="AVF9">
        <v>0</v>
      </c>
      <c r="AVG9">
        <v>0</v>
      </c>
      <c r="AVH9">
        <v>0</v>
      </c>
      <c r="AVI9">
        <v>0</v>
      </c>
      <c r="AVJ9">
        <v>0</v>
      </c>
      <c r="AVK9">
        <v>0</v>
      </c>
      <c r="AVL9">
        <v>0</v>
      </c>
      <c r="AVM9">
        <v>0</v>
      </c>
      <c r="AVN9">
        <v>0</v>
      </c>
      <c r="AVO9">
        <v>0</v>
      </c>
      <c r="AVP9">
        <v>0</v>
      </c>
      <c r="AVQ9">
        <v>0</v>
      </c>
      <c r="AVR9">
        <v>0</v>
      </c>
      <c r="AVS9">
        <v>0</v>
      </c>
      <c r="AVT9" t="s">
        <v>271</v>
      </c>
      <c r="AVU9">
        <v>0</v>
      </c>
      <c r="AVV9">
        <v>0</v>
      </c>
      <c r="AVW9" t="s">
        <v>271</v>
      </c>
      <c r="AVX9">
        <v>0</v>
      </c>
      <c r="AVY9">
        <v>0</v>
      </c>
      <c r="AVZ9">
        <v>0</v>
      </c>
      <c r="AWA9">
        <v>0</v>
      </c>
      <c r="AWB9">
        <v>0</v>
      </c>
      <c r="AWC9">
        <v>0</v>
      </c>
      <c r="AWD9">
        <v>0</v>
      </c>
      <c r="AWE9">
        <v>0</v>
      </c>
      <c r="AWF9">
        <v>0</v>
      </c>
      <c r="AWG9">
        <v>0</v>
      </c>
      <c r="AWH9">
        <v>0</v>
      </c>
      <c r="AWI9">
        <v>0</v>
      </c>
      <c r="AWJ9">
        <v>0</v>
      </c>
      <c r="AWK9">
        <v>0</v>
      </c>
      <c r="AWL9">
        <v>0</v>
      </c>
      <c r="AWM9">
        <v>0</v>
      </c>
      <c r="AWN9">
        <v>0</v>
      </c>
      <c r="AWO9">
        <v>0</v>
      </c>
      <c r="AWP9">
        <v>0</v>
      </c>
      <c r="AWQ9">
        <v>0</v>
      </c>
      <c r="AWR9" t="s">
        <v>271</v>
      </c>
      <c r="AWS9">
        <v>0</v>
      </c>
      <c r="AWT9">
        <v>0</v>
      </c>
      <c r="AWU9">
        <v>0</v>
      </c>
      <c r="AWV9">
        <v>0</v>
      </c>
      <c r="AWW9">
        <v>0</v>
      </c>
      <c r="AWX9">
        <v>0</v>
      </c>
      <c r="AWY9">
        <v>0</v>
      </c>
      <c r="AWZ9">
        <v>0</v>
      </c>
      <c r="AXA9">
        <v>0</v>
      </c>
      <c r="AXB9">
        <v>0</v>
      </c>
      <c r="AXC9">
        <v>0</v>
      </c>
      <c r="AXD9">
        <v>0</v>
      </c>
      <c r="AXE9">
        <v>0</v>
      </c>
      <c r="AXF9">
        <v>0</v>
      </c>
      <c r="AXG9">
        <v>0</v>
      </c>
      <c r="AXH9">
        <v>0</v>
      </c>
      <c r="AXI9">
        <v>0</v>
      </c>
      <c r="AXJ9">
        <v>0</v>
      </c>
      <c r="AXK9">
        <v>0</v>
      </c>
      <c r="AXL9">
        <v>0</v>
      </c>
      <c r="AXM9">
        <v>0</v>
      </c>
      <c r="AXN9">
        <v>0</v>
      </c>
      <c r="AXO9">
        <v>0</v>
      </c>
      <c r="AXP9" t="s">
        <v>271</v>
      </c>
      <c r="AXQ9">
        <v>0</v>
      </c>
      <c r="AXR9">
        <v>0</v>
      </c>
      <c r="AXS9" t="s">
        <v>271</v>
      </c>
      <c r="AXT9">
        <v>0</v>
      </c>
      <c r="AXU9">
        <v>0</v>
      </c>
      <c r="AXV9">
        <v>0</v>
      </c>
      <c r="AXW9">
        <v>0</v>
      </c>
      <c r="AXX9">
        <v>0</v>
      </c>
      <c r="AXY9">
        <v>0</v>
      </c>
      <c r="AXZ9">
        <v>0</v>
      </c>
      <c r="AYA9">
        <v>0</v>
      </c>
      <c r="AYB9">
        <v>0</v>
      </c>
      <c r="AYC9">
        <v>0</v>
      </c>
      <c r="AYD9">
        <v>0</v>
      </c>
      <c r="AYE9">
        <v>0</v>
      </c>
      <c r="AYF9">
        <v>0</v>
      </c>
      <c r="AYG9">
        <v>0</v>
      </c>
      <c r="AYH9">
        <v>0</v>
      </c>
      <c r="AYI9">
        <v>0</v>
      </c>
      <c r="AYJ9">
        <v>0</v>
      </c>
      <c r="AYK9">
        <v>0</v>
      </c>
      <c r="AYL9">
        <v>0</v>
      </c>
      <c r="AYM9">
        <v>0</v>
      </c>
      <c r="AYN9" t="s">
        <v>271</v>
      </c>
      <c r="AYO9">
        <v>0</v>
      </c>
      <c r="AYP9">
        <v>0</v>
      </c>
      <c r="AYQ9">
        <v>0</v>
      </c>
      <c r="AYR9">
        <v>0</v>
      </c>
      <c r="AYS9">
        <v>0</v>
      </c>
      <c r="AYT9">
        <v>0</v>
      </c>
      <c r="AYU9">
        <v>0</v>
      </c>
      <c r="AYV9">
        <v>0</v>
      </c>
      <c r="AYW9">
        <v>0</v>
      </c>
      <c r="AYX9">
        <v>0</v>
      </c>
      <c r="AYY9">
        <v>0</v>
      </c>
      <c r="AYZ9">
        <v>0</v>
      </c>
      <c r="AZA9">
        <v>0</v>
      </c>
      <c r="AZB9">
        <v>0</v>
      </c>
      <c r="AZC9">
        <v>0</v>
      </c>
      <c r="AZD9">
        <v>0</v>
      </c>
      <c r="AZE9">
        <v>0</v>
      </c>
      <c r="AZF9">
        <v>0</v>
      </c>
      <c r="AZG9">
        <v>0</v>
      </c>
      <c r="AZH9">
        <v>0</v>
      </c>
      <c r="AZI9">
        <v>0</v>
      </c>
      <c r="AZJ9">
        <v>0</v>
      </c>
      <c r="AZK9">
        <v>0</v>
      </c>
      <c r="AZL9" t="s">
        <v>271</v>
      </c>
      <c r="AZM9">
        <v>0</v>
      </c>
      <c r="AZN9">
        <v>0</v>
      </c>
      <c r="AZO9" t="s">
        <v>271</v>
      </c>
      <c r="AZP9">
        <v>0</v>
      </c>
      <c r="AZQ9">
        <v>0</v>
      </c>
      <c r="AZR9">
        <v>0</v>
      </c>
      <c r="AZS9">
        <v>0</v>
      </c>
      <c r="AZT9">
        <v>0</v>
      </c>
      <c r="AZU9">
        <v>0</v>
      </c>
      <c r="AZV9">
        <v>0</v>
      </c>
      <c r="AZW9">
        <v>0</v>
      </c>
      <c r="AZX9">
        <v>0</v>
      </c>
      <c r="AZY9">
        <v>0</v>
      </c>
      <c r="AZZ9">
        <v>0</v>
      </c>
      <c r="BAA9">
        <v>0</v>
      </c>
      <c r="BAB9">
        <v>0</v>
      </c>
      <c r="BAC9">
        <v>0</v>
      </c>
      <c r="BAD9">
        <v>0</v>
      </c>
      <c r="BAE9">
        <v>0</v>
      </c>
      <c r="BAF9">
        <v>0</v>
      </c>
      <c r="BAG9">
        <v>0</v>
      </c>
      <c r="BAH9">
        <v>0</v>
      </c>
      <c r="BAI9">
        <v>0</v>
      </c>
      <c r="BAJ9" t="s">
        <v>271</v>
      </c>
      <c r="BAK9">
        <v>833650</v>
      </c>
      <c r="BAL9">
        <v>992</v>
      </c>
      <c r="BAM9">
        <v>0</v>
      </c>
      <c r="BAN9">
        <v>992</v>
      </c>
      <c r="BAO9">
        <v>0</v>
      </c>
      <c r="BAP9">
        <v>0</v>
      </c>
      <c r="BAQ9">
        <v>0</v>
      </c>
      <c r="BAR9">
        <v>0</v>
      </c>
      <c r="BAS9">
        <v>0</v>
      </c>
      <c r="BAT9">
        <v>0</v>
      </c>
      <c r="BAU9">
        <v>0</v>
      </c>
      <c r="BAV9">
        <v>0</v>
      </c>
      <c r="BAW9">
        <v>0</v>
      </c>
      <c r="BAX9">
        <v>0</v>
      </c>
      <c r="BAY9">
        <v>0</v>
      </c>
      <c r="BAZ9">
        <v>0</v>
      </c>
      <c r="BBA9">
        <v>0</v>
      </c>
      <c r="BBB9">
        <v>0</v>
      </c>
      <c r="BBC9">
        <v>0</v>
      </c>
      <c r="BBD9">
        <v>0</v>
      </c>
      <c r="BBE9">
        <v>0</v>
      </c>
      <c r="BBF9">
        <v>0</v>
      </c>
      <c r="BBG9">
        <v>0</v>
      </c>
      <c r="BBH9">
        <v>0</v>
      </c>
      <c r="BBI9">
        <v>0</v>
      </c>
      <c r="BBJ9">
        <v>0</v>
      </c>
      <c r="BBK9">
        <v>0</v>
      </c>
      <c r="BBL9">
        <v>0</v>
      </c>
      <c r="BBM9">
        <v>0</v>
      </c>
      <c r="BBN9">
        <v>0</v>
      </c>
      <c r="BBO9">
        <v>0</v>
      </c>
      <c r="BBP9">
        <v>0</v>
      </c>
      <c r="BBQ9">
        <v>0</v>
      </c>
      <c r="BBR9">
        <v>0</v>
      </c>
      <c r="BBS9">
        <v>0</v>
      </c>
      <c r="BBT9">
        <v>0</v>
      </c>
      <c r="BBU9">
        <v>0</v>
      </c>
      <c r="BBV9">
        <v>0</v>
      </c>
      <c r="BBW9">
        <v>0</v>
      </c>
      <c r="BBX9">
        <v>0</v>
      </c>
      <c r="BBY9">
        <v>0</v>
      </c>
      <c r="BBZ9">
        <v>0</v>
      </c>
      <c r="BCA9">
        <v>0</v>
      </c>
      <c r="BCB9">
        <v>0</v>
      </c>
      <c r="BCC9">
        <v>0</v>
      </c>
      <c r="BCD9">
        <v>0</v>
      </c>
      <c r="BCE9">
        <v>0</v>
      </c>
      <c r="BCF9">
        <v>0</v>
      </c>
      <c r="BCG9">
        <v>0</v>
      </c>
      <c r="BCH9">
        <v>0</v>
      </c>
      <c r="BCI9">
        <v>0</v>
      </c>
      <c r="BCJ9">
        <v>0</v>
      </c>
      <c r="BCK9">
        <v>0</v>
      </c>
      <c r="BCL9">
        <v>0</v>
      </c>
      <c r="BCM9">
        <v>0</v>
      </c>
      <c r="BCN9">
        <v>0</v>
      </c>
      <c r="BCO9">
        <v>0</v>
      </c>
      <c r="BCP9">
        <v>0</v>
      </c>
      <c r="BCQ9">
        <v>0</v>
      </c>
      <c r="BCR9">
        <v>0</v>
      </c>
      <c r="BCS9">
        <v>0</v>
      </c>
      <c r="BCT9">
        <v>0</v>
      </c>
      <c r="BCU9">
        <v>0</v>
      </c>
      <c r="BCV9">
        <v>0</v>
      </c>
      <c r="BCW9">
        <v>0</v>
      </c>
      <c r="BCX9">
        <v>0</v>
      </c>
      <c r="BCY9">
        <v>0</v>
      </c>
      <c r="BCZ9">
        <v>0</v>
      </c>
      <c r="BDA9">
        <v>0</v>
      </c>
      <c r="BDB9">
        <v>0</v>
      </c>
      <c r="BDC9">
        <v>0</v>
      </c>
      <c r="BDD9">
        <v>0</v>
      </c>
      <c r="BDE9">
        <v>0</v>
      </c>
      <c r="BDF9">
        <v>0</v>
      </c>
      <c r="BDG9">
        <v>0</v>
      </c>
      <c r="BDH9">
        <v>0</v>
      </c>
      <c r="BDI9">
        <v>0</v>
      </c>
      <c r="BDJ9">
        <v>0</v>
      </c>
      <c r="BDK9">
        <v>0</v>
      </c>
      <c r="BDL9">
        <v>0</v>
      </c>
      <c r="BDM9">
        <v>0</v>
      </c>
      <c r="BDN9">
        <v>0</v>
      </c>
      <c r="BDO9">
        <v>0</v>
      </c>
      <c r="BDP9">
        <v>0</v>
      </c>
      <c r="BDQ9">
        <v>0</v>
      </c>
      <c r="BDR9">
        <v>0</v>
      </c>
      <c r="BDS9">
        <v>0</v>
      </c>
      <c r="BDT9">
        <v>0</v>
      </c>
      <c r="BDU9">
        <v>0</v>
      </c>
      <c r="BDV9">
        <v>0</v>
      </c>
      <c r="BDW9">
        <v>0</v>
      </c>
      <c r="BDX9">
        <v>0</v>
      </c>
      <c r="BDY9">
        <v>0</v>
      </c>
      <c r="BDZ9">
        <v>0</v>
      </c>
      <c r="BEA9">
        <v>0</v>
      </c>
      <c r="BEB9">
        <v>0</v>
      </c>
      <c r="BEC9">
        <v>0</v>
      </c>
      <c r="BED9">
        <v>0</v>
      </c>
      <c r="BEE9">
        <v>0</v>
      </c>
      <c r="BEF9">
        <v>0</v>
      </c>
      <c r="BEG9">
        <v>0</v>
      </c>
      <c r="BEH9">
        <v>0</v>
      </c>
      <c r="BEI9">
        <v>0</v>
      </c>
      <c r="BEJ9">
        <v>0</v>
      </c>
      <c r="BEK9">
        <v>0</v>
      </c>
      <c r="BEL9">
        <v>0</v>
      </c>
      <c r="BEM9">
        <v>0</v>
      </c>
      <c r="BEN9">
        <v>0</v>
      </c>
      <c r="BEO9">
        <v>0</v>
      </c>
      <c r="BEP9">
        <v>0</v>
      </c>
      <c r="BEQ9">
        <v>0</v>
      </c>
      <c r="BER9">
        <v>0</v>
      </c>
      <c r="BES9">
        <v>0</v>
      </c>
      <c r="BET9">
        <v>0</v>
      </c>
      <c r="BEU9">
        <v>0</v>
      </c>
      <c r="BEV9">
        <v>0</v>
      </c>
      <c r="BEW9">
        <v>0</v>
      </c>
      <c r="BEX9">
        <v>0</v>
      </c>
      <c r="BEY9">
        <v>0</v>
      </c>
      <c r="BEZ9">
        <v>0</v>
      </c>
      <c r="BFA9">
        <v>0</v>
      </c>
      <c r="BFB9">
        <v>0</v>
      </c>
      <c r="BFC9">
        <v>0</v>
      </c>
      <c r="BFD9" t="b">
        <v>0</v>
      </c>
      <c r="BFE9" t="b">
        <v>0</v>
      </c>
      <c r="BFF9" t="b">
        <v>0</v>
      </c>
      <c r="BFG9" t="b">
        <v>0</v>
      </c>
      <c r="BFH9">
        <v>0</v>
      </c>
      <c r="BFI9">
        <v>0</v>
      </c>
      <c r="BFJ9">
        <v>0</v>
      </c>
      <c r="BFK9">
        <v>0</v>
      </c>
      <c r="BFL9">
        <v>0</v>
      </c>
      <c r="BFM9">
        <v>0</v>
      </c>
      <c r="BFN9">
        <v>0</v>
      </c>
      <c r="BFO9">
        <v>0</v>
      </c>
      <c r="BFP9">
        <v>0</v>
      </c>
      <c r="BFQ9">
        <v>0</v>
      </c>
      <c r="BFR9">
        <v>0</v>
      </c>
      <c r="BFS9">
        <v>0</v>
      </c>
      <c r="BFT9">
        <v>0</v>
      </c>
      <c r="BFU9">
        <v>0</v>
      </c>
      <c r="BFV9">
        <v>0</v>
      </c>
      <c r="BFW9">
        <v>0</v>
      </c>
      <c r="BFX9">
        <v>0</v>
      </c>
      <c r="BFY9">
        <v>0</v>
      </c>
    </row>
    <row r="10" spans="1:1533" x14ac:dyDescent="0.25">
      <c r="A10" t="s">
        <v>2790</v>
      </c>
      <c r="B10" t="s">
        <v>2791</v>
      </c>
      <c r="C10">
        <v>130</v>
      </c>
      <c r="D10">
        <v>45</v>
      </c>
      <c r="E10">
        <v>0</v>
      </c>
      <c r="F10">
        <v>0</v>
      </c>
      <c r="G10">
        <v>0</v>
      </c>
      <c r="H10" t="s">
        <v>2404</v>
      </c>
      <c r="I10" t="s">
        <v>2403</v>
      </c>
      <c r="J10" t="s">
        <v>2403</v>
      </c>
      <c r="K10" t="s">
        <v>2403</v>
      </c>
      <c r="L10" t="s">
        <v>2403</v>
      </c>
      <c r="M10" t="s">
        <v>1883</v>
      </c>
      <c r="N10" t="s">
        <v>2403</v>
      </c>
      <c r="O10" t="s">
        <v>1883</v>
      </c>
      <c r="P10" t="s">
        <v>1883</v>
      </c>
      <c r="Q10" t="s">
        <v>2403</v>
      </c>
      <c r="R10" t="s">
        <v>1883</v>
      </c>
      <c r="S10" t="s">
        <v>1639</v>
      </c>
      <c r="T10" t="s">
        <v>2404</v>
      </c>
      <c r="U10" t="s">
        <v>2424</v>
      </c>
      <c r="V10" t="s">
        <v>2614</v>
      </c>
      <c r="W10" t="s">
        <v>309</v>
      </c>
      <c r="X10">
        <v>0</v>
      </c>
      <c r="Y10">
        <v>43504</v>
      </c>
      <c r="Z10">
        <v>0</v>
      </c>
      <c r="AA10">
        <v>0</v>
      </c>
      <c r="AB10">
        <v>100</v>
      </c>
      <c r="AC10" t="s">
        <v>272</v>
      </c>
      <c r="AD10">
        <v>25</v>
      </c>
      <c r="AE10">
        <v>0</v>
      </c>
      <c r="AF10">
        <v>43521</v>
      </c>
      <c r="AG10">
        <v>45</v>
      </c>
      <c r="AH10">
        <v>0</v>
      </c>
      <c r="AI10">
        <v>0</v>
      </c>
      <c r="AJ10" t="s">
        <v>271</v>
      </c>
      <c r="AK10">
        <v>0.15989</v>
      </c>
      <c r="AL10">
        <v>0</v>
      </c>
      <c r="AM10">
        <v>50</v>
      </c>
      <c r="AN10">
        <v>47174</v>
      </c>
      <c r="AO10">
        <v>0.18184781891812385</v>
      </c>
      <c r="AP10">
        <v>7909.3100000000013</v>
      </c>
      <c r="AQ10">
        <v>9304.9800000000541</v>
      </c>
      <c r="AR10">
        <v>17214.290000000055</v>
      </c>
      <c r="AS10">
        <v>142.29</v>
      </c>
      <c r="AT10">
        <v>139.49</v>
      </c>
      <c r="AU10" t="s">
        <v>1913</v>
      </c>
      <c r="AV10" t="s">
        <v>2737</v>
      </c>
      <c r="AW10" t="s">
        <v>2738</v>
      </c>
      <c r="AX10">
        <v>19</v>
      </c>
      <c r="AY10">
        <v>0</v>
      </c>
      <c r="AZ10">
        <v>43490</v>
      </c>
      <c r="BA10">
        <v>100</v>
      </c>
      <c r="BB10">
        <v>2</v>
      </c>
      <c r="BC10">
        <v>1</v>
      </c>
      <c r="BD10" t="s">
        <v>415</v>
      </c>
      <c r="BE10">
        <v>336</v>
      </c>
      <c r="BF10">
        <v>64</v>
      </c>
      <c r="BG10">
        <v>43501</v>
      </c>
      <c r="BH10">
        <v>120</v>
      </c>
      <c r="BI10">
        <v>0</v>
      </c>
      <c r="BJ10">
        <v>50</v>
      </c>
      <c r="BK10">
        <v>43471</v>
      </c>
      <c r="BL10">
        <v>0</v>
      </c>
      <c r="BM10">
        <v>0</v>
      </c>
      <c r="BN10">
        <v>0</v>
      </c>
      <c r="BO10" t="s">
        <v>2792</v>
      </c>
      <c r="BP10" t="s">
        <v>2403</v>
      </c>
      <c r="BQ10" t="s">
        <v>2403</v>
      </c>
      <c r="BR10" t="s">
        <v>2403</v>
      </c>
      <c r="BS10">
        <v>455956018</v>
      </c>
      <c r="BT10">
        <v>29760</v>
      </c>
      <c r="BU10" t="s">
        <v>2793</v>
      </c>
      <c r="BV10" t="s">
        <v>2794</v>
      </c>
      <c r="BW10" t="s">
        <v>1633</v>
      </c>
      <c r="BX10">
        <v>78155</v>
      </c>
      <c r="BY10" t="s">
        <v>2793</v>
      </c>
      <c r="BZ10" t="s">
        <v>2794</v>
      </c>
      <c r="CA10">
        <v>78155</v>
      </c>
      <c r="CB10" t="s">
        <v>1633</v>
      </c>
      <c r="CC10" t="s">
        <v>316</v>
      </c>
      <c r="CD10">
        <v>0</v>
      </c>
      <c r="CE10">
        <v>0</v>
      </c>
      <c r="CF10">
        <v>0</v>
      </c>
      <c r="CG10">
        <v>0</v>
      </c>
      <c r="CH10">
        <v>0</v>
      </c>
      <c r="CI10">
        <v>0</v>
      </c>
      <c r="CJ10">
        <v>0</v>
      </c>
      <c r="CK10">
        <v>0</v>
      </c>
      <c r="CL10">
        <v>0</v>
      </c>
      <c r="CM10">
        <v>2108599340</v>
      </c>
      <c r="CN10" t="s">
        <v>2796</v>
      </c>
      <c r="CO10" t="s">
        <v>2795</v>
      </c>
      <c r="CP10">
        <v>0</v>
      </c>
      <c r="CQ10">
        <v>0</v>
      </c>
      <c r="CR10">
        <v>0</v>
      </c>
      <c r="CS10">
        <v>0</v>
      </c>
      <c r="CT10">
        <v>0</v>
      </c>
      <c r="CU10">
        <v>0</v>
      </c>
      <c r="CV10">
        <v>0</v>
      </c>
      <c r="CW10">
        <v>449854498</v>
      </c>
      <c r="CX10">
        <v>30015</v>
      </c>
      <c r="CY10" t="s">
        <v>2793</v>
      </c>
      <c r="CZ10" t="s">
        <v>2794</v>
      </c>
      <c r="DA10">
        <v>78155</v>
      </c>
      <c r="DB10" t="s">
        <v>1633</v>
      </c>
      <c r="DC10" t="s">
        <v>316</v>
      </c>
      <c r="DD10">
        <v>0</v>
      </c>
      <c r="DE10">
        <v>0</v>
      </c>
      <c r="DF10">
        <v>0</v>
      </c>
      <c r="DG10">
        <v>0</v>
      </c>
      <c r="DH10">
        <v>0</v>
      </c>
      <c r="DI10">
        <v>0</v>
      </c>
      <c r="DJ10">
        <v>0</v>
      </c>
      <c r="DK10">
        <v>0</v>
      </c>
      <c r="DL10">
        <v>0</v>
      </c>
      <c r="DM10">
        <v>2106017332</v>
      </c>
      <c r="DN10" t="s">
        <v>2796</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7601.31005859375</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v>0</v>
      </c>
      <c r="GI10">
        <v>0</v>
      </c>
      <c r="GJ10">
        <v>0</v>
      </c>
      <c r="GK10">
        <v>0</v>
      </c>
      <c r="GL10">
        <v>0</v>
      </c>
      <c r="GM10">
        <v>0</v>
      </c>
      <c r="GN10">
        <v>0</v>
      </c>
      <c r="GO10">
        <v>0</v>
      </c>
      <c r="GP10" t="s">
        <v>2797</v>
      </c>
      <c r="GQ10">
        <v>0</v>
      </c>
      <c r="GR10">
        <v>0</v>
      </c>
      <c r="GS10">
        <v>0</v>
      </c>
      <c r="GT10" t="s">
        <v>2793</v>
      </c>
      <c r="GU10">
        <v>7601.31</v>
      </c>
      <c r="GV10">
        <v>0</v>
      </c>
      <c r="GW10">
        <v>0</v>
      </c>
      <c r="GX10">
        <v>0</v>
      </c>
      <c r="GY10">
        <v>0</v>
      </c>
      <c r="GZ10">
        <v>0</v>
      </c>
      <c r="HA10">
        <v>0</v>
      </c>
      <c r="HB10">
        <v>0</v>
      </c>
      <c r="HC10">
        <v>7601.31005859375</v>
      </c>
      <c r="HD10">
        <v>133753</v>
      </c>
      <c r="HE10">
        <v>19608</v>
      </c>
      <c r="HF10" t="s">
        <v>2794</v>
      </c>
      <c r="HG10" t="s">
        <v>99</v>
      </c>
      <c r="HH10" t="s">
        <v>271</v>
      </c>
      <c r="HI10">
        <v>133753</v>
      </c>
      <c r="HJ10" t="s">
        <v>271</v>
      </c>
      <c r="HK10" t="s">
        <v>2798</v>
      </c>
      <c r="HL10">
        <v>0</v>
      </c>
      <c r="HM10">
        <v>0</v>
      </c>
      <c r="HN10">
        <v>0</v>
      </c>
      <c r="HO10" t="s">
        <v>2799</v>
      </c>
      <c r="HP10">
        <v>0</v>
      </c>
      <c r="HQ10">
        <v>0</v>
      </c>
      <c r="HR10" t="s">
        <v>1633</v>
      </c>
      <c r="HS10" t="s">
        <v>2800</v>
      </c>
      <c r="HT10">
        <v>0</v>
      </c>
      <c r="HU10">
        <v>0</v>
      </c>
      <c r="HV10">
        <v>0</v>
      </c>
      <c r="HW10" t="s">
        <v>2045</v>
      </c>
      <c r="HX10">
        <v>0</v>
      </c>
      <c r="HY10">
        <v>0</v>
      </c>
      <c r="HZ10">
        <v>0</v>
      </c>
      <c r="IA10">
        <v>78155</v>
      </c>
      <c r="IB10" t="s">
        <v>271</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t="s">
        <v>271</v>
      </c>
      <c r="JA10">
        <v>0</v>
      </c>
      <c r="JB10" t="s">
        <v>271</v>
      </c>
      <c r="JC10">
        <v>0</v>
      </c>
      <c r="JD10">
        <v>0</v>
      </c>
      <c r="JE10">
        <v>0</v>
      </c>
      <c r="JF10">
        <v>0</v>
      </c>
      <c r="JG10">
        <v>0</v>
      </c>
      <c r="JH10">
        <v>0</v>
      </c>
      <c r="JI10">
        <v>0</v>
      </c>
      <c r="JJ10">
        <v>0</v>
      </c>
      <c r="JK10">
        <v>0</v>
      </c>
      <c r="JL10">
        <v>0</v>
      </c>
      <c r="JM10">
        <v>0</v>
      </c>
      <c r="JN10">
        <v>0</v>
      </c>
      <c r="JO10">
        <v>0</v>
      </c>
      <c r="JP10">
        <v>0</v>
      </c>
      <c r="JQ10">
        <v>0</v>
      </c>
      <c r="JR10">
        <v>0</v>
      </c>
      <c r="JS10">
        <v>0</v>
      </c>
      <c r="JT10">
        <v>0</v>
      </c>
      <c r="JU10">
        <v>0</v>
      </c>
      <c r="JV10">
        <v>0</v>
      </c>
      <c r="JW10">
        <v>0</v>
      </c>
      <c r="JX10" t="s">
        <v>271</v>
      </c>
      <c r="JY10">
        <v>0</v>
      </c>
      <c r="JZ10">
        <v>0</v>
      </c>
      <c r="KA10">
        <v>0</v>
      </c>
      <c r="KB10">
        <v>0</v>
      </c>
      <c r="KC10">
        <v>0</v>
      </c>
      <c r="KD10">
        <v>0</v>
      </c>
      <c r="KE10">
        <v>0</v>
      </c>
      <c r="KF10">
        <v>0</v>
      </c>
      <c r="KG10">
        <v>0</v>
      </c>
      <c r="KH10">
        <v>0</v>
      </c>
      <c r="KI10">
        <v>0</v>
      </c>
      <c r="KJ10">
        <v>0</v>
      </c>
      <c r="KK10">
        <v>0</v>
      </c>
      <c r="KL10">
        <v>0</v>
      </c>
      <c r="KM10">
        <v>0</v>
      </c>
      <c r="KN10">
        <v>0</v>
      </c>
      <c r="KO10">
        <v>0</v>
      </c>
      <c r="KP10">
        <v>0</v>
      </c>
      <c r="KQ10">
        <v>0</v>
      </c>
      <c r="KR10">
        <v>0</v>
      </c>
      <c r="KS10">
        <v>0</v>
      </c>
      <c r="KT10">
        <v>0</v>
      </c>
      <c r="KU10">
        <v>0</v>
      </c>
      <c r="KV10" t="s">
        <v>271</v>
      </c>
      <c r="KW10">
        <v>0</v>
      </c>
      <c r="KX10">
        <v>0</v>
      </c>
      <c r="KY10" t="s">
        <v>271</v>
      </c>
      <c r="KZ10">
        <v>0</v>
      </c>
      <c r="LA10">
        <v>0</v>
      </c>
      <c r="LB10">
        <v>0</v>
      </c>
      <c r="LC10">
        <v>0</v>
      </c>
      <c r="LD10">
        <v>0</v>
      </c>
      <c r="LE10">
        <v>0</v>
      </c>
      <c r="LF10">
        <v>0</v>
      </c>
      <c r="LG10">
        <v>0</v>
      </c>
      <c r="LH10">
        <v>0</v>
      </c>
      <c r="LI10">
        <v>0</v>
      </c>
      <c r="LJ10">
        <v>0</v>
      </c>
      <c r="LK10">
        <v>0</v>
      </c>
      <c r="LL10">
        <v>0</v>
      </c>
      <c r="LM10">
        <v>0</v>
      </c>
      <c r="LN10">
        <v>0</v>
      </c>
      <c r="LO10">
        <v>0</v>
      </c>
      <c r="LP10">
        <v>0</v>
      </c>
      <c r="LQ10">
        <v>0</v>
      </c>
      <c r="LR10">
        <v>0</v>
      </c>
      <c r="LS10">
        <v>0</v>
      </c>
      <c r="LT10" t="s">
        <v>271</v>
      </c>
      <c r="LU10">
        <v>0</v>
      </c>
      <c r="LV10">
        <v>0</v>
      </c>
      <c r="LW10">
        <v>0</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t="s">
        <v>271</v>
      </c>
      <c r="MS10">
        <v>0</v>
      </c>
      <c r="MT10">
        <v>0</v>
      </c>
      <c r="MU10" t="s">
        <v>271</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t="s">
        <v>271</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t="s">
        <v>271</v>
      </c>
      <c r="OO10">
        <v>0</v>
      </c>
      <c r="OP10">
        <v>0</v>
      </c>
      <c r="OQ10" t="s">
        <v>271</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t="s">
        <v>271</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I10">
        <v>0</v>
      </c>
      <c r="QJ10" t="s">
        <v>271</v>
      </c>
      <c r="QK10">
        <v>0</v>
      </c>
      <c r="QL10">
        <v>0</v>
      </c>
      <c r="QM10" t="s">
        <v>271</v>
      </c>
      <c r="QN10">
        <v>0</v>
      </c>
      <c r="QO10">
        <v>0</v>
      </c>
      <c r="QP10">
        <v>0</v>
      </c>
      <c r="QQ10">
        <v>0</v>
      </c>
      <c r="QR10">
        <v>0</v>
      </c>
      <c r="QS10">
        <v>0</v>
      </c>
      <c r="QT10">
        <v>0</v>
      </c>
      <c r="QU10">
        <v>0</v>
      </c>
      <c r="QV10">
        <v>0</v>
      </c>
      <c r="QW10">
        <v>0</v>
      </c>
      <c r="QX10">
        <v>0</v>
      </c>
      <c r="QY10">
        <v>0</v>
      </c>
      <c r="QZ10">
        <v>0</v>
      </c>
      <c r="RA10">
        <v>0</v>
      </c>
      <c r="RB10">
        <v>0</v>
      </c>
      <c r="RC10">
        <v>0</v>
      </c>
      <c r="RD10">
        <v>0</v>
      </c>
      <c r="RE10">
        <v>0</v>
      </c>
      <c r="RF10">
        <v>0</v>
      </c>
      <c r="RG10">
        <v>0</v>
      </c>
      <c r="RH10" t="s">
        <v>271</v>
      </c>
      <c r="RI10">
        <v>0</v>
      </c>
      <c r="RJ10">
        <v>0</v>
      </c>
      <c r="RK10">
        <v>0</v>
      </c>
      <c r="RL10">
        <v>0</v>
      </c>
      <c r="RM10">
        <v>0</v>
      </c>
      <c r="RN10">
        <v>0</v>
      </c>
      <c r="RO10">
        <v>0</v>
      </c>
      <c r="RP10">
        <v>0</v>
      </c>
      <c r="RQ10">
        <v>0</v>
      </c>
      <c r="RR10">
        <v>0</v>
      </c>
      <c r="RS10">
        <v>0</v>
      </c>
      <c r="RT10">
        <v>0</v>
      </c>
      <c r="RU10">
        <v>0</v>
      </c>
      <c r="RV10">
        <v>0</v>
      </c>
      <c r="RW10">
        <v>0</v>
      </c>
      <c r="RX10">
        <v>0</v>
      </c>
      <c r="RY10">
        <v>0</v>
      </c>
      <c r="RZ10">
        <v>0</v>
      </c>
      <c r="SA10">
        <v>0</v>
      </c>
      <c r="SB10">
        <v>0</v>
      </c>
      <c r="SC10">
        <v>0</v>
      </c>
      <c r="SD10">
        <v>0</v>
      </c>
      <c r="SE10">
        <v>0</v>
      </c>
      <c r="SF10" t="s">
        <v>271</v>
      </c>
      <c r="SG10">
        <v>0</v>
      </c>
      <c r="SH10">
        <v>0</v>
      </c>
      <c r="SI10" t="s">
        <v>271</v>
      </c>
      <c r="SJ10">
        <v>0</v>
      </c>
      <c r="SK10">
        <v>0</v>
      </c>
      <c r="SL10">
        <v>0</v>
      </c>
      <c r="SM10">
        <v>0</v>
      </c>
      <c r="SN10">
        <v>0</v>
      </c>
      <c r="SO10">
        <v>0</v>
      </c>
      <c r="SP10">
        <v>0</v>
      </c>
      <c r="SQ10">
        <v>0</v>
      </c>
      <c r="SR10">
        <v>0</v>
      </c>
      <c r="SS10">
        <v>0</v>
      </c>
      <c r="ST10">
        <v>0</v>
      </c>
      <c r="SU10">
        <v>0</v>
      </c>
      <c r="SV10">
        <v>0</v>
      </c>
      <c r="SW10">
        <v>0</v>
      </c>
      <c r="SX10">
        <v>0</v>
      </c>
      <c r="SY10">
        <v>0</v>
      </c>
      <c r="SZ10">
        <v>0</v>
      </c>
      <c r="TA10">
        <v>0</v>
      </c>
      <c r="TB10">
        <v>0</v>
      </c>
      <c r="TC10">
        <v>0</v>
      </c>
      <c r="TD10" t="s">
        <v>271</v>
      </c>
      <c r="TE10">
        <v>0</v>
      </c>
      <c r="TF10">
        <v>0</v>
      </c>
      <c r="TG10">
        <v>0</v>
      </c>
      <c r="TH10">
        <v>0</v>
      </c>
      <c r="TI10">
        <v>0</v>
      </c>
      <c r="TJ10">
        <v>0</v>
      </c>
      <c r="TK10">
        <v>0</v>
      </c>
      <c r="TL10">
        <v>0</v>
      </c>
      <c r="TM10">
        <v>0</v>
      </c>
      <c r="TN10">
        <v>0</v>
      </c>
      <c r="TO10">
        <v>0</v>
      </c>
      <c r="TP10">
        <v>0</v>
      </c>
      <c r="TQ10">
        <v>0</v>
      </c>
      <c r="TR10">
        <v>0</v>
      </c>
      <c r="TS10">
        <v>0</v>
      </c>
      <c r="TT10">
        <v>0</v>
      </c>
      <c r="TU10">
        <v>0</v>
      </c>
      <c r="TV10">
        <v>0</v>
      </c>
      <c r="TW10">
        <v>0</v>
      </c>
      <c r="TX10">
        <v>0</v>
      </c>
      <c r="TY10">
        <v>0</v>
      </c>
      <c r="TZ10">
        <v>0</v>
      </c>
      <c r="UA10">
        <v>0</v>
      </c>
      <c r="UB10" t="s">
        <v>271</v>
      </c>
      <c r="UC10">
        <v>0</v>
      </c>
      <c r="UD10">
        <v>0</v>
      </c>
      <c r="UE10" t="s">
        <v>271</v>
      </c>
      <c r="UF10">
        <v>0</v>
      </c>
      <c r="UG10">
        <v>0</v>
      </c>
      <c r="UH10">
        <v>0</v>
      </c>
      <c r="UI10">
        <v>0</v>
      </c>
      <c r="UJ10">
        <v>0</v>
      </c>
      <c r="UK10">
        <v>0</v>
      </c>
      <c r="UL10">
        <v>0</v>
      </c>
      <c r="UM10">
        <v>0</v>
      </c>
      <c r="UN10">
        <v>0</v>
      </c>
      <c r="UO10">
        <v>0</v>
      </c>
      <c r="UP10">
        <v>0</v>
      </c>
      <c r="UQ10">
        <v>0</v>
      </c>
      <c r="UR10">
        <v>0</v>
      </c>
      <c r="US10">
        <v>0</v>
      </c>
      <c r="UT10">
        <v>0</v>
      </c>
      <c r="UU10">
        <v>0</v>
      </c>
      <c r="UV10">
        <v>0</v>
      </c>
      <c r="UW10">
        <v>0</v>
      </c>
      <c r="UX10">
        <v>0</v>
      </c>
      <c r="UY10">
        <v>0</v>
      </c>
      <c r="UZ10" t="s">
        <v>271</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t="s">
        <v>271</v>
      </c>
      <c r="VY10">
        <v>0</v>
      </c>
      <c r="VZ10">
        <v>0</v>
      </c>
      <c r="WA10" t="s">
        <v>271</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t="s">
        <v>271</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t="s">
        <v>271</v>
      </c>
      <c r="XU10">
        <v>0</v>
      </c>
      <c r="XV10">
        <v>0</v>
      </c>
      <c r="XW10" t="s">
        <v>271</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t="s">
        <v>271</v>
      </c>
      <c r="YS10">
        <v>0</v>
      </c>
      <c r="YT10">
        <v>0</v>
      </c>
      <c r="YU10">
        <v>0</v>
      </c>
      <c r="YV10">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t="s">
        <v>271</v>
      </c>
      <c r="ZQ10">
        <v>0</v>
      </c>
      <c r="ZR10">
        <v>0</v>
      </c>
      <c r="ZS10" t="s">
        <v>271</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t="s">
        <v>271</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t="s">
        <v>271</v>
      </c>
      <c r="ABM10">
        <v>0</v>
      </c>
      <c r="ABN10">
        <v>0</v>
      </c>
      <c r="ABO10" t="s">
        <v>271</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t="s">
        <v>271</v>
      </c>
      <c r="ACK10">
        <v>0</v>
      </c>
      <c r="ACL10">
        <v>0</v>
      </c>
      <c r="ACM10">
        <v>0</v>
      </c>
      <c r="ACN10">
        <v>0</v>
      </c>
      <c r="ACO10">
        <v>0</v>
      </c>
      <c r="ACP10">
        <v>0</v>
      </c>
      <c r="ACQ10">
        <v>0</v>
      </c>
      <c r="ACR10">
        <v>0</v>
      </c>
      <c r="ACS10">
        <v>0</v>
      </c>
      <c r="ACT10">
        <v>0</v>
      </c>
      <c r="ACU10">
        <v>0</v>
      </c>
      <c r="ACV10">
        <v>0</v>
      </c>
      <c r="ACW10">
        <v>0</v>
      </c>
      <c r="ACX10">
        <v>0</v>
      </c>
      <c r="ACY10">
        <v>0</v>
      </c>
      <c r="ACZ10">
        <v>0</v>
      </c>
      <c r="ADA10">
        <v>0</v>
      </c>
      <c r="ADB10">
        <v>0</v>
      </c>
      <c r="ADC10">
        <v>0</v>
      </c>
      <c r="ADD10">
        <v>0</v>
      </c>
      <c r="ADE10">
        <v>0</v>
      </c>
      <c r="ADF10">
        <v>0</v>
      </c>
      <c r="ADG10">
        <v>0</v>
      </c>
      <c r="ADH10" t="s">
        <v>271</v>
      </c>
      <c r="ADI10">
        <v>0</v>
      </c>
      <c r="ADJ10">
        <v>0</v>
      </c>
      <c r="ADK10" t="s">
        <v>271</v>
      </c>
      <c r="ADL10">
        <v>0</v>
      </c>
      <c r="ADM10">
        <v>0</v>
      </c>
      <c r="ADN10">
        <v>0</v>
      </c>
      <c r="ADO10">
        <v>0</v>
      </c>
      <c r="ADP10">
        <v>0</v>
      </c>
      <c r="ADQ10">
        <v>0</v>
      </c>
      <c r="ADR10">
        <v>0</v>
      </c>
      <c r="ADS10">
        <v>0</v>
      </c>
      <c r="ADT10">
        <v>0</v>
      </c>
      <c r="ADU10">
        <v>0</v>
      </c>
      <c r="ADV10">
        <v>0</v>
      </c>
      <c r="ADW10">
        <v>0</v>
      </c>
      <c r="ADX10">
        <v>0</v>
      </c>
      <c r="ADY10">
        <v>0</v>
      </c>
      <c r="ADZ10">
        <v>0</v>
      </c>
      <c r="AEA10">
        <v>0</v>
      </c>
      <c r="AEB10">
        <v>0</v>
      </c>
      <c r="AEC10">
        <v>0</v>
      </c>
      <c r="AED10">
        <v>0</v>
      </c>
      <c r="AEE10">
        <v>0</v>
      </c>
      <c r="AEF10" t="s">
        <v>271</v>
      </c>
      <c r="AEG10">
        <v>0</v>
      </c>
      <c r="AEH10">
        <v>0</v>
      </c>
      <c r="AEI10">
        <v>0</v>
      </c>
      <c r="AEJ10">
        <v>0</v>
      </c>
      <c r="AEK10">
        <v>0</v>
      </c>
      <c r="AEL10">
        <v>0</v>
      </c>
      <c r="AEM10">
        <v>0</v>
      </c>
      <c r="AEN10">
        <v>0</v>
      </c>
      <c r="AEO10">
        <v>0</v>
      </c>
      <c r="AEP10">
        <v>0</v>
      </c>
      <c r="AEQ10">
        <v>0</v>
      </c>
      <c r="AER10">
        <v>0</v>
      </c>
      <c r="AES10">
        <v>0</v>
      </c>
      <c r="AET10">
        <v>0</v>
      </c>
      <c r="AEU10">
        <v>0</v>
      </c>
      <c r="AEV10">
        <v>0</v>
      </c>
      <c r="AEW10">
        <v>0</v>
      </c>
      <c r="AEX10">
        <v>0</v>
      </c>
      <c r="AEY10">
        <v>0</v>
      </c>
      <c r="AEZ10">
        <v>0</v>
      </c>
      <c r="AFA10">
        <v>0</v>
      </c>
      <c r="AFB10">
        <v>0</v>
      </c>
      <c r="AFC10">
        <v>0</v>
      </c>
      <c r="AFD10" t="s">
        <v>271</v>
      </c>
      <c r="AFE10">
        <v>0</v>
      </c>
      <c r="AFF10">
        <v>0</v>
      </c>
      <c r="AFG10" t="s">
        <v>271</v>
      </c>
      <c r="AFH10">
        <v>0</v>
      </c>
      <c r="AFI10">
        <v>0</v>
      </c>
      <c r="AFJ10">
        <v>0</v>
      </c>
      <c r="AFK10">
        <v>0</v>
      </c>
      <c r="AFL10">
        <v>0</v>
      </c>
      <c r="AFM10">
        <v>0</v>
      </c>
      <c r="AFN10">
        <v>0</v>
      </c>
      <c r="AFO10">
        <v>0</v>
      </c>
      <c r="AFP10">
        <v>0</v>
      </c>
      <c r="AFQ10">
        <v>0</v>
      </c>
      <c r="AFR10">
        <v>0</v>
      </c>
      <c r="AFS10">
        <v>0</v>
      </c>
      <c r="AFT10">
        <v>0</v>
      </c>
      <c r="AFU10">
        <v>0</v>
      </c>
      <c r="AFV10">
        <v>0</v>
      </c>
      <c r="AFW10">
        <v>0</v>
      </c>
      <c r="AFX10">
        <v>0</v>
      </c>
      <c r="AFY10">
        <v>0</v>
      </c>
      <c r="AFZ10">
        <v>0</v>
      </c>
      <c r="AGA10">
        <v>0</v>
      </c>
      <c r="AGB10" t="s">
        <v>271</v>
      </c>
      <c r="AGC10">
        <v>0</v>
      </c>
      <c r="AGD10">
        <v>0</v>
      </c>
      <c r="AGE10">
        <v>0</v>
      </c>
      <c r="AGF10">
        <v>0</v>
      </c>
      <c r="AGG10">
        <v>0</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t="s">
        <v>271</v>
      </c>
      <c r="AHA10">
        <v>0</v>
      </c>
      <c r="AHB10">
        <v>0</v>
      </c>
      <c r="AHC10" t="s">
        <v>271</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t="s">
        <v>271</v>
      </c>
      <c r="AHY10">
        <v>0</v>
      </c>
      <c r="AHZ10">
        <v>0</v>
      </c>
      <c r="AIA10">
        <v>0</v>
      </c>
      <c r="AIB10">
        <v>0</v>
      </c>
      <c r="AIC10">
        <v>0</v>
      </c>
      <c r="AID10">
        <v>0</v>
      </c>
      <c r="AIE10">
        <v>0</v>
      </c>
      <c r="AIF10">
        <v>0</v>
      </c>
      <c r="AIG10">
        <v>0</v>
      </c>
      <c r="AIH10">
        <v>0</v>
      </c>
      <c r="AII10">
        <v>0</v>
      </c>
      <c r="AIJ10">
        <v>0</v>
      </c>
      <c r="AIK10">
        <v>0</v>
      </c>
      <c r="AIL10">
        <v>0</v>
      </c>
      <c r="AIM10">
        <v>0</v>
      </c>
      <c r="AIN10">
        <v>0</v>
      </c>
      <c r="AIO10">
        <v>0</v>
      </c>
      <c r="AIP10">
        <v>0</v>
      </c>
      <c r="AIQ10">
        <v>0</v>
      </c>
      <c r="AIR10">
        <v>0</v>
      </c>
      <c r="AIS10">
        <v>0</v>
      </c>
      <c r="AIT10">
        <v>0</v>
      </c>
      <c r="AIU10">
        <v>0</v>
      </c>
      <c r="AIV10" t="s">
        <v>271</v>
      </c>
      <c r="AIW10">
        <v>0</v>
      </c>
      <c r="AIX10">
        <v>0</v>
      </c>
      <c r="AIY10" t="s">
        <v>271</v>
      </c>
      <c r="AIZ10">
        <v>0</v>
      </c>
      <c r="AJA10">
        <v>0</v>
      </c>
      <c r="AJB10">
        <v>0</v>
      </c>
      <c r="AJC10">
        <v>0</v>
      </c>
      <c r="AJD10">
        <v>0</v>
      </c>
      <c r="AJE10">
        <v>0</v>
      </c>
      <c r="AJF10">
        <v>0</v>
      </c>
      <c r="AJG10">
        <v>0</v>
      </c>
      <c r="AJH10">
        <v>0</v>
      </c>
      <c r="AJI10">
        <v>0</v>
      </c>
      <c r="AJJ10">
        <v>0</v>
      </c>
      <c r="AJK10">
        <v>0</v>
      </c>
      <c r="AJL10">
        <v>0</v>
      </c>
      <c r="AJM10">
        <v>0</v>
      </c>
      <c r="AJN10">
        <v>0</v>
      </c>
      <c r="AJO10">
        <v>0</v>
      </c>
      <c r="AJP10">
        <v>0</v>
      </c>
      <c r="AJQ10">
        <v>0</v>
      </c>
      <c r="AJR10">
        <v>0</v>
      </c>
      <c r="AJS10">
        <v>0</v>
      </c>
      <c r="AJT10" t="s">
        <v>271</v>
      </c>
      <c r="AJU10">
        <v>0</v>
      </c>
      <c r="AJV10">
        <v>0</v>
      </c>
      <c r="AJW10">
        <v>0</v>
      </c>
      <c r="AJX10">
        <v>0</v>
      </c>
      <c r="AJY10">
        <v>0</v>
      </c>
      <c r="AJZ10">
        <v>0</v>
      </c>
      <c r="AKA10">
        <v>0</v>
      </c>
      <c r="AKB10">
        <v>0</v>
      </c>
      <c r="AKC10">
        <v>0</v>
      </c>
      <c r="AKD10">
        <v>0</v>
      </c>
      <c r="AKE10">
        <v>0</v>
      </c>
      <c r="AKF10">
        <v>0</v>
      </c>
      <c r="AKG10">
        <v>0</v>
      </c>
      <c r="AKH10">
        <v>0</v>
      </c>
      <c r="AKI10">
        <v>0</v>
      </c>
      <c r="AKJ10">
        <v>0</v>
      </c>
      <c r="AKK10">
        <v>0</v>
      </c>
      <c r="AKL10">
        <v>0</v>
      </c>
      <c r="AKM10">
        <v>0</v>
      </c>
      <c r="AKN10">
        <v>0</v>
      </c>
      <c r="AKO10">
        <v>0</v>
      </c>
      <c r="AKP10">
        <v>0</v>
      </c>
      <c r="AKQ10">
        <v>0</v>
      </c>
      <c r="AKR10" t="s">
        <v>271</v>
      </c>
      <c r="AKS10">
        <v>0</v>
      </c>
      <c r="AKT10">
        <v>0</v>
      </c>
      <c r="AKU10" t="s">
        <v>271</v>
      </c>
      <c r="AKV10">
        <v>0</v>
      </c>
      <c r="AKW10">
        <v>0</v>
      </c>
      <c r="AKX10">
        <v>0</v>
      </c>
      <c r="AKY10">
        <v>0</v>
      </c>
      <c r="AKZ10">
        <v>0</v>
      </c>
      <c r="ALA10">
        <v>0</v>
      </c>
      <c r="ALB10">
        <v>0</v>
      </c>
      <c r="ALC10">
        <v>0</v>
      </c>
      <c r="ALD10">
        <v>0</v>
      </c>
      <c r="ALE10">
        <v>0</v>
      </c>
      <c r="ALF10">
        <v>0</v>
      </c>
      <c r="ALG10">
        <v>0</v>
      </c>
      <c r="ALH10">
        <v>0</v>
      </c>
      <c r="ALI10">
        <v>0</v>
      </c>
      <c r="ALJ10">
        <v>0</v>
      </c>
      <c r="ALK10">
        <v>0</v>
      </c>
      <c r="ALL10">
        <v>0</v>
      </c>
      <c r="ALM10">
        <v>0</v>
      </c>
      <c r="ALN10">
        <v>0</v>
      </c>
      <c r="ALO10">
        <v>0</v>
      </c>
      <c r="ALP10" t="s">
        <v>271</v>
      </c>
      <c r="ALQ10">
        <v>0</v>
      </c>
      <c r="ALR10">
        <v>0</v>
      </c>
      <c r="ALS10">
        <v>0</v>
      </c>
      <c r="ALT10">
        <v>0</v>
      </c>
      <c r="ALU10">
        <v>0</v>
      </c>
      <c r="ALV10">
        <v>0</v>
      </c>
      <c r="ALW10">
        <v>0</v>
      </c>
      <c r="ALX10">
        <v>0</v>
      </c>
      <c r="ALY10">
        <v>0</v>
      </c>
      <c r="ALZ10">
        <v>0</v>
      </c>
      <c r="AMA10">
        <v>0</v>
      </c>
      <c r="AMB10">
        <v>0</v>
      </c>
      <c r="AMC10">
        <v>0</v>
      </c>
      <c r="AMD10">
        <v>0</v>
      </c>
      <c r="AME10">
        <v>0</v>
      </c>
      <c r="AMF10">
        <v>0</v>
      </c>
      <c r="AMG10">
        <v>0</v>
      </c>
      <c r="AMH10">
        <v>0</v>
      </c>
      <c r="AMI10">
        <v>0</v>
      </c>
      <c r="AMJ10">
        <v>0</v>
      </c>
      <c r="AMK10">
        <v>0</v>
      </c>
      <c r="AML10">
        <v>0</v>
      </c>
      <c r="AMM10">
        <v>0</v>
      </c>
      <c r="AMN10" t="s">
        <v>271</v>
      </c>
      <c r="AMO10">
        <v>0</v>
      </c>
      <c r="AMP10">
        <v>0</v>
      </c>
      <c r="AMQ10" t="s">
        <v>271</v>
      </c>
      <c r="AMR10">
        <v>0</v>
      </c>
      <c r="AMS10">
        <v>0</v>
      </c>
      <c r="AMT10">
        <v>0</v>
      </c>
      <c r="AMU10">
        <v>0</v>
      </c>
      <c r="AMV10">
        <v>0</v>
      </c>
      <c r="AMW10">
        <v>0</v>
      </c>
      <c r="AMX10">
        <v>0</v>
      </c>
      <c r="AMY10">
        <v>0</v>
      </c>
      <c r="AMZ10">
        <v>0</v>
      </c>
      <c r="ANA10">
        <v>0</v>
      </c>
      <c r="ANB10">
        <v>0</v>
      </c>
      <c r="ANC10">
        <v>0</v>
      </c>
      <c r="AND10">
        <v>0</v>
      </c>
      <c r="ANE10">
        <v>0</v>
      </c>
      <c r="ANF10">
        <v>0</v>
      </c>
      <c r="ANG10">
        <v>0</v>
      </c>
      <c r="ANH10">
        <v>0</v>
      </c>
      <c r="ANI10">
        <v>0</v>
      </c>
      <c r="ANJ10">
        <v>0</v>
      </c>
      <c r="ANK10">
        <v>0</v>
      </c>
      <c r="ANL10" t="s">
        <v>271</v>
      </c>
      <c r="ANM10">
        <v>0</v>
      </c>
      <c r="ANN10">
        <v>0</v>
      </c>
      <c r="ANO10">
        <v>0</v>
      </c>
      <c r="ANP10">
        <v>0</v>
      </c>
      <c r="ANQ10">
        <v>0</v>
      </c>
      <c r="ANR10">
        <v>0</v>
      </c>
      <c r="ANS10">
        <v>0</v>
      </c>
      <c r="ANT10">
        <v>0</v>
      </c>
      <c r="ANU10">
        <v>0</v>
      </c>
      <c r="ANV10">
        <v>0</v>
      </c>
      <c r="ANW10">
        <v>0</v>
      </c>
      <c r="ANX10">
        <v>0</v>
      </c>
      <c r="ANY10">
        <v>0</v>
      </c>
      <c r="ANZ10">
        <v>0</v>
      </c>
      <c r="AOA10">
        <v>0</v>
      </c>
      <c r="AOB10">
        <v>0</v>
      </c>
      <c r="AOC10">
        <v>0</v>
      </c>
      <c r="AOD10">
        <v>0</v>
      </c>
      <c r="AOE10">
        <v>0</v>
      </c>
      <c r="AOF10">
        <v>0</v>
      </c>
      <c r="AOG10">
        <v>0</v>
      </c>
      <c r="AOH10">
        <v>0</v>
      </c>
      <c r="AOI10">
        <v>0</v>
      </c>
      <c r="AOJ10" t="s">
        <v>271</v>
      </c>
      <c r="AOK10">
        <v>0</v>
      </c>
      <c r="AOL10">
        <v>0</v>
      </c>
      <c r="AOM10" t="s">
        <v>271</v>
      </c>
      <c r="AON10">
        <v>0</v>
      </c>
      <c r="AOO10">
        <v>0</v>
      </c>
      <c r="AOP10">
        <v>0</v>
      </c>
      <c r="AOQ10">
        <v>0</v>
      </c>
      <c r="AOR10">
        <v>0</v>
      </c>
      <c r="AOS10">
        <v>0</v>
      </c>
      <c r="AOT10">
        <v>0</v>
      </c>
      <c r="AOU10">
        <v>0</v>
      </c>
      <c r="AOV10">
        <v>0</v>
      </c>
      <c r="AOW10">
        <v>0</v>
      </c>
      <c r="AOX10">
        <v>0</v>
      </c>
      <c r="AOY10">
        <v>0</v>
      </c>
      <c r="AOZ10">
        <v>0</v>
      </c>
      <c r="APA10">
        <v>0</v>
      </c>
      <c r="APB10">
        <v>0</v>
      </c>
      <c r="APC10">
        <v>0</v>
      </c>
      <c r="APD10">
        <v>0</v>
      </c>
      <c r="APE10">
        <v>0</v>
      </c>
      <c r="APF10">
        <v>0</v>
      </c>
      <c r="APG10">
        <v>0</v>
      </c>
      <c r="APH10" t="s">
        <v>271</v>
      </c>
      <c r="API10">
        <v>0</v>
      </c>
      <c r="APJ10">
        <v>0</v>
      </c>
      <c r="APK10">
        <v>0</v>
      </c>
      <c r="APL10">
        <v>0</v>
      </c>
      <c r="APM10">
        <v>0</v>
      </c>
      <c r="APN10">
        <v>0</v>
      </c>
      <c r="APO10">
        <v>0</v>
      </c>
      <c r="APP10">
        <v>0</v>
      </c>
      <c r="APQ10">
        <v>0</v>
      </c>
      <c r="APR10">
        <v>0</v>
      </c>
      <c r="APS10">
        <v>0</v>
      </c>
      <c r="APT10">
        <v>0</v>
      </c>
      <c r="APU10">
        <v>0</v>
      </c>
      <c r="APV10">
        <v>0</v>
      </c>
      <c r="APW10">
        <v>0</v>
      </c>
      <c r="APX10">
        <v>0</v>
      </c>
      <c r="APY10">
        <v>0</v>
      </c>
      <c r="APZ10">
        <v>0</v>
      </c>
      <c r="AQA10">
        <v>0</v>
      </c>
      <c r="AQB10">
        <v>0</v>
      </c>
      <c r="AQC10">
        <v>0</v>
      </c>
      <c r="AQD10">
        <v>0</v>
      </c>
      <c r="AQE10">
        <v>0</v>
      </c>
      <c r="AQF10" t="s">
        <v>271</v>
      </c>
      <c r="AQG10">
        <v>0</v>
      </c>
      <c r="AQH10">
        <v>0</v>
      </c>
      <c r="AQI10" t="s">
        <v>271</v>
      </c>
      <c r="AQJ10">
        <v>0</v>
      </c>
      <c r="AQK10">
        <v>0</v>
      </c>
      <c r="AQL10">
        <v>0</v>
      </c>
      <c r="AQM10">
        <v>0</v>
      </c>
      <c r="AQN10">
        <v>0</v>
      </c>
      <c r="AQO10">
        <v>0</v>
      </c>
      <c r="AQP10">
        <v>0</v>
      </c>
      <c r="AQQ10">
        <v>0</v>
      </c>
      <c r="AQR10">
        <v>0</v>
      </c>
      <c r="AQS10">
        <v>0</v>
      </c>
      <c r="AQT10">
        <v>0</v>
      </c>
      <c r="AQU10">
        <v>0</v>
      </c>
      <c r="AQV10">
        <v>0</v>
      </c>
      <c r="AQW10">
        <v>0</v>
      </c>
      <c r="AQX10">
        <v>0</v>
      </c>
      <c r="AQY10">
        <v>0</v>
      </c>
      <c r="AQZ10">
        <v>0</v>
      </c>
      <c r="ARA10">
        <v>0</v>
      </c>
      <c r="ARB10">
        <v>0</v>
      </c>
      <c r="ARC10">
        <v>0</v>
      </c>
      <c r="ARD10" t="s">
        <v>271</v>
      </c>
      <c r="ARE10">
        <v>0</v>
      </c>
      <c r="ARF10">
        <v>0</v>
      </c>
      <c r="ARG10">
        <v>0</v>
      </c>
      <c r="ARH10">
        <v>0</v>
      </c>
      <c r="ARI10">
        <v>0</v>
      </c>
      <c r="ARJ10">
        <v>0</v>
      </c>
      <c r="ARK10">
        <v>0</v>
      </c>
      <c r="ARL10">
        <v>0</v>
      </c>
      <c r="ARM10">
        <v>0</v>
      </c>
      <c r="ARN10">
        <v>0</v>
      </c>
      <c r="ARO10">
        <v>0</v>
      </c>
      <c r="ARP10">
        <v>0</v>
      </c>
      <c r="ARQ10">
        <v>0</v>
      </c>
      <c r="ARR10">
        <v>0</v>
      </c>
      <c r="ARS10">
        <v>0</v>
      </c>
      <c r="ART10">
        <v>0</v>
      </c>
      <c r="ARU10">
        <v>0</v>
      </c>
      <c r="ARV10">
        <v>0</v>
      </c>
      <c r="ARW10">
        <v>0</v>
      </c>
      <c r="ARX10">
        <v>0</v>
      </c>
      <c r="ARY10">
        <v>0</v>
      </c>
      <c r="ARZ10">
        <v>0</v>
      </c>
      <c r="ASA10">
        <v>0</v>
      </c>
      <c r="ASB10" t="s">
        <v>271</v>
      </c>
      <c r="ASC10">
        <v>0</v>
      </c>
      <c r="ASD10">
        <v>0</v>
      </c>
      <c r="ASE10" t="s">
        <v>271</v>
      </c>
      <c r="ASF10">
        <v>0</v>
      </c>
      <c r="ASG10">
        <v>0</v>
      </c>
      <c r="ASH10">
        <v>0</v>
      </c>
      <c r="ASI10">
        <v>0</v>
      </c>
      <c r="ASJ10">
        <v>0</v>
      </c>
      <c r="ASK10">
        <v>0</v>
      </c>
      <c r="ASL10">
        <v>0</v>
      </c>
      <c r="ASM10">
        <v>0</v>
      </c>
      <c r="ASN10">
        <v>0</v>
      </c>
      <c r="ASO10">
        <v>0</v>
      </c>
      <c r="ASP10">
        <v>0</v>
      </c>
      <c r="ASQ10">
        <v>0</v>
      </c>
      <c r="ASR10">
        <v>0</v>
      </c>
      <c r="ASS10">
        <v>0</v>
      </c>
      <c r="AST10">
        <v>0</v>
      </c>
      <c r="ASU10">
        <v>0</v>
      </c>
      <c r="ASV10">
        <v>0</v>
      </c>
      <c r="ASW10">
        <v>0</v>
      </c>
      <c r="ASX10">
        <v>0</v>
      </c>
      <c r="ASY10">
        <v>0</v>
      </c>
      <c r="ASZ10" t="s">
        <v>271</v>
      </c>
      <c r="ATA10">
        <v>0</v>
      </c>
      <c r="ATB10">
        <v>0</v>
      </c>
      <c r="ATC10">
        <v>0</v>
      </c>
      <c r="ATD10">
        <v>0</v>
      </c>
      <c r="ATE10">
        <v>0</v>
      </c>
      <c r="ATF10">
        <v>0</v>
      </c>
      <c r="ATG10">
        <v>0</v>
      </c>
      <c r="ATH10">
        <v>0</v>
      </c>
      <c r="ATI10">
        <v>0</v>
      </c>
      <c r="ATJ10">
        <v>0</v>
      </c>
      <c r="ATK10">
        <v>0</v>
      </c>
      <c r="ATL10">
        <v>0</v>
      </c>
      <c r="ATM10">
        <v>0</v>
      </c>
      <c r="ATN10">
        <v>0</v>
      </c>
      <c r="ATO10">
        <v>0</v>
      </c>
      <c r="ATP10">
        <v>0</v>
      </c>
      <c r="ATQ10">
        <v>0</v>
      </c>
      <c r="ATR10">
        <v>0</v>
      </c>
      <c r="ATS10">
        <v>0</v>
      </c>
      <c r="ATT10">
        <v>0</v>
      </c>
      <c r="ATU10">
        <v>0</v>
      </c>
      <c r="ATV10">
        <v>0</v>
      </c>
      <c r="ATW10">
        <v>0</v>
      </c>
      <c r="ATX10" t="s">
        <v>271</v>
      </c>
      <c r="ATY10">
        <v>0</v>
      </c>
      <c r="ATZ10">
        <v>0</v>
      </c>
      <c r="AUA10" t="s">
        <v>271</v>
      </c>
      <c r="AUB10">
        <v>0</v>
      </c>
      <c r="AUC10">
        <v>0</v>
      </c>
      <c r="AUD10">
        <v>0</v>
      </c>
      <c r="AUE10">
        <v>0</v>
      </c>
      <c r="AUF10">
        <v>0</v>
      </c>
      <c r="AUG10">
        <v>0</v>
      </c>
      <c r="AUH10">
        <v>0</v>
      </c>
      <c r="AUI10">
        <v>0</v>
      </c>
      <c r="AUJ10">
        <v>0</v>
      </c>
      <c r="AUK10">
        <v>0</v>
      </c>
      <c r="AUL10">
        <v>0</v>
      </c>
      <c r="AUM10">
        <v>0</v>
      </c>
      <c r="AUN10">
        <v>0</v>
      </c>
      <c r="AUO10">
        <v>0</v>
      </c>
      <c r="AUP10">
        <v>0</v>
      </c>
      <c r="AUQ10">
        <v>0</v>
      </c>
      <c r="AUR10">
        <v>0</v>
      </c>
      <c r="AUS10">
        <v>0</v>
      </c>
      <c r="AUT10">
        <v>0</v>
      </c>
      <c r="AUU10">
        <v>0</v>
      </c>
      <c r="AUV10" t="s">
        <v>271</v>
      </c>
      <c r="AUW10">
        <v>0</v>
      </c>
      <c r="AUX10">
        <v>0</v>
      </c>
      <c r="AUY10">
        <v>0</v>
      </c>
      <c r="AUZ10">
        <v>0</v>
      </c>
      <c r="AVA10">
        <v>0</v>
      </c>
      <c r="AVB10">
        <v>0</v>
      </c>
      <c r="AVC10">
        <v>0</v>
      </c>
      <c r="AVD10">
        <v>0</v>
      </c>
      <c r="AVE10">
        <v>0</v>
      </c>
      <c r="AVF10">
        <v>0</v>
      </c>
      <c r="AVG10">
        <v>0</v>
      </c>
      <c r="AVH10">
        <v>0</v>
      </c>
      <c r="AVI10">
        <v>0</v>
      </c>
      <c r="AVJ10">
        <v>0</v>
      </c>
      <c r="AVK10">
        <v>0</v>
      </c>
      <c r="AVL10">
        <v>0</v>
      </c>
      <c r="AVM10">
        <v>0</v>
      </c>
      <c r="AVN10">
        <v>0</v>
      </c>
      <c r="AVO10">
        <v>0</v>
      </c>
      <c r="AVP10">
        <v>0</v>
      </c>
      <c r="AVQ10">
        <v>0</v>
      </c>
      <c r="AVR10">
        <v>0</v>
      </c>
      <c r="AVS10">
        <v>0</v>
      </c>
      <c r="AVT10" t="s">
        <v>271</v>
      </c>
      <c r="AVU10">
        <v>0</v>
      </c>
      <c r="AVV10">
        <v>0</v>
      </c>
      <c r="AVW10" t="s">
        <v>271</v>
      </c>
      <c r="AVX10">
        <v>0</v>
      </c>
      <c r="AVY10">
        <v>0</v>
      </c>
      <c r="AVZ10">
        <v>0</v>
      </c>
      <c r="AWA10">
        <v>0</v>
      </c>
      <c r="AWB10">
        <v>0</v>
      </c>
      <c r="AWC10">
        <v>0</v>
      </c>
      <c r="AWD10">
        <v>0</v>
      </c>
      <c r="AWE10">
        <v>0</v>
      </c>
      <c r="AWF10">
        <v>0</v>
      </c>
      <c r="AWG10">
        <v>0</v>
      </c>
      <c r="AWH10">
        <v>0</v>
      </c>
      <c r="AWI10">
        <v>0</v>
      </c>
      <c r="AWJ10">
        <v>0</v>
      </c>
      <c r="AWK10">
        <v>0</v>
      </c>
      <c r="AWL10">
        <v>0</v>
      </c>
      <c r="AWM10">
        <v>0</v>
      </c>
      <c r="AWN10">
        <v>0</v>
      </c>
      <c r="AWO10">
        <v>0</v>
      </c>
      <c r="AWP10">
        <v>0</v>
      </c>
      <c r="AWQ10">
        <v>0</v>
      </c>
      <c r="AWR10" t="s">
        <v>271</v>
      </c>
      <c r="AWS10">
        <v>0</v>
      </c>
      <c r="AWT10">
        <v>0</v>
      </c>
      <c r="AWU10">
        <v>0</v>
      </c>
      <c r="AWV10">
        <v>0</v>
      </c>
      <c r="AWW10">
        <v>0</v>
      </c>
      <c r="AWX10">
        <v>0</v>
      </c>
      <c r="AWY10">
        <v>0</v>
      </c>
      <c r="AWZ10">
        <v>0</v>
      </c>
      <c r="AXA10">
        <v>0</v>
      </c>
      <c r="AXB10">
        <v>0</v>
      </c>
      <c r="AXC10">
        <v>0</v>
      </c>
      <c r="AXD10">
        <v>0</v>
      </c>
      <c r="AXE10">
        <v>0</v>
      </c>
      <c r="AXF10">
        <v>0</v>
      </c>
      <c r="AXG10">
        <v>0</v>
      </c>
      <c r="AXH10">
        <v>0</v>
      </c>
      <c r="AXI10">
        <v>0</v>
      </c>
      <c r="AXJ10">
        <v>0</v>
      </c>
      <c r="AXK10">
        <v>0</v>
      </c>
      <c r="AXL10">
        <v>0</v>
      </c>
      <c r="AXM10">
        <v>0</v>
      </c>
      <c r="AXN10">
        <v>0</v>
      </c>
      <c r="AXO10">
        <v>0</v>
      </c>
      <c r="AXP10" t="s">
        <v>271</v>
      </c>
      <c r="AXQ10">
        <v>0</v>
      </c>
      <c r="AXR10">
        <v>0</v>
      </c>
      <c r="AXS10" t="s">
        <v>271</v>
      </c>
      <c r="AXT10">
        <v>0</v>
      </c>
      <c r="AXU10">
        <v>0</v>
      </c>
      <c r="AXV10">
        <v>0</v>
      </c>
      <c r="AXW10">
        <v>0</v>
      </c>
      <c r="AXX10">
        <v>0</v>
      </c>
      <c r="AXY10">
        <v>0</v>
      </c>
      <c r="AXZ10">
        <v>0</v>
      </c>
      <c r="AYA10">
        <v>0</v>
      </c>
      <c r="AYB10">
        <v>0</v>
      </c>
      <c r="AYC10">
        <v>0</v>
      </c>
      <c r="AYD10">
        <v>0</v>
      </c>
      <c r="AYE10">
        <v>0</v>
      </c>
      <c r="AYF10">
        <v>0</v>
      </c>
      <c r="AYG10">
        <v>0</v>
      </c>
      <c r="AYH10">
        <v>0</v>
      </c>
      <c r="AYI10">
        <v>0</v>
      </c>
      <c r="AYJ10">
        <v>0</v>
      </c>
      <c r="AYK10">
        <v>0</v>
      </c>
      <c r="AYL10">
        <v>0</v>
      </c>
      <c r="AYM10">
        <v>0</v>
      </c>
      <c r="AYN10" t="s">
        <v>271</v>
      </c>
      <c r="AYO10">
        <v>0</v>
      </c>
      <c r="AYP10">
        <v>0</v>
      </c>
      <c r="AYQ10">
        <v>0</v>
      </c>
      <c r="AYR10">
        <v>0</v>
      </c>
      <c r="AYS10">
        <v>0</v>
      </c>
      <c r="AYT10">
        <v>0</v>
      </c>
      <c r="AYU10">
        <v>0</v>
      </c>
      <c r="AYV10">
        <v>0</v>
      </c>
      <c r="AYW10">
        <v>0</v>
      </c>
      <c r="AYX10">
        <v>0</v>
      </c>
      <c r="AYY10">
        <v>0</v>
      </c>
      <c r="AYZ10">
        <v>0</v>
      </c>
      <c r="AZA10">
        <v>0</v>
      </c>
      <c r="AZB10">
        <v>0</v>
      </c>
      <c r="AZC10">
        <v>0</v>
      </c>
      <c r="AZD10">
        <v>0</v>
      </c>
      <c r="AZE10">
        <v>0</v>
      </c>
      <c r="AZF10">
        <v>0</v>
      </c>
      <c r="AZG10">
        <v>0</v>
      </c>
      <c r="AZH10">
        <v>0</v>
      </c>
      <c r="AZI10">
        <v>0</v>
      </c>
      <c r="AZJ10">
        <v>0</v>
      </c>
      <c r="AZK10">
        <v>0</v>
      </c>
      <c r="AZL10" t="s">
        <v>271</v>
      </c>
      <c r="AZM10">
        <v>0</v>
      </c>
      <c r="AZN10">
        <v>0</v>
      </c>
      <c r="AZO10" t="s">
        <v>271</v>
      </c>
      <c r="AZP10">
        <v>0</v>
      </c>
      <c r="AZQ10">
        <v>0</v>
      </c>
      <c r="AZR10">
        <v>0</v>
      </c>
      <c r="AZS10">
        <v>0</v>
      </c>
      <c r="AZT10">
        <v>0</v>
      </c>
      <c r="AZU10">
        <v>0</v>
      </c>
      <c r="AZV10">
        <v>0</v>
      </c>
      <c r="AZW10">
        <v>0</v>
      </c>
      <c r="AZX10">
        <v>0</v>
      </c>
      <c r="AZY10">
        <v>0</v>
      </c>
      <c r="AZZ10">
        <v>0</v>
      </c>
      <c r="BAA10">
        <v>0</v>
      </c>
      <c r="BAB10">
        <v>0</v>
      </c>
      <c r="BAC10">
        <v>0</v>
      </c>
      <c r="BAD10">
        <v>0</v>
      </c>
      <c r="BAE10">
        <v>0</v>
      </c>
      <c r="BAF10">
        <v>0</v>
      </c>
      <c r="BAG10">
        <v>0</v>
      </c>
      <c r="BAH10">
        <v>0</v>
      </c>
      <c r="BAI10">
        <v>0</v>
      </c>
      <c r="BAJ10" t="s">
        <v>271</v>
      </c>
      <c r="BAK10">
        <v>1689973</v>
      </c>
      <c r="BAL10">
        <v>8565.31</v>
      </c>
      <c r="BAM10">
        <v>7601.31</v>
      </c>
      <c r="BAN10">
        <v>964</v>
      </c>
      <c r="BAO10">
        <v>0</v>
      </c>
      <c r="BAP10">
        <v>0</v>
      </c>
      <c r="BAQ10">
        <v>0</v>
      </c>
      <c r="BAR10">
        <v>0</v>
      </c>
      <c r="BAS10">
        <v>0</v>
      </c>
      <c r="BAT10">
        <v>0</v>
      </c>
      <c r="BAU10">
        <v>0</v>
      </c>
      <c r="BAV10">
        <v>0</v>
      </c>
      <c r="BAW10">
        <v>0</v>
      </c>
      <c r="BAX10">
        <v>0</v>
      </c>
      <c r="BAY10">
        <v>0</v>
      </c>
      <c r="BAZ10">
        <v>0</v>
      </c>
      <c r="BBA10">
        <v>0</v>
      </c>
      <c r="BBB10">
        <v>0</v>
      </c>
      <c r="BBC10">
        <v>0</v>
      </c>
      <c r="BBD10">
        <v>0</v>
      </c>
      <c r="BBE10">
        <v>0</v>
      </c>
      <c r="BBF10">
        <v>0</v>
      </c>
      <c r="BBG10">
        <v>0</v>
      </c>
      <c r="BBH10">
        <v>0</v>
      </c>
      <c r="BBI10">
        <v>0</v>
      </c>
      <c r="BBJ10">
        <v>0</v>
      </c>
      <c r="BBK10">
        <v>0</v>
      </c>
      <c r="BBL10">
        <v>0</v>
      </c>
      <c r="BBM10">
        <v>0</v>
      </c>
      <c r="BBN10">
        <v>0</v>
      </c>
      <c r="BBO10">
        <v>0</v>
      </c>
      <c r="BBP10">
        <v>0</v>
      </c>
      <c r="BBQ10">
        <v>0</v>
      </c>
      <c r="BBR10">
        <v>0</v>
      </c>
      <c r="BBS10">
        <v>0</v>
      </c>
      <c r="BBT10">
        <v>0</v>
      </c>
      <c r="BBU10">
        <v>0</v>
      </c>
      <c r="BBV10">
        <v>0</v>
      </c>
      <c r="BBW10">
        <v>0</v>
      </c>
      <c r="BBX10">
        <v>0</v>
      </c>
      <c r="BBY10">
        <v>0</v>
      </c>
      <c r="BBZ10">
        <v>0</v>
      </c>
      <c r="BCA10">
        <v>0</v>
      </c>
      <c r="BCB10">
        <v>0</v>
      </c>
      <c r="BCC10">
        <v>0</v>
      </c>
      <c r="BCD10">
        <v>0</v>
      </c>
      <c r="BCE10">
        <v>0</v>
      </c>
      <c r="BCF10">
        <v>0</v>
      </c>
      <c r="BCG10">
        <v>0</v>
      </c>
      <c r="BCH10">
        <v>0</v>
      </c>
      <c r="BCI10">
        <v>0</v>
      </c>
      <c r="BCJ10">
        <v>0</v>
      </c>
      <c r="BCK10">
        <v>0</v>
      </c>
      <c r="BCL10">
        <v>0</v>
      </c>
      <c r="BCM10">
        <v>0</v>
      </c>
      <c r="BCN10">
        <v>0</v>
      </c>
      <c r="BCO10">
        <v>0</v>
      </c>
      <c r="BCP10">
        <v>0</v>
      </c>
      <c r="BCQ10">
        <v>0</v>
      </c>
      <c r="BCR10">
        <v>0</v>
      </c>
      <c r="BCS10">
        <v>0</v>
      </c>
      <c r="BCT10">
        <v>0</v>
      </c>
      <c r="BCU10">
        <v>0</v>
      </c>
      <c r="BCV10">
        <v>0</v>
      </c>
      <c r="BCW10">
        <v>0</v>
      </c>
      <c r="BCX10">
        <v>0</v>
      </c>
      <c r="BCY10">
        <v>0</v>
      </c>
      <c r="BCZ10">
        <v>0</v>
      </c>
      <c r="BDA10">
        <v>0</v>
      </c>
      <c r="BDB10">
        <v>0</v>
      </c>
      <c r="BDC10">
        <v>0</v>
      </c>
      <c r="BDD10">
        <v>0</v>
      </c>
      <c r="BDE10">
        <v>0</v>
      </c>
      <c r="BDF10">
        <v>0</v>
      </c>
      <c r="BDG10">
        <v>0</v>
      </c>
      <c r="BDH10">
        <v>0</v>
      </c>
      <c r="BDI10">
        <v>0</v>
      </c>
      <c r="BDJ10">
        <v>0</v>
      </c>
      <c r="BDK10">
        <v>0</v>
      </c>
      <c r="BDL10">
        <v>0</v>
      </c>
      <c r="BDM10">
        <v>0</v>
      </c>
      <c r="BDN10">
        <v>0</v>
      </c>
      <c r="BDO10">
        <v>0</v>
      </c>
      <c r="BDP10">
        <v>0</v>
      </c>
      <c r="BDQ10">
        <v>0</v>
      </c>
      <c r="BDR10">
        <v>0</v>
      </c>
      <c r="BDS10">
        <v>0</v>
      </c>
      <c r="BDT10">
        <v>0</v>
      </c>
      <c r="BDU10">
        <v>0</v>
      </c>
      <c r="BDV10">
        <v>0</v>
      </c>
      <c r="BDW10">
        <v>0</v>
      </c>
      <c r="BDX10">
        <v>0</v>
      </c>
      <c r="BDY10">
        <v>0</v>
      </c>
      <c r="BDZ10">
        <v>0</v>
      </c>
      <c r="BEA10">
        <v>0</v>
      </c>
      <c r="BEB10">
        <v>0</v>
      </c>
      <c r="BEC10">
        <v>0</v>
      </c>
      <c r="BED10">
        <v>0</v>
      </c>
      <c r="BEE10">
        <v>0</v>
      </c>
      <c r="BEF10">
        <v>0</v>
      </c>
      <c r="BEG10">
        <v>0</v>
      </c>
      <c r="BEH10">
        <v>0</v>
      </c>
      <c r="BEI10">
        <v>0</v>
      </c>
      <c r="BEJ10">
        <v>0</v>
      </c>
      <c r="BEK10">
        <v>0</v>
      </c>
      <c r="BEL10">
        <v>0</v>
      </c>
      <c r="BEM10">
        <v>0</v>
      </c>
      <c r="BEN10">
        <v>0</v>
      </c>
      <c r="BEO10">
        <v>0</v>
      </c>
      <c r="BEP10">
        <v>0</v>
      </c>
      <c r="BEQ10">
        <v>0</v>
      </c>
      <c r="BER10">
        <v>0</v>
      </c>
      <c r="BES10">
        <v>0</v>
      </c>
      <c r="BET10">
        <v>0</v>
      </c>
      <c r="BEU10">
        <v>0</v>
      </c>
      <c r="BEV10">
        <v>0</v>
      </c>
      <c r="BEW10">
        <v>0</v>
      </c>
      <c r="BEX10">
        <v>0</v>
      </c>
      <c r="BEY10">
        <v>0</v>
      </c>
      <c r="BEZ10">
        <v>0</v>
      </c>
      <c r="BFA10">
        <v>0</v>
      </c>
      <c r="BFB10">
        <v>0</v>
      </c>
      <c r="BFC10">
        <v>0</v>
      </c>
      <c r="BFD10" t="b">
        <v>0</v>
      </c>
      <c r="BFE10" t="b">
        <v>0</v>
      </c>
      <c r="BFF10" t="b">
        <v>0</v>
      </c>
      <c r="BFG10" t="b">
        <v>0</v>
      </c>
      <c r="BFH10">
        <v>0</v>
      </c>
      <c r="BFI10">
        <v>0</v>
      </c>
      <c r="BFJ10">
        <v>0</v>
      </c>
      <c r="BFK10">
        <v>0</v>
      </c>
      <c r="BFL10">
        <v>0</v>
      </c>
      <c r="BFM10">
        <v>0</v>
      </c>
      <c r="BFN10">
        <v>0</v>
      </c>
      <c r="BFO10">
        <v>0</v>
      </c>
      <c r="BFP10">
        <v>0</v>
      </c>
      <c r="BFQ10">
        <v>0</v>
      </c>
      <c r="BFR10">
        <v>0</v>
      </c>
      <c r="BFS10">
        <v>0</v>
      </c>
      <c r="BFT10">
        <v>0</v>
      </c>
      <c r="BFU10">
        <v>0</v>
      </c>
      <c r="BFV10">
        <v>0</v>
      </c>
      <c r="BFW10">
        <v>0</v>
      </c>
      <c r="BFX10">
        <v>0</v>
      </c>
      <c r="BFY10">
        <v>0</v>
      </c>
    </row>
    <row r="11" spans="1:1533" x14ac:dyDescent="0.25">
      <c r="A11" t="s">
        <v>2801</v>
      </c>
      <c r="B11" t="s">
        <v>2802</v>
      </c>
      <c r="C11">
        <v>130</v>
      </c>
      <c r="D11">
        <v>45</v>
      </c>
      <c r="E11">
        <v>0</v>
      </c>
      <c r="F11">
        <v>0</v>
      </c>
      <c r="G11">
        <v>0</v>
      </c>
      <c r="H11" t="s">
        <v>2614</v>
      </c>
      <c r="I11" t="s">
        <v>2403</v>
      </c>
      <c r="J11" t="s">
        <v>2403</v>
      </c>
      <c r="K11" t="s">
        <v>2403</v>
      </c>
      <c r="L11" t="s">
        <v>2403</v>
      </c>
      <c r="M11" t="s">
        <v>1883</v>
      </c>
      <c r="N11" t="s">
        <v>2403</v>
      </c>
      <c r="O11" t="s">
        <v>1883</v>
      </c>
      <c r="P11" t="s">
        <v>1883</v>
      </c>
      <c r="Q11" t="s">
        <v>2403</v>
      </c>
      <c r="R11" t="s">
        <v>1883</v>
      </c>
      <c r="S11" t="s">
        <v>1639</v>
      </c>
      <c r="T11" t="s">
        <v>2404</v>
      </c>
      <c r="U11" t="s">
        <v>2424</v>
      </c>
      <c r="V11" t="s">
        <v>2614</v>
      </c>
      <c r="W11" t="s">
        <v>309</v>
      </c>
      <c r="X11">
        <v>0</v>
      </c>
      <c r="Y11">
        <v>43514</v>
      </c>
      <c r="Z11">
        <v>616</v>
      </c>
      <c r="AA11">
        <v>0</v>
      </c>
      <c r="AB11">
        <v>0</v>
      </c>
      <c r="AC11" t="s">
        <v>272</v>
      </c>
      <c r="AD11">
        <v>50</v>
      </c>
      <c r="AE11">
        <v>0</v>
      </c>
      <c r="AF11">
        <v>43528</v>
      </c>
      <c r="AG11">
        <v>45</v>
      </c>
      <c r="AH11">
        <v>0</v>
      </c>
      <c r="AI11">
        <v>0</v>
      </c>
      <c r="AJ11" t="s">
        <v>271</v>
      </c>
      <c r="AK11">
        <v>0.17988999999999999</v>
      </c>
      <c r="AL11">
        <v>0</v>
      </c>
      <c r="AM11">
        <v>50</v>
      </c>
      <c r="AN11">
        <v>47181</v>
      </c>
      <c r="AO11">
        <v>0.1995020940027592</v>
      </c>
      <c r="AP11">
        <v>11723.88</v>
      </c>
      <c r="AQ11">
        <v>15419.11000000001</v>
      </c>
      <c r="AR11">
        <v>27142.990000000009</v>
      </c>
      <c r="AS11">
        <v>224.34</v>
      </c>
      <c r="AT11">
        <v>222.19</v>
      </c>
      <c r="AU11" t="s">
        <v>1912</v>
      </c>
      <c r="AV11" t="s">
        <v>2616</v>
      </c>
      <c r="AW11" t="s">
        <v>271</v>
      </c>
      <c r="AX11">
        <v>19</v>
      </c>
      <c r="AY11">
        <v>0</v>
      </c>
      <c r="AZ11">
        <v>43437</v>
      </c>
      <c r="BA11">
        <v>100</v>
      </c>
      <c r="BB11">
        <v>2</v>
      </c>
      <c r="BC11">
        <v>2</v>
      </c>
      <c r="BD11" t="s">
        <v>415</v>
      </c>
      <c r="BE11">
        <v>511</v>
      </c>
      <c r="BF11">
        <v>64</v>
      </c>
      <c r="BG11">
        <v>43510</v>
      </c>
      <c r="BH11">
        <v>120</v>
      </c>
      <c r="BI11">
        <v>0</v>
      </c>
      <c r="BJ11">
        <v>50</v>
      </c>
      <c r="BK11">
        <v>43472</v>
      </c>
      <c r="BL11">
        <v>0</v>
      </c>
      <c r="BM11">
        <v>0</v>
      </c>
      <c r="BN11">
        <v>0</v>
      </c>
      <c r="BO11" t="s">
        <v>2803</v>
      </c>
      <c r="BP11" t="s">
        <v>2404</v>
      </c>
      <c r="BQ11" t="s">
        <v>2403</v>
      </c>
      <c r="BR11" t="s">
        <v>2403</v>
      </c>
      <c r="BS11">
        <v>462980730</v>
      </c>
      <c r="BT11">
        <v>19723</v>
      </c>
      <c r="BU11" t="s">
        <v>2804</v>
      </c>
      <c r="BV11" t="s">
        <v>2805</v>
      </c>
      <c r="BW11" t="s">
        <v>1633</v>
      </c>
      <c r="BX11">
        <v>78959</v>
      </c>
      <c r="BY11" t="s">
        <v>2806</v>
      </c>
      <c r="BZ11" t="s">
        <v>2805</v>
      </c>
      <c r="CA11">
        <v>78959</v>
      </c>
      <c r="CB11" t="s">
        <v>1633</v>
      </c>
      <c r="CC11" t="s">
        <v>316</v>
      </c>
      <c r="CD11">
        <v>0</v>
      </c>
      <c r="CE11">
        <v>0</v>
      </c>
      <c r="CF11">
        <v>0</v>
      </c>
      <c r="CG11">
        <v>0</v>
      </c>
      <c r="CH11">
        <v>0</v>
      </c>
      <c r="CI11">
        <v>0</v>
      </c>
      <c r="CJ11">
        <v>0</v>
      </c>
      <c r="CK11">
        <v>0</v>
      </c>
      <c r="CL11">
        <v>0</v>
      </c>
      <c r="CM11">
        <v>5122139846</v>
      </c>
      <c r="CN11">
        <v>0</v>
      </c>
      <c r="CO11" t="s">
        <v>2807</v>
      </c>
      <c r="CP11" t="s">
        <v>2403</v>
      </c>
      <c r="CQ11" t="s">
        <v>2403</v>
      </c>
      <c r="CR11" t="s">
        <v>2403</v>
      </c>
      <c r="CS11">
        <v>0</v>
      </c>
      <c r="CT11">
        <v>0</v>
      </c>
      <c r="CU11">
        <v>0</v>
      </c>
      <c r="CV11">
        <v>0</v>
      </c>
      <c r="CW11">
        <v>452150692</v>
      </c>
      <c r="CX11">
        <v>20280</v>
      </c>
      <c r="CY11" t="s">
        <v>2806</v>
      </c>
      <c r="CZ11" t="s">
        <v>2805</v>
      </c>
      <c r="DA11">
        <v>78959</v>
      </c>
      <c r="DB11" t="s">
        <v>1633</v>
      </c>
      <c r="DC11" t="s">
        <v>316</v>
      </c>
      <c r="DD11">
        <v>0</v>
      </c>
      <c r="DE11">
        <v>0</v>
      </c>
      <c r="DF11">
        <v>0</v>
      </c>
      <c r="DG11">
        <v>0</v>
      </c>
      <c r="DH11">
        <v>0</v>
      </c>
      <c r="DI11">
        <v>0</v>
      </c>
      <c r="DJ11">
        <v>0</v>
      </c>
      <c r="DK11">
        <v>0</v>
      </c>
      <c r="DL11">
        <v>0</v>
      </c>
      <c r="DM11">
        <v>8304917830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616</v>
      </c>
      <c r="EP11">
        <v>10874.8798828125</v>
      </c>
      <c r="EQ11">
        <v>2</v>
      </c>
      <c r="ER11">
        <v>1</v>
      </c>
      <c r="ES11" t="s">
        <v>94</v>
      </c>
      <c r="ET11">
        <v>0</v>
      </c>
      <c r="EU11">
        <v>0</v>
      </c>
      <c r="EV11">
        <v>0</v>
      </c>
      <c r="EW11">
        <v>0</v>
      </c>
      <c r="EX11">
        <v>0</v>
      </c>
      <c r="EY11">
        <v>0</v>
      </c>
      <c r="EZ11">
        <v>0</v>
      </c>
      <c r="FA11">
        <v>0</v>
      </c>
      <c r="FB11">
        <v>0</v>
      </c>
      <c r="FC11">
        <v>0</v>
      </c>
      <c r="FD11">
        <v>0</v>
      </c>
      <c r="FE11">
        <v>0</v>
      </c>
      <c r="FF11">
        <v>0</v>
      </c>
      <c r="FG11">
        <v>0</v>
      </c>
      <c r="FH11">
        <v>0</v>
      </c>
      <c r="FI11">
        <v>0</v>
      </c>
      <c r="FJ11">
        <v>0</v>
      </c>
      <c r="FK11">
        <v>0</v>
      </c>
      <c r="FL11">
        <v>0</v>
      </c>
      <c r="FM11">
        <v>10874.88</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t="s">
        <v>2403</v>
      </c>
      <c r="GI11">
        <v>0</v>
      </c>
      <c r="GJ11">
        <v>0</v>
      </c>
      <c r="GK11">
        <v>0</v>
      </c>
      <c r="GL11" t="s">
        <v>2403</v>
      </c>
      <c r="GM11">
        <v>0</v>
      </c>
      <c r="GN11" t="s">
        <v>2403</v>
      </c>
      <c r="GO11">
        <v>0</v>
      </c>
      <c r="GP11" t="s">
        <v>2808</v>
      </c>
      <c r="GQ11">
        <v>0</v>
      </c>
      <c r="GR11">
        <v>0</v>
      </c>
      <c r="GS11">
        <v>0</v>
      </c>
      <c r="GT11" t="s">
        <v>2809</v>
      </c>
      <c r="GU11">
        <v>2266.9499999999998</v>
      </c>
      <c r="GV11">
        <v>0</v>
      </c>
      <c r="GW11">
        <v>0</v>
      </c>
      <c r="GX11">
        <v>0</v>
      </c>
      <c r="GY11">
        <v>0</v>
      </c>
      <c r="GZ11">
        <v>0</v>
      </c>
      <c r="HA11">
        <v>0</v>
      </c>
      <c r="HB11">
        <v>0</v>
      </c>
      <c r="HC11">
        <v>2266.949951171875</v>
      </c>
      <c r="HD11">
        <v>65960</v>
      </c>
      <c r="HE11">
        <v>5330</v>
      </c>
      <c r="HF11" t="s">
        <v>2805</v>
      </c>
      <c r="HG11" t="s">
        <v>94</v>
      </c>
      <c r="HH11" t="s">
        <v>2403</v>
      </c>
      <c r="HI11">
        <v>65960</v>
      </c>
      <c r="HJ11" t="s">
        <v>2403</v>
      </c>
      <c r="HK11">
        <v>0</v>
      </c>
      <c r="HL11">
        <v>0</v>
      </c>
      <c r="HM11">
        <v>0</v>
      </c>
      <c r="HN11">
        <v>0</v>
      </c>
      <c r="HO11" t="s">
        <v>3073</v>
      </c>
      <c r="HP11" t="s">
        <v>2403</v>
      </c>
      <c r="HQ11">
        <v>0</v>
      </c>
      <c r="HR11" t="s">
        <v>1633</v>
      </c>
      <c r="HS11" t="s">
        <v>94</v>
      </c>
      <c r="HT11">
        <v>0</v>
      </c>
      <c r="HU11">
        <v>0</v>
      </c>
      <c r="HV11">
        <v>0</v>
      </c>
      <c r="HW11" t="s">
        <v>2810</v>
      </c>
      <c r="HX11">
        <v>0</v>
      </c>
      <c r="HY11">
        <v>0</v>
      </c>
      <c r="HZ11">
        <v>0</v>
      </c>
      <c r="IA11">
        <v>78959</v>
      </c>
      <c r="IB11" t="s">
        <v>2403</v>
      </c>
      <c r="IC11">
        <v>0</v>
      </c>
      <c r="ID11" t="s">
        <v>2403</v>
      </c>
      <c r="IE11">
        <v>0</v>
      </c>
      <c r="IF11">
        <v>0</v>
      </c>
      <c r="IG11">
        <v>0</v>
      </c>
      <c r="IH11" t="s">
        <v>2403</v>
      </c>
      <c r="II11">
        <v>0</v>
      </c>
      <c r="IJ11" t="s">
        <v>2403</v>
      </c>
      <c r="IK11">
        <v>0</v>
      </c>
      <c r="IL11" t="s">
        <v>2811</v>
      </c>
      <c r="IM11">
        <v>0</v>
      </c>
      <c r="IN11">
        <v>0</v>
      </c>
      <c r="IO11">
        <v>0</v>
      </c>
      <c r="IP11" t="s">
        <v>2812</v>
      </c>
      <c r="IQ11">
        <v>8607.93</v>
      </c>
      <c r="IR11">
        <v>0</v>
      </c>
      <c r="IS11">
        <v>0</v>
      </c>
      <c r="IT11">
        <v>0</v>
      </c>
      <c r="IU11">
        <v>8607.9296875</v>
      </c>
      <c r="IV11">
        <v>0</v>
      </c>
      <c r="IW11">
        <v>0</v>
      </c>
      <c r="IX11" t="s">
        <v>2805</v>
      </c>
      <c r="IY11" t="s">
        <v>94</v>
      </c>
      <c r="IZ11" t="s">
        <v>2403</v>
      </c>
      <c r="JA11">
        <v>0</v>
      </c>
      <c r="JB11" t="s">
        <v>2403</v>
      </c>
      <c r="JC11">
        <v>0</v>
      </c>
      <c r="JD11" t="s">
        <v>2403</v>
      </c>
      <c r="JE11">
        <v>0</v>
      </c>
      <c r="JF11" t="s">
        <v>1633</v>
      </c>
      <c r="JG11" t="s">
        <v>94</v>
      </c>
      <c r="JH11">
        <v>0</v>
      </c>
      <c r="JI11">
        <v>0</v>
      </c>
      <c r="JJ11">
        <v>0</v>
      </c>
      <c r="JK11" t="s">
        <v>2813</v>
      </c>
      <c r="JL11">
        <v>0</v>
      </c>
      <c r="JM11">
        <v>0</v>
      </c>
      <c r="JN11">
        <v>0</v>
      </c>
      <c r="JO11">
        <v>0</v>
      </c>
      <c r="JP11">
        <v>0</v>
      </c>
      <c r="JQ11">
        <v>0</v>
      </c>
      <c r="JR11">
        <v>0</v>
      </c>
      <c r="JS11">
        <v>0</v>
      </c>
      <c r="JT11">
        <v>0</v>
      </c>
      <c r="JU11">
        <v>0</v>
      </c>
      <c r="JV11">
        <v>0</v>
      </c>
      <c r="JW11">
        <v>78959</v>
      </c>
      <c r="JX11" t="s">
        <v>2403</v>
      </c>
      <c r="JY11">
        <v>0</v>
      </c>
      <c r="JZ11">
        <v>0</v>
      </c>
      <c r="KA11">
        <v>0</v>
      </c>
      <c r="KB11">
        <v>0</v>
      </c>
      <c r="KC11">
        <v>0</v>
      </c>
      <c r="KD11">
        <v>0</v>
      </c>
      <c r="KE11">
        <v>0</v>
      </c>
      <c r="KF11">
        <v>0</v>
      </c>
      <c r="KG11">
        <v>0</v>
      </c>
      <c r="KH11">
        <v>0</v>
      </c>
      <c r="KI11">
        <v>0</v>
      </c>
      <c r="KJ11">
        <v>0</v>
      </c>
      <c r="KK11">
        <v>0</v>
      </c>
      <c r="KL11">
        <v>0</v>
      </c>
      <c r="KM11">
        <v>0</v>
      </c>
      <c r="KN11">
        <v>0</v>
      </c>
      <c r="KO11">
        <v>0</v>
      </c>
      <c r="KP11">
        <v>0</v>
      </c>
      <c r="KQ11">
        <v>0</v>
      </c>
      <c r="KR11">
        <v>0</v>
      </c>
      <c r="KS11">
        <v>0</v>
      </c>
      <c r="KT11">
        <v>0</v>
      </c>
      <c r="KU11">
        <v>0</v>
      </c>
      <c r="KV11">
        <v>0</v>
      </c>
      <c r="KW11">
        <v>0</v>
      </c>
      <c r="KX11">
        <v>0</v>
      </c>
      <c r="KY11">
        <v>0</v>
      </c>
      <c r="KZ11">
        <v>0</v>
      </c>
      <c r="LA11">
        <v>0</v>
      </c>
      <c r="LB11">
        <v>0</v>
      </c>
      <c r="LC11">
        <v>0</v>
      </c>
      <c r="LD11">
        <v>0</v>
      </c>
      <c r="LE11">
        <v>0</v>
      </c>
      <c r="LF11">
        <v>0</v>
      </c>
      <c r="LG11">
        <v>0</v>
      </c>
      <c r="LH11">
        <v>0</v>
      </c>
      <c r="LI11">
        <v>0</v>
      </c>
      <c r="LJ11">
        <v>0</v>
      </c>
      <c r="LK11">
        <v>0</v>
      </c>
      <c r="LL11">
        <v>0</v>
      </c>
      <c r="LM11">
        <v>0</v>
      </c>
      <c r="LN11">
        <v>0</v>
      </c>
      <c r="LO11">
        <v>0</v>
      </c>
      <c r="LP11">
        <v>0</v>
      </c>
      <c r="LQ11">
        <v>0</v>
      </c>
      <c r="LR11">
        <v>0</v>
      </c>
      <c r="LS11">
        <v>0</v>
      </c>
      <c r="LT11">
        <v>0</v>
      </c>
      <c r="LU11">
        <v>0</v>
      </c>
      <c r="LV11">
        <v>0</v>
      </c>
      <c r="LW11">
        <v>0</v>
      </c>
      <c r="LX11">
        <v>0</v>
      </c>
      <c r="LY11">
        <v>0</v>
      </c>
      <c r="LZ11">
        <v>0</v>
      </c>
      <c r="MA11">
        <v>0</v>
      </c>
      <c r="MB11">
        <v>0</v>
      </c>
      <c r="MC11">
        <v>0</v>
      </c>
      <c r="MD11">
        <v>0</v>
      </c>
      <c r="ME11">
        <v>0</v>
      </c>
      <c r="MF11">
        <v>0</v>
      </c>
      <c r="MG11">
        <v>0</v>
      </c>
      <c r="MH11">
        <v>0</v>
      </c>
      <c r="MI11">
        <v>0</v>
      </c>
      <c r="MJ11">
        <v>0</v>
      </c>
      <c r="MK11">
        <v>0</v>
      </c>
      <c r="ML1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I11">
        <v>0</v>
      </c>
      <c r="QJ11">
        <v>0</v>
      </c>
      <c r="QK11">
        <v>0</v>
      </c>
      <c r="QL11">
        <v>0</v>
      </c>
      <c r="QM11">
        <v>0</v>
      </c>
      <c r="QN11">
        <v>0</v>
      </c>
      <c r="QO11">
        <v>0</v>
      </c>
      <c r="QP11">
        <v>0</v>
      </c>
      <c r="QQ11">
        <v>0</v>
      </c>
      <c r="QR11">
        <v>0</v>
      </c>
      <c r="QS11">
        <v>0</v>
      </c>
      <c r="QT11">
        <v>0</v>
      </c>
      <c r="QU11">
        <v>0</v>
      </c>
      <c r="QV11">
        <v>0</v>
      </c>
      <c r="QW11">
        <v>0</v>
      </c>
      <c r="QX11">
        <v>0</v>
      </c>
      <c r="QY11">
        <v>0</v>
      </c>
      <c r="QZ11">
        <v>0</v>
      </c>
      <c r="RA11">
        <v>0</v>
      </c>
      <c r="RB11">
        <v>0</v>
      </c>
      <c r="RC11">
        <v>0</v>
      </c>
      <c r="RD11">
        <v>0</v>
      </c>
      <c r="RE11">
        <v>0</v>
      </c>
      <c r="RF11">
        <v>0</v>
      </c>
      <c r="RG11">
        <v>0</v>
      </c>
      <c r="RH11">
        <v>0</v>
      </c>
      <c r="RI11">
        <v>0</v>
      </c>
      <c r="RJ11">
        <v>0</v>
      </c>
      <c r="RK11">
        <v>0</v>
      </c>
      <c r="RL11">
        <v>0</v>
      </c>
      <c r="RM11">
        <v>0</v>
      </c>
      <c r="RN11">
        <v>0</v>
      </c>
      <c r="RO11">
        <v>0</v>
      </c>
      <c r="RP11">
        <v>0</v>
      </c>
      <c r="RQ11">
        <v>0</v>
      </c>
      <c r="RR11">
        <v>0</v>
      </c>
      <c r="RS11">
        <v>0</v>
      </c>
      <c r="RT11">
        <v>0</v>
      </c>
      <c r="RU11">
        <v>0</v>
      </c>
      <c r="RV11">
        <v>0</v>
      </c>
      <c r="RW11">
        <v>0</v>
      </c>
      <c r="RX11">
        <v>0</v>
      </c>
      <c r="RY11">
        <v>0</v>
      </c>
      <c r="RZ11">
        <v>0</v>
      </c>
      <c r="SA11">
        <v>0</v>
      </c>
      <c r="SB11">
        <v>0</v>
      </c>
      <c r="SC11">
        <v>0</v>
      </c>
      <c r="SD11">
        <v>0</v>
      </c>
      <c r="SE11">
        <v>0</v>
      </c>
      <c r="SF11">
        <v>0</v>
      </c>
      <c r="SG11">
        <v>0</v>
      </c>
      <c r="SH11">
        <v>0</v>
      </c>
      <c r="SI11">
        <v>0</v>
      </c>
      <c r="SJ11">
        <v>0</v>
      </c>
      <c r="SK11">
        <v>0</v>
      </c>
      <c r="SL11">
        <v>0</v>
      </c>
      <c r="SM11">
        <v>0</v>
      </c>
      <c r="SN11">
        <v>0</v>
      </c>
      <c r="SO11">
        <v>0</v>
      </c>
      <c r="SP11">
        <v>0</v>
      </c>
      <c r="SQ11">
        <v>0</v>
      </c>
      <c r="SR11">
        <v>0</v>
      </c>
      <c r="SS11">
        <v>0</v>
      </c>
      <c r="ST11">
        <v>0</v>
      </c>
      <c r="SU11">
        <v>0</v>
      </c>
      <c r="SV11">
        <v>0</v>
      </c>
      <c r="SW11">
        <v>0</v>
      </c>
      <c r="SX11">
        <v>0</v>
      </c>
      <c r="SY11">
        <v>0</v>
      </c>
      <c r="SZ11">
        <v>0</v>
      </c>
      <c r="TA11">
        <v>0</v>
      </c>
      <c r="TB11">
        <v>0</v>
      </c>
      <c r="TC11">
        <v>0</v>
      </c>
      <c r="TD11">
        <v>0</v>
      </c>
      <c r="TE11">
        <v>0</v>
      </c>
      <c r="TF11">
        <v>0</v>
      </c>
      <c r="TG11">
        <v>0</v>
      </c>
      <c r="TH11">
        <v>0</v>
      </c>
      <c r="TI11">
        <v>0</v>
      </c>
      <c r="TJ11">
        <v>0</v>
      </c>
      <c r="TK11">
        <v>0</v>
      </c>
      <c r="TL11">
        <v>0</v>
      </c>
      <c r="TM11">
        <v>0</v>
      </c>
      <c r="TN11">
        <v>0</v>
      </c>
      <c r="TO11">
        <v>0</v>
      </c>
      <c r="TP11">
        <v>0</v>
      </c>
      <c r="TQ11">
        <v>0</v>
      </c>
      <c r="TR11">
        <v>0</v>
      </c>
      <c r="TS11">
        <v>0</v>
      </c>
      <c r="TT11">
        <v>0</v>
      </c>
      <c r="TU11">
        <v>0</v>
      </c>
      <c r="TV11">
        <v>0</v>
      </c>
      <c r="TW11">
        <v>0</v>
      </c>
      <c r="TX11">
        <v>0</v>
      </c>
      <c r="TY11">
        <v>0</v>
      </c>
      <c r="TZ11">
        <v>0</v>
      </c>
      <c r="UA11">
        <v>0</v>
      </c>
      <c r="UB11">
        <v>0</v>
      </c>
      <c r="UC11">
        <v>0</v>
      </c>
      <c r="UD11">
        <v>0</v>
      </c>
      <c r="UE11">
        <v>0</v>
      </c>
      <c r="UF11">
        <v>0</v>
      </c>
      <c r="UG11">
        <v>0</v>
      </c>
      <c r="UH11">
        <v>0</v>
      </c>
      <c r="UI11">
        <v>0</v>
      </c>
      <c r="UJ11">
        <v>0</v>
      </c>
      <c r="UK11">
        <v>0</v>
      </c>
      <c r="UL11">
        <v>0</v>
      </c>
      <c r="UM11">
        <v>0</v>
      </c>
      <c r="UN11">
        <v>0</v>
      </c>
      <c r="UO11">
        <v>0</v>
      </c>
      <c r="UP11">
        <v>0</v>
      </c>
      <c r="UQ11">
        <v>0</v>
      </c>
      <c r="UR11">
        <v>0</v>
      </c>
      <c r="US11">
        <v>0</v>
      </c>
      <c r="UT11">
        <v>0</v>
      </c>
      <c r="UU11">
        <v>0</v>
      </c>
      <c r="UV11">
        <v>0</v>
      </c>
      <c r="UW11">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S11">
        <v>0</v>
      </c>
      <c r="YT11">
        <v>0</v>
      </c>
      <c r="YU11">
        <v>0</v>
      </c>
      <c r="YV11">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c r="ACR11">
        <v>0</v>
      </c>
      <c r="ACS11">
        <v>0</v>
      </c>
      <c r="ACT11">
        <v>0</v>
      </c>
      <c r="ACU11">
        <v>0</v>
      </c>
      <c r="ACV11">
        <v>0</v>
      </c>
      <c r="ACW11">
        <v>0</v>
      </c>
      <c r="ACX11">
        <v>0</v>
      </c>
      <c r="ACY11">
        <v>0</v>
      </c>
      <c r="ACZ11">
        <v>0</v>
      </c>
      <c r="ADA11">
        <v>0</v>
      </c>
      <c r="ADB11">
        <v>0</v>
      </c>
      <c r="ADC11">
        <v>0</v>
      </c>
      <c r="ADD11">
        <v>0</v>
      </c>
      <c r="ADE11">
        <v>0</v>
      </c>
      <c r="ADF11">
        <v>0</v>
      </c>
      <c r="ADG11">
        <v>0</v>
      </c>
      <c r="ADH11">
        <v>0</v>
      </c>
      <c r="ADI11">
        <v>0</v>
      </c>
      <c r="ADJ11">
        <v>0</v>
      </c>
      <c r="ADK11">
        <v>0</v>
      </c>
      <c r="ADL11">
        <v>0</v>
      </c>
      <c r="ADM11">
        <v>0</v>
      </c>
      <c r="ADN11">
        <v>0</v>
      </c>
      <c r="ADO11">
        <v>0</v>
      </c>
      <c r="ADP11">
        <v>0</v>
      </c>
      <c r="ADQ11">
        <v>0</v>
      </c>
      <c r="ADR11">
        <v>0</v>
      </c>
      <c r="ADS11">
        <v>0</v>
      </c>
      <c r="ADT11">
        <v>0</v>
      </c>
      <c r="ADU11">
        <v>0</v>
      </c>
      <c r="ADV11">
        <v>0</v>
      </c>
      <c r="ADW11">
        <v>0</v>
      </c>
      <c r="ADX11">
        <v>0</v>
      </c>
      <c r="ADY11">
        <v>0</v>
      </c>
      <c r="ADZ11">
        <v>0</v>
      </c>
      <c r="AEA11">
        <v>0</v>
      </c>
      <c r="AEB11">
        <v>0</v>
      </c>
      <c r="AEC11">
        <v>0</v>
      </c>
      <c r="AED11">
        <v>0</v>
      </c>
      <c r="AEE11">
        <v>0</v>
      </c>
      <c r="AEF11">
        <v>0</v>
      </c>
      <c r="AEG11">
        <v>0</v>
      </c>
      <c r="AEH11">
        <v>0</v>
      </c>
      <c r="AEI11">
        <v>0</v>
      </c>
      <c r="AEJ11">
        <v>0</v>
      </c>
      <c r="AEK11">
        <v>0</v>
      </c>
      <c r="AEL11">
        <v>0</v>
      </c>
      <c r="AEM11">
        <v>0</v>
      </c>
      <c r="AEN11">
        <v>0</v>
      </c>
      <c r="AEO11">
        <v>0</v>
      </c>
      <c r="AEP11">
        <v>0</v>
      </c>
      <c r="AEQ11">
        <v>0</v>
      </c>
      <c r="AER11">
        <v>0</v>
      </c>
      <c r="AES11">
        <v>0</v>
      </c>
      <c r="AET11">
        <v>0</v>
      </c>
      <c r="AEU11">
        <v>0</v>
      </c>
      <c r="AEV11">
        <v>0</v>
      </c>
      <c r="AEW11">
        <v>0</v>
      </c>
      <c r="AEX11">
        <v>0</v>
      </c>
      <c r="AEY11">
        <v>0</v>
      </c>
      <c r="AEZ11">
        <v>0</v>
      </c>
      <c r="AFA11">
        <v>0</v>
      </c>
      <c r="AFB11">
        <v>0</v>
      </c>
      <c r="AFC11">
        <v>0</v>
      </c>
      <c r="AFD11">
        <v>0</v>
      </c>
      <c r="AFE11">
        <v>0</v>
      </c>
      <c r="AFF11">
        <v>0</v>
      </c>
      <c r="AFG11">
        <v>0</v>
      </c>
      <c r="AFH11">
        <v>0</v>
      </c>
      <c r="AFI11">
        <v>0</v>
      </c>
      <c r="AFJ11">
        <v>0</v>
      </c>
      <c r="AFK11">
        <v>0</v>
      </c>
      <c r="AFL11">
        <v>0</v>
      </c>
      <c r="AFM11">
        <v>0</v>
      </c>
      <c r="AFN11">
        <v>0</v>
      </c>
      <c r="AFO11">
        <v>0</v>
      </c>
      <c r="AFP11">
        <v>0</v>
      </c>
      <c r="AFQ11">
        <v>0</v>
      </c>
      <c r="AFR11">
        <v>0</v>
      </c>
      <c r="AFS11">
        <v>0</v>
      </c>
      <c r="AFT11">
        <v>0</v>
      </c>
      <c r="AFU11">
        <v>0</v>
      </c>
      <c r="AFV11">
        <v>0</v>
      </c>
      <c r="AFW11">
        <v>0</v>
      </c>
      <c r="AFX11">
        <v>0</v>
      </c>
      <c r="AFY11">
        <v>0</v>
      </c>
      <c r="AFZ11">
        <v>0</v>
      </c>
      <c r="AGA11">
        <v>0</v>
      </c>
      <c r="AGB11">
        <v>0</v>
      </c>
      <c r="AGC11">
        <v>0</v>
      </c>
      <c r="AGD11">
        <v>0</v>
      </c>
      <c r="AGE11">
        <v>0</v>
      </c>
      <c r="AGF11">
        <v>0</v>
      </c>
      <c r="AGG11">
        <v>0</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A11">
        <v>0</v>
      </c>
      <c r="AIB11">
        <v>0</v>
      </c>
      <c r="AIC11">
        <v>0</v>
      </c>
      <c r="AID11">
        <v>0</v>
      </c>
      <c r="AIE11">
        <v>0</v>
      </c>
      <c r="AIF11">
        <v>0</v>
      </c>
      <c r="AIG11">
        <v>0</v>
      </c>
      <c r="AIH11">
        <v>0</v>
      </c>
      <c r="AII11">
        <v>0</v>
      </c>
      <c r="AIJ11">
        <v>0</v>
      </c>
      <c r="AIK11">
        <v>0</v>
      </c>
      <c r="AIL11">
        <v>0</v>
      </c>
      <c r="AIM11">
        <v>0</v>
      </c>
      <c r="AIN11">
        <v>0</v>
      </c>
      <c r="AIO11">
        <v>0</v>
      </c>
      <c r="AIP11">
        <v>0</v>
      </c>
      <c r="AIQ11">
        <v>0</v>
      </c>
      <c r="AIR11">
        <v>0</v>
      </c>
      <c r="AIS11">
        <v>0</v>
      </c>
      <c r="AIT11">
        <v>0</v>
      </c>
      <c r="AIU11">
        <v>0</v>
      </c>
      <c r="AIV11">
        <v>0</v>
      </c>
      <c r="AIW11">
        <v>0</v>
      </c>
      <c r="AIX11">
        <v>0</v>
      </c>
      <c r="AIY11">
        <v>0</v>
      </c>
      <c r="AIZ11">
        <v>0</v>
      </c>
      <c r="AJA11">
        <v>0</v>
      </c>
      <c r="AJB11">
        <v>0</v>
      </c>
      <c r="AJC11">
        <v>0</v>
      </c>
      <c r="AJD11">
        <v>0</v>
      </c>
      <c r="AJE11">
        <v>0</v>
      </c>
      <c r="AJF11">
        <v>0</v>
      </c>
      <c r="AJG11">
        <v>0</v>
      </c>
      <c r="AJH11">
        <v>0</v>
      </c>
      <c r="AJI11">
        <v>0</v>
      </c>
      <c r="AJJ11">
        <v>0</v>
      </c>
      <c r="AJK11">
        <v>0</v>
      </c>
      <c r="AJL11">
        <v>0</v>
      </c>
      <c r="AJM11">
        <v>0</v>
      </c>
      <c r="AJN11">
        <v>0</v>
      </c>
      <c r="AJO11">
        <v>0</v>
      </c>
      <c r="AJP11">
        <v>0</v>
      </c>
      <c r="AJQ11">
        <v>0</v>
      </c>
      <c r="AJR11">
        <v>0</v>
      </c>
      <c r="AJS11">
        <v>0</v>
      </c>
      <c r="AJT11">
        <v>0</v>
      </c>
      <c r="AJU11">
        <v>0</v>
      </c>
      <c r="AJV11">
        <v>0</v>
      </c>
      <c r="AJW11">
        <v>0</v>
      </c>
      <c r="AJX11">
        <v>0</v>
      </c>
      <c r="AJY11">
        <v>0</v>
      </c>
      <c r="AJZ11">
        <v>0</v>
      </c>
      <c r="AKA11">
        <v>0</v>
      </c>
      <c r="AKB11">
        <v>0</v>
      </c>
      <c r="AKC11">
        <v>0</v>
      </c>
      <c r="AKD11">
        <v>0</v>
      </c>
      <c r="AKE11">
        <v>0</v>
      </c>
      <c r="AKF11">
        <v>0</v>
      </c>
      <c r="AKG11">
        <v>0</v>
      </c>
      <c r="AKH11">
        <v>0</v>
      </c>
      <c r="AKI11">
        <v>0</v>
      </c>
      <c r="AKJ11">
        <v>0</v>
      </c>
      <c r="AKK11">
        <v>0</v>
      </c>
      <c r="AKL11">
        <v>0</v>
      </c>
      <c r="AKM11">
        <v>0</v>
      </c>
      <c r="AKN11">
        <v>0</v>
      </c>
      <c r="AKO11">
        <v>0</v>
      </c>
      <c r="AKP11">
        <v>0</v>
      </c>
      <c r="AKQ11">
        <v>0</v>
      </c>
      <c r="AKR11">
        <v>0</v>
      </c>
      <c r="AKS11">
        <v>0</v>
      </c>
      <c r="AKT11">
        <v>0</v>
      </c>
      <c r="AKU11">
        <v>0</v>
      </c>
      <c r="AKV11">
        <v>0</v>
      </c>
      <c r="AKW11">
        <v>0</v>
      </c>
      <c r="AKX11">
        <v>0</v>
      </c>
      <c r="AKY11">
        <v>0</v>
      </c>
      <c r="AKZ11">
        <v>0</v>
      </c>
      <c r="ALA11">
        <v>0</v>
      </c>
      <c r="ALB11">
        <v>0</v>
      </c>
      <c r="ALC11">
        <v>0</v>
      </c>
      <c r="ALD11">
        <v>0</v>
      </c>
      <c r="ALE11">
        <v>0</v>
      </c>
      <c r="ALF11">
        <v>0</v>
      </c>
      <c r="ALG11">
        <v>0</v>
      </c>
      <c r="ALH11">
        <v>0</v>
      </c>
      <c r="ALI11">
        <v>0</v>
      </c>
      <c r="ALJ11">
        <v>0</v>
      </c>
      <c r="ALK11">
        <v>0</v>
      </c>
      <c r="ALL11">
        <v>0</v>
      </c>
      <c r="ALM11">
        <v>0</v>
      </c>
      <c r="ALN11">
        <v>0</v>
      </c>
      <c r="ALO11">
        <v>0</v>
      </c>
      <c r="ALP11">
        <v>0</v>
      </c>
      <c r="ALQ11">
        <v>0</v>
      </c>
      <c r="ALR11">
        <v>0</v>
      </c>
      <c r="ALS11">
        <v>0</v>
      </c>
      <c r="ALT11">
        <v>0</v>
      </c>
      <c r="ALU11">
        <v>0</v>
      </c>
      <c r="ALV11">
        <v>0</v>
      </c>
      <c r="ALW11">
        <v>0</v>
      </c>
      <c r="ALX11">
        <v>0</v>
      </c>
      <c r="ALY11">
        <v>0</v>
      </c>
      <c r="ALZ11">
        <v>0</v>
      </c>
      <c r="AMA11">
        <v>0</v>
      </c>
      <c r="AMB11">
        <v>0</v>
      </c>
      <c r="AMC11">
        <v>0</v>
      </c>
      <c r="AMD11">
        <v>0</v>
      </c>
      <c r="AME11">
        <v>0</v>
      </c>
      <c r="AMF11">
        <v>0</v>
      </c>
      <c r="AMG11">
        <v>0</v>
      </c>
      <c r="AMH11">
        <v>0</v>
      </c>
      <c r="AMI11">
        <v>0</v>
      </c>
      <c r="AMJ11">
        <v>0</v>
      </c>
      <c r="AMK11">
        <v>0</v>
      </c>
      <c r="AML11">
        <v>0</v>
      </c>
      <c r="AMM11">
        <v>0</v>
      </c>
      <c r="AMN11">
        <v>0</v>
      </c>
      <c r="AMO11">
        <v>0</v>
      </c>
      <c r="AMP11">
        <v>0</v>
      </c>
      <c r="AMQ11">
        <v>0</v>
      </c>
      <c r="AMR11">
        <v>0</v>
      </c>
      <c r="AMS11">
        <v>0</v>
      </c>
      <c r="AMT11">
        <v>0</v>
      </c>
      <c r="AMU11">
        <v>0</v>
      </c>
      <c r="AMV11">
        <v>0</v>
      </c>
      <c r="AMW11">
        <v>0</v>
      </c>
      <c r="AMX11">
        <v>0</v>
      </c>
      <c r="AMY11">
        <v>0</v>
      </c>
      <c r="AMZ11">
        <v>0</v>
      </c>
      <c r="ANA11">
        <v>0</v>
      </c>
      <c r="ANB11">
        <v>0</v>
      </c>
      <c r="ANC11">
        <v>0</v>
      </c>
      <c r="AND11">
        <v>0</v>
      </c>
      <c r="ANE11">
        <v>0</v>
      </c>
      <c r="ANF11">
        <v>0</v>
      </c>
      <c r="ANG11">
        <v>0</v>
      </c>
      <c r="ANH11">
        <v>0</v>
      </c>
      <c r="ANI11">
        <v>0</v>
      </c>
      <c r="ANJ11">
        <v>0</v>
      </c>
      <c r="ANK11">
        <v>0</v>
      </c>
      <c r="ANL11">
        <v>0</v>
      </c>
      <c r="ANM11">
        <v>0</v>
      </c>
      <c r="ANN11">
        <v>0</v>
      </c>
      <c r="ANO11">
        <v>0</v>
      </c>
      <c r="ANP11">
        <v>0</v>
      </c>
      <c r="ANQ11">
        <v>0</v>
      </c>
      <c r="ANR11">
        <v>0</v>
      </c>
      <c r="ANS11">
        <v>0</v>
      </c>
      <c r="ANT11">
        <v>0</v>
      </c>
      <c r="ANU11">
        <v>0</v>
      </c>
      <c r="ANV11">
        <v>0</v>
      </c>
      <c r="ANW11">
        <v>0</v>
      </c>
      <c r="ANX11">
        <v>0</v>
      </c>
      <c r="ANY11">
        <v>0</v>
      </c>
      <c r="ANZ11">
        <v>0</v>
      </c>
      <c r="AOA11">
        <v>0</v>
      </c>
      <c r="AOB11">
        <v>0</v>
      </c>
      <c r="AOC11">
        <v>0</v>
      </c>
      <c r="AOD11">
        <v>0</v>
      </c>
      <c r="AOE11">
        <v>0</v>
      </c>
      <c r="AOF11">
        <v>0</v>
      </c>
      <c r="AOG11">
        <v>0</v>
      </c>
      <c r="AOH11">
        <v>0</v>
      </c>
      <c r="AOI11">
        <v>0</v>
      </c>
      <c r="AOJ11">
        <v>0</v>
      </c>
      <c r="AOK11">
        <v>0</v>
      </c>
      <c r="AOL11">
        <v>0</v>
      </c>
      <c r="AOM11">
        <v>0</v>
      </c>
      <c r="AON11">
        <v>0</v>
      </c>
      <c r="AOO11">
        <v>0</v>
      </c>
      <c r="AOP11">
        <v>0</v>
      </c>
      <c r="AOQ11">
        <v>0</v>
      </c>
      <c r="AOR11">
        <v>0</v>
      </c>
      <c r="AOS11">
        <v>0</v>
      </c>
      <c r="AOT11">
        <v>0</v>
      </c>
      <c r="AOU11">
        <v>0</v>
      </c>
      <c r="AOV11">
        <v>0</v>
      </c>
      <c r="AOW11">
        <v>0</v>
      </c>
      <c r="AOX11">
        <v>0</v>
      </c>
      <c r="AOY11">
        <v>0</v>
      </c>
      <c r="AOZ11">
        <v>0</v>
      </c>
      <c r="APA11">
        <v>0</v>
      </c>
      <c r="APB11">
        <v>0</v>
      </c>
      <c r="APC11">
        <v>0</v>
      </c>
      <c r="APD11">
        <v>0</v>
      </c>
      <c r="APE11">
        <v>0</v>
      </c>
      <c r="APF11">
        <v>0</v>
      </c>
      <c r="APG11">
        <v>0</v>
      </c>
      <c r="APH11">
        <v>0</v>
      </c>
      <c r="API11">
        <v>0</v>
      </c>
      <c r="APJ11">
        <v>0</v>
      </c>
      <c r="APK11">
        <v>0</v>
      </c>
      <c r="APL11">
        <v>0</v>
      </c>
      <c r="APM11">
        <v>0</v>
      </c>
      <c r="APN11">
        <v>0</v>
      </c>
      <c r="APO11">
        <v>0</v>
      </c>
      <c r="APP11">
        <v>0</v>
      </c>
      <c r="APQ11">
        <v>0</v>
      </c>
      <c r="APR11">
        <v>0</v>
      </c>
      <c r="APS11">
        <v>0</v>
      </c>
      <c r="APT11">
        <v>0</v>
      </c>
      <c r="APU11">
        <v>0</v>
      </c>
      <c r="APV11">
        <v>0</v>
      </c>
      <c r="APW11">
        <v>0</v>
      </c>
      <c r="APX11">
        <v>0</v>
      </c>
      <c r="APY11">
        <v>0</v>
      </c>
      <c r="APZ11">
        <v>0</v>
      </c>
      <c r="AQA11">
        <v>0</v>
      </c>
      <c r="AQB11">
        <v>0</v>
      </c>
      <c r="AQC11">
        <v>0</v>
      </c>
      <c r="AQD11">
        <v>0</v>
      </c>
      <c r="AQE11">
        <v>0</v>
      </c>
      <c r="AQF11">
        <v>0</v>
      </c>
      <c r="AQG11">
        <v>0</v>
      </c>
      <c r="AQH11">
        <v>0</v>
      </c>
      <c r="AQI11">
        <v>0</v>
      </c>
      <c r="AQJ11">
        <v>0</v>
      </c>
      <c r="AQK11">
        <v>0</v>
      </c>
      <c r="AQL11">
        <v>0</v>
      </c>
      <c r="AQM11">
        <v>0</v>
      </c>
      <c r="AQN11">
        <v>0</v>
      </c>
      <c r="AQO11">
        <v>0</v>
      </c>
      <c r="AQP11">
        <v>0</v>
      </c>
      <c r="AQQ11">
        <v>0</v>
      </c>
      <c r="AQR11">
        <v>0</v>
      </c>
      <c r="AQS11">
        <v>0</v>
      </c>
      <c r="AQT11">
        <v>0</v>
      </c>
      <c r="AQU11">
        <v>0</v>
      </c>
      <c r="AQV11">
        <v>0</v>
      </c>
      <c r="AQW11">
        <v>0</v>
      </c>
      <c r="AQX11">
        <v>0</v>
      </c>
      <c r="AQY11">
        <v>0</v>
      </c>
      <c r="AQZ11">
        <v>0</v>
      </c>
      <c r="ARA11">
        <v>0</v>
      </c>
      <c r="ARB11">
        <v>0</v>
      </c>
      <c r="ARC11">
        <v>0</v>
      </c>
      <c r="ARD11">
        <v>0</v>
      </c>
      <c r="ARE11">
        <v>0</v>
      </c>
      <c r="ARF11">
        <v>0</v>
      </c>
      <c r="ARG11">
        <v>0</v>
      </c>
      <c r="ARH11">
        <v>0</v>
      </c>
      <c r="ARI11">
        <v>0</v>
      </c>
      <c r="ARJ11">
        <v>0</v>
      </c>
      <c r="ARK11">
        <v>0</v>
      </c>
      <c r="ARL11">
        <v>0</v>
      </c>
      <c r="ARM11">
        <v>0</v>
      </c>
      <c r="ARN11">
        <v>0</v>
      </c>
      <c r="ARO11">
        <v>0</v>
      </c>
      <c r="ARP11">
        <v>0</v>
      </c>
      <c r="ARQ11">
        <v>0</v>
      </c>
      <c r="ARR11">
        <v>0</v>
      </c>
      <c r="ARS11">
        <v>0</v>
      </c>
      <c r="ART11">
        <v>0</v>
      </c>
      <c r="ARU11">
        <v>0</v>
      </c>
      <c r="ARV11">
        <v>0</v>
      </c>
      <c r="ARW11">
        <v>0</v>
      </c>
      <c r="ARX11">
        <v>0</v>
      </c>
      <c r="ARY11">
        <v>0</v>
      </c>
      <c r="ARZ11">
        <v>0</v>
      </c>
      <c r="ASA11">
        <v>0</v>
      </c>
      <c r="ASB11">
        <v>0</v>
      </c>
      <c r="ASC11">
        <v>0</v>
      </c>
      <c r="ASD11">
        <v>0</v>
      </c>
      <c r="ASE11">
        <v>0</v>
      </c>
      <c r="ASF11">
        <v>0</v>
      </c>
      <c r="ASG11">
        <v>0</v>
      </c>
      <c r="ASH11">
        <v>0</v>
      </c>
      <c r="ASI11">
        <v>0</v>
      </c>
      <c r="ASJ11">
        <v>0</v>
      </c>
      <c r="ASK11">
        <v>0</v>
      </c>
      <c r="ASL11">
        <v>0</v>
      </c>
      <c r="ASM11">
        <v>0</v>
      </c>
      <c r="ASN11">
        <v>0</v>
      </c>
      <c r="ASO11">
        <v>0</v>
      </c>
      <c r="ASP11">
        <v>0</v>
      </c>
      <c r="ASQ11">
        <v>0</v>
      </c>
      <c r="ASR11">
        <v>0</v>
      </c>
      <c r="ASS11">
        <v>0</v>
      </c>
      <c r="AST11">
        <v>0</v>
      </c>
      <c r="ASU11">
        <v>0</v>
      </c>
      <c r="ASV11">
        <v>0</v>
      </c>
      <c r="ASW11">
        <v>0</v>
      </c>
      <c r="ASX11">
        <v>0</v>
      </c>
      <c r="ASY11">
        <v>0</v>
      </c>
      <c r="ASZ11">
        <v>0</v>
      </c>
      <c r="ATA11">
        <v>0</v>
      </c>
      <c r="ATB11">
        <v>0</v>
      </c>
      <c r="ATC11">
        <v>0</v>
      </c>
      <c r="ATD11">
        <v>0</v>
      </c>
      <c r="ATE11">
        <v>0</v>
      </c>
      <c r="ATF11">
        <v>0</v>
      </c>
      <c r="ATG11">
        <v>0</v>
      </c>
      <c r="ATH11">
        <v>0</v>
      </c>
      <c r="ATI11">
        <v>0</v>
      </c>
      <c r="ATJ11">
        <v>0</v>
      </c>
      <c r="ATK11">
        <v>0</v>
      </c>
      <c r="ATL11">
        <v>0</v>
      </c>
      <c r="ATM11">
        <v>0</v>
      </c>
      <c r="ATN11">
        <v>0</v>
      </c>
      <c r="ATO11">
        <v>0</v>
      </c>
      <c r="ATP11">
        <v>0</v>
      </c>
      <c r="ATQ11">
        <v>0</v>
      </c>
      <c r="ATR11">
        <v>0</v>
      </c>
      <c r="ATS11">
        <v>0</v>
      </c>
      <c r="ATT11">
        <v>0</v>
      </c>
      <c r="ATU11">
        <v>0</v>
      </c>
      <c r="ATV11">
        <v>0</v>
      </c>
      <c r="ATW11">
        <v>0</v>
      </c>
      <c r="ATX11">
        <v>0</v>
      </c>
      <c r="ATY11">
        <v>0</v>
      </c>
      <c r="ATZ11">
        <v>0</v>
      </c>
      <c r="AUA11">
        <v>0</v>
      </c>
      <c r="AUB11">
        <v>0</v>
      </c>
      <c r="AUC11">
        <v>0</v>
      </c>
      <c r="AUD11">
        <v>0</v>
      </c>
      <c r="AUE11">
        <v>0</v>
      </c>
      <c r="AUF11">
        <v>0</v>
      </c>
      <c r="AUG11">
        <v>0</v>
      </c>
      <c r="AUH11">
        <v>0</v>
      </c>
      <c r="AUI11">
        <v>0</v>
      </c>
      <c r="AUJ11">
        <v>0</v>
      </c>
      <c r="AUK11">
        <v>0</v>
      </c>
      <c r="AUL11">
        <v>0</v>
      </c>
      <c r="AUM11">
        <v>0</v>
      </c>
      <c r="AUN11">
        <v>0</v>
      </c>
      <c r="AUO11">
        <v>0</v>
      </c>
      <c r="AUP11">
        <v>0</v>
      </c>
      <c r="AUQ11">
        <v>0</v>
      </c>
      <c r="AUR11">
        <v>0</v>
      </c>
      <c r="AUS11">
        <v>0</v>
      </c>
      <c r="AUT11">
        <v>0</v>
      </c>
      <c r="AUU11">
        <v>0</v>
      </c>
      <c r="AUV11">
        <v>0</v>
      </c>
      <c r="AUW11">
        <v>0</v>
      </c>
      <c r="AUX11">
        <v>0</v>
      </c>
      <c r="AUY11">
        <v>0</v>
      </c>
      <c r="AUZ11">
        <v>0</v>
      </c>
      <c r="AVA11">
        <v>0</v>
      </c>
      <c r="AVB11">
        <v>0</v>
      </c>
      <c r="AVC11">
        <v>0</v>
      </c>
      <c r="AVD11">
        <v>0</v>
      </c>
      <c r="AVE11">
        <v>0</v>
      </c>
      <c r="AVF11">
        <v>0</v>
      </c>
      <c r="AVG11">
        <v>0</v>
      </c>
      <c r="AVH11">
        <v>0</v>
      </c>
      <c r="AVI11">
        <v>0</v>
      </c>
      <c r="AVJ11">
        <v>0</v>
      </c>
      <c r="AVK11">
        <v>0</v>
      </c>
      <c r="AVL11">
        <v>0</v>
      </c>
      <c r="AVM11">
        <v>0</v>
      </c>
      <c r="AVN11">
        <v>0</v>
      </c>
      <c r="AVO11">
        <v>0</v>
      </c>
      <c r="AVP11">
        <v>0</v>
      </c>
      <c r="AVQ11">
        <v>0</v>
      </c>
      <c r="AVR11">
        <v>0</v>
      </c>
      <c r="AVS11">
        <v>0</v>
      </c>
      <c r="AVT11">
        <v>0</v>
      </c>
      <c r="AVU11">
        <v>0</v>
      </c>
      <c r="AVV11">
        <v>0</v>
      </c>
      <c r="AVW11">
        <v>0</v>
      </c>
      <c r="AVX11">
        <v>0</v>
      </c>
      <c r="AVY11">
        <v>0</v>
      </c>
      <c r="AVZ11">
        <v>0</v>
      </c>
      <c r="AWA11">
        <v>0</v>
      </c>
      <c r="AWB11">
        <v>0</v>
      </c>
      <c r="AWC11">
        <v>0</v>
      </c>
      <c r="AWD11">
        <v>0</v>
      </c>
      <c r="AWE11">
        <v>0</v>
      </c>
      <c r="AWF11">
        <v>0</v>
      </c>
      <c r="AWG11">
        <v>0</v>
      </c>
      <c r="AWH11">
        <v>0</v>
      </c>
      <c r="AWI11">
        <v>0</v>
      </c>
      <c r="AWJ11">
        <v>0</v>
      </c>
      <c r="AWK11">
        <v>0</v>
      </c>
      <c r="AWL11">
        <v>0</v>
      </c>
      <c r="AWM11">
        <v>0</v>
      </c>
      <c r="AWN11">
        <v>0</v>
      </c>
      <c r="AWO11">
        <v>0</v>
      </c>
      <c r="AWP11">
        <v>0</v>
      </c>
      <c r="AWQ11">
        <v>0</v>
      </c>
      <c r="AWR11">
        <v>0</v>
      </c>
      <c r="AWS11">
        <v>0</v>
      </c>
      <c r="AWT11">
        <v>0</v>
      </c>
      <c r="AWU11">
        <v>0</v>
      </c>
      <c r="AWV11">
        <v>0</v>
      </c>
      <c r="AWW11">
        <v>0</v>
      </c>
      <c r="AWX11">
        <v>0</v>
      </c>
      <c r="AWY11">
        <v>0</v>
      </c>
      <c r="AWZ11">
        <v>0</v>
      </c>
      <c r="AXA11">
        <v>0</v>
      </c>
      <c r="AXB11">
        <v>0</v>
      </c>
      <c r="AXC11">
        <v>0</v>
      </c>
      <c r="AXD11">
        <v>0</v>
      </c>
      <c r="AXE11">
        <v>0</v>
      </c>
      <c r="AXF11">
        <v>0</v>
      </c>
      <c r="AXG11">
        <v>0</v>
      </c>
      <c r="AXH11">
        <v>0</v>
      </c>
      <c r="AXI11">
        <v>0</v>
      </c>
      <c r="AXJ11">
        <v>0</v>
      </c>
      <c r="AXK11">
        <v>0</v>
      </c>
      <c r="AXL11">
        <v>0</v>
      </c>
      <c r="AXM11">
        <v>0</v>
      </c>
      <c r="AXN11">
        <v>0</v>
      </c>
      <c r="AXO11">
        <v>0</v>
      </c>
      <c r="AXP11">
        <v>0</v>
      </c>
      <c r="AXQ11">
        <v>0</v>
      </c>
      <c r="AXR11">
        <v>0</v>
      </c>
      <c r="AXS11">
        <v>0</v>
      </c>
      <c r="AXT11">
        <v>0</v>
      </c>
      <c r="AXU11">
        <v>0</v>
      </c>
      <c r="AXV11">
        <v>0</v>
      </c>
      <c r="AXW11">
        <v>0</v>
      </c>
      <c r="AXX11">
        <v>0</v>
      </c>
      <c r="AXY11">
        <v>0</v>
      </c>
      <c r="AXZ11">
        <v>0</v>
      </c>
      <c r="AYA11">
        <v>0</v>
      </c>
      <c r="AYB11">
        <v>0</v>
      </c>
      <c r="AYC11">
        <v>0</v>
      </c>
      <c r="AYD11">
        <v>0</v>
      </c>
      <c r="AYE11">
        <v>0</v>
      </c>
      <c r="AYF11">
        <v>0</v>
      </c>
      <c r="AYG11">
        <v>0</v>
      </c>
      <c r="AYH11">
        <v>0</v>
      </c>
      <c r="AYI11">
        <v>0</v>
      </c>
      <c r="AYJ11">
        <v>0</v>
      </c>
      <c r="AYK11">
        <v>0</v>
      </c>
      <c r="AYL11">
        <v>0</v>
      </c>
      <c r="AYM11">
        <v>0</v>
      </c>
      <c r="AYN11">
        <v>0</v>
      </c>
      <c r="AYO11">
        <v>0</v>
      </c>
      <c r="AYP11">
        <v>0</v>
      </c>
      <c r="AYQ11">
        <v>0</v>
      </c>
      <c r="AYR11">
        <v>0</v>
      </c>
      <c r="AYS11">
        <v>0</v>
      </c>
      <c r="AYT11">
        <v>0</v>
      </c>
      <c r="AYU11">
        <v>0</v>
      </c>
      <c r="AYV11">
        <v>0</v>
      </c>
      <c r="AYW11">
        <v>0</v>
      </c>
      <c r="AYX11">
        <v>0</v>
      </c>
      <c r="AYY11">
        <v>0</v>
      </c>
      <c r="AYZ11">
        <v>0</v>
      </c>
      <c r="AZA11">
        <v>0</v>
      </c>
      <c r="AZB11">
        <v>0</v>
      </c>
      <c r="AZC11">
        <v>0</v>
      </c>
      <c r="AZD11">
        <v>0</v>
      </c>
      <c r="AZE11">
        <v>0</v>
      </c>
      <c r="AZF11">
        <v>0</v>
      </c>
      <c r="AZG11">
        <v>0</v>
      </c>
      <c r="AZH11">
        <v>0</v>
      </c>
      <c r="AZI11">
        <v>0</v>
      </c>
      <c r="AZJ11">
        <v>0</v>
      </c>
      <c r="AZK11">
        <v>0</v>
      </c>
      <c r="AZL11">
        <v>0</v>
      </c>
      <c r="AZM11">
        <v>0</v>
      </c>
      <c r="AZN11">
        <v>0</v>
      </c>
      <c r="AZO11">
        <v>0</v>
      </c>
      <c r="AZP11">
        <v>0</v>
      </c>
      <c r="AZQ11">
        <v>0</v>
      </c>
      <c r="AZR11">
        <v>0</v>
      </c>
      <c r="AZS11">
        <v>0</v>
      </c>
      <c r="AZT11">
        <v>0</v>
      </c>
      <c r="AZU11">
        <v>0</v>
      </c>
      <c r="AZV11">
        <v>0</v>
      </c>
      <c r="AZW11">
        <v>0</v>
      </c>
      <c r="AZX11">
        <v>0</v>
      </c>
      <c r="AZY11">
        <v>0</v>
      </c>
      <c r="AZZ11">
        <v>0</v>
      </c>
      <c r="BAA11">
        <v>0</v>
      </c>
      <c r="BAB11">
        <v>0</v>
      </c>
      <c r="BAC11">
        <v>0</v>
      </c>
      <c r="BAD11">
        <v>0</v>
      </c>
      <c r="BAE11">
        <v>0</v>
      </c>
      <c r="BAF11">
        <v>0</v>
      </c>
      <c r="BAG11">
        <v>0</v>
      </c>
      <c r="BAH11">
        <v>0</v>
      </c>
      <c r="BAI11">
        <v>0</v>
      </c>
      <c r="BAJ11">
        <v>0</v>
      </c>
      <c r="BAK11">
        <v>1095020</v>
      </c>
      <c r="BAL11">
        <v>12554.88</v>
      </c>
      <c r="BAM11">
        <v>11490.88</v>
      </c>
      <c r="BAN11">
        <v>1064</v>
      </c>
      <c r="BAO11">
        <v>0</v>
      </c>
      <c r="BAP11">
        <v>0</v>
      </c>
      <c r="BAQ11">
        <v>616</v>
      </c>
      <c r="BAR11">
        <v>0</v>
      </c>
      <c r="BAS11">
        <v>0</v>
      </c>
      <c r="BAT11">
        <v>0</v>
      </c>
      <c r="BAU11">
        <v>0</v>
      </c>
      <c r="BAV11">
        <v>0</v>
      </c>
      <c r="BAW11">
        <v>0</v>
      </c>
      <c r="BAX11">
        <v>0</v>
      </c>
      <c r="BAY11">
        <v>0</v>
      </c>
      <c r="BAZ11">
        <v>0</v>
      </c>
      <c r="BBA11">
        <v>0</v>
      </c>
      <c r="BBB11">
        <v>0</v>
      </c>
      <c r="BBC11">
        <v>0</v>
      </c>
      <c r="BBD11">
        <v>0</v>
      </c>
      <c r="BBE11">
        <v>0</v>
      </c>
      <c r="BBF11">
        <v>0</v>
      </c>
      <c r="BBG11">
        <v>0</v>
      </c>
      <c r="BBH11">
        <v>0</v>
      </c>
      <c r="BBI11">
        <v>0</v>
      </c>
      <c r="BBJ11">
        <v>0</v>
      </c>
      <c r="BBK11">
        <v>0</v>
      </c>
      <c r="BBL11">
        <v>0</v>
      </c>
      <c r="BBM11">
        <v>0</v>
      </c>
      <c r="BBN11">
        <v>0</v>
      </c>
      <c r="BBO11">
        <v>0</v>
      </c>
      <c r="BBP11">
        <v>0</v>
      </c>
      <c r="BBQ11">
        <v>0</v>
      </c>
      <c r="BBR11">
        <v>0</v>
      </c>
      <c r="BBS11">
        <v>0</v>
      </c>
      <c r="BBT11">
        <v>0</v>
      </c>
      <c r="BBU11">
        <v>0</v>
      </c>
      <c r="BBV11">
        <v>0</v>
      </c>
      <c r="BBW11">
        <v>0</v>
      </c>
      <c r="BBX11">
        <v>0</v>
      </c>
      <c r="BBY11">
        <v>0</v>
      </c>
      <c r="BBZ11">
        <v>0</v>
      </c>
      <c r="BCA11">
        <v>0</v>
      </c>
      <c r="BCB11">
        <v>0</v>
      </c>
      <c r="BCC11">
        <v>0</v>
      </c>
      <c r="BCD11">
        <v>0</v>
      </c>
      <c r="BCE11">
        <v>0</v>
      </c>
      <c r="BCF11">
        <v>0</v>
      </c>
      <c r="BCG11">
        <v>0</v>
      </c>
      <c r="BCH11">
        <v>0</v>
      </c>
      <c r="BCI11">
        <v>0</v>
      </c>
      <c r="BCJ11">
        <v>0</v>
      </c>
      <c r="BCK11">
        <v>0</v>
      </c>
      <c r="BCL11">
        <v>0</v>
      </c>
      <c r="BCM11">
        <v>0</v>
      </c>
      <c r="BCN11">
        <v>0</v>
      </c>
      <c r="BCO11">
        <v>0</v>
      </c>
      <c r="BCP11">
        <v>0</v>
      </c>
      <c r="BCQ11">
        <v>0</v>
      </c>
      <c r="BCR11">
        <v>0</v>
      </c>
      <c r="BCS11">
        <v>0</v>
      </c>
      <c r="BCT11">
        <v>0</v>
      </c>
      <c r="BCU11">
        <v>0</v>
      </c>
      <c r="BCV11">
        <v>0</v>
      </c>
      <c r="BCW11">
        <v>0</v>
      </c>
      <c r="BCX11">
        <v>0</v>
      </c>
      <c r="BCY11">
        <v>0</v>
      </c>
      <c r="BCZ11">
        <v>0</v>
      </c>
      <c r="BDA11">
        <v>0</v>
      </c>
      <c r="BDB11">
        <v>0</v>
      </c>
      <c r="BDC11">
        <v>0</v>
      </c>
      <c r="BDD11">
        <v>0</v>
      </c>
      <c r="BDE11">
        <v>0</v>
      </c>
      <c r="BDF11">
        <v>0</v>
      </c>
      <c r="BDG11">
        <v>0</v>
      </c>
      <c r="BDH11">
        <v>0</v>
      </c>
      <c r="BDI11">
        <v>0</v>
      </c>
      <c r="BDJ11">
        <v>0</v>
      </c>
      <c r="BDK11">
        <v>0</v>
      </c>
      <c r="BDL11">
        <v>0</v>
      </c>
      <c r="BDM11">
        <v>0</v>
      </c>
      <c r="BDN11">
        <v>0</v>
      </c>
      <c r="BDO11">
        <v>0</v>
      </c>
      <c r="BDP11">
        <v>0</v>
      </c>
      <c r="BDQ11">
        <v>0</v>
      </c>
      <c r="BDR11">
        <v>0</v>
      </c>
      <c r="BDS11">
        <v>0</v>
      </c>
      <c r="BDT11">
        <v>0</v>
      </c>
      <c r="BDU11">
        <v>0</v>
      </c>
      <c r="BDV11">
        <v>0</v>
      </c>
      <c r="BDW11">
        <v>0</v>
      </c>
      <c r="BDX11">
        <v>0</v>
      </c>
      <c r="BDY11">
        <v>0</v>
      </c>
      <c r="BDZ11">
        <v>0</v>
      </c>
      <c r="BEA11">
        <v>0</v>
      </c>
      <c r="BEB11">
        <v>0</v>
      </c>
      <c r="BEC11">
        <v>0</v>
      </c>
      <c r="BED11">
        <v>0</v>
      </c>
      <c r="BEE11">
        <v>0</v>
      </c>
      <c r="BEF11">
        <v>0</v>
      </c>
      <c r="BEG11">
        <v>0</v>
      </c>
      <c r="BEH11">
        <v>0</v>
      </c>
      <c r="BEI11">
        <v>0</v>
      </c>
      <c r="BEJ11">
        <v>0</v>
      </c>
      <c r="BEK11">
        <v>0</v>
      </c>
      <c r="BEL11">
        <v>0</v>
      </c>
      <c r="BEM11">
        <v>0</v>
      </c>
      <c r="BEN11">
        <v>0</v>
      </c>
      <c r="BEO11">
        <v>0</v>
      </c>
      <c r="BEP11">
        <v>0</v>
      </c>
      <c r="BEQ11">
        <v>0</v>
      </c>
      <c r="BER11">
        <v>0</v>
      </c>
      <c r="BES11">
        <v>0</v>
      </c>
      <c r="BET11">
        <v>0</v>
      </c>
      <c r="BEU11">
        <v>0</v>
      </c>
      <c r="BEV11">
        <v>0</v>
      </c>
      <c r="BEW11">
        <v>0</v>
      </c>
      <c r="BEX11">
        <v>0</v>
      </c>
      <c r="BEY11">
        <v>0</v>
      </c>
      <c r="BEZ11">
        <v>0</v>
      </c>
      <c r="BFA11">
        <v>0</v>
      </c>
      <c r="BFB11">
        <v>0</v>
      </c>
      <c r="BFC11">
        <v>0</v>
      </c>
      <c r="BFD11" t="b">
        <v>0</v>
      </c>
      <c r="BFE11" t="b">
        <v>0</v>
      </c>
      <c r="BFF11" t="b">
        <v>0</v>
      </c>
      <c r="BFG11" t="b">
        <v>0</v>
      </c>
      <c r="BFH11">
        <v>0</v>
      </c>
      <c r="BFI11">
        <v>0</v>
      </c>
      <c r="BFJ11">
        <v>0</v>
      </c>
      <c r="BFK11">
        <v>0</v>
      </c>
      <c r="BFL11">
        <v>0</v>
      </c>
      <c r="BFM11">
        <v>0</v>
      </c>
      <c r="BFN11">
        <v>0</v>
      </c>
      <c r="BFO11">
        <v>0</v>
      </c>
      <c r="BFP11">
        <v>0</v>
      </c>
      <c r="BFQ11">
        <v>0</v>
      </c>
      <c r="BFR11">
        <v>0</v>
      </c>
      <c r="BFS11">
        <v>0</v>
      </c>
      <c r="BFT11">
        <v>0</v>
      </c>
      <c r="BFU11">
        <v>0</v>
      </c>
      <c r="BFV11">
        <v>0</v>
      </c>
      <c r="BFW11">
        <v>0</v>
      </c>
      <c r="BFX11">
        <v>0</v>
      </c>
      <c r="BFY11">
        <v>0</v>
      </c>
    </row>
    <row r="12" spans="1:1533" x14ac:dyDescent="0.25">
      <c r="A12" t="s">
        <v>2814</v>
      </c>
      <c r="B12" t="s">
        <v>2815</v>
      </c>
      <c r="C12">
        <v>130</v>
      </c>
      <c r="D12">
        <v>45</v>
      </c>
      <c r="E12">
        <v>0</v>
      </c>
      <c r="F12">
        <v>0</v>
      </c>
      <c r="G12">
        <v>0</v>
      </c>
      <c r="H12" t="s">
        <v>2404</v>
      </c>
      <c r="I12" t="s">
        <v>2403</v>
      </c>
      <c r="J12" t="s">
        <v>2403</v>
      </c>
      <c r="K12" t="s">
        <v>2403</v>
      </c>
      <c r="L12" t="s">
        <v>2403</v>
      </c>
      <c r="M12" t="s">
        <v>1883</v>
      </c>
      <c r="N12" t="s">
        <v>2403</v>
      </c>
      <c r="O12" t="s">
        <v>1883</v>
      </c>
      <c r="P12" t="s">
        <v>1883</v>
      </c>
      <c r="Q12" t="s">
        <v>2403</v>
      </c>
      <c r="R12" t="s">
        <v>1883</v>
      </c>
      <c r="S12" t="s">
        <v>1639</v>
      </c>
      <c r="T12" t="s">
        <v>2404</v>
      </c>
      <c r="U12" t="s">
        <v>2424</v>
      </c>
      <c r="V12" t="s">
        <v>2816</v>
      </c>
      <c r="W12" t="s">
        <v>309</v>
      </c>
      <c r="X12">
        <v>0</v>
      </c>
      <c r="Y12">
        <v>43504</v>
      </c>
      <c r="Z12">
        <v>0</v>
      </c>
      <c r="AA12">
        <v>0</v>
      </c>
      <c r="AB12">
        <v>0</v>
      </c>
      <c r="AC12" t="s">
        <v>272</v>
      </c>
      <c r="AD12">
        <v>75</v>
      </c>
      <c r="AE12">
        <v>0</v>
      </c>
      <c r="AF12">
        <v>43529</v>
      </c>
      <c r="AG12">
        <v>45</v>
      </c>
      <c r="AH12">
        <v>0</v>
      </c>
      <c r="AI12">
        <v>0</v>
      </c>
      <c r="AJ12" t="s">
        <v>271</v>
      </c>
      <c r="AK12">
        <v>0.12</v>
      </c>
      <c r="AL12">
        <v>0</v>
      </c>
      <c r="AM12">
        <v>50</v>
      </c>
      <c r="AN12">
        <v>47154</v>
      </c>
      <c r="AO12">
        <v>0.15724434821816313</v>
      </c>
      <c r="AP12">
        <v>4538.2299999999996</v>
      </c>
      <c r="AQ12">
        <v>4489.5499999999811</v>
      </c>
      <c r="AR12">
        <v>9027.7799999999806</v>
      </c>
      <c r="AS12">
        <v>75.239999999999995</v>
      </c>
      <c r="AT12">
        <v>74.22</v>
      </c>
      <c r="AU12" t="s">
        <v>1911</v>
      </c>
      <c r="AV12" t="s">
        <v>2737</v>
      </c>
      <c r="AW12" t="s">
        <v>2738</v>
      </c>
      <c r="AX12">
        <v>19</v>
      </c>
      <c r="AY12">
        <v>0</v>
      </c>
      <c r="AZ12">
        <v>43496</v>
      </c>
      <c r="BA12">
        <v>100</v>
      </c>
      <c r="BB12">
        <v>1</v>
      </c>
      <c r="BC12">
        <v>1</v>
      </c>
      <c r="BD12" t="s">
        <v>415</v>
      </c>
      <c r="BE12">
        <v>386</v>
      </c>
      <c r="BF12">
        <v>34</v>
      </c>
      <c r="BG12">
        <v>43501</v>
      </c>
      <c r="BH12">
        <v>120</v>
      </c>
      <c r="BI12">
        <v>0</v>
      </c>
      <c r="BJ12">
        <v>50</v>
      </c>
      <c r="BK12">
        <v>43473</v>
      </c>
      <c r="BL12">
        <v>0</v>
      </c>
      <c r="BM12">
        <v>0</v>
      </c>
      <c r="BN12">
        <v>0</v>
      </c>
      <c r="BO12" t="s">
        <v>2817</v>
      </c>
      <c r="BP12" t="s">
        <v>2403</v>
      </c>
      <c r="BQ12" t="s">
        <v>2403</v>
      </c>
      <c r="BR12" t="s">
        <v>2403</v>
      </c>
      <c r="BS12">
        <v>449679253</v>
      </c>
      <c r="BT12">
        <v>25422</v>
      </c>
      <c r="BU12" t="s">
        <v>2818</v>
      </c>
      <c r="BV12" t="s">
        <v>2819</v>
      </c>
      <c r="BW12" t="s">
        <v>1633</v>
      </c>
      <c r="BX12">
        <v>78148</v>
      </c>
      <c r="BY12" t="s">
        <v>2818</v>
      </c>
      <c r="BZ12" t="s">
        <v>2819</v>
      </c>
      <c r="CA12">
        <v>78148</v>
      </c>
      <c r="CB12" t="s">
        <v>1633</v>
      </c>
      <c r="CC12" t="s">
        <v>2040</v>
      </c>
      <c r="CD12">
        <v>0</v>
      </c>
      <c r="CE12">
        <v>0</v>
      </c>
      <c r="CF12">
        <v>0</v>
      </c>
      <c r="CG12">
        <v>0</v>
      </c>
      <c r="CH12">
        <v>0</v>
      </c>
      <c r="CI12">
        <v>0</v>
      </c>
      <c r="CJ12">
        <v>0</v>
      </c>
      <c r="CK12">
        <v>2107898499</v>
      </c>
      <c r="CL12">
        <v>0</v>
      </c>
      <c r="CM12">
        <v>0</v>
      </c>
      <c r="CN12" t="s">
        <v>2820</v>
      </c>
      <c r="CO12">
        <v>0</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DN12" t="s">
        <v>2820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4310.22998046875</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50477010130</v>
      </c>
      <c r="GQ12">
        <v>0</v>
      </c>
      <c r="GR12">
        <v>0</v>
      </c>
      <c r="GS12">
        <v>0</v>
      </c>
      <c r="GT12" t="s">
        <v>2818</v>
      </c>
      <c r="GU12">
        <v>4310.2299999999996</v>
      </c>
      <c r="GV12">
        <v>0</v>
      </c>
      <c r="GW12">
        <v>0</v>
      </c>
      <c r="GX12">
        <v>0</v>
      </c>
      <c r="GY12" t="s">
        <v>2821</v>
      </c>
      <c r="GZ12">
        <v>0</v>
      </c>
      <c r="HA12">
        <v>0</v>
      </c>
      <c r="HB12">
        <v>0</v>
      </c>
      <c r="HC12">
        <v>4310.22998046875</v>
      </c>
      <c r="HD12">
        <v>159980</v>
      </c>
      <c r="HE12">
        <v>30950</v>
      </c>
      <c r="HF12" t="s">
        <v>2819</v>
      </c>
      <c r="HG12" t="s">
        <v>20</v>
      </c>
      <c r="HH12" t="s">
        <v>271</v>
      </c>
      <c r="HI12">
        <v>159980</v>
      </c>
      <c r="HJ12" t="s">
        <v>271</v>
      </c>
      <c r="HK12" t="s">
        <v>2822</v>
      </c>
      <c r="HL12">
        <v>0</v>
      </c>
      <c r="HM12">
        <v>0</v>
      </c>
      <c r="HN12">
        <v>0</v>
      </c>
      <c r="HO12" t="s">
        <v>2823</v>
      </c>
      <c r="HP12">
        <v>0</v>
      </c>
      <c r="HQ12">
        <v>0</v>
      </c>
      <c r="HR12" t="s">
        <v>1633</v>
      </c>
      <c r="HS12" t="s">
        <v>2824</v>
      </c>
      <c r="HT12">
        <v>0</v>
      </c>
      <c r="HU12">
        <v>0</v>
      </c>
      <c r="HV12">
        <v>0</v>
      </c>
      <c r="HW12">
        <v>2018</v>
      </c>
      <c r="HX12">
        <v>0</v>
      </c>
      <c r="HY12">
        <v>0</v>
      </c>
      <c r="HZ12">
        <v>0</v>
      </c>
      <c r="IA12">
        <v>78148</v>
      </c>
      <c r="IB12" t="s">
        <v>271</v>
      </c>
      <c r="IC12">
        <v>0</v>
      </c>
      <c r="ID12">
        <v>0</v>
      </c>
      <c r="IE12">
        <v>0</v>
      </c>
      <c r="IF12">
        <v>0</v>
      </c>
      <c r="IG12">
        <v>0</v>
      </c>
      <c r="IH12">
        <v>0</v>
      </c>
      <c r="II12">
        <v>0</v>
      </c>
      <c r="IJ12">
        <v>0</v>
      </c>
      <c r="IK12">
        <v>0</v>
      </c>
      <c r="IL12">
        <v>0</v>
      </c>
      <c r="IM12">
        <v>0</v>
      </c>
      <c r="IN12">
        <v>0</v>
      </c>
      <c r="IO12">
        <v>0</v>
      </c>
      <c r="IP12">
        <v>0</v>
      </c>
      <c r="IQ12">
        <v>0</v>
      </c>
      <c r="IR12">
        <v>0</v>
      </c>
      <c r="IS12">
        <v>0</v>
      </c>
      <c r="IT12">
        <v>0</v>
      </c>
      <c r="IU12">
        <v>0</v>
      </c>
      <c r="IV12">
        <v>0</v>
      </c>
      <c r="IW12">
        <v>0</v>
      </c>
      <c r="IX12">
        <v>0</v>
      </c>
      <c r="IY12">
        <v>0</v>
      </c>
      <c r="IZ12" t="s">
        <v>271</v>
      </c>
      <c r="JA12">
        <v>0</v>
      </c>
      <c r="JB12" t="s">
        <v>271</v>
      </c>
      <c r="JC12">
        <v>0</v>
      </c>
      <c r="JD12">
        <v>0</v>
      </c>
      <c r="JE12">
        <v>0</v>
      </c>
      <c r="JF12">
        <v>0</v>
      </c>
      <c r="JG12">
        <v>0</v>
      </c>
      <c r="JH12">
        <v>0</v>
      </c>
      <c r="JI12">
        <v>0</v>
      </c>
      <c r="JJ12">
        <v>0</v>
      </c>
      <c r="JK12">
        <v>0</v>
      </c>
      <c r="JL12">
        <v>0</v>
      </c>
      <c r="JM12">
        <v>0</v>
      </c>
      <c r="JN12">
        <v>0</v>
      </c>
      <c r="JO12">
        <v>0</v>
      </c>
      <c r="JP12">
        <v>0</v>
      </c>
      <c r="JQ12">
        <v>0</v>
      </c>
      <c r="JR12">
        <v>0</v>
      </c>
      <c r="JS12">
        <v>0</v>
      </c>
      <c r="JT12">
        <v>0</v>
      </c>
      <c r="JU12">
        <v>0</v>
      </c>
      <c r="JV12">
        <v>0</v>
      </c>
      <c r="JW12">
        <v>0</v>
      </c>
      <c r="JX12" t="s">
        <v>271</v>
      </c>
      <c r="JY12">
        <v>0</v>
      </c>
      <c r="JZ12">
        <v>0</v>
      </c>
      <c r="KA12">
        <v>0</v>
      </c>
      <c r="KB12">
        <v>0</v>
      </c>
      <c r="KC12">
        <v>0</v>
      </c>
      <c r="KD12">
        <v>0</v>
      </c>
      <c r="KE12">
        <v>0</v>
      </c>
      <c r="KF12">
        <v>0</v>
      </c>
      <c r="KG12">
        <v>0</v>
      </c>
      <c r="KH12">
        <v>0</v>
      </c>
      <c r="KI12">
        <v>0</v>
      </c>
      <c r="KJ12">
        <v>0</v>
      </c>
      <c r="KK12">
        <v>0</v>
      </c>
      <c r="KL12">
        <v>0</v>
      </c>
      <c r="KM12">
        <v>0</v>
      </c>
      <c r="KN12">
        <v>0</v>
      </c>
      <c r="KO12">
        <v>0</v>
      </c>
      <c r="KP12">
        <v>0</v>
      </c>
      <c r="KQ12">
        <v>0</v>
      </c>
      <c r="KR12">
        <v>0</v>
      </c>
      <c r="KS12">
        <v>0</v>
      </c>
      <c r="KT12">
        <v>0</v>
      </c>
      <c r="KU12">
        <v>0</v>
      </c>
      <c r="KV12" t="s">
        <v>271</v>
      </c>
      <c r="KW12">
        <v>0</v>
      </c>
      <c r="KX12">
        <v>0</v>
      </c>
      <c r="KY12" t="s">
        <v>271</v>
      </c>
      <c r="KZ12">
        <v>0</v>
      </c>
      <c r="LA12">
        <v>0</v>
      </c>
      <c r="LB12">
        <v>0</v>
      </c>
      <c r="LC12">
        <v>0</v>
      </c>
      <c r="LD12">
        <v>0</v>
      </c>
      <c r="LE12">
        <v>0</v>
      </c>
      <c r="LF12">
        <v>0</v>
      </c>
      <c r="LG12">
        <v>0</v>
      </c>
      <c r="LH12">
        <v>0</v>
      </c>
      <c r="LI12">
        <v>0</v>
      </c>
      <c r="LJ12">
        <v>0</v>
      </c>
      <c r="LK12">
        <v>0</v>
      </c>
      <c r="LL12">
        <v>0</v>
      </c>
      <c r="LM12">
        <v>0</v>
      </c>
      <c r="LN12">
        <v>0</v>
      </c>
      <c r="LO12">
        <v>0</v>
      </c>
      <c r="LP12">
        <v>0</v>
      </c>
      <c r="LQ12">
        <v>0</v>
      </c>
      <c r="LR12">
        <v>0</v>
      </c>
      <c r="LS12">
        <v>0</v>
      </c>
      <c r="LT12" t="s">
        <v>271</v>
      </c>
      <c r="LU12">
        <v>0</v>
      </c>
      <c r="LV12">
        <v>0</v>
      </c>
      <c r="LW12">
        <v>0</v>
      </c>
      <c r="LX12">
        <v>0</v>
      </c>
      <c r="LY12">
        <v>0</v>
      </c>
      <c r="LZ12">
        <v>0</v>
      </c>
      <c r="MA12">
        <v>0</v>
      </c>
      <c r="MB12">
        <v>0</v>
      </c>
      <c r="MC12">
        <v>0</v>
      </c>
      <c r="MD12">
        <v>0</v>
      </c>
      <c r="ME12">
        <v>0</v>
      </c>
      <c r="MF12">
        <v>0</v>
      </c>
      <c r="MG12">
        <v>0</v>
      </c>
      <c r="MH12">
        <v>0</v>
      </c>
      <c r="MI12">
        <v>0</v>
      </c>
      <c r="MJ12">
        <v>0</v>
      </c>
      <c r="MK12">
        <v>0</v>
      </c>
      <c r="ML12">
        <v>0</v>
      </c>
      <c r="MM12">
        <v>0</v>
      </c>
      <c r="MN12">
        <v>0</v>
      </c>
      <c r="MO12">
        <v>0</v>
      </c>
      <c r="MP12">
        <v>0</v>
      </c>
      <c r="MQ12">
        <v>0</v>
      </c>
      <c r="MR12" t="s">
        <v>271</v>
      </c>
      <c r="MS12">
        <v>0</v>
      </c>
      <c r="MT12">
        <v>0</v>
      </c>
      <c r="MU12" t="s">
        <v>271</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t="s">
        <v>271</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t="s">
        <v>271</v>
      </c>
      <c r="OO12">
        <v>0</v>
      </c>
      <c r="OP12">
        <v>0</v>
      </c>
      <c r="OQ12" t="s">
        <v>271</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t="s">
        <v>271</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I12">
        <v>0</v>
      </c>
      <c r="QJ12" t="s">
        <v>271</v>
      </c>
      <c r="QK12">
        <v>0</v>
      </c>
      <c r="QL12">
        <v>0</v>
      </c>
      <c r="QM12" t="s">
        <v>271</v>
      </c>
      <c r="QN12">
        <v>0</v>
      </c>
      <c r="QO12">
        <v>0</v>
      </c>
      <c r="QP12">
        <v>0</v>
      </c>
      <c r="QQ12">
        <v>0</v>
      </c>
      <c r="QR12">
        <v>0</v>
      </c>
      <c r="QS12">
        <v>0</v>
      </c>
      <c r="QT12">
        <v>0</v>
      </c>
      <c r="QU12">
        <v>0</v>
      </c>
      <c r="QV12">
        <v>0</v>
      </c>
      <c r="QW12">
        <v>0</v>
      </c>
      <c r="QX12">
        <v>0</v>
      </c>
      <c r="QY12">
        <v>0</v>
      </c>
      <c r="QZ12">
        <v>0</v>
      </c>
      <c r="RA12">
        <v>0</v>
      </c>
      <c r="RB12">
        <v>0</v>
      </c>
      <c r="RC12">
        <v>0</v>
      </c>
      <c r="RD12">
        <v>0</v>
      </c>
      <c r="RE12">
        <v>0</v>
      </c>
      <c r="RF12">
        <v>0</v>
      </c>
      <c r="RG12">
        <v>0</v>
      </c>
      <c r="RH12" t="s">
        <v>271</v>
      </c>
      <c r="RI12">
        <v>0</v>
      </c>
      <c r="RJ12">
        <v>0</v>
      </c>
      <c r="RK12">
        <v>0</v>
      </c>
      <c r="RL12">
        <v>0</v>
      </c>
      <c r="RM12">
        <v>0</v>
      </c>
      <c r="RN12">
        <v>0</v>
      </c>
      <c r="RO12">
        <v>0</v>
      </c>
      <c r="RP12">
        <v>0</v>
      </c>
      <c r="RQ12">
        <v>0</v>
      </c>
      <c r="RR12">
        <v>0</v>
      </c>
      <c r="RS12">
        <v>0</v>
      </c>
      <c r="RT12">
        <v>0</v>
      </c>
      <c r="RU12">
        <v>0</v>
      </c>
      <c r="RV12">
        <v>0</v>
      </c>
      <c r="RW12">
        <v>0</v>
      </c>
      <c r="RX12">
        <v>0</v>
      </c>
      <c r="RY12">
        <v>0</v>
      </c>
      <c r="RZ12">
        <v>0</v>
      </c>
      <c r="SA12">
        <v>0</v>
      </c>
      <c r="SB12">
        <v>0</v>
      </c>
      <c r="SC12">
        <v>0</v>
      </c>
      <c r="SD12">
        <v>0</v>
      </c>
      <c r="SE12">
        <v>0</v>
      </c>
      <c r="SF12" t="s">
        <v>271</v>
      </c>
      <c r="SG12">
        <v>0</v>
      </c>
      <c r="SH12">
        <v>0</v>
      </c>
      <c r="SI12" t="s">
        <v>271</v>
      </c>
      <c r="SJ12">
        <v>0</v>
      </c>
      <c r="SK12">
        <v>0</v>
      </c>
      <c r="SL12">
        <v>0</v>
      </c>
      <c r="SM12">
        <v>0</v>
      </c>
      <c r="SN12">
        <v>0</v>
      </c>
      <c r="SO12">
        <v>0</v>
      </c>
      <c r="SP12">
        <v>0</v>
      </c>
      <c r="SQ12">
        <v>0</v>
      </c>
      <c r="SR12">
        <v>0</v>
      </c>
      <c r="SS12">
        <v>0</v>
      </c>
      <c r="ST12">
        <v>0</v>
      </c>
      <c r="SU12">
        <v>0</v>
      </c>
      <c r="SV12">
        <v>0</v>
      </c>
      <c r="SW12">
        <v>0</v>
      </c>
      <c r="SX12">
        <v>0</v>
      </c>
      <c r="SY12">
        <v>0</v>
      </c>
      <c r="SZ12">
        <v>0</v>
      </c>
      <c r="TA12">
        <v>0</v>
      </c>
      <c r="TB12">
        <v>0</v>
      </c>
      <c r="TC12">
        <v>0</v>
      </c>
      <c r="TD12" t="s">
        <v>271</v>
      </c>
      <c r="TE12">
        <v>0</v>
      </c>
      <c r="TF12">
        <v>0</v>
      </c>
      <c r="TG12">
        <v>0</v>
      </c>
      <c r="TH12">
        <v>0</v>
      </c>
      <c r="TI12">
        <v>0</v>
      </c>
      <c r="TJ12">
        <v>0</v>
      </c>
      <c r="TK12">
        <v>0</v>
      </c>
      <c r="TL12">
        <v>0</v>
      </c>
      <c r="TM12">
        <v>0</v>
      </c>
      <c r="TN12">
        <v>0</v>
      </c>
      <c r="TO12">
        <v>0</v>
      </c>
      <c r="TP12">
        <v>0</v>
      </c>
      <c r="TQ12">
        <v>0</v>
      </c>
      <c r="TR12">
        <v>0</v>
      </c>
      <c r="TS12">
        <v>0</v>
      </c>
      <c r="TT12">
        <v>0</v>
      </c>
      <c r="TU12">
        <v>0</v>
      </c>
      <c r="TV12">
        <v>0</v>
      </c>
      <c r="TW12">
        <v>0</v>
      </c>
      <c r="TX12">
        <v>0</v>
      </c>
      <c r="TY12">
        <v>0</v>
      </c>
      <c r="TZ12">
        <v>0</v>
      </c>
      <c r="UA12">
        <v>0</v>
      </c>
      <c r="UB12" t="s">
        <v>271</v>
      </c>
      <c r="UC12">
        <v>0</v>
      </c>
      <c r="UD12">
        <v>0</v>
      </c>
      <c r="UE12" t="s">
        <v>271</v>
      </c>
      <c r="UF12">
        <v>0</v>
      </c>
      <c r="UG12">
        <v>0</v>
      </c>
      <c r="UH12">
        <v>0</v>
      </c>
      <c r="UI12">
        <v>0</v>
      </c>
      <c r="UJ12">
        <v>0</v>
      </c>
      <c r="UK12">
        <v>0</v>
      </c>
      <c r="UL12">
        <v>0</v>
      </c>
      <c r="UM12">
        <v>0</v>
      </c>
      <c r="UN12">
        <v>0</v>
      </c>
      <c r="UO12">
        <v>0</v>
      </c>
      <c r="UP12">
        <v>0</v>
      </c>
      <c r="UQ12">
        <v>0</v>
      </c>
      <c r="UR12">
        <v>0</v>
      </c>
      <c r="US12">
        <v>0</v>
      </c>
      <c r="UT12">
        <v>0</v>
      </c>
      <c r="UU12">
        <v>0</v>
      </c>
      <c r="UV12">
        <v>0</v>
      </c>
      <c r="UW12">
        <v>0</v>
      </c>
      <c r="UX12">
        <v>0</v>
      </c>
      <c r="UY12">
        <v>0</v>
      </c>
      <c r="UZ12" t="s">
        <v>271</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t="s">
        <v>271</v>
      </c>
      <c r="VY12">
        <v>0</v>
      </c>
      <c r="VZ12">
        <v>0</v>
      </c>
      <c r="WA12" t="s">
        <v>271</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t="s">
        <v>271</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t="s">
        <v>271</v>
      </c>
      <c r="XU12">
        <v>0</v>
      </c>
      <c r="XV12">
        <v>0</v>
      </c>
      <c r="XW12" t="s">
        <v>271</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t="s">
        <v>271</v>
      </c>
      <c r="YS12">
        <v>0</v>
      </c>
      <c r="YT12">
        <v>0</v>
      </c>
      <c r="YU12">
        <v>0</v>
      </c>
      <c r="YV12">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t="s">
        <v>271</v>
      </c>
      <c r="ZQ12">
        <v>0</v>
      </c>
      <c r="ZR12">
        <v>0</v>
      </c>
      <c r="ZS12" t="s">
        <v>271</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t="s">
        <v>271</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t="s">
        <v>271</v>
      </c>
      <c r="ABM12">
        <v>0</v>
      </c>
      <c r="ABN12">
        <v>0</v>
      </c>
      <c r="ABO12" t="s">
        <v>271</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t="s">
        <v>271</v>
      </c>
      <c r="ACK12">
        <v>0</v>
      </c>
      <c r="ACL12">
        <v>0</v>
      </c>
      <c r="ACM12">
        <v>0</v>
      </c>
      <c r="ACN12">
        <v>0</v>
      </c>
      <c r="ACO12">
        <v>0</v>
      </c>
      <c r="ACP12">
        <v>0</v>
      </c>
      <c r="ACQ12">
        <v>0</v>
      </c>
      <c r="ACR12">
        <v>0</v>
      </c>
      <c r="ACS12">
        <v>0</v>
      </c>
      <c r="ACT12">
        <v>0</v>
      </c>
      <c r="ACU12">
        <v>0</v>
      </c>
      <c r="ACV12">
        <v>0</v>
      </c>
      <c r="ACW12">
        <v>0</v>
      </c>
      <c r="ACX12">
        <v>0</v>
      </c>
      <c r="ACY12">
        <v>0</v>
      </c>
      <c r="ACZ12">
        <v>0</v>
      </c>
      <c r="ADA12">
        <v>0</v>
      </c>
      <c r="ADB12">
        <v>0</v>
      </c>
      <c r="ADC12">
        <v>0</v>
      </c>
      <c r="ADD12">
        <v>0</v>
      </c>
      <c r="ADE12">
        <v>0</v>
      </c>
      <c r="ADF12">
        <v>0</v>
      </c>
      <c r="ADG12">
        <v>0</v>
      </c>
      <c r="ADH12" t="s">
        <v>271</v>
      </c>
      <c r="ADI12">
        <v>0</v>
      </c>
      <c r="ADJ12">
        <v>0</v>
      </c>
      <c r="ADK12" t="s">
        <v>271</v>
      </c>
      <c r="ADL12">
        <v>0</v>
      </c>
      <c r="ADM12">
        <v>0</v>
      </c>
      <c r="ADN12">
        <v>0</v>
      </c>
      <c r="ADO12">
        <v>0</v>
      </c>
      <c r="ADP12">
        <v>0</v>
      </c>
      <c r="ADQ12">
        <v>0</v>
      </c>
      <c r="ADR12">
        <v>0</v>
      </c>
      <c r="ADS12">
        <v>0</v>
      </c>
      <c r="ADT12">
        <v>0</v>
      </c>
      <c r="ADU12">
        <v>0</v>
      </c>
      <c r="ADV12">
        <v>0</v>
      </c>
      <c r="ADW12">
        <v>0</v>
      </c>
      <c r="ADX12">
        <v>0</v>
      </c>
      <c r="ADY12">
        <v>0</v>
      </c>
      <c r="ADZ12">
        <v>0</v>
      </c>
      <c r="AEA12">
        <v>0</v>
      </c>
      <c r="AEB12">
        <v>0</v>
      </c>
      <c r="AEC12">
        <v>0</v>
      </c>
      <c r="AED12">
        <v>0</v>
      </c>
      <c r="AEE12">
        <v>0</v>
      </c>
      <c r="AEF12" t="s">
        <v>271</v>
      </c>
      <c r="AEG12">
        <v>0</v>
      </c>
      <c r="AEH12">
        <v>0</v>
      </c>
      <c r="AEI12">
        <v>0</v>
      </c>
      <c r="AEJ12">
        <v>0</v>
      </c>
      <c r="AEK12">
        <v>0</v>
      </c>
      <c r="AEL12">
        <v>0</v>
      </c>
      <c r="AEM12">
        <v>0</v>
      </c>
      <c r="AEN12">
        <v>0</v>
      </c>
      <c r="AEO12">
        <v>0</v>
      </c>
      <c r="AEP12">
        <v>0</v>
      </c>
      <c r="AEQ12">
        <v>0</v>
      </c>
      <c r="AER12">
        <v>0</v>
      </c>
      <c r="AES12">
        <v>0</v>
      </c>
      <c r="AET12">
        <v>0</v>
      </c>
      <c r="AEU12">
        <v>0</v>
      </c>
      <c r="AEV12">
        <v>0</v>
      </c>
      <c r="AEW12">
        <v>0</v>
      </c>
      <c r="AEX12">
        <v>0</v>
      </c>
      <c r="AEY12">
        <v>0</v>
      </c>
      <c r="AEZ12">
        <v>0</v>
      </c>
      <c r="AFA12">
        <v>0</v>
      </c>
      <c r="AFB12">
        <v>0</v>
      </c>
      <c r="AFC12">
        <v>0</v>
      </c>
      <c r="AFD12" t="s">
        <v>271</v>
      </c>
      <c r="AFE12">
        <v>0</v>
      </c>
      <c r="AFF12">
        <v>0</v>
      </c>
      <c r="AFG12" t="s">
        <v>271</v>
      </c>
      <c r="AFH12">
        <v>0</v>
      </c>
      <c r="AFI12">
        <v>0</v>
      </c>
      <c r="AFJ12">
        <v>0</v>
      </c>
      <c r="AFK12">
        <v>0</v>
      </c>
      <c r="AFL12">
        <v>0</v>
      </c>
      <c r="AFM12">
        <v>0</v>
      </c>
      <c r="AFN12">
        <v>0</v>
      </c>
      <c r="AFO12">
        <v>0</v>
      </c>
      <c r="AFP12">
        <v>0</v>
      </c>
      <c r="AFQ12">
        <v>0</v>
      </c>
      <c r="AFR12">
        <v>0</v>
      </c>
      <c r="AFS12">
        <v>0</v>
      </c>
      <c r="AFT12">
        <v>0</v>
      </c>
      <c r="AFU12">
        <v>0</v>
      </c>
      <c r="AFV12">
        <v>0</v>
      </c>
      <c r="AFW12">
        <v>0</v>
      </c>
      <c r="AFX12">
        <v>0</v>
      </c>
      <c r="AFY12">
        <v>0</v>
      </c>
      <c r="AFZ12">
        <v>0</v>
      </c>
      <c r="AGA12">
        <v>0</v>
      </c>
      <c r="AGB12" t="s">
        <v>271</v>
      </c>
      <c r="AGC12">
        <v>0</v>
      </c>
      <c r="AGD12">
        <v>0</v>
      </c>
      <c r="AGE12">
        <v>0</v>
      </c>
      <c r="AGF12">
        <v>0</v>
      </c>
      <c r="AGG12">
        <v>0</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t="s">
        <v>271</v>
      </c>
      <c r="AHA12">
        <v>0</v>
      </c>
      <c r="AHB12">
        <v>0</v>
      </c>
      <c r="AHC12" t="s">
        <v>271</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t="s">
        <v>271</v>
      </c>
      <c r="AHY12">
        <v>0</v>
      </c>
      <c r="AHZ12">
        <v>0</v>
      </c>
      <c r="AIA12">
        <v>0</v>
      </c>
      <c r="AIB12">
        <v>0</v>
      </c>
      <c r="AIC12">
        <v>0</v>
      </c>
      <c r="AID12">
        <v>0</v>
      </c>
      <c r="AIE12">
        <v>0</v>
      </c>
      <c r="AIF12">
        <v>0</v>
      </c>
      <c r="AIG12">
        <v>0</v>
      </c>
      <c r="AIH12">
        <v>0</v>
      </c>
      <c r="AII12">
        <v>0</v>
      </c>
      <c r="AIJ12">
        <v>0</v>
      </c>
      <c r="AIK12">
        <v>0</v>
      </c>
      <c r="AIL12">
        <v>0</v>
      </c>
      <c r="AIM12">
        <v>0</v>
      </c>
      <c r="AIN12">
        <v>0</v>
      </c>
      <c r="AIO12">
        <v>0</v>
      </c>
      <c r="AIP12">
        <v>0</v>
      </c>
      <c r="AIQ12">
        <v>0</v>
      </c>
      <c r="AIR12">
        <v>0</v>
      </c>
      <c r="AIS12">
        <v>0</v>
      </c>
      <c r="AIT12">
        <v>0</v>
      </c>
      <c r="AIU12">
        <v>0</v>
      </c>
      <c r="AIV12" t="s">
        <v>271</v>
      </c>
      <c r="AIW12">
        <v>0</v>
      </c>
      <c r="AIX12">
        <v>0</v>
      </c>
      <c r="AIY12" t="s">
        <v>271</v>
      </c>
      <c r="AIZ12">
        <v>0</v>
      </c>
      <c r="AJA12">
        <v>0</v>
      </c>
      <c r="AJB12">
        <v>0</v>
      </c>
      <c r="AJC12">
        <v>0</v>
      </c>
      <c r="AJD12">
        <v>0</v>
      </c>
      <c r="AJE12">
        <v>0</v>
      </c>
      <c r="AJF12">
        <v>0</v>
      </c>
      <c r="AJG12">
        <v>0</v>
      </c>
      <c r="AJH12">
        <v>0</v>
      </c>
      <c r="AJI12">
        <v>0</v>
      </c>
      <c r="AJJ12">
        <v>0</v>
      </c>
      <c r="AJK12">
        <v>0</v>
      </c>
      <c r="AJL12">
        <v>0</v>
      </c>
      <c r="AJM12">
        <v>0</v>
      </c>
      <c r="AJN12">
        <v>0</v>
      </c>
      <c r="AJO12">
        <v>0</v>
      </c>
      <c r="AJP12">
        <v>0</v>
      </c>
      <c r="AJQ12">
        <v>0</v>
      </c>
      <c r="AJR12">
        <v>0</v>
      </c>
      <c r="AJS12">
        <v>0</v>
      </c>
      <c r="AJT12" t="s">
        <v>271</v>
      </c>
      <c r="AJU12">
        <v>0</v>
      </c>
      <c r="AJV12">
        <v>0</v>
      </c>
      <c r="AJW12">
        <v>0</v>
      </c>
      <c r="AJX12">
        <v>0</v>
      </c>
      <c r="AJY12">
        <v>0</v>
      </c>
      <c r="AJZ12">
        <v>0</v>
      </c>
      <c r="AKA12">
        <v>0</v>
      </c>
      <c r="AKB12">
        <v>0</v>
      </c>
      <c r="AKC12">
        <v>0</v>
      </c>
      <c r="AKD12">
        <v>0</v>
      </c>
      <c r="AKE12">
        <v>0</v>
      </c>
      <c r="AKF12">
        <v>0</v>
      </c>
      <c r="AKG12">
        <v>0</v>
      </c>
      <c r="AKH12">
        <v>0</v>
      </c>
      <c r="AKI12">
        <v>0</v>
      </c>
      <c r="AKJ12">
        <v>0</v>
      </c>
      <c r="AKK12">
        <v>0</v>
      </c>
      <c r="AKL12">
        <v>0</v>
      </c>
      <c r="AKM12">
        <v>0</v>
      </c>
      <c r="AKN12">
        <v>0</v>
      </c>
      <c r="AKO12">
        <v>0</v>
      </c>
      <c r="AKP12">
        <v>0</v>
      </c>
      <c r="AKQ12">
        <v>0</v>
      </c>
      <c r="AKR12" t="s">
        <v>271</v>
      </c>
      <c r="AKS12">
        <v>0</v>
      </c>
      <c r="AKT12">
        <v>0</v>
      </c>
      <c r="AKU12" t="s">
        <v>271</v>
      </c>
      <c r="AKV12">
        <v>0</v>
      </c>
      <c r="AKW12">
        <v>0</v>
      </c>
      <c r="AKX12">
        <v>0</v>
      </c>
      <c r="AKY12">
        <v>0</v>
      </c>
      <c r="AKZ12">
        <v>0</v>
      </c>
      <c r="ALA12">
        <v>0</v>
      </c>
      <c r="ALB12">
        <v>0</v>
      </c>
      <c r="ALC12">
        <v>0</v>
      </c>
      <c r="ALD12">
        <v>0</v>
      </c>
      <c r="ALE12">
        <v>0</v>
      </c>
      <c r="ALF12">
        <v>0</v>
      </c>
      <c r="ALG12">
        <v>0</v>
      </c>
      <c r="ALH12">
        <v>0</v>
      </c>
      <c r="ALI12">
        <v>0</v>
      </c>
      <c r="ALJ12">
        <v>0</v>
      </c>
      <c r="ALK12">
        <v>0</v>
      </c>
      <c r="ALL12">
        <v>0</v>
      </c>
      <c r="ALM12">
        <v>0</v>
      </c>
      <c r="ALN12">
        <v>0</v>
      </c>
      <c r="ALO12">
        <v>0</v>
      </c>
      <c r="ALP12" t="s">
        <v>271</v>
      </c>
      <c r="ALQ12">
        <v>0</v>
      </c>
      <c r="ALR12">
        <v>0</v>
      </c>
      <c r="ALS12">
        <v>0</v>
      </c>
      <c r="ALT12">
        <v>0</v>
      </c>
      <c r="ALU12">
        <v>0</v>
      </c>
      <c r="ALV12">
        <v>0</v>
      </c>
      <c r="ALW12">
        <v>0</v>
      </c>
      <c r="ALX12">
        <v>0</v>
      </c>
      <c r="ALY12">
        <v>0</v>
      </c>
      <c r="ALZ12">
        <v>0</v>
      </c>
      <c r="AMA12">
        <v>0</v>
      </c>
      <c r="AMB12">
        <v>0</v>
      </c>
      <c r="AMC12">
        <v>0</v>
      </c>
      <c r="AMD12">
        <v>0</v>
      </c>
      <c r="AME12">
        <v>0</v>
      </c>
      <c r="AMF12">
        <v>0</v>
      </c>
      <c r="AMG12">
        <v>0</v>
      </c>
      <c r="AMH12">
        <v>0</v>
      </c>
      <c r="AMI12">
        <v>0</v>
      </c>
      <c r="AMJ12">
        <v>0</v>
      </c>
      <c r="AMK12">
        <v>0</v>
      </c>
      <c r="AML12">
        <v>0</v>
      </c>
      <c r="AMM12">
        <v>0</v>
      </c>
      <c r="AMN12" t="s">
        <v>271</v>
      </c>
      <c r="AMO12">
        <v>0</v>
      </c>
      <c r="AMP12">
        <v>0</v>
      </c>
      <c r="AMQ12" t="s">
        <v>271</v>
      </c>
      <c r="AMR12">
        <v>0</v>
      </c>
      <c r="AMS12">
        <v>0</v>
      </c>
      <c r="AMT12">
        <v>0</v>
      </c>
      <c r="AMU12">
        <v>0</v>
      </c>
      <c r="AMV12">
        <v>0</v>
      </c>
      <c r="AMW12">
        <v>0</v>
      </c>
      <c r="AMX12">
        <v>0</v>
      </c>
      <c r="AMY12">
        <v>0</v>
      </c>
      <c r="AMZ12">
        <v>0</v>
      </c>
      <c r="ANA12">
        <v>0</v>
      </c>
      <c r="ANB12">
        <v>0</v>
      </c>
      <c r="ANC12">
        <v>0</v>
      </c>
      <c r="AND12">
        <v>0</v>
      </c>
      <c r="ANE12">
        <v>0</v>
      </c>
      <c r="ANF12">
        <v>0</v>
      </c>
      <c r="ANG12">
        <v>0</v>
      </c>
      <c r="ANH12">
        <v>0</v>
      </c>
      <c r="ANI12">
        <v>0</v>
      </c>
      <c r="ANJ12">
        <v>0</v>
      </c>
      <c r="ANK12">
        <v>0</v>
      </c>
      <c r="ANL12" t="s">
        <v>271</v>
      </c>
      <c r="ANM12">
        <v>0</v>
      </c>
      <c r="ANN12">
        <v>0</v>
      </c>
      <c r="ANO12">
        <v>0</v>
      </c>
      <c r="ANP12">
        <v>0</v>
      </c>
      <c r="ANQ12">
        <v>0</v>
      </c>
      <c r="ANR12">
        <v>0</v>
      </c>
      <c r="ANS12">
        <v>0</v>
      </c>
      <c r="ANT12">
        <v>0</v>
      </c>
      <c r="ANU12">
        <v>0</v>
      </c>
      <c r="ANV12">
        <v>0</v>
      </c>
      <c r="ANW12">
        <v>0</v>
      </c>
      <c r="ANX12">
        <v>0</v>
      </c>
      <c r="ANY12">
        <v>0</v>
      </c>
      <c r="ANZ12">
        <v>0</v>
      </c>
      <c r="AOA12">
        <v>0</v>
      </c>
      <c r="AOB12">
        <v>0</v>
      </c>
      <c r="AOC12">
        <v>0</v>
      </c>
      <c r="AOD12">
        <v>0</v>
      </c>
      <c r="AOE12">
        <v>0</v>
      </c>
      <c r="AOF12">
        <v>0</v>
      </c>
      <c r="AOG12">
        <v>0</v>
      </c>
      <c r="AOH12">
        <v>0</v>
      </c>
      <c r="AOI12">
        <v>0</v>
      </c>
      <c r="AOJ12" t="s">
        <v>271</v>
      </c>
      <c r="AOK12">
        <v>0</v>
      </c>
      <c r="AOL12">
        <v>0</v>
      </c>
      <c r="AOM12" t="s">
        <v>271</v>
      </c>
      <c r="AON12">
        <v>0</v>
      </c>
      <c r="AOO12">
        <v>0</v>
      </c>
      <c r="AOP12">
        <v>0</v>
      </c>
      <c r="AOQ12">
        <v>0</v>
      </c>
      <c r="AOR12">
        <v>0</v>
      </c>
      <c r="AOS12">
        <v>0</v>
      </c>
      <c r="AOT12">
        <v>0</v>
      </c>
      <c r="AOU12">
        <v>0</v>
      </c>
      <c r="AOV12">
        <v>0</v>
      </c>
      <c r="AOW12">
        <v>0</v>
      </c>
      <c r="AOX12">
        <v>0</v>
      </c>
      <c r="AOY12">
        <v>0</v>
      </c>
      <c r="AOZ12">
        <v>0</v>
      </c>
      <c r="APA12">
        <v>0</v>
      </c>
      <c r="APB12">
        <v>0</v>
      </c>
      <c r="APC12">
        <v>0</v>
      </c>
      <c r="APD12">
        <v>0</v>
      </c>
      <c r="APE12">
        <v>0</v>
      </c>
      <c r="APF12">
        <v>0</v>
      </c>
      <c r="APG12">
        <v>0</v>
      </c>
      <c r="APH12" t="s">
        <v>271</v>
      </c>
      <c r="API12">
        <v>0</v>
      </c>
      <c r="APJ12">
        <v>0</v>
      </c>
      <c r="APK12">
        <v>0</v>
      </c>
      <c r="APL12">
        <v>0</v>
      </c>
      <c r="APM12">
        <v>0</v>
      </c>
      <c r="APN12">
        <v>0</v>
      </c>
      <c r="APO12">
        <v>0</v>
      </c>
      <c r="APP12">
        <v>0</v>
      </c>
      <c r="APQ12">
        <v>0</v>
      </c>
      <c r="APR12">
        <v>0</v>
      </c>
      <c r="APS12">
        <v>0</v>
      </c>
      <c r="APT12">
        <v>0</v>
      </c>
      <c r="APU12">
        <v>0</v>
      </c>
      <c r="APV12">
        <v>0</v>
      </c>
      <c r="APW12">
        <v>0</v>
      </c>
      <c r="APX12">
        <v>0</v>
      </c>
      <c r="APY12">
        <v>0</v>
      </c>
      <c r="APZ12">
        <v>0</v>
      </c>
      <c r="AQA12">
        <v>0</v>
      </c>
      <c r="AQB12">
        <v>0</v>
      </c>
      <c r="AQC12">
        <v>0</v>
      </c>
      <c r="AQD12">
        <v>0</v>
      </c>
      <c r="AQE12">
        <v>0</v>
      </c>
      <c r="AQF12" t="s">
        <v>271</v>
      </c>
      <c r="AQG12">
        <v>0</v>
      </c>
      <c r="AQH12">
        <v>0</v>
      </c>
      <c r="AQI12" t="s">
        <v>271</v>
      </c>
      <c r="AQJ12">
        <v>0</v>
      </c>
      <c r="AQK12">
        <v>0</v>
      </c>
      <c r="AQL12">
        <v>0</v>
      </c>
      <c r="AQM12">
        <v>0</v>
      </c>
      <c r="AQN12">
        <v>0</v>
      </c>
      <c r="AQO12">
        <v>0</v>
      </c>
      <c r="AQP12">
        <v>0</v>
      </c>
      <c r="AQQ12">
        <v>0</v>
      </c>
      <c r="AQR12">
        <v>0</v>
      </c>
      <c r="AQS12">
        <v>0</v>
      </c>
      <c r="AQT12">
        <v>0</v>
      </c>
      <c r="AQU12">
        <v>0</v>
      </c>
      <c r="AQV12">
        <v>0</v>
      </c>
      <c r="AQW12">
        <v>0</v>
      </c>
      <c r="AQX12">
        <v>0</v>
      </c>
      <c r="AQY12">
        <v>0</v>
      </c>
      <c r="AQZ12">
        <v>0</v>
      </c>
      <c r="ARA12">
        <v>0</v>
      </c>
      <c r="ARB12">
        <v>0</v>
      </c>
      <c r="ARC12">
        <v>0</v>
      </c>
      <c r="ARD12" t="s">
        <v>271</v>
      </c>
      <c r="ARE12">
        <v>0</v>
      </c>
      <c r="ARF12">
        <v>0</v>
      </c>
      <c r="ARG12">
        <v>0</v>
      </c>
      <c r="ARH12">
        <v>0</v>
      </c>
      <c r="ARI12">
        <v>0</v>
      </c>
      <c r="ARJ12">
        <v>0</v>
      </c>
      <c r="ARK12">
        <v>0</v>
      </c>
      <c r="ARL12">
        <v>0</v>
      </c>
      <c r="ARM12">
        <v>0</v>
      </c>
      <c r="ARN12">
        <v>0</v>
      </c>
      <c r="ARO12">
        <v>0</v>
      </c>
      <c r="ARP12">
        <v>0</v>
      </c>
      <c r="ARQ12">
        <v>0</v>
      </c>
      <c r="ARR12">
        <v>0</v>
      </c>
      <c r="ARS12">
        <v>0</v>
      </c>
      <c r="ART12">
        <v>0</v>
      </c>
      <c r="ARU12">
        <v>0</v>
      </c>
      <c r="ARV12">
        <v>0</v>
      </c>
      <c r="ARW12">
        <v>0</v>
      </c>
      <c r="ARX12">
        <v>0</v>
      </c>
      <c r="ARY12">
        <v>0</v>
      </c>
      <c r="ARZ12">
        <v>0</v>
      </c>
      <c r="ASA12">
        <v>0</v>
      </c>
      <c r="ASB12" t="s">
        <v>271</v>
      </c>
      <c r="ASC12">
        <v>0</v>
      </c>
      <c r="ASD12">
        <v>0</v>
      </c>
      <c r="ASE12" t="s">
        <v>271</v>
      </c>
      <c r="ASF12">
        <v>0</v>
      </c>
      <c r="ASG12">
        <v>0</v>
      </c>
      <c r="ASH12">
        <v>0</v>
      </c>
      <c r="ASI12">
        <v>0</v>
      </c>
      <c r="ASJ12">
        <v>0</v>
      </c>
      <c r="ASK12">
        <v>0</v>
      </c>
      <c r="ASL12">
        <v>0</v>
      </c>
      <c r="ASM12">
        <v>0</v>
      </c>
      <c r="ASN12">
        <v>0</v>
      </c>
      <c r="ASO12">
        <v>0</v>
      </c>
      <c r="ASP12">
        <v>0</v>
      </c>
      <c r="ASQ12">
        <v>0</v>
      </c>
      <c r="ASR12">
        <v>0</v>
      </c>
      <c r="ASS12">
        <v>0</v>
      </c>
      <c r="AST12">
        <v>0</v>
      </c>
      <c r="ASU12">
        <v>0</v>
      </c>
      <c r="ASV12">
        <v>0</v>
      </c>
      <c r="ASW12">
        <v>0</v>
      </c>
      <c r="ASX12">
        <v>0</v>
      </c>
      <c r="ASY12">
        <v>0</v>
      </c>
      <c r="ASZ12" t="s">
        <v>271</v>
      </c>
      <c r="ATA12">
        <v>0</v>
      </c>
      <c r="ATB12">
        <v>0</v>
      </c>
      <c r="ATC12">
        <v>0</v>
      </c>
      <c r="ATD12">
        <v>0</v>
      </c>
      <c r="ATE12">
        <v>0</v>
      </c>
      <c r="ATF12">
        <v>0</v>
      </c>
      <c r="ATG12">
        <v>0</v>
      </c>
      <c r="ATH12">
        <v>0</v>
      </c>
      <c r="ATI12">
        <v>0</v>
      </c>
      <c r="ATJ12">
        <v>0</v>
      </c>
      <c r="ATK12">
        <v>0</v>
      </c>
      <c r="ATL12">
        <v>0</v>
      </c>
      <c r="ATM12">
        <v>0</v>
      </c>
      <c r="ATN12">
        <v>0</v>
      </c>
      <c r="ATO12">
        <v>0</v>
      </c>
      <c r="ATP12">
        <v>0</v>
      </c>
      <c r="ATQ12">
        <v>0</v>
      </c>
      <c r="ATR12">
        <v>0</v>
      </c>
      <c r="ATS12">
        <v>0</v>
      </c>
      <c r="ATT12">
        <v>0</v>
      </c>
      <c r="ATU12">
        <v>0</v>
      </c>
      <c r="ATV12">
        <v>0</v>
      </c>
      <c r="ATW12">
        <v>0</v>
      </c>
      <c r="ATX12" t="s">
        <v>271</v>
      </c>
      <c r="ATY12">
        <v>0</v>
      </c>
      <c r="ATZ12">
        <v>0</v>
      </c>
      <c r="AUA12" t="s">
        <v>271</v>
      </c>
      <c r="AUB12">
        <v>0</v>
      </c>
      <c r="AUC12">
        <v>0</v>
      </c>
      <c r="AUD12">
        <v>0</v>
      </c>
      <c r="AUE12">
        <v>0</v>
      </c>
      <c r="AUF12">
        <v>0</v>
      </c>
      <c r="AUG12">
        <v>0</v>
      </c>
      <c r="AUH12">
        <v>0</v>
      </c>
      <c r="AUI12">
        <v>0</v>
      </c>
      <c r="AUJ12">
        <v>0</v>
      </c>
      <c r="AUK12">
        <v>0</v>
      </c>
      <c r="AUL12">
        <v>0</v>
      </c>
      <c r="AUM12">
        <v>0</v>
      </c>
      <c r="AUN12">
        <v>0</v>
      </c>
      <c r="AUO12">
        <v>0</v>
      </c>
      <c r="AUP12">
        <v>0</v>
      </c>
      <c r="AUQ12">
        <v>0</v>
      </c>
      <c r="AUR12">
        <v>0</v>
      </c>
      <c r="AUS12">
        <v>0</v>
      </c>
      <c r="AUT12">
        <v>0</v>
      </c>
      <c r="AUU12">
        <v>0</v>
      </c>
      <c r="AUV12" t="s">
        <v>271</v>
      </c>
      <c r="AUW12">
        <v>0</v>
      </c>
      <c r="AUX12">
        <v>0</v>
      </c>
      <c r="AUY12">
        <v>0</v>
      </c>
      <c r="AUZ12">
        <v>0</v>
      </c>
      <c r="AVA12">
        <v>0</v>
      </c>
      <c r="AVB12">
        <v>0</v>
      </c>
      <c r="AVC12">
        <v>0</v>
      </c>
      <c r="AVD12">
        <v>0</v>
      </c>
      <c r="AVE12">
        <v>0</v>
      </c>
      <c r="AVF12">
        <v>0</v>
      </c>
      <c r="AVG12">
        <v>0</v>
      </c>
      <c r="AVH12">
        <v>0</v>
      </c>
      <c r="AVI12">
        <v>0</v>
      </c>
      <c r="AVJ12">
        <v>0</v>
      </c>
      <c r="AVK12">
        <v>0</v>
      </c>
      <c r="AVL12">
        <v>0</v>
      </c>
      <c r="AVM12">
        <v>0</v>
      </c>
      <c r="AVN12">
        <v>0</v>
      </c>
      <c r="AVO12">
        <v>0</v>
      </c>
      <c r="AVP12">
        <v>0</v>
      </c>
      <c r="AVQ12">
        <v>0</v>
      </c>
      <c r="AVR12">
        <v>0</v>
      </c>
      <c r="AVS12">
        <v>0</v>
      </c>
      <c r="AVT12" t="s">
        <v>271</v>
      </c>
      <c r="AVU12">
        <v>0</v>
      </c>
      <c r="AVV12">
        <v>0</v>
      </c>
      <c r="AVW12" t="s">
        <v>271</v>
      </c>
      <c r="AVX12">
        <v>0</v>
      </c>
      <c r="AVY12">
        <v>0</v>
      </c>
      <c r="AVZ12">
        <v>0</v>
      </c>
      <c r="AWA12">
        <v>0</v>
      </c>
      <c r="AWB12">
        <v>0</v>
      </c>
      <c r="AWC12">
        <v>0</v>
      </c>
      <c r="AWD12">
        <v>0</v>
      </c>
      <c r="AWE12">
        <v>0</v>
      </c>
      <c r="AWF12">
        <v>0</v>
      </c>
      <c r="AWG12">
        <v>0</v>
      </c>
      <c r="AWH12">
        <v>0</v>
      </c>
      <c r="AWI12">
        <v>0</v>
      </c>
      <c r="AWJ12">
        <v>0</v>
      </c>
      <c r="AWK12">
        <v>0</v>
      </c>
      <c r="AWL12">
        <v>0</v>
      </c>
      <c r="AWM12">
        <v>0</v>
      </c>
      <c r="AWN12">
        <v>0</v>
      </c>
      <c r="AWO12">
        <v>0</v>
      </c>
      <c r="AWP12">
        <v>0</v>
      </c>
      <c r="AWQ12">
        <v>0</v>
      </c>
      <c r="AWR12" t="s">
        <v>271</v>
      </c>
      <c r="AWS12">
        <v>0</v>
      </c>
      <c r="AWT12">
        <v>0</v>
      </c>
      <c r="AWU12">
        <v>0</v>
      </c>
      <c r="AWV12">
        <v>0</v>
      </c>
      <c r="AWW12">
        <v>0</v>
      </c>
      <c r="AWX12">
        <v>0</v>
      </c>
      <c r="AWY12">
        <v>0</v>
      </c>
      <c r="AWZ12">
        <v>0</v>
      </c>
      <c r="AXA12">
        <v>0</v>
      </c>
      <c r="AXB12">
        <v>0</v>
      </c>
      <c r="AXC12">
        <v>0</v>
      </c>
      <c r="AXD12">
        <v>0</v>
      </c>
      <c r="AXE12">
        <v>0</v>
      </c>
      <c r="AXF12">
        <v>0</v>
      </c>
      <c r="AXG12">
        <v>0</v>
      </c>
      <c r="AXH12">
        <v>0</v>
      </c>
      <c r="AXI12">
        <v>0</v>
      </c>
      <c r="AXJ12">
        <v>0</v>
      </c>
      <c r="AXK12">
        <v>0</v>
      </c>
      <c r="AXL12">
        <v>0</v>
      </c>
      <c r="AXM12">
        <v>0</v>
      </c>
      <c r="AXN12">
        <v>0</v>
      </c>
      <c r="AXO12">
        <v>0</v>
      </c>
      <c r="AXP12" t="s">
        <v>271</v>
      </c>
      <c r="AXQ12">
        <v>0</v>
      </c>
      <c r="AXR12">
        <v>0</v>
      </c>
      <c r="AXS12" t="s">
        <v>271</v>
      </c>
      <c r="AXT12">
        <v>0</v>
      </c>
      <c r="AXU12">
        <v>0</v>
      </c>
      <c r="AXV12">
        <v>0</v>
      </c>
      <c r="AXW12">
        <v>0</v>
      </c>
      <c r="AXX12">
        <v>0</v>
      </c>
      <c r="AXY12">
        <v>0</v>
      </c>
      <c r="AXZ12">
        <v>0</v>
      </c>
      <c r="AYA12">
        <v>0</v>
      </c>
      <c r="AYB12">
        <v>0</v>
      </c>
      <c r="AYC12">
        <v>0</v>
      </c>
      <c r="AYD12">
        <v>0</v>
      </c>
      <c r="AYE12">
        <v>0</v>
      </c>
      <c r="AYF12">
        <v>0</v>
      </c>
      <c r="AYG12">
        <v>0</v>
      </c>
      <c r="AYH12">
        <v>0</v>
      </c>
      <c r="AYI12">
        <v>0</v>
      </c>
      <c r="AYJ12">
        <v>0</v>
      </c>
      <c r="AYK12">
        <v>0</v>
      </c>
      <c r="AYL12">
        <v>0</v>
      </c>
      <c r="AYM12">
        <v>0</v>
      </c>
      <c r="AYN12" t="s">
        <v>271</v>
      </c>
      <c r="AYO12">
        <v>0</v>
      </c>
      <c r="AYP12">
        <v>0</v>
      </c>
      <c r="AYQ12">
        <v>0</v>
      </c>
      <c r="AYR12">
        <v>0</v>
      </c>
      <c r="AYS12">
        <v>0</v>
      </c>
      <c r="AYT12">
        <v>0</v>
      </c>
      <c r="AYU12">
        <v>0</v>
      </c>
      <c r="AYV12">
        <v>0</v>
      </c>
      <c r="AYW12">
        <v>0</v>
      </c>
      <c r="AYX12">
        <v>0</v>
      </c>
      <c r="AYY12">
        <v>0</v>
      </c>
      <c r="AYZ12">
        <v>0</v>
      </c>
      <c r="AZA12">
        <v>0</v>
      </c>
      <c r="AZB12">
        <v>0</v>
      </c>
      <c r="AZC12">
        <v>0</v>
      </c>
      <c r="AZD12">
        <v>0</v>
      </c>
      <c r="AZE12">
        <v>0</v>
      </c>
      <c r="AZF12">
        <v>0</v>
      </c>
      <c r="AZG12">
        <v>0</v>
      </c>
      <c r="AZH12">
        <v>0</v>
      </c>
      <c r="AZI12">
        <v>0</v>
      </c>
      <c r="AZJ12">
        <v>0</v>
      </c>
      <c r="AZK12">
        <v>0</v>
      </c>
      <c r="AZL12" t="s">
        <v>271</v>
      </c>
      <c r="AZM12">
        <v>0</v>
      </c>
      <c r="AZN12">
        <v>0</v>
      </c>
      <c r="AZO12" t="s">
        <v>271</v>
      </c>
      <c r="AZP12">
        <v>0</v>
      </c>
      <c r="AZQ12">
        <v>0</v>
      </c>
      <c r="AZR12">
        <v>0</v>
      </c>
      <c r="AZS12">
        <v>0</v>
      </c>
      <c r="AZT12">
        <v>0</v>
      </c>
      <c r="AZU12">
        <v>0</v>
      </c>
      <c r="AZV12">
        <v>0</v>
      </c>
      <c r="AZW12">
        <v>0</v>
      </c>
      <c r="AZX12">
        <v>0</v>
      </c>
      <c r="AZY12">
        <v>0</v>
      </c>
      <c r="AZZ12">
        <v>0</v>
      </c>
      <c r="BAA12">
        <v>0</v>
      </c>
      <c r="BAB12">
        <v>0</v>
      </c>
      <c r="BAC12">
        <v>0</v>
      </c>
      <c r="BAD12">
        <v>0</v>
      </c>
      <c r="BAE12">
        <v>0</v>
      </c>
      <c r="BAF12">
        <v>0</v>
      </c>
      <c r="BAG12">
        <v>0</v>
      </c>
      <c r="BAH12">
        <v>0</v>
      </c>
      <c r="BAI12">
        <v>0</v>
      </c>
      <c r="BAJ12" t="s">
        <v>271</v>
      </c>
      <c r="BAK12">
        <v>1006715</v>
      </c>
      <c r="BAL12">
        <v>5244.23</v>
      </c>
      <c r="BAM12">
        <v>4310.2299999999996</v>
      </c>
      <c r="BAN12">
        <v>934</v>
      </c>
      <c r="BAO12">
        <v>0</v>
      </c>
      <c r="BAP12">
        <v>0</v>
      </c>
      <c r="BAQ12">
        <v>0</v>
      </c>
      <c r="BAR12">
        <v>0</v>
      </c>
      <c r="BAS12">
        <v>0</v>
      </c>
      <c r="BAT12">
        <v>0</v>
      </c>
      <c r="BAU12">
        <v>0</v>
      </c>
      <c r="BAV12">
        <v>0</v>
      </c>
      <c r="BAW12">
        <v>0</v>
      </c>
      <c r="BAX12">
        <v>0</v>
      </c>
      <c r="BAY12">
        <v>0</v>
      </c>
      <c r="BAZ12">
        <v>0</v>
      </c>
      <c r="BBA12">
        <v>0</v>
      </c>
      <c r="BBB12">
        <v>0</v>
      </c>
      <c r="BBC12">
        <v>0</v>
      </c>
      <c r="BBD12">
        <v>0</v>
      </c>
      <c r="BBE12">
        <v>0</v>
      </c>
      <c r="BBF12">
        <v>0</v>
      </c>
      <c r="BBG12">
        <v>0</v>
      </c>
      <c r="BBH12">
        <v>0</v>
      </c>
      <c r="BBI12">
        <v>0</v>
      </c>
      <c r="BBJ12">
        <v>0</v>
      </c>
      <c r="BBK12">
        <v>0</v>
      </c>
      <c r="BBL12">
        <v>0</v>
      </c>
      <c r="BBM12">
        <v>0</v>
      </c>
      <c r="BBN12">
        <v>0</v>
      </c>
      <c r="BBO12">
        <v>0</v>
      </c>
      <c r="BBP12">
        <v>0</v>
      </c>
      <c r="BBQ12">
        <v>0</v>
      </c>
      <c r="BBR12">
        <v>0</v>
      </c>
      <c r="BBS12">
        <v>0</v>
      </c>
      <c r="BBT12">
        <v>0</v>
      </c>
      <c r="BBU12">
        <v>0</v>
      </c>
      <c r="BBV12">
        <v>0</v>
      </c>
      <c r="BBW12">
        <v>0</v>
      </c>
      <c r="BBX12">
        <v>0</v>
      </c>
      <c r="BBY12">
        <v>0</v>
      </c>
      <c r="BBZ12">
        <v>0</v>
      </c>
      <c r="BCA12">
        <v>0</v>
      </c>
      <c r="BCB12">
        <v>0</v>
      </c>
      <c r="BCC12">
        <v>0</v>
      </c>
      <c r="BCD12">
        <v>0</v>
      </c>
      <c r="BCE12">
        <v>0</v>
      </c>
      <c r="BCF12">
        <v>0</v>
      </c>
      <c r="BCG12">
        <v>0</v>
      </c>
      <c r="BCH12">
        <v>0</v>
      </c>
      <c r="BCI12">
        <v>0</v>
      </c>
      <c r="BCJ12">
        <v>0</v>
      </c>
      <c r="BCK12">
        <v>0</v>
      </c>
      <c r="BCL12">
        <v>0</v>
      </c>
      <c r="BCM12">
        <v>0</v>
      </c>
      <c r="BCN12">
        <v>0</v>
      </c>
      <c r="BCO12">
        <v>0</v>
      </c>
      <c r="BCP12">
        <v>0</v>
      </c>
      <c r="BCQ12">
        <v>0</v>
      </c>
      <c r="BCR12">
        <v>0</v>
      </c>
      <c r="BCS12">
        <v>0</v>
      </c>
      <c r="BCT12">
        <v>0</v>
      </c>
      <c r="BCU12">
        <v>0</v>
      </c>
      <c r="BCV12">
        <v>0</v>
      </c>
      <c r="BCW12">
        <v>0</v>
      </c>
      <c r="BCX12">
        <v>0</v>
      </c>
      <c r="BCY12">
        <v>0</v>
      </c>
      <c r="BCZ12">
        <v>0</v>
      </c>
      <c r="BDA12">
        <v>0</v>
      </c>
      <c r="BDB12">
        <v>0</v>
      </c>
      <c r="BDC12">
        <v>0</v>
      </c>
      <c r="BDD12">
        <v>0</v>
      </c>
      <c r="BDE12">
        <v>0</v>
      </c>
      <c r="BDF12">
        <v>0</v>
      </c>
      <c r="BDG12">
        <v>0</v>
      </c>
      <c r="BDH12">
        <v>0</v>
      </c>
      <c r="BDI12">
        <v>0</v>
      </c>
      <c r="BDJ12">
        <v>0</v>
      </c>
      <c r="BDK12">
        <v>0</v>
      </c>
      <c r="BDL12">
        <v>0</v>
      </c>
      <c r="BDM12">
        <v>0</v>
      </c>
      <c r="BDN12">
        <v>0</v>
      </c>
      <c r="BDO12">
        <v>0</v>
      </c>
      <c r="BDP12">
        <v>0</v>
      </c>
      <c r="BDQ12">
        <v>0</v>
      </c>
      <c r="BDR12">
        <v>0</v>
      </c>
      <c r="BDS12">
        <v>0</v>
      </c>
      <c r="BDT12">
        <v>0</v>
      </c>
      <c r="BDU12">
        <v>0</v>
      </c>
      <c r="BDV12">
        <v>0</v>
      </c>
      <c r="BDW12">
        <v>0</v>
      </c>
      <c r="BDX12">
        <v>0</v>
      </c>
      <c r="BDY12">
        <v>0</v>
      </c>
      <c r="BDZ12">
        <v>0</v>
      </c>
      <c r="BEA12">
        <v>0</v>
      </c>
      <c r="BEB12">
        <v>0</v>
      </c>
      <c r="BEC12">
        <v>0</v>
      </c>
      <c r="BED12">
        <v>0</v>
      </c>
      <c r="BEE12">
        <v>0</v>
      </c>
      <c r="BEF12">
        <v>0</v>
      </c>
      <c r="BEG12">
        <v>0</v>
      </c>
      <c r="BEH12">
        <v>0</v>
      </c>
      <c r="BEI12">
        <v>0</v>
      </c>
      <c r="BEJ12">
        <v>0</v>
      </c>
      <c r="BEK12">
        <v>0</v>
      </c>
      <c r="BEL12">
        <v>0</v>
      </c>
      <c r="BEM12">
        <v>0</v>
      </c>
      <c r="BEN12">
        <v>0</v>
      </c>
      <c r="BEO12">
        <v>0</v>
      </c>
      <c r="BEP12">
        <v>0</v>
      </c>
      <c r="BEQ12">
        <v>0</v>
      </c>
      <c r="BER12">
        <v>0</v>
      </c>
      <c r="BES12">
        <v>0</v>
      </c>
      <c r="BET12">
        <v>0</v>
      </c>
      <c r="BEU12">
        <v>0</v>
      </c>
      <c r="BEV12">
        <v>0</v>
      </c>
      <c r="BEW12">
        <v>0</v>
      </c>
      <c r="BEX12">
        <v>0</v>
      </c>
      <c r="BEY12">
        <v>0</v>
      </c>
      <c r="BEZ12">
        <v>0</v>
      </c>
      <c r="BFA12">
        <v>0</v>
      </c>
      <c r="BFB12">
        <v>0</v>
      </c>
      <c r="BFC12">
        <v>0</v>
      </c>
      <c r="BFD12" t="b">
        <v>0</v>
      </c>
      <c r="BFE12" t="b">
        <v>0</v>
      </c>
      <c r="BFF12" t="b">
        <v>0</v>
      </c>
      <c r="BFG12" t="b">
        <v>0</v>
      </c>
      <c r="BFH12">
        <v>0</v>
      </c>
      <c r="BFI12">
        <v>0</v>
      </c>
      <c r="BFJ12">
        <v>0</v>
      </c>
      <c r="BFK12">
        <v>0</v>
      </c>
      <c r="BFL12">
        <v>0</v>
      </c>
      <c r="BFM12">
        <v>0</v>
      </c>
      <c r="BFN12">
        <v>0</v>
      </c>
      <c r="BFO12">
        <v>0</v>
      </c>
      <c r="BFP12">
        <v>0</v>
      </c>
      <c r="BFQ12">
        <v>0</v>
      </c>
      <c r="BFR12">
        <v>0</v>
      </c>
      <c r="BFS12">
        <v>0</v>
      </c>
      <c r="BFT12">
        <v>0</v>
      </c>
      <c r="BFU12">
        <v>0</v>
      </c>
      <c r="BFV12">
        <v>0</v>
      </c>
      <c r="BFW12">
        <v>0</v>
      </c>
      <c r="BFX12">
        <v>0</v>
      </c>
      <c r="BFY12">
        <v>0</v>
      </c>
    </row>
    <row r="13" spans="1:1533" x14ac:dyDescent="0.25">
      <c r="A13" t="s">
        <v>2825</v>
      </c>
      <c r="B13" t="s">
        <v>2826</v>
      </c>
      <c r="C13" s="120">
        <v>130</v>
      </c>
      <c r="D13" s="120">
        <v>45</v>
      </c>
      <c r="E13">
        <v>0</v>
      </c>
      <c r="F13">
        <v>0</v>
      </c>
      <c r="G13">
        <v>0</v>
      </c>
      <c r="H13" t="s">
        <v>2403</v>
      </c>
      <c r="I13" t="s">
        <v>2403</v>
      </c>
      <c r="J13" t="s">
        <v>2403</v>
      </c>
      <c r="K13" t="s">
        <v>2403</v>
      </c>
      <c r="L13" t="s">
        <v>2403</v>
      </c>
      <c r="M13" t="s">
        <v>1883</v>
      </c>
      <c r="N13" s="120" t="s">
        <v>2403</v>
      </c>
      <c r="O13" s="58" t="s">
        <v>1883</v>
      </c>
      <c r="P13" s="120" t="s">
        <v>1883</v>
      </c>
      <c r="Q13" s="120" t="s">
        <v>2403</v>
      </c>
      <c r="R13" s="120" t="s">
        <v>1883</v>
      </c>
      <c r="S13" t="s">
        <v>1639</v>
      </c>
      <c r="T13" s="120" t="s">
        <v>2404</v>
      </c>
      <c r="U13" s="120" t="s">
        <v>2424</v>
      </c>
      <c r="V13" s="58" t="s">
        <v>2827</v>
      </c>
      <c r="W13" s="120" t="s">
        <v>311</v>
      </c>
      <c r="X13" s="119">
        <v>1100</v>
      </c>
      <c r="Y13">
        <v>43524</v>
      </c>
      <c r="Z13" s="114">
        <v>0</v>
      </c>
      <c r="AA13" s="120">
        <v>0</v>
      </c>
      <c r="AB13" s="120">
        <v>100</v>
      </c>
      <c r="AC13" s="58" t="s">
        <v>272</v>
      </c>
      <c r="AD13" s="114">
        <v>50</v>
      </c>
      <c r="AE13" s="120">
        <v>0</v>
      </c>
      <c r="AF13" s="120">
        <v>43549</v>
      </c>
      <c r="AG13" s="120">
        <v>45</v>
      </c>
      <c r="AH13" s="120">
        <v>0</v>
      </c>
      <c r="AI13" s="120">
        <v>0</v>
      </c>
      <c r="AJ13" t="s">
        <v>271</v>
      </c>
      <c r="AK13">
        <v>0.125</v>
      </c>
      <c r="AL13" s="120">
        <v>0</v>
      </c>
      <c r="AM13">
        <v>50</v>
      </c>
      <c r="AN13" s="58">
        <v>47174</v>
      </c>
      <c r="AO13" s="120">
        <v>0.13698719151646177</v>
      </c>
      <c r="AP13">
        <v>17175.57</v>
      </c>
      <c r="AQ13">
        <v>14451.180000000058</v>
      </c>
      <c r="AR13">
        <v>31626.750000000058</v>
      </c>
      <c r="AS13" s="120">
        <v>263.56</v>
      </c>
      <c r="AT13" s="120">
        <v>263.11</v>
      </c>
      <c r="AU13" s="58" t="s">
        <v>1915</v>
      </c>
      <c r="AV13" t="s">
        <v>2119</v>
      </c>
      <c r="AW13" s="120" t="s">
        <v>2738</v>
      </c>
      <c r="AX13" s="120">
        <v>19</v>
      </c>
      <c r="AY13">
        <v>0</v>
      </c>
      <c r="AZ13">
        <v>43509</v>
      </c>
      <c r="BA13">
        <v>100</v>
      </c>
      <c r="BB13">
        <v>1</v>
      </c>
      <c r="BC13">
        <v>2</v>
      </c>
      <c r="BD13" s="58" t="s">
        <v>415</v>
      </c>
      <c r="BE13">
        <v>511</v>
      </c>
      <c r="BF13">
        <v>224</v>
      </c>
      <c r="BG13">
        <v>43521</v>
      </c>
      <c r="BH13">
        <v>120</v>
      </c>
      <c r="BI13">
        <v>0</v>
      </c>
      <c r="BJ13">
        <v>50</v>
      </c>
      <c r="BK13">
        <v>43474</v>
      </c>
      <c r="BL13">
        <v>0</v>
      </c>
      <c r="BM13">
        <v>0</v>
      </c>
      <c r="BN13">
        <v>0</v>
      </c>
      <c r="BO13" t="s">
        <v>2828</v>
      </c>
      <c r="BP13" t="s">
        <v>2403</v>
      </c>
      <c r="BQ13" t="s">
        <v>2403</v>
      </c>
      <c r="BR13" t="s">
        <v>2403</v>
      </c>
      <c r="BS13" t="s">
        <v>2829</v>
      </c>
      <c r="BT13" t="s">
        <v>1883</v>
      </c>
      <c r="BU13" t="s">
        <v>2830</v>
      </c>
      <c r="BV13" s="118" t="s">
        <v>2831</v>
      </c>
      <c r="BW13" s="118" t="s">
        <v>1633</v>
      </c>
      <c r="BX13" s="118">
        <v>78230</v>
      </c>
      <c r="BY13" t="s">
        <v>2830</v>
      </c>
      <c r="BZ13" t="s">
        <v>2831</v>
      </c>
      <c r="CA13">
        <v>78230</v>
      </c>
      <c r="CB13" t="s">
        <v>1633</v>
      </c>
      <c r="CC13" t="s">
        <v>2832</v>
      </c>
      <c r="CD13">
        <v>0</v>
      </c>
      <c r="CE13">
        <v>0</v>
      </c>
      <c r="CF13">
        <v>0</v>
      </c>
      <c r="CG13">
        <v>0</v>
      </c>
      <c r="CH13">
        <v>0</v>
      </c>
      <c r="CI13" s="58">
        <v>0</v>
      </c>
      <c r="CJ13">
        <v>0</v>
      </c>
      <c r="CK13">
        <v>0</v>
      </c>
      <c r="CL13">
        <v>0</v>
      </c>
      <c r="CM13">
        <v>9562791310</v>
      </c>
      <c r="CN13" t="s">
        <v>2833</v>
      </c>
      <c r="CO13">
        <v>0</v>
      </c>
      <c r="CP13">
        <v>0</v>
      </c>
      <c r="CQ13">
        <v>0</v>
      </c>
      <c r="CR13">
        <v>0</v>
      </c>
      <c r="CS13">
        <v>0</v>
      </c>
      <c r="CT13">
        <v>0</v>
      </c>
      <c r="CU13">
        <v>0</v>
      </c>
      <c r="CV13">
        <v>0</v>
      </c>
      <c r="CW13" s="118">
        <v>0</v>
      </c>
      <c r="CX13" s="118">
        <v>0</v>
      </c>
      <c r="CY13" s="118">
        <v>0</v>
      </c>
      <c r="CZ13">
        <v>0</v>
      </c>
      <c r="DA13">
        <v>0</v>
      </c>
      <c r="DB13">
        <v>0</v>
      </c>
      <c r="DC13">
        <v>0</v>
      </c>
      <c r="DD13">
        <v>0</v>
      </c>
      <c r="DE13">
        <v>0</v>
      </c>
      <c r="DF13">
        <v>0</v>
      </c>
      <c r="DG13">
        <v>0</v>
      </c>
      <c r="DH13">
        <v>0</v>
      </c>
      <c r="DI13">
        <v>0</v>
      </c>
      <c r="DJ13" s="58">
        <v>0</v>
      </c>
      <c r="DK13">
        <v>0</v>
      </c>
      <c r="DL13">
        <v>0</v>
      </c>
      <c r="DM13">
        <v>0</v>
      </c>
      <c r="DN13" t="s">
        <v>2833</v>
      </c>
      <c r="DO13">
        <v>0</v>
      </c>
      <c r="DP13">
        <v>0</v>
      </c>
      <c r="DQ13">
        <v>0</v>
      </c>
      <c r="DR13">
        <v>0</v>
      </c>
      <c r="DS13">
        <v>0</v>
      </c>
      <c r="DT13">
        <v>0</v>
      </c>
      <c r="DU13">
        <v>0</v>
      </c>
      <c r="DV13">
        <v>0</v>
      </c>
      <c r="DW13">
        <v>0</v>
      </c>
      <c r="DX13" s="118">
        <v>0</v>
      </c>
      <c r="DY13" s="118">
        <v>0</v>
      </c>
      <c r="DZ13" s="118">
        <v>0</v>
      </c>
      <c r="EA13">
        <v>0</v>
      </c>
      <c r="EB13">
        <v>0</v>
      </c>
      <c r="EC13" s="119">
        <v>0</v>
      </c>
      <c r="ED13">
        <v>0</v>
      </c>
      <c r="EE13">
        <v>0</v>
      </c>
      <c r="EF13">
        <v>0</v>
      </c>
      <c r="EG13">
        <v>0</v>
      </c>
      <c r="EH13">
        <v>0</v>
      </c>
      <c r="EI13">
        <v>0</v>
      </c>
      <c r="EJ13">
        <v>0</v>
      </c>
      <c r="EK13">
        <v>0</v>
      </c>
      <c r="EL13">
        <v>0</v>
      </c>
      <c r="EM13" s="128">
        <v>0</v>
      </c>
      <c r="EN13" s="128">
        <v>0</v>
      </c>
      <c r="EO13" s="128">
        <v>1100</v>
      </c>
      <c r="EP13" s="128">
        <v>16682.5703125</v>
      </c>
      <c r="EQ13">
        <v>0</v>
      </c>
      <c r="ER13" s="119">
        <v>0</v>
      </c>
      <c r="ES13" s="119">
        <v>0</v>
      </c>
      <c r="ET13" s="119">
        <v>0</v>
      </c>
      <c r="EU13" s="119">
        <v>0</v>
      </c>
      <c r="EV13">
        <v>0</v>
      </c>
      <c r="EW13">
        <v>0</v>
      </c>
      <c r="EX13">
        <v>0</v>
      </c>
      <c r="EY13">
        <v>0</v>
      </c>
      <c r="EZ13" s="120">
        <v>0</v>
      </c>
      <c r="FA13" s="119">
        <v>0</v>
      </c>
      <c r="FB13">
        <v>0</v>
      </c>
      <c r="FC13">
        <v>0</v>
      </c>
      <c r="FD13">
        <v>0</v>
      </c>
      <c r="FE13">
        <v>0</v>
      </c>
      <c r="FF13" s="119">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0</v>
      </c>
      <c r="GC13">
        <v>0</v>
      </c>
      <c r="GD13">
        <v>0</v>
      </c>
      <c r="GE13">
        <v>0</v>
      </c>
      <c r="GF13">
        <v>0</v>
      </c>
      <c r="GG13" t="s">
        <v>1883</v>
      </c>
      <c r="GH13" t="s">
        <v>2403</v>
      </c>
      <c r="GI13" s="128" t="s">
        <v>1883</v>
      </c>
      <c r="GJ13" s="128" t="s">
        <v>1883</v>
      </c>
      <c r="GK13" s="128" t="s">
        <v>1883</v>
      </c>
      <c r="GL13" s="128" t="s">
        <v>2403</v>
      </c>
      <c r="GM13" t="s">
        <v>1883</v>
      </c>
      <c r="GN13" s="119" t="s">
        <v>2403</v>
      </c>
      <c r="GO13" s="119" t="s">
        <v>1883</v>
      </c>
      <c r="GP13" s="119" t="s">
        <v>2834</v>
      </c>
      <c r="GQ13" s="119" t="s">
        <v>2834</v>
      </c>
      <c r="GR13" s="119">
        <v>0</v>
      </c>
      <c r="GS13">
        <v>0</v>
      </c>
      <c r="GT13" t="s">
        <v>2835</v>
      </c>
      <c r="GU13">
        <v>8572.48</v>
      </c>
      <c r="GV13">
        <v>1800.67</v>
      </c>
      <c r="GW13">
        <v>0</v>
      </c>
      <c r="GX13" s="119">
        <v>0</v>
      </c>
      <c r="GY13" t="s">
        <v>2821</v>
      </c>
      <c r="GZ13" t="s">
        <v>2821</v>
      </c>
      <c r="HA13">
        <v>0</v>
      </c>
      <c r="HB13">
        <v>0</v>
      </c>
      <c r="HC13">
        <v>10373.150390625</v>
      </c>
      <c r="HD13">
        <v>664388</v>
      </c>
      <c r="HE13">
        <v>223232</v>
      </c>
      <c r="HF13" t="s">
        <v>2836</v>
      </c>
      <c r="HG13" t="s">
        <v>113</v>
      </c>
      <c r="HH13" t="s">
        <v>2403</v>
      </c>
      <c r="HI13">
        <v>664388</v>
      </c>
      <c r="HJ13" t="s">
        <v>2403</v>
      </c>
      <c r="HK13" t="s">
        <v>2837</v>
      </c>
      <c r="HL13" t="s">
        <v>2837</v>
      </c>
      <c r="HM13">
        <v>0</v>
      </c>
      <c r="HN13">
        <v>0</v>
      </c>
      <c r="HO13" t="s">
        <v>2838</v>
      </c>
      <c r="HP13" t="s">
        <v>2403</v>
      </c>
      <c r="HQ13" t="s">
        <v>1883</v>
      </c>
      <c r="HR13" t="s">
        <v>1633</v>
      </c>
      <c r="HS13" t="s">
        <v>2789</v>
      </c>
      <c r="HT13" t="s">
        <v>499</v>
      </c>
      <c r="HU13">
        <v>0</v>
      </c>
      <c r="HV13">
        <v>0</v>
      </c>
      <c r="HW13">
        <v>2018</v>
      </c>
      <c r="HX13">
        <v>2018</v>
      </c>
      <c r="HY13">
        <v>0</v>
      </c>
      <c r="HZ13">
        <v>0</v>
      </c>
      <c r="IA13">
        <v>78503</v>
      </c>
      <c r="IB13" t="s">
        <v>2403</v>
      </c>
      <c r="IC13" t="s">
        <v>1883</v>
      </c>
      <c r="ID13" t="s">
        <v>2403</v>
      </c>
      <c r="IE13" s="128" t="s">
        <v>1883</v>
      </c>
      <c r="IF13" s="128" t="s">
        <v>1883</v>
      </c>
      <c r="IG13" s="128" t="s">
        <v>1883</v>
      </c>
      <c r="IH13" s="128" t="s">
        <v>2403</v>
      </c>
      <c r="II13" t="s">
        <v>1883</v>
      </c>
      <c r="IJ13" s="119" t="s">
        <v>1883</v>
      </c>
      <c r="IK13" s="119" t="s">
        <v>1883</v>
      </c>
      <c r="IL13" s="119" t="s">
        <v>2834</v>
      </c>
      <c r="IM13" s="119" t="s">
        <v>2834</v>
      </c>
      <c r="IN13" s="121">
        <v>0</v>
      </c>
      <c r="IO13">
        <v>0</v>
      </c>
      <c r="IP13" s="119" t="s">
        <v>2839</v>
      </c>
      <c r="IQ13">
        <v>5214.17</v>
      </c>
      <c r="IR13">
        <v>1095.25</v>
      </c>
      <c r="IS13">
        <v>0</v>
      </c>
      <c r="IT13" s="119">
        <v>0</v>
      </c>
      <c r="IU13">
        <v>6309.419921875</v>
      </c>
      <c r="IV13">
        <v>664388</v>
      </c>
      <c r="IW13">
        <v>223232</v>
      </c>
      <c r="IX13" t="s">
        <v>2836</v>
      </c>
      <c r="IY13" t="s">
        <v>113</v>
      </c>
      <c r="IZ13" t="s">
        <v>2403</v>
      </c>
      <c r="JA13">
        <v>664388</v>
      </c>
      <c r="JB13" t="s">
        <v>2403</v>
      </c>
      <c r="JC13" t="s">
        <v>2840</v>
      </c>
      <c r="JD13" t="s">
        <v>2403</v>
      </c>
      <c r="JE13" t="s">
        <v>1883</v>
      </c>
      <c r="JF13" t="s">
        <v>1633</v>
      </c>
      <c r="JG13" t="s">
        <v>2789</v>
      </c>
      <c r="JH13" t="s">
        <v>499</v>
      </c>
      <c r="JI13">
        <v>0</v>
      </c>
      <c r="JJ13">
        <v>0</v>
      </c>
      <c r="JK13">
        <v>2018</v>
      </c>
      <c r="JL13">
        <v>2018</v>
      </c>
      <c r="JM13">
        <v>0</v>
      </c>
      <c r="JN13">
        <v>0</v>
      </c>
      <c r="JO13" t="s">
        <v>2837</v>
      </c>
      <c r="JP13" t="s">
        <v>2837</v>
      </c>
      <c r="JQ13">
        <v>0</v>
      </c>
      <c r="JR13">
        <v>0</v>
      </c>
      <c r="JS13" t="s">
        <v>2821</v>
      </c>
      <c r="JT13" t="s">
        <v>2821</v>
      </c>
      <c r="JU13">
        <v>0</v>
      </c>
      <c r="JV13">
        <v>0</v>
      </c>
      <c r="JW13">
        <v>78503</v>
      </c>
      <c r="JX13" t="s">
        <v>2403</v>
      </c>
      <c r="JY13">
        <v>0</v>
      </c>
      <c r="JZ13">
        <v>0</v>
      </c>
      <c r="KA13" s="128">
        <v>0</v>
      </c>
      <c r="KB13" s="128">
        <v>0</v>
      </c>
      <c r="KC13" s="128">
        <v>0</v>
      </c>
      <c r="KD13" s="128">
        <v>0</v>
      </c>
      <c r="KE13">
        <v>0</v>
      </c>
      <c r="KF13" s="119">
        <v>0</v>
      </c>
      <c r="KG13" s="119">
        <v>0</v>
      </c>
      <c r="KH13" s="119">
        <v>0</v>
      </c>
      <c r="KI13" s="119">
        <v>0</v>
      </c>
      <c r="KJ13" s="121">
        <v>0</v>
      </c>
      <c r="KK13" s="119">
        <v>0</v>
      </c>
      <c r="KL13">
        <v>0</v>
      </c>
      <c r="KM13">
        <v>0</v>
      </c>
      <c r="KN13">
        <v>0</v>
      </c>
      <c r="KO13">
        <v>0</v>
      </c>
      <c r="KP13" s="119">
        <v>0</v>
      </c>
      <c r="KQ13">
        <v>0</v>
      </c>
      <c r="KR13">
        <v>0</v>
      </c>
      <c r="KS13">
        <v>0</v>
      </c>
      <c r="KT13">
        <v>0</v>
      </c>
      <c r="KU13">
        <v>0</v>
      </c>
      <c r="KV13">
        <v>0</v>
      </c>
      <c r="KW13">
        <v>0</v>
      </c>
      <c r="KX13">
        <v>0</v>
      </c>
      <c r="KY13">
        <v>0</v>
      </c>
      <c r="KZ13">
        <v>0</v>
      </c>
      <c r="LA13">
        <v>0</v>
      </c>
      <c r="LB13">
        <v>0</v>
      </c>
      <c r="LC13">
        <v>0</v>
      </c>
      <c r="LD13">
        <v>0</v>
      </c>
      <c r="LE13">
        <v>0</v>
      </c>
      <c r="LF13">
        <v>0</v>
      </c>
      <c r="LG13">
        <v>0</v>
      </c>
      <c r="LH13">
        <v>0</v>
      </c>
      <c r="LI13">
        <v>0</v>
      </c>
      <c r="LJ13">
        <v>0</v>
      </c>
      <c r="LK13">
        <v>0</v>
      </c>
      <c r="LL13">
        <v>0</v>
      </c>
      <c r="LM13">
        <v>0</v>
      </c>
      <c r="LN13" s="116">
        <v>0</v>
      </c>
      <c r="LO13" s="116">
        <v>0</v>
      </c>
      <c r="LP13" s="116">
        <v>0</v>
      </c>
      <c r="LQ13" s="116">
        <v>0</v>
      </c>
      <c r="LR13" s="116">
        <v>0</v>
      </c>
      <c r="LS13" s="116">
        <v>0</v>
      </c>
      <c r="LT13" s="116">
        <v>0</v>
      </c>
      <c r="LU13" s="116">
        <v>0</v>
      </c>
      <c r="LV13" s="116">
        <v>0</v>
      </c>
      <c r="LW13" s="128">
        <v>0</v>
      </c>
      <c r="LX13" s="128">
        <v>0</v>
      </c>
      <c r="LY13" s="128">
        <v>0</v>
      </c>
      <c r="LZ13" s="128">
        <v>0</v>
      </c>
      <c r="MA13">
        <v>0</v>
      </c>
      <c r="MB13" s="119">
        <v>0</v>
      </c>
      <c r="MC13" s="119">
        <v>0</v>
      </c>
      <c r="MD13" s="119">
        <v>0</v>
      </c>
      <c r="ME13" s="119">
        <v>0</v>
      </c>
      <c r="MF13" s="121">
        <v>0</v>
      </c>
      <c r="MG13" s="119">
        <v>0</v>
      </c>
      <c r="MH13">
        <v>0</v>
      </c>
      <c r="MI13">
        <v>0</v>
      </c>
      <c r="MJ13">
        <v>0</v>
      </c>
      <c r="MK13">
        <v>0</v>
      </c>
      <c r="ML13" s="119">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s="128">
        <v>0</v>
      </c>
      <c r="NT13" s="128">
        <v>0</v>
      </c>
      <c r="NU13" s="128">
        <v>0</v>
      </c>
      <c r="NV13" s="128">
        <v>0</v>
      </c>
      <c r="NW13">
        <v>0</v>
      </c>
      <c r="NX13" s="119">
        <v>0</v>
      </c>
      <c r="NY13" s="119">
        <v>0</v>
      </c>
      <c r="NZ13" s="119">
        <v>0</v>
      </c>
      <c r="OA13" s="119">
        <v>0</v>
      </c>
      <c r="OB13" s="121">
        <v>0</v>
      </c>
      <c r="OC13" s="119">
        <v>0</v>
      </c>
      <c r="OD13">
        <v>0</v>
      </c>
      <c r="OE13">
        <v>0</v>
      </c>
      <c r="OF13">
        <v>0</v>
      </c>
      <c r="OG13">
        <v>0</v>
      </c>
      <c r="OH13" s="119">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s="116">
        <v>0</v>
      </c>
      <c r="PG13" s="116">
        <v>0</v>
      </c>
      <c r="PH13" s="116">
        <v>0</v>
      </c>
      <c r="PI13" s="116">
        <v>0</v>
      </c>
      <c r="PJ13" s="116">
        <v>0</v>
      </c>
      <c r="PK13" s="116">
        <v>0</v>
      </c>
      <c r="PL13" s="116">
        <v>0</v>
      </c>
      <c r="PM13" s="116">
        <v>0</v>
      </c>
      <c r="PN13" s="116">
        <v>0</v>
      </c>
      <c r="PO13" s="128">
        <v>0</v>
      </c>
      <c r="PP13" s="128">
        <v>0</v>
      </c>
      <c r="PQ13" s="128">
        <v>0</v>
      </c>
      <c r="PR13" s="128">
        <v>0</v>
      </c>
      <c r="PS13">
        <v>0</v>
      </c>
      <c r="PT13" s="119">
        <v>0</v>
      </c>
      <c r="PU13" s="119">
        <v>0</v>
      </c>
      <c r="PV13" s="119">
        <v>0</v>
      </c>
      <c r="PW13" s="119">
        <v>0</v>
      </c>
      <c r="PX13" s="121">
        <v>0</v>
      </c>
      <c r="PY13" s="119">
        <v>0</v>
      </c>
      <c r="PZ13">
        <v>0</v>
      </c>
      <c r="QA13">
        <v>0</v>
      </c>
      <c r="QB13">
        <v>0</v>
      </c>
      <c r="QC13">
        <v>0</v>
      </c>
      <c r="QD13" s="119">
        <v>0</v>
      </c>
      <c r="QE13">
        <v>0</v>
      </c>
      <c r="QF13">
        <v>0</v>
      </c>
      <c r="QG13">
        <v>0</v>
      </c>
      <c r="QH13">
        <v>0</v>
      </c>
      <c r="QI13">
        <v>0</v>
      </c>
      <c r="QJ13">
        <v>0</v>
      </c>
      <c r="QK13">
        <v>0</v>
      </c>
      <c r="QL13">
        <v>0</v>
      </c>
      <c r="QM13">
        <v>0</v>
      </c>
      <c r="QN13">
        <v>0</v>
      </c>
      <c r="QO13">
        <v>0</v>
      </c>
      <c r="QP13">
        <v>0</v>
      </c>
      <c r="QQ13">
        <v>0</v>
      </c>
      <c r="QR13">
        <v>0</v>
      </c>
      <c r="QS13">
        <v>0</v>
      </c>
      <c r="QT13">
        <v>0</v>
      </c>
      <c r="QU13">
        <v>0</v>
      </c>
      <c r="QV13">
        <v>0</v>
      </c>
      <c r="QW13">
        <v>0</v>
      </c>
      <c r="QX13">
        <v>0</v>
      </c>
      <c r="QY13">
        <v>0</v>
      </c>
      <c r="QZ13">
        <v>0</v>
      </c>
      <c r="RA13">
        <v>0</v>
      </c>
      <c r="RB13" s="116">
        <v>0</v>
      </c>
      <c r="RC13" s="116">
        <v>0</v>
      </c>
      <c r="RD13" s="116">
        <v>0</v>
      </c>
      <c r="RE13" s="116">
        <v>0</v>
      </c>
      <c r="RF13" s="116">
        <v>0</v>
      </c>
      <c r="RG13" s="116">
        <v>0</v>
      </c>
      <c r="RH13" s="116">
        <v>0</v>
      </c>
      <c r="RI13" s="116">
        <v>0</v>
      </c>
      <c r="RJ13" s="116">
        <v>0</v>
      </c>
      <c r="RK13" s="128">
        <v>0</v>
      </c>
      <c r="RL13" s="128">
        <v>0</v>
      </c>
      <c r="RM13" s="128">
        <v>0</v>
      </c>
      <c r="RN13" s="128">
        <v>0</v>
      </c>
      <c r="RO13">
        <v>0</v>
      </c>
      <c r="RP13" s="119">
        <v>0</v>
      </c>
      <c r="RQ13" s="119">
        <v>0</v>
      </c>
      <c r="RR13" s="119">
        <v>0</v>
      </c>
      <c r="RS13" s="119">
        <v>0</v>
      </c>
      <c r="RT13" s="121">
        <v>0</v>
      </c>
      <c r="RU13" s="119">
        <v>0</v>
      </c>
      <c r="RV13">
        <v>0</v>
      </c>
      <c r="RW13">
        <v>0</v>
      </c>
      <c r="RX13">
        <v>0</v>
      </c>
      <c r="RY13">
        <v>0</v>
      </c>
      <c r="RZ13" s="119">
        <v>0</v>
      </c>
      <c r="SA13">
        <v>0</v>
      </c>
      <c r="SB13">
        <v>0</v>
      </c>
      <c r="SC13">
        <v>0</v>
      </c>
      <c r="SD13">
        <v>0</v>
      </c>
      <c r="SE13">
        <v>0</v>
      </c>
      <c r="SF13">
        <v>0</v>
      </c>
      <c r="SG13">
        <v>0</v>
      </c>
      <c r="SH13">
        <v>0</v>
      </c>
      <c r="SI13">
        <v>0</v>
      </c>
      <c r="SJ13">
        <v>0</v>
      </c>
      <c r="SK13">
        <v>0</v>
      </c>
      <c r="SL13">
        <v>0</v>
      </c>
      <c r="SM13">
        <v>0</v>
      </c>
      <c r="SN13">
        <v>0</v>
      </c>
      <c r="SO13">
        <v>0</v>
      </c>
      <c r="SP13">
        <v>0</v>
      </c>
      <c r="SQ13">
        <v>0</v>
      </c>
      <c r="SR13">
        <v>0</v>
      </c>
      <c r="SS13">
        <v>0</v>
      </c>
      <c r="ST13">
        <v>0</v>
      </c>
      <c r="SU13">
        <v>0</v>
      </c>
      <c r="SV13">
        <v>0</v>
      </c>
      <c r="SW13">
        <v>0</v>
      </c>
      <c r="SX13" s="116">
        <v>0</v>
      </c>
      <c r="SY13" s="116">
        <v>0</v>
      </c>
      <c r="SZ13" s="116">
        <v>0</v>
      </c>
      <c r="TA13" s="116">
        <v>0</v>
      </c>
      <c r="TB13" s="116">
        <v>0</v>
      </c>
      <c r="TC13" s="116">
        <v>0</v>
      </c>
      <c r="TD13" s="116">
        <v>0</v>
      </c>
      <c r="TE13" s="116">
        <v>0</v>
      </c>
      <c r="TF13" s="116">
        <v>0</v>
      </c>
      <c r="TG13" s="128">
        <v>0</v>
      </c>
      <c r="TH13" s="128">
        <v>0</v>
      </c>
      <c r="TI13" s="128">
        <v>0</v>
      </c>
      <c r="TJ13" s="128">
        <v>0</v>
      </c>
      <c r="TK13">
        <v>0</v>
      </c>
      <c r="TL13" s="119">
        <v>0</v>
      </c>
      <c r="TM13" s="119">
        <v>0</v>
      </c>
      <c r="TN13" s="119">
        <v>0</v>
      </c>
      <c r="TO13" s="119">
        <v>0</v>
      </c>
      <c r="TP13" s="121">
        <v>0</v>
      </c>
      <c r="TQ13" s="119">
        <v>0</v>
      </c>
      <c r="TR13" s="119">
        <v>0</v>
      </c>
      <c r="TS13">
        <v>0</v>
      </c>
      <c r="TT13">
        <v>0</v>
      </c>
      <c r="TU13">
        <v>0</v>
      </c>
      <c r="TV13" s="119">
        <v>0</v>
      </c>
      <c r="TW13">
        <v>0</v>
      </c>
      <c r="TX13">
        <v>0</v>
      </c>
      <c r="TY13">
        <v>0</v>
      </c>
      <c r="TZ13">
        <v>0</v>
      </c>
      <c r="UA13">
        <v>0</v>
      </c>
      <c r="UB13">
        <v>0</v>
      </c>
      <c r="UC13">
        <v>0</v>
      </c>
      <c r="UD13">
        <v>0</v>
      </c>
      <c r="UE13">
        <v>0</v>
      </c>
      <c r="UF13">
        <v>0</v>
      </c>
      <c r="UG13">
        <v>0</v>
      </c>
      <c r="UH13">
        <v>0</v>
      </c>
      <c r="UI13">
        <v>0</v>
      </c>
      <c r="UJ13">
        <v>0</v>
      </c>
      <c r="UK13">
        <v>0</v>
      </c>
      <c r="UL13">
        <v>0</v>
      </c>
      <c r="UM13">
        <v>0</v>
      </c>
      <c r="UN13">
        <v>0</v>
      </c>
      <c r="UO13">
        <v>0</v>
      </c>
      <c r="UP13">
        <v>0</v>
      </c>
      <c r="UQ13">
        <v>0</v>
      </c>
      <c r="UR13">
        <v>0</v>
      </c>
      <c r="US13">
        <v>0</v>
      </c>
      <c r="UT13" s="116">
        <v>0</v>
      </c>
      <c r="UU13" s="116">
        <v>0</v>
      </c>
      <c r="UV13" s="116">
        <v>0</v>
      </c>
      <c r="UW13" s="116">
        <v>0</v>
      </c>
      <c r="UX13" s="116">
        <v>0</v>
      </c>
      <c r="UY13" s="116">
        <v>0</v>
      </c>
      <c r="UZ13" s="116">
        <v>0</v>
      </c>
      <c r="VA13" s="116">
        <v>0</v>
      </c>
      <c r="VB13" s="116">
        <v>0</v>
      </c>
      <c r="VC13" s="128">
        <v>0</v>
      </c>
      <c r="VD13" s="128">
        <v>0</v>
      </c>
      <c r="VE13" s="128">
        <v>0</v>
      </c>
      <c r="VF13" s="128">
        <v>0</v>
      </c>
      <c r="VG13">
        <v>0</v>
      </c>
      <c r="VH13" s="119">
        <v>0</v>
      </c>
      <c r="VI13" s="119">
        <v>0</v>
      </c>
      <c r="VJ13" s="119">
        <v>0</v>
      </c>
      <c r="VK13" s="119">
        <v>0</v>
      </c>
      <c r="VL13" s="121">
        <v>0</v>
      </c>
      <c r="VM13" s="119">
        <v>0</v>
      </c>
      <c r="VN13" s="119">
        <v>0</v>
      </c>
      <c r="VO13">
        <v>0</v>
      </c>
      <c r="VP13">
        <v>0</v>
      </c>
      <c r="VQ13">
        <v>0</v>
      </c>
      <c r="VR13" s="119">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s="128">
        <v>0</v>
      </c>
      <c r="WZ13" s="128">
        <v>0</v>
      </c>
      <c r="XA13" s="128">
        <v>0</v>
      </c>
      <c r="XB13" s="128">
        <v>0</v>
      </c>
      <c r="XC13">
        <v>0</v>
      </c>
      <c r="XD13" s="119">
        <v>0</v>
      </c>
      <c r="XE13" s="119">
        <v>0</v>
      </c>
      <c r="XF13" s="119">
        <v>0</v>
      </c>
      <c r="XG13" s="119">
        <v>0</v>
      </c>
      <c r="XH13" s="121">
        <v>0</v>
      </c>
      <c r="XI13" s="119">
        <v>0</v>
      </c>
      <c r="XJ13" s="119">
        <v>0</v>
      </c>
      <c r="XK13">
        <v>0</v>
      </c>
      <c r="XL13">
        <v>0</v>
      </c>
      <c r="XM13">
        <v>0</v>
      </c>
      <c r="XN13" s="119">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s="116">
        <v>0</v>
      </c>
      <c r="YM13" s="116">
        <v>0</v>
      </c>
      <c r="YN13" s="116">
        <v>0</v>
      </c>
      <c r="YO13" s="116">
        <v>0</v>
      </c>
      <c r="YP13" s="116">
        <v>0</v>
      </c>
      <c r="YQ13" s="116">
        <v>0</v>
      </c>
      <c r="YR13" s="116">
        <v>0</v>
      </c>
      <c r="YS13" s="116">
        <v>0</v>
      </c>
      <c r="YT13" s="116">
        <v>0</v>
      </c>
      <c r="YU13" s="128">
        <v>0</v>
      </c>
      <c r="YV13" s="128">
        <v>0</v>
      </c>
      <c r="YW13" s="128">
        <v>0</v>
      </c>
      <c r="YX13" s="128">
        <v>0</v>
      </c>
      <c r="YY13">
        <v>0</v>
      </c>
      <c r="YZ13" s="119">
        <v>0</v>
      </c>
      <c r="ZA13" s="119">
        <v>0</v>
      </c>
      <c r="ZB13" s="119">
        <v>0</v>
      </c>
      <c r="ZC13" s="119">
        <v>0</v>
      </c>
      <c r="ZD13" s="121">
        <v>0</v>
      </c>
      <c r="ZE13" s="119">
        <v>0</v>
      </c>
      <c r="ZF13" s="119">
        <v>0</v>
      </c>
      <c r="ZG13">
        <v>0</v>
      </c>
      <c r="ZH13">
        <v>0</v>
      </c>
      <c r="ZI13">
        <v>0</v>
      </c>
      <c r="ZJ13" s="119">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s="116">
        <v>0</v>
      </c>
      <c r="AAI13" s="116">
        <v>0</v>
      </c>
      <c r="AAJ13" s="116">
        <v>0</v>
      </c>
      <c r="AAK13" s="116">
        <v>0</v>
      </c>
      <c r="AAL13" s="116">
        <v>0</v>
      </c>
      <c r="AAM13" s="116">
        <v>0</v>
      </c>
      <c r="AAN13" s="116">
        <v>0</v>
      </c>
      <c r="AAO13" s="116">
        <v>0</v>
      </c>
      <c r="AAP13" s="116">
        <v>0</v>
      </c>
      <c r="AAQ13" s="128">
        <v>0</v>
      </c>
      <c r="AAR13" s="128">
        <v>0</v>
      </c>
      <c r="AAS13" s="128">
        <v>0</v>
      </c>
      <c r="AAT13" s="128">
        <v>0</v>
      </c>
      <c r="AAU13">
        <v>0</v>
      </c>
      <c r="AAV13" s="119">
        <v>0</v>
      </c>
      <c r="AAW13" s="119">
        <v>0</v>
      </c>
      <c r="AAX13" s="119">
        <v>0</v>
      </c>
      <c r="AAY13" s="119">
        <v>0</v>
      </c>
      <c r="AAZ13" s="121">
        <v>0</v>
      </c>
      <c r="ABA13" s="119">
        <v>0</v>
      </c>
      <c r="ABB13" s="119">
        <v>0</v>
      </c>
      <c r="ABC13">
        <v>0</v>
      </c>
      <c r="ABD13">
        <v>0</v>
      </c>
      <c r="ABE13">
        <v>0</v>
      </c>
      <c r="ABF13" s="119">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s="116">
        <v>0</v>
      </c>
      <c r="ACE13" s="116">
        <v>0</v>
      </c>
      <c r="ACF13" s="116">
        <v>0</v>
      </c>
      <c r="ACG13" s="116">
        <v>0</v>
      </c>
      <c r="ACH13" s="116">
        <v>0</v>
      </c>
      <c r="ACI13" s="116">
        <v>0</v>
      </c>
      <c r="ACJ13" s="116">
        <v>0</v>
      </c>
      <c r="ACK13" s="116">
        <v>0</v>
      </c>
      <c r="ACL13" s="116">
        <v>0</v>
      </c>
      <c r="ACM13" s="128">
        <v>0</v>
      </c>
      <c r="ACN13" s="128">
        <v>0</v>
      </c>
      <c r="ACO13" s="128">
        <v>0</v>
      </c>
      <c r="ACP13" s="128">
        <v>0</v>
      </c>
      <c r="ACQ13">
        <v>0</v>
      </c>
      <c r="ACR13" s="119">
        <v>0</v>
      </c>
      <c r="ACS13" s="119">
        <v>0</v>
      </c>
      <c r="ACT13" s="119">
        <v>0</v>
      </c>
      <c r="ACU13" s="119">
        <v>0</v>
      </c>
      <c r="ACV13" s="121">
        <v>0</v>
      </c>
      <c r="ACW13" s="119">
        <v>0</v>
      </c>
      <c r="ACX13" s="119">
        <v>0</v>
      </c>
      <c r="ACY13">
        <v>0</v>
      </c>
      <c r="ACZ13">
        <v>0</v>
      </c>
      <c r="ADA13">
        <v>0</v>
      </c>
      <c r="ADB13" s="119">
        <v>0</v>
      </c>
      <c r="ADC13">
        <v>0</v>
      </c>
      <c r="ADD13">
        <v>0</v>
      </c>
      <c r="ADE13">
        <v>0</v>
      </c>
      <c r="ADF13">
        <v>0</v>
      </c>
      <c r="ADG13">
        <v>0</v>
      </c>
      <c r="ADH13">
        <v>0</v>
      </c>
      <c r="ADI13">
        <v>0</v>
      </c>
      <c r="ADJ13">
        <v>0</v>
      </c>
      <c r="ADK13">
        <v>0</v>
      </c>
      <c r="ADL13">
        <v>0</v>
      </c>
      <c r="ADM13">
        <v>0</v>
      </c>
      <c r="ADN13">
        <v>0</v>
      </c>
      <c r="ADO13">
        <v>0</v>
      </c>
      <c r="ADP13">
        <v>0</v>
      </c>
      <c r="ADQ13">
        <v>0</v>
      </c>
      <c r="ADR13">
        <v>0</v>
      </c>
      <c r="ADS13">
        <v>0</v>
      </c>
      <c r="ADT13">
        <v>0</v>
      </c>
      <c r="ADU13">
        <v>0</v>
      </c>
      <c r="ADV13">
        <v>0</v>
      </c>
      <c r="ADW13">
        <v>0</v>
      </c>
      <c r="ADX13">
        <v>0</v>
      </c>
      <c r="ADY13">
        <v>0</v>
      </c>
      <c r="ADZ13" s="116">
        <v>0</v>
      </c>
      <c r="AEA13" s="116">
        <v>0</v>
      </c>
      <c r="AEB13" s="116">
        <v>0</v>
      </c>
      <c r="AEC13" s="116">
        <v>0</v>
      </c>
      <c r="AED13" s="116">
        <v>0</v>
      </c>
      <c r="AEE13" s="116">
        <v>0</v>
      </c>
      <c r="AEF13" s="116">
        <v>0</v>
      </c>
      <c r="AEG13" s="116">
        <v>0</v>
      </c>
      <c r="AEH13" s="116">
        <v>0</v>
      </c>
      <c r="AEI13" s="128">
        <v>0</v>
      </c>
      <c r="AEJ13" s="128">
        <v>0</v>
      </c>
      <c r="AEK13" s="128">
        <v>0</v>
      </c>
      <c r="AEL13" s="128">
        <v>0</v>
      </c>
      <c r="AEM13">
        <v>0</v>
      </c>
      <c r="AEN13" s="119">
        <v>0</v>
      </c>
      <c r="AEO13" s="119">
        <v>0</v>
      </c>
      <c r="AEP13" s="119">
        <v>0</v>
      </c>
      <c r="AEQ13" s="119">
        <v>0</v>
      </c>
      <c r="AER13" s="121">
        <v>0</v>
      </c>
      <c r="AES13" s="119">
        <v>0</v>
      </c>
      <c r="AET13" s="119">
        <v>0</v>
      </c>
      <c r="AEU13">
        <v>0</v>
      </c>
      <c r="AEV13">
        <v>0</v>
      </c>
      <c r="AEW13">
        <v>0</v>
      </c>
      <c r="AEX13" s="119">
        <v>0</v>
      </c>
      <c r="AEY13">
        <v>0</v>
      </c>
      <c r="AEZ13">
        <v>0</v>
      </c>
      <c r="AFA13">
        <v>0</v>
      </c>
      <c r="AFB13">
        <v>0</v>
      </c>
      <c r="AFC13">
        <v>0</v>
      </c>
      <c r="AFD13">
        <v>0</v>
      </c>
      <c r="AFE13">
        <v>0</v>
      </c>
      <c r="AFF13">
        <v>0</v>
      </c>
      <c r="AFG13">
        <v>0</v>
      </c>
      <c r="AFH13">
        <v>0</v>
      </c>
      <c r="AFI13">
        <v>0</v>
      </c>
      <c r="AFJ13">
        <v>0</v>
      </c>
      <c r="AFK13">
        <v>0</v>
      </c>
      <c r="AFL13">
        <v>0</v>
      </c>
      <c r="AFM13">
        <v>0</v>
      </c>
      <c r="AFN13">
        <v>0</v>
      </c>
      <c r="AFO13">
        <v>0</v>
      </c>
      <c r="AFP13">
        <v>0</v>
      </c>
      <c r="AFQ13">
        <v>0</v>
      </c>
      <c r="AFR13">
        <v>0</v>
      </c>
      <c r="AFS13">
        <v>0</v>
      </c>
      <c r="AFT13">
        <v>0</v>
      </c>
      <c r="AFU13">
        <v>0</v>
      </c>
      <c r="AFV13">
        <v>0</v>
      </c>
      <c r="AFW13">
        <v>0</v>
      </c>
      <c r="AFX13">
        <v>0</v>
      </c>
      <c r="AFY13">
        <v>0</v>
      </c>
      <c r="AFZ13">
        <v>0</v>
      </c>
      <c r="AGA13">
        <v>0</v>
      </c>
      <c r="AGB13">
        <v>0</v>
      </c>
      <c r="AGC13">
        <v>0</v>
      </c>
      <c r="AGD13">
        <v>0</v>
      </c>
      <c r="AGE13" s="128">
        <v>0</v>
      </c>
      <c r="AGF13" s="128">
        <v>0</v>
      </c>
      <c r="AGG13" s="128">
        <v>0</v>
      </c>
      <c r="AGH13" s="128">
        <v>0</v>
      </c>
      <c r="AGI13">
        <v>0</v>
      </c>
      <c r="AGJ13" s="119">
        <v>0</v>
      </c>
      <c r="AGK13" s="119">
        <v>0</v>
      </c>
      <c r="AGL13" s="119">
        <v>0</v>
      </c>
      <c r="AGM13" s="119">
        <v>0</v>
      </c>
      <c r="AGN13" s="121">
        <v>0</v>
      </c>
      <c r="AGO13" s="119">
        <v>0</v>
      </c>
      <c r="AGP13" s="119">
        <v>0</v>
      </c>
      <c r="AGQ13">
        <v>0</v>
      </c>
      <c r="AGR13">
        <v>0</v>
      </c>
      <c r="AGS13">
        <v>0</v>
      </c>
      <c r="AGT13" s="119">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s="116">
        <v>0</v>
      </c>
      <c r="AHS13" s="116">
        <v>0</v>
      </c>
      <c r="AHT13" s="116">
        <v>0</v>
      </c>
      <c r="AHU13" s="116">
        <v>0</v>
      </c>
      <c r="AHV13" s="116">
        <v>0</v>
      </c>
      <c r="AHW13" s="116">
        <v>0</v>
      </c>
      <c r="AHX13" s="116">
        <v>0</v>
      </c>
      <c r="AHY13" s="116">
        <v>0</v>
      </c>
      <c r="AHZ13" s="116">
        <v>0</v>
      </c>
      <c r="AIA13" s="128">
        <v>0</v>
      </c>
      <c r="AIB13" s="128">
        <v>0</v>
      </c>
      <c r="AIC13" s="128">
        <v>0</v>
      </c>
      <c r="AID13" s="128">
        <v>0</v>
      </c>
      <c r="AIE13">
        <v>0</v>
      </c>
      <c r="AIF13" s="119">
        <v>0</v>
      </c>
      <c r="AIG13" s="119">
        <v>0</v>
      </c>
      <c r="AIH13" s="119">
        <v>0</v>
      </c>
      <c r="AII13" s="119">
        <v>0</v>
      </c>
      <c r="AIJ13" s="121">
        <v>0</v>
      </c>
      <c r="AIK13" s="119">
        <v>0</v>
      </c>
      <c r="AIL13" s="119">
        <v>0</v>
      </c>
      <c r="AIM13">
        <v>0</v>
      </c>
      <c r="AIN13">
        <v>0</v>
      </c>
      <c r="AIO13">
        <v>0</v>
      </c>
      <c r="AIP13" s="119">
        <v>0</v>
      </c>
      <c r="AIQ13">
        <v>0</v>
      </c>
      <c r="AIR13">
        <v>0</v>
      </c>
      <c r="AIS13">
        <v>0</v>
      </c>
      <c r="AIT13">
        <v>0</v>
      </c>
      <c r="AIU13">
        <v>0</v>
      </c>
      <c r="AIV13">
        <v>0</v>
      </c>
      <c r="AIW13">
        <v>0</v>
      </c>
      <c r="AIX13">
        <v>0</v>
      </c>
      <c r="AIY13">
        <v>0</v>
      </c>
      <c r="AIZ13">
        <v>0</v>
      </c>
      <c r="AJA13">
        <v>0</v>
      </c>
      <c r="AJB13">
        <v>0</v>
      </c>
      <c r="AJC13">
        <v>0</v>
      </c>
      <c r="AJD13">
        <v>0</v>
      </c>
      <c r="AJE13">
        <v>0</v>
      </c>
      <c r="AJF13">
        <v>0</v>
      </c>
      <c r="AJG13">
        <v>0</v>
      </c>
      <c r="AJH13">
        <v>0</v>
      </c>
      <c r="AJI13">
        <v>0</v>
      </c>
      <c r="AJJ13">
        <v>0</v>
      </c>
      <c r="AJK13">
        <v>0</v>
      </c>
      <c r="AJL13">
        <v>0</v>
      </c>
      <c r="AJM13">
        <v>0</v>
      </c>
      <c r="AJN13" s="116">
        <v>0</v>
      </c>
      <c r="AJO13" s="116">
        <v>0</v>
      </c>
      <c r="AJP13" s="116">
        <v>0</v>
      </c>
      <c r="AJQ13" s="116">
        <v>0</v>
      </c>
      <c r="AJR13" s="116">
        <v>0</v>
      </c>
      <c r="AJS13" s="116">
        <v>0</v>
      </c>
      <c r="AJT13" s="116">
        <v>0</v>
      </c>
      <c r="AJU13" s="116">
        <v>0</v>
      </c>
      <c r="AJV13" s="116">
        <v>0</v>
      </c>
      <c r="AJW13" s="128">
        <v>0</v>
      </c>
      <c r="AJX13" s="128">
        <v>0</v>
      </c>
      <c r="AJY13" s="128">
        <v>0</v>
      </c>
      <c r="AJZ13" s="128">
        <v>0</v>
      </c>
      <c r="AKA13">
        <v>0</v>
      </c>
      <c r="AKB13" s="119">
        <v>0</v>
      </c>
      <c r="AKC13" s="119">
        <v>0</v>
      </c>
      <c r="AKD13" s="119">
        <v>0</v>
      </c>
      <c r="AKE13" s="119">
        <v>0</v>
      </c>
      <c r="AKF13" s="121">
        <v>0</v>
      </c>
      <c r="AKG13" s="119">
        <v>0</v>
      </c>
      <c r="AKH13" s="119">
        <v>0</v>
      </c>
      <c r="AKI13">
        <v>0</v>
      </c>
      <c r="AKJ13">
        <v>0</v>
      </c>
      <c r="AKK13">
        <v>0</v>
      </c>
      <c r="AKL13" s="119">
        <v>0</v>
      </c>
      <c r="AKM13">
        <v>0</v>
      </c>
      <c r="AKN13">
        <v>0</v>
      </c>
      <c r="AKO13">
        <v>0</v>
      </c>
      <c r="AKP13">
        <v>0</v>
      </c>
      <c r="AKQ13">
        <v>0</v>
      </c>
      <c r="AKR13">
        <v>0</v>
      </c>
      <c r="AKS13">
        <v>0</v>
      </c>
      <c r="AKT13">
        <v>0</v>
      </c>
      <c r="AKU13">
        <v>0</v>
      </c>
      <c r="AKV13">
        <v>0</v>
      </c>
      <c r="AKW13">
        <v>0</v>
      </c>
      <c r="AKX13">
        <v>0</v>
      </c>
      <c r="AKY13">
        <v>0</v>
      </c>
      <c r="AKZ13">
        <v>0</v>
      </c>
      <c r="ALA13">
        <v>0</v>
      </c>
      <c r="ALB13">
        <v>0</v>
      </c>
      <c r="ALC13">
        <v>0</v>
      </c>
      <c r="ALD13">
        <v>0</v>
      </c>
      <c r="ALE13">
        <v>0</v>
      </c>
      <c r="ALF13">
        <v>0</v>
      </c>
      <c r="ALG13">
        <v>0</v>
      </c>
      <c r="ALH13">
        <v>0</v>
      </c>
      <c r="ALI13">
        <v>0</v>
      </c>
      <c r="ALJ13" s="116">
        <v>0</v>
      </c>
      <c r="ALK13" s="116">
        <v>0</v>
      </c>
      <c r="ALL13" s="116">
        <v>0</v>
      </c>
      <c r="ALM13" s="116">
        <v>0</v>
      </c>
      <c r="ALN13" s="116">
        <v>0</v>
      </c>
      <c r="ALO13" s="116">
        <v>0</v>
      </c>
      <c r="ALP13" s="116">
        <v>0</v>
      </c>
      <c r="ALQ13" s="116">
        <v>0</v>
      </c>
      <c r="ALR13" s="116">
        <v>0</v>
      </c>
      <c r="ALS13" s="128">
        <v>0</v>
      </c>
      <c r="ALT13" s="128">
        <v>0</v>
      </c>
      <c r="ALU13" s="128">
        <v>0</v>
      </c>
      <c r="ALV13" s="128">
        <v>0</v>
      </c>
      <c r="ALW13">
        <v>0</v>
      </c>
      <c r="ALX13" s="119">
        <v>0</v>
      </c>
      <c r="ALY13" s="119">
        <v>0</v>
      </c>
      <c r="ALZ13" s="119">
        <v>0</v>
      </c>
      <c r="AMA13" s="119">
        <v>0</v>
      </c>
      <c r="AMB13" s="121">
        <v>0</v>
      </c>
      <c r="AMC13" s="119">
        <v>0</v>
      </c>
      <c r="AMD13" s="119">
        <v>0</v>
      </c>
      <c r="AME13">
        <v>0</v>
      </c>
      <c r="AMF13">
        <v>0</v>
      </c>
      <c r="AMG13">
        <v>0</v>
      </c>
      <c r="AMH13" s="119">
        <v>0</v>
      </c>
      <c r="AMI13">
        <v>0</v>
      </c>
      <c r="AMJ13">
        <v>0</v>
      </c>
      <c r="AMK13">
        <v>0</v>
      </c>
      <c r="AML13">
        <v>0</v>
      </c>
      <c r="AMM13">
        <v>0</v>
      </c>
      <c r="AMN13">
        <v>0</v>
      </c>
      <c r="AMO13">
        <v>0</v>
      </c>
      <c r="AMP13">
        <v>0</v>
      </c>
      <c r="AMQ13">
        <v>0</v>
      </c>
      <c r="AMR13">
        <v>0</v>
      </c>
      <c r="AMS13">
        <v>0</v>
      </c>
      <c r="AMT13">
        <v>0</v>
      </c>
      <c r="AMU13">
        <v>0</v>
      </c>
      <c r="AMV13">
        <v>0</v>
      </c>
      <c r="AMW13">
        <v>0</v>
      </c>
      <c r="AMX13">
        <v>0</v>
      </c>
      <c r="AMY13">
        <v>0</v>
      </c>
      <c r="AMZ13">
        <v>0</v>
      </c>
      <c r="ANA13">
        <v>0</v>
      </c>
      <c r="ANB13">
        <v>0</v>
      </c>
      <c r="ANC13">
        <v>0</v>
      </c>
      <c r="AND13">
        <v>0</v>
      </c>
      <c r="ANE13">
        <v>0</v>
      </c>
      <c r="ANF13" s="116">
        <v>0</v>
      </c>
      <c r="ANG13" s="116">
        <v>0</v>
      </c>
      <c r="ANH13" s="116">
        <v>0</v>
      </c>
      <c r="ANI13" s="116">
        <v>0</v>
      </c>
      <c r="ANJ13" s="116">
        <v>0</v>
      </c>
      <c r="ANK13" s="116">
        <v>0</v>
      </c>
      <c r="ANL13" s="116">
        <v>0</v>
      </c>
      <c r="ANM13" s="116">
        <v>0</v>
      </c>
      <c r="ANN13" s="116">
        <v>0</v>
      </c>
      <c r="ANO13" s="128">
        <v>0</v>
      </c>
      <c r="ANP13" s="128">
        <v>0</v>
      </c>
      <c r="ANQ13" s="128">
        <v>0</v>
      </c>
      <c r="ANR13" s="128">
        <v>0</v>
      </c>
      <c r="ANS13">
        <v>0</v>
      </c>
      <c r="ANT13" s="119">
        <v>0</v>
      </c>
      <c r="ANU13" s="119">
        <v>0</v>
      </c>
      <c r="ANV13" s="119">
        <v>0</v>
      </c>
      <c r="ANW13" s="119">
        <v>0</v>
      </c>
      <c r="ANX13" s="121">
        <v>0</v>
      </c>
      <c r="ANY13" s="119">
        <v>0</v>
      </c>
      <c r="ANZ13" s="119">
        <v>0</v>
      </c>
      <c r="AOA13">
        <v>0</v>
      </c>
      <c r="AOB13">
        <v>0</v>
      </c>
      <c r="AOC13">
        <v>0</v>
      </c>
      <c r="AOD13" s="119">
        <v>0</v>
      </c>
      <c r="AOE13">
        <v>0</v>
      </c>
      <c r="AOF13">
        <v>0</v>
      </c>
      <c r="AOG13">
        <v>0</v>
      </c>
      <c r="AOH13">
        <v>0</v>
      </c>
      <c r="AOI13">
        <v>0</v>
      </c>
      <c r="AOJ13">
        <v>0</v>
      </c>
      <c r="AOK13">
        <v>0</v>
      </c>
      <c r="AOL13">
        <v>0</v>
      </c>
      <c r="AOM13">
        <v>0</v>
      </c>
      <c r="AON13">
        <v>0</v>
      </c>
      <c r="AOO13">
        <v>0</v>
      </c>
      <c r="AOP13">
        <v>0</v>
      </c>
      <c r="AOQ13">
        <v>0</v>
      </c>
      <c r="AOR13">
        <v>0</v>
      </c>
      <c r="AOS13">
        <v>0</v>
      </c>
      <c r="AOT13">
        <v>0</v>
      </c>
      <c r="AOU13">
        <v>0</v>
      </c>
      <c r="AOV13">
        <v>0</v>
      </c>
      <c r="AOW13">
        <v>0</v>
      </c>
      <c r="AOX13">
        <v>0</v>
      </c>
      <c r="AOY13">
        <v>0</v>
      </c>
      <c r="AOZ13">
        <v>0</v>
      </c>
      <c r="APA13">
        <v>0</v>
      </c>
      <c r="APB13">
        <v>0</v>
      </c>
      <c r="APC13">
        <v>0</v>
      </c>
      <c r="APD13">
        <v>0</v>
      </c>
      <c r="APE13">
        <v>0</v>
      </c>
      <c r="APF13">
        <v>0</v>
      </c>
      <c r="APG13">
        <v>0</v>
      </c>
      <c r="APH13">
        <v>0</v>
      </c>
      <c r="API13">
        <v>0</v>
      </c>
      <c r="APJ13">
        <v>0</v>
      </c>
      <c r="APK13" s="128">
        <v>0</v>
      </c>
      <c r="APL13" s="128">
        <v>0</v>
      </c>
      <c r="APM13" s="128">
        <v>0</v>
      </c>
      <c r="APN13" s="128">
        <v>0</v>
      </c>
      <c r="APO13">
        <v>0</v>
      </c>
      <c r="APP13" s="119">
        <v>0</v>
      </c>
      <c r="APQ13" s="119">
        <v>0</v>
      </c>
      <c r="APR13" s="119">
        <v>0</v>
      </c>
      <c r="APS13" s="119">
        <v>0</v>
      </c>
      <c r="APT13" s="121">
        <v>0</v>
      </c>
      <c r="APU13" s="119">
        <v>0</v>
      </c>
      <c r="APV13" s="119">
        <v>0</v>
      </c>
      <c r="APW13">
        <v>0</v>
      </c>
      <c r="APX13">
        <v>0</v>
      </c>
      <c r="APY13">
        <v>0</v>
      </c>
      <c r="APZ13" s="119">
        <v>0</v>
      </c>
      <c r="AQA13">
        <v>0</v>
      </c>
      <c r="AQB13">
        <v>0</v>
      </c>
      <c r="AQC13">
        <v>0</v>
      </c>
      <c r="AQD13">
        <v>0</v>
      </c>
      <c r="AQE13">
        <v>0</v>
      </c>
      <c r="AQF13">
        <v>0</v>
      </c>
      <c r="AQG13">
        <v>0</v>
      </c>
      <c r="AQH13">
        <v>0</v>
      </c>
      <c r="AQI13">
        <v>0</v>
      </c>
      <c r="AQJ13">
        <v>0</v>
      </c>
      <c r="AQK13">
        <v>0</v>
      </c>
      <c r="AQL13">
        <v>0</v>
      </c>
      <c r="AQM13">
        <v>0</v>
      </c>
      <c r="AQN13">
        <v>0</v>
      </c>
      <c r="AQO13">
        <v>0</v>
      </c>
      <c r="AQP13">
        <v>0</v>
      </c>
      <c r="AQQ13">
        <v>0</v>
      </c>
      <c r="AQR13">
        <v>0</v>
      </c>
      <c r="AQS13">
        <v>0</v>
      </c>
      <c r="AQT13">
        <v>0</v>
      </c>
      <c r="AQU13">
        <v>0</v>
      </c>
      <c r="AQV13">
        <v>0</v>
      </c>
      <c r="AQW13">
        <v>0</v>
      </c>
      <c r="AQX13" s="116">
        <v>0</v>
      </c>
      <c r="AQY13" s="116">
        <v>0</v>
      </c>
      <c r="AQZ13" s="116">
        <v>0</v>
      </c>
      <c r="ARA13" s="116">
        <v>0</v>
      </c>
      <c r="ARB13" s="116">
        <v>0</v>
      </c>
      <c r="ARC13" s="116">
        <v>0</v>
      </c>
      <c r="ARD13" s="116">
        <v>0</v>
      </c>
      <c r="ARE13" s="116">
        <v>0</v>
      </c>
      <c r="ARF13" s="116">
        <v>0</v>
      </c>
      <c r="ARG13" s="128">
        <v>0</v>
      </c>
      <c r="ARH13" s="128">
        <v>0</v>
      </c>
      <c r="ARI13" s="128">
        <v>0</v>
      </c>
      <c r="ARJ13" s="128">
        <v>0</v>
      </c>
      <c r="ARK13">
        <v>0</v>
      </c>
      <c r="ARL13" s="119">
        <v>0</v>
      </c>
      <c r="ARM13" s="119">
        <v>0</v>
      </c>
      <c r="ARN13" s="119">
        <v>0</v>
      </c>
      <c r="ARO13" s="119">
        <v>0</v>
      </c>
      <c r="ARP13" s="121">
        <v>0</v>
      </c>
      <c r="ARQ13" s="119">
        <v>0</v>
      </c>
      <c r="ARR13" s="119">
        <v>0</v>
      </c>
      <c r="ARS13">
        <v>0</v>
      </c>
      <c r="ART13">
        <v>0</v>
      </c>
      <c r="ARU13">
        <v>0</v>
      </c>
      <c r="ARV13" s="119">
        <v>0</v>
      </c>
      <c r="ARW13">
        <v>0</v>
      </c>
      <c r="ARX13">
        <v>0</v>
      </c>
      <c r="ARY13">
        <v>0</v>
      </c>
      <c r="ARZ13">
        <v>0</v>
      </c>
      <c r="ASA13">
        <v>0</v>
      </c>
      <c r="ASB13">
        <v>0</v>
      </c>
      <c r="ASC13">
        <v>0</v>
      </c>
      <c r="ASD13">
        <v>0</v>
      </c>
      <c r="ASE13">
        <v>0</v>
      </c>
      <c r="ASF13">
        <v>0</v>
      </c>
      <c r="ASG13">
        <v>0</v>
      </c>
      <c r="ASH13">
        <v>0</v>
      </c>
      <c r="ASI13">
        <v>0</v>
      </c>
      <c r="ASJ13">
        <v>0</v>
      </c>
      <c r="ASK13">
        <v>0</v>
      </c>
      <c r="ASL13">
        <v>0</v>
      </c>
      <c r="ASM13">
        <v>0</v>
      </c>
      <c r="ASN13">
        <v>0</v>
      </c>
      <c r="ASO13">
        <v>0</v>
      </c>
      <c r="ASP13">
        <v>0</v>
      </c>
      <c r="ASQ13">
        <v>0</v>
      </c>
      <c r="ASR13">
        <v>0</v>
      </c>
      <c r="ASS13">
        <v>0</v>
      </c>
      <c r="AST13" s="116">
        <v>0</v>
      </c>
      <c r="ASU13" s="116">
        <v>0</v>
      </c>
      <c r="ASV13" s="116">
        <v>0</v>
      </c>
      <c r="ASW13" s="116">
        <v>0</v>
      </c>
      <c r="ASX13" s="116">
        <v>0</v>
      </c>
      <c r="ASY13" s="116">
        <v>0</v>
      </c>
      <c r="ASZ13" s="116">
        <v>0</v>
      </c>
      <c r="ATA13" s="116">
        <v>0</v>
      </c>
      <c r="ATB13" s="116">
        <v>0</v>
      </c>
      <c r="ATC13" s="128">
        <v>0</v>
      </c>
      <c r="ATD13" s="128">
        <v>0</v>
      </c>
      <c r="ATE13" s="128">
        <v>0</v>
      </c>
      <c r="ATF13" s="128">
        <v>0</v>
      </c>
      <c r="ATG13">
        <v>0</v>
      </c>
      <c r="ATH13" s="119">
        <v>0</v>
      </c>
      <c r="ATI13" s="119">
        <v>0</v>
      </c>
      <c r="ATJ13" s="119">
        <v>0</v>
      </c>
      <c r="ATK13" s="119">
        <v>0</v>
      </c>
      <c r="ATL13" s="121">
        <v>0</v>
      </c>
      <c r="ATM13" s="119">
        <v>0</v>
      </c>
      <c r="ATN13" s="119">
        <v>0</v>
      </c>
      <c r="ATO13">
        <v>0</v>
      </c>
      <c r="ATP13">
        <v>0</v>
      </c>
      <c r="ATQ13">
        <v>0</v>
      </c>
      <c r="ATR13" s="119">
        <v>0</v>
      </c>
      <c r="ATS13">
        <v>0</v>
      </c>
      <c r="ATT13">
        <v>0</v>
      </c>
      <c r="ATU13">
        <v>0</v>
      </c>
      <c r="ATV13">
        <v>0</v>
      </c>
      <c r="ATW13">
        <v>0</v>
      </c>
      <c r="ATX13">
        <v>0</v>
      </c>
      <c r="ATY13">
        <v>0</v>
      </c>
      <c r="ATZ13">
        <v>0</v>
      </c>
      <c r="AUA13">
        <v>0</v>
      </c>
      <c r="AUB13">
        <v>0</v>
      </c>
      <c r="AUC13">
        <v>0</v>
      </c>
      <c r="AUD13">
        <v>0</v>
      </c>
      <c r="AUE13">
        <v>0</v>
      </c>
      <c r="AUF13">
        <v>0</v>
      </c>
      <c r="AUG13">
        <v>0</v>
      </c>
      <c r="AUH13">
        <v>0</v>
      </c>
      <c r="AUI13">
        <v>0</v>
      </c>
      <c r="AUJ13">
        <v>0</v>
      </c>
      <c r="AUK13">
        <v>0</v>
      </c>
      <c r="AUL13">
        <v>0</v>
      </c>
      <c r="AUM13">
        <v>0</v>
      </c>
      <c r="AUN13">
        <v>0</v>
      </c>
      <c r="AUO13">
        <v>0</v>
      </c>
      <c r="AUP13" s="116">
        <v>0</v>
      </c>
      <c r="AUQ13" s="116">
        <v>0</v>
      </c>
      <c r="AUR13" s="116">
        <v>0</v>
      </c>
      <c r="AUS13" s="116">
        <v>0</v>
      </c>
      <c r="AUT13" s="116">
        <v>0</v>
      </c>
      <c r="AUU13" s="116">
        <v>0</v>
      </c>
      <c r="AUV13" s="116">
        <v>0</v>
      </c>
      <c r="AUW13" s="116">
        <v>0</v>
      </c>
      <c r="AUX13" s="116">
        <v>0</v>
      </c>
      <c r="AUY13" s="128">
        <v>0</v>
      </c>
      <c r="AUZ13" s="128">
        <v>0</v>
      </c>
      <c r="AVA13" s="128">
        <v>0</v>
      </c>
      <c r="AVB13" s="128">
        <v>0</v>
      </c>
      <c r="AVC13">
        <v>0</v>
      </c>
      <c r="AVD13" s="119">
        <v>0</v>
      </c>
      <c r="AVE13" s="119">
        <v>0</v>
      </c>
      <c r="AVF13" s="119">
        <v>0</v>
      </c>
      <c r="AVG13" s="119">
        <v>0</v>
      </c>
      <c r="AVH13" s="121">
        <v>0</v>
      </c>
      <c r="AVI13" s="119">
        <v>0</v>
      </c>
      <c r="AVJ13" s="119">
        <v>0</v>
      </c>
      <c r="AVK13">
        <v>0</v>
      </c>
      <c r="AVL13">
        <v>0</v>
      </c>
      <c r="AVM13">
        <v>0</v>
      </c>
      <c r="AVN13" s="119">
        <v>0</v>
      </c>
      <c r="AVO13">
        <v>0</v>
      </c>
      <c r="AVP13">
        <v>0</v>
      </c>
      <c r="AVQ13">
        <v>0</v>
      </c>
      <c r="AVR13">
        <v>0</v>
      </c>
      <c r="AVS13">
        <v>0</v>
      </c>
      <c r="AVT13">
        <v>0</v>
      </c>
      <c r="AVU13">
        <v>0</v>
      </c>
      <c r="AVV13">
        <v>0</v>
      </c>
      <c r="AVW13">
        <v>0</v>
      </c>
      <c r="AVX13">
        <v>0</v>
      </c>
      <c r="AVY13">
        <v>0</v>
      </c>
      <c r="AVZ13">
        <v>0</v>
      </c>
      <c r="AWA13">
        <v>0</v>
      </c>
      <c r="AWB13">
        <v>0</v>
      </c>
      <c r="AWC13">
        <v>0</v>
      </c>
      <c r="AWD13">
        <v>0</v>
      </c>
      <c r="AWE13">
        <v>0</v>
      </c>
      <c r="AWF13">
        <v>0</v>
      </c>
      <c r="AWG13">
        <v>0</v>
      </c>
      <c r="AWH13">
        <v>0</v>
      </c>
      <c r="AWI13">
        <v>0</v>
      </c>
      <c r="AWJ13">
        <v>0</v>
      </c>
      <c r="AWK13">
        <v>0</v>
      </c>
      <c r="AWL13" s="116">
        <v>0</v>
      </c>
      <c r="AWM13" s="116">
        <v>0</v>
      </c>
      <c r="AWN13" s="116">
        <v>0</v>
      </c>
      <c r="AWO13" s="116">
        <v>0</v>
      </c>
      <c r="AWP13" s="116">
        <v>0</v>
      </c>
      <c r="AWQ13" s="116">
        <v>0</v>
      </c>
      <c r="AWR13" s="116">
        <v>0</v>
      </c>
      <c r="AWS13" s="116">
        <v>0</v>
      </c>
      <c r="AWT13" s="116">
        <v>0</v>
      </c>
      <c r="AWU13" s="128">
        <v>0</v>
      </c>
      <c r="AWV13" s="128">
        <v>0</v>
      </c>
      <c r="AWW13" s="128">
        <v>0</v>
      </c>
      <c r="AWX13" s="128">
        <v>0</v>
      </c>
      <c r="AWY13">
        <v>0</v>
      </c>
      <c r="AWZ13" s="119">
        <v>0</v>
      </c>
      <c r="AXA13" s="119">
        <v>0</v>
      </c>
      <c r="AXB13" s="119">
        <v>0</v>
      </c>
      <c r="AXC13" s="119">
        <v>0</v>
      </c>
      <c r="AXD13" s="121">
        <v>0</v>
      </c>
      <c r="AXE13" s="119">
        <v>0</v>
      </c>
      <c r="AXF13" s="119">
        <v>0</v>
      </c>
      <c r="AXG13">
        <v>0</v>
      </c>
      <c r="AXH13">
        <v>0</v>
      </c>
      <c r="AXI13">
        <v>0</v>
      </c>
      <c r="AXJ13" s="119">
        <v>0</v>
      </c>
      <c r="AXK13">
        <v>0</v>
      </c>
      <c r="AXL13">
        <v>0</v>
      </c>
      <c r="AXM13">
        <v>0</v>
      </c>
      <c r="AXN13">
        <v>0</v>
      </c>
      <c r="AXO13">
        <v>0</v>
      </c>
      <c r="AXP13">
        <v>0</v>
      </c>
      <c r="AXQ13">
        <v>0</v>
      </c>
      <c r="AXR13">
        <v>0</v>
      </c>
      <c r="AXS13">
        <v>0</v>
      </c>
      <c r="AXT13">
        <v>0</v>
      </c>
      <c r="AXU13">
        <v>0</v>
      </c>
      <c r="AXV13">
        <v>0</v>
      </c>
      <c r="AXW13">
        <v>0</v>
      </c>
      <c r="AXX13">
        <v>0</v>
      </c>
      <c r="AXY13">
        <v>0</v>
      </c>
      <c r="AXZ13">
        <v>0</v>
      </c>
      <c r="AYA13">
        <v>0</v>
      </c>
      <c r="AYB13">
        <v>0</v>
      </c>
      <c r="AYC13">
        <v>0</v>
      </c>
      <c r="AYD13">
        <v>0</v>
      </c>
      <c r="AYE13">
        <v>0</v>
      </c>
      <c r="AYF13">
        <v>0</v>
      </c>
      <c r="AYG13">
        <v>0</v>
      </c>
      <c r="AYH13">
        <v>0</v>
      </c>
      <c r="AYI13" s="120">
        <v>0</v>
      </c>
      <c r="AYJ13" s="120">
        <v>0</v>
      </c>
      <c r="AYK13" s="120">
        <v>0</v>
      </c>
      <c r="AYL13" s="120">
        <v>0</v>
      </c>
      <c r="AYM13" s="120">
        <v>0</v>
      </c>
      <c r="AYN13" s="120">
        <v>0</v>
      </c>
      <c r="AYO13">
        <v>0</v>
      </c>
      <c r="AYP13">
        <v>0</v>
      </c>
      <c r="AYQ13">
        <v>0</v>
      </c>
      <c r="AYR13">
        <v>0</v>
      </c>
      <c r="AYS13">
        <v>0</v>
      </c>
      <c r="AYT13">
        <v>0</v>
      </c>
      <c r="AYU13">
        <v>0</v>
      </c>
      <c r="AYV13">
        <v>0</v>
      </c>
      <c r="AYW13">
        <v>0</v>
      </c>
      <c r="AYX13">
        <v>0</v>
      </c>
      <c r="AYY13">
        <v>0</v>
      </c>
      <c r="AYZ13">
        <v>0</v>
      </c>
      <c r="AZA13">
        <v>0</v>
      </c>
      <c r="AZB13">
        <v>0</v>
      </c>
      <c r="AZC13">
        <v>0</v>
      </c>
      <c r="AZD13">
        <v>0</v>
      </c>
      <c r="AZE13">
        <v>0</v>
      </c>
      <c r="AZF13">
        <v>0</v>
      </c>
      <c r="AZG13">
        <v>0</v>
      </c>
      <c r="AZH13">
        <v>0</v>
      </c>
      <c r="AZI13">
        <v>0</v>
      </c>
      <c r="AZJ13">
        <v>0</v>
      </c>
      <c r="AZK13">
        <v>0</v>
      </c>
      <c r="AZL13">
        <v>0</v>
      </c>
      <c r="AZM13">
        <v>0</v>
      </c>
      <c r="AZN13">
        <v>0</v>
      </c>
      <c r="AZO13">
        <v>0</v>
      </c>
      <c r="AZP13">
        <v>0</v>
      </c>
      <c r="AZQ13">
        <v>0</v>
      </c>
      <c r="AZR13">
        <v>0</v>
      </c>
      <c r="AZS13">
        <v>0</v>
      </c>
      <c r="AZT13">
        <v>0</v>
      </c>
      <c r="AZU13">
        <v>0</v>
      </c>
      <c r="AZV13">
        <v>0</v>
      </c>
      <c r="AZW13">
        <v>0</v>
      </c>
      <c r="AZX13">
        <v>0</v>
      </c>
      <c r="AZY13">
        <v>0</v>
      </c>
      <c r="AZZ13">
        <v>0</v>
      </c>
      <c r="BAA13">
        <v>0</v>
      </c>
      <c r="BAB13">
        <v>0</v>
      </c>
      <c r="BAC13">
        <v>0</v>
      </c>
      <c r="BAD13">
        <v>0</v>
      </c>
      <c r="BAE13">
        <v>0</v>
      </c>
      <c r="BAF13">
        <v>0</v>
      </c>
      <c r="BAG13">
        <v>0</v>
      </c>
      <c r="BAH13">
        <v>0</v>
      </c>
      <c r="BAI13">
        <v>0</v>
      </c>
      <c r="BAJ13">
        <v>0</v>
      </c>
      <c r="BAK13">
        <v>1502298</v>
      </c>
      <c r="BAL13">
        <v>18006.57</v>
      </c>
      <c r="BAM13">
        <v>16682.57</v>
      </c>
      <c r="BAN13">
        <v>1324</v>
      </c>
      <c r="BAO13">
        <v>0</v>
      </c>
      <c r="BAP13">
        <v>0</v>
      </c>
      <c r="BAQ13">
        <v>0</v>
      </c>
      <c r="BAR13">
        <v>0</v>
      </c>
      <c r="BAS13">
        <v>0</v>
      </c>
      <c r="BAT13">
        <v>0</v>
      </c>
      <c r="BAU13">
        <v>0</v>
      </c>
      <c r="BAV13">
        <v>0</v>
      </c>
      <c r="BAW13">
        <v>0</v>
      </c>
      <c r="BAX13">
        <v>0</v>
      </c>
      <c r="BAY13">
        <v>0</v>
      </c>
      <c r="BAZ13">
        <v>0</v>
      </c>
      <c r="BBA13">
        <v>0</v>
      </c>
      <c r="BBB13">
        <v>0</v>
      </c>
      <c r="BBC13">
        <v>0</v>
      </c>
      <c r="BBD13">
        <v>0</v>
      </c>
      <c r="BBE13">
        <v>0</v>
      </c>
      <c r="BBF13">
        <v>0</v>
      </c>
      <c r="BBG13">
        <v>0</v>
      </c>
      <c r="BBH13">
        <v>0</v>
      </c>
      <c r="BBI13">
        <v>0</v>
      </c>
      <c r="BBJ13">
        <v>0</v>
      </c>
      <c r="BBK13">
        <v>0</v>
      </c>
      <c r="BBL13">
        <v>0</v>
      </c>
      <c r="BBM13">
        <v>0</v>
      </c>
      <c r="BBN13">
        <v>0</v>
      </c>
      <c r="BBO13">
        <v>0</v>
      </c>
      <c r="BBP13">
        <v>0</v>
      </c>
      <c r="BBQ13">
        <v>0</v>
      </c>
      <c r="BBR13">
        <v>0</v>
      </c>
      <c r="BBS13">
        <v>0</v>
      </c>
      <c r="BBT13">
        <v>0</v>
      </c>
      <c r="BBU13">
        <v>0</v>
      </c>
      <c r="BBV13">
        <v>0</v>
      </c>
      <c r="BBW13">
        <v>0</v>
      </c>
      <c r="BBX13">
        <v>0</v>
      </c>
      <c r="BBY13">
        <v>0</v>
      </c>
      <c r="BBZ13">
        <v>0</v>
      </c>
      <c r="BCA13">
        <v>0</v>
      </c>
      <c r="BCB13">
        <v>0</v>
      </c>
      <c r="BCC13">
        <v>0</v>
      </c>
      <c r="BCD13">
        <v>0</v>
      </c>
      <c r="BCE13">
        <v>0</v>
      </c>
      <c r="BCF13">
        <v>0</v>
      </c>
      <c r="BCG13">
        <v>0</v>
      </c>
      <c r="BCH13">
        <v>0</v>
      </c>
      <c r="BCI13">
        <v>0</v>
      </c>
      <c r="BCJ13">
        <v>0</v>
      </c>
      <c r="BCK13">
        <v>0</v>
      </c>
      <c r="BCL13">
        <v>0</v>
      </c>
      <c r="BCM13">
        <v>0</v>
      </c>
      <c r="BCN13">
        <v>0</v>
      </c>
      <c r="BCO13">
        <v>0</v>
      </c>
      <c r="BCP13">
        <v>0</v>
      </c>
      <c r="BCQ13">
        <v>0</v>
      </c>
      <c r="BCR13">
        <v>0</v>
      </c>
      <c r="BCS13">
        <v>0</v>
      </c>
      <c r="BCT13">
        <v>0</v>
      </c>
      <c r="BCU13">
        <v>0</v>
      </c>
      <c r="BCV13">
        <v>0</v>
      </c>
      <c r="BCW13">
        <v>0</v>
      </c>
      <c r="BCX13">
        <v>0</v>
      </c>
      <c r="BCY13">
        <v>0</v>
      </c>
      <c r="BCZ13">
        <v>0</v>
      </c>
      <c r="BDA13">
        <v>0</v>
      </c>
      <c r="BDB13">
        <v>0</v>
      </c>
      <c r="BDC13">
        <v>0</v>
      </c>
      <c r="BDD13">
        <v>0</v>
      </c>
      <c r="BDE13">
        <v>0</v>
      </c>
      <c r="BDF13">
        <v>0</v>
      </c>
      <c r="BDG13">
        <v>0</v>
      </c>
      <c r="BDH13">
        <v>0</v>
      </c>
      <c r="BDI13">
        <v>0</v>
      </c>
      <c r="BDJ13">
        <v>0</v>
      </c>
      <c r="BDK13">
        <v>0</v>
      </c>
      <c r="BDL13">
        <v>0</v>
      </c>
      <c r="BDM13">
        <v>0</v>
      </c>
      <c r="BDN13">
        <v>0</v>
      </c>
      <c r="BDO13">
        <v>0</v>
      </c>
      <c r="BDP13">
        <v>0</v>
      </c>
      <c r="BDQ13">
        <v>0</v>
      </c>
      <c r="BDR13">
        <v>0</v>
      </c>
      <c r="BDS13">
        <v>0</v>
      </c>
      <c r="BDT13">
        <v>0</v>
      </c>
      <c r="BDU13">
        <v>0</v>
      </c>
      <c r="BDV13">
        <v>0</v>
      </c>
      <c r="BDW13">
        <v>0</v>
      </c>
      <c r="BDX13">
        <v>0</v>
      </c>
      <c r="BDY13">
        <v>0</v>
      </c>
      <c r="BDZ13">
        <v>0</v>
      </c>
      <c r="BEA13">
        <v>0</v>
      </c>
      <c r="BEB13">
        <v>0</v>
      </c>
      <c r="BEC13">
        <v>0</v>
      </c>
      <c r="BED13">
        <v>0</v>
      </c>
      <c r="BEE13">
        <v>0</v>
      </c>
      <c r="BEF13">
        <v>0</v>
      </c>
      <c r="BEG13">
        <v>0</v>
      </c>
      <c r="BEH13">
        <v>0</v>
      </c>
      <c r="BEI13">
        <v>0</v>
      </c>
      <c r="BEJ13">
        <v>0</v>
      </c>
      <c r="BEK13">
        <v>0</v>
      </c>
      <c r="BEL13">
        <v>0</v>
      </c>
      <c r="BEM13">
        <v>0</v>
      </c>
      <c r="BEN13">
        <v>0</v>
      </c>
      <c r="BEO13">
        <v>0</v>
      </c>
      <c r="BEP13">
        <v>0</v>
      </c>
      <c r="BEQ13">
        <v>0</v>
      </c>
      <c r="BER13">
        <v>0</v>
      </c>
      <c r="BES13">
        <v>0</v>
      </c>
      <c r="BET13">
        <v>0</v>
      </c>
      <c r="BEU13">
        <v>0</v>
      </c>
      <c r="BEV13">
        <v>0</v>
      </c>
      <c r="BEW13">
        <v>0</v>
      </c>
      <c r="BEX13">
        <v>0</v>
      </c>
      <c r="BEY13">
        <v>0</v>
      </c>
      <c r="BEZ13">
        <v>0</v>
      </c>
      <c r="BFA13">
        <v>0</v>
      </c>
      <c r="BFB13">
        <v>0</v>
      </c>
      <c r="BFC13">
        <v>0</v>
      </c>
      <c r="BFD13" t="b">
        <v>0</v>
      </c>
      <c r="BFE13" t="b">
        <v>0</v>
      </c>
      <c r="BFF13" t="b">
        <v>0</v>
      </c>
      <c r="BFG13" t="b">
        <v>0</v>
      </c>
      <c r="BFH13">
        <v>0</v>
      </c>
      <c r="BFI13">
        <v>0</v>
      </c>
      <c r="BFJ13">
        <v>0</v>
      </c>
      <c r="BFK13">
        <v>0</v>
      </c>
      <c r="BFL13">
        <v>0</v>
      </c>
      <c r="BFM13">
        <v>0</v>
      </c>
      <c r="BFN13">
        <v>0</v>
      </c>
      <c r="BFO13">
        <v>0</v>
      </c>
      <c r="BFP13">
        <v>0</v>
      </c>
      <c r="BFQ13">
        <v>0</v>
      </c>
      <c r="BFR13">
        <v>0</v>
      </c>
      <c r="BFS13">
        <v>0</v>
      </c>
      <c r="BFT13">
        <v>0</v>
      </c>
      <c r="BFU13">
        <v>0</v>
      </c>
      <c r="BFV13">
        <v>0</v>
      </c>
      <c r="BFW13">
        <v>0</v>
      </c>
      <c r="BFX13">
        <v>0</v>
      </c>
      <c r="BFY13">
        <v>0</v>
      </c>
    </row>
    <row r="14" spans="1:1533" x14ac:dyDescent="0.25">
      <c r="A14" t="s">
        <v>2841</v>
      </c>
      <c r="B14" t="s">
        <v>2842</v>
      </c>
      <c r="C14">
        <v>130</v>
      </c>
      <c r="D14">
        <v>45</v>
      </c>
      <c r="E14">
        <v>0</v>
      </c>
      <c r="F14">
        <v>0</v>
      </c>
      <c r="G14">
        <v>0</v>
      </c>
      <c r="H14" t="s">
        <v>2403</v>
      </c>
      <c r="I14" t="s">
        <v>2403</v>
      </c>
      <c r="J14" t="s">
        <v>2403</v>
      </c>
      <c r="K14" t="s">
        <v>2403</v>
      </c>
      <c r="L14" t="s">
        <v>2403</v>
      </c>
      <c r="M14" t="s">
        <v>1883</v>
      </c>
      <c r="N14" t="s">
        <v>2403</v>
      </c>
      <c r="O14" t="s">
        <v>1883</v>
      </c>
      <c r="P14" t="s">
        <v>1883</v>
      </c>
      <c r="Q14" t="s">
        <v>2403</v>
      </c>
      <c r="R14" t="s">
        <v>1883</v>
      </c>
      <c r="S14" t="s">
        <v>1639</v>
      </c>
      <c r="T14" t="s">
        <v>2404</v>
      </c>
      <c r="U14" t="s">
        <v>2424</v>
      </c>
      <c r="V14" t="s">
        <v>2827</v>
      </c>
      <c r="W14" t="s">
        <v>309</v>
      </c>
      <c r="X14">
        <v>900</v>
      </c>
      <c r="Y14">
        <v>43469</v>
      </c>
      <c r="Z14">
        <v>0</v>
      </c>
      <c r="AA14">
        <v>0</v>
      </c>
      <c r="AB14">
        <v>100</v>
      </c>
      <c r="AC14" t="s">
        <v>272</v>
      </c>
      <c r="AD14">
        <v>0</v>
      </c>
      <c r="AE14">
        <v>0</v>
      </c>
      <c r="AF14">
        <v>43501</v>
      </c>
      <c r="AG14">
        <v>45</v>
      </c>
      <c r="AH14">
        <v>2600</v>
      </c>
      <c r="AI14">
        <v>0</v>
      </c>
      <c r="AJ14" t="s">
        <v>271</v>
      </c>
      <c r="AK14">
        <v>0.17988999999999999</v>
      </c>
      <c r="AL14">
        <v>0</v>
      </c>
      <c r="AM14">
        <v>50</v>
      </c>
      <c r="AN14">
        <v>45631</v>
      </c>
      <c r="AO14">
        <v>0.21740003986455569</v>
      </c>
      <c r="AP14">
        <v>7191.73</v>
      </c>
      <c r="AQ14">
        <v>5684.6400000000122</v>
      </c>
      <c r="AR14">
        <v>12876.370000000012</v>
      </c>
      <c r="AS14">
        <v>181.37</v>
      </c>
      <c r="AT14">
        <v>180.47</v>
      </c>
      <c r="AU14" t="s">
        <v>1913</v>
      </c>
      <c r="AV14" t="s">
        <v>2119</v>
      </c>
      <c r="AW14" t="s">
        <v>2738</v>
      </c>
      <c r="AX14">
        <v>19</v>
      </c>
      <c r="AY14">
        <v>0</v>
      </c>
      <c r="AZ14">
        <v>43455</v>
      </c>
      <c r="BA14">
        <v>100</v>
      </c>
      <c r="BB14">
        <v>1</v>
      </c>
      <c r="BC14">
        <v>4</v>
      </c>
      <c r="BD14" t="s">
        <v>415</v>
      </c>
      <c r="BE14">
        <v>361</v>
      </c>
      <c r="BF14">
        <v>174</v>
      </c>
      <c r="BG14">
        <v>43465</v>
      </c>
      <c r="BH14">
        <v>71</v>
      </c>
      <c r="BI14">
        <v>0</v>
      </c>
      <c r="BJ14">
        <v>50</v>
      </c>
      <c r="BK14">
        <v>43475</v>
      </c>
      <c r="BL14">
        <v>0</v>
      </c>
      <c r="BM14">
        <v>0</v>
      </c>
      <c r="BN14">
        <v>0</v>
      </c>
      <c r="BO14" t="s">
        <v>2843</v>
      </c>
      <c r="BP14" t="s">
        <v>2403</v>
      </c>
      <c r="BQ14" t="s">
        <v>2403</v>
      </c>
      <c r="BR14" t="s">
        <v>2403</v>
      </c>
      <c r="BS14">
        <v>459064371</v>
      </c>
      <c r="BT14">
        <v>22096</v>
      </c>
      <c r="BU14" t="s">
        <v>2844</v>
      </c>
      <c r="BV14" t="s">
        <v>2845</v>
      </c>
      <c r="BW14" t="s">
        <v>1633</v>
      </c>
      <c r="BX14">
        <v>76901</v>
      </c>
      <c r="BY14" t="s">
        <v>2844</v>
      </c>
      <c r="BZ14" t="s">
        <v>2845</v>
      </c>
      <c r="CA14">
        <v>76901</v>
      </c>
      <c r="CB14" t="s">
        <v>1633</v>
      </c>
      <c r="CC14" t="s">
        <v>1919</v>
      </c>
      <c r="CD14">
        <v>0</v>
      </c>
      <c r="CE14">
        <v>0</v>
      </c>
      <c r="CF14">
        <v>0</v>
      </c>
      <c r="CG14">
        <v>0</v>
      </c>
      <c r="CH14">
        <v>0</v>
      </c>
      <c r="CI14">
        <v>0</v>
      </c>
      <c r="CJ14">
        <v>0</v>
      </c>
      <c r="CK14">
        <v>0</v>
      </c>
      <c r="CL14">
        <v>3254818300</v>
      </c>
      <c r="CM14">
        <v>3254505404</v>
      </c>
      <c r="CN14" t="s">
        <v>2846</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DN14" t="s">
        <v>2846</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900</v>
      </c>
      <c r="EP14">
        <v>6798.73046875</v>
      </c>
      <c r="EQ14">
        <v>4</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0</v>
      </c>
      <c r="GC14">
        <v>0</v>
      </c>
      <c r="GD14">
        <v>0</v>
      </c>
      <c r="GE14">
        <v>0</v>
      </c>
      <c r="GF14">
        <v>0</v>
      </c>
      <c r="GG14">
        <v>0</v>
      </c>
      <c r="GH14" t="s">
        <v>2403</v>
      </c>
      <c r="GI14">
        <v>0</v>
      </c>
      <c r="GJ14">
        <v>0</v>
      </c>
      <c r="GK14">
        <v>0</v>
      </c>
      <c r="GL14" t="s">
        <v>2403</v>
      </c>
      <c r="GM14">
        <v>0</v>
      </c>
      <c r="GN14" t="s">
        <v>2403</v>
      </c>
      <c r="GO14">
        <v>0</v>
      </c>
      <c r="GP14" t="s">
        <v>2847</v>
      </c>
      <c r="GQ14">
        <v>0</v>
      </c>
      <c r="GR14">
        <v>0</v>
      </c>
      <c r="GS14">
        <v>0</v>
      </c>
      <c r="GT14" t="s">
        <v>2848</v>
      </c>
      <c r="GU14">
        <v>4910.5</v>
      </c>
      <c r="GV14">
        <v>0</v>
      </c>
      <c r="GW14">
        <v>0</v>
      </c>
      <c r="GX14">
        <v>0</v>
      </c>
      <c r="GY14" t="s">
        <v>2849</v>
      </c>
      <c r="GZ14">
        <v>0</v>
      </c>
      <c r="HA14">
        <v>0</v>
      </c>
      <c r="HB14">
        <v>0</v>
      </c>
      <c r="HC14">
        <v>4910.5</v>
      </c>
      <c r="HD14">
        <v>42430</v>
      </c>
      <c r="HE14">
        <v>19600</v>
      </c>
      <c r="HF14" t="s">
        <v>2845</v>
      </c>
      <c r="HG14" t="s">
        <v>231</v>
      </c>
      <c r="HH14" t="s">
        <v>2403</v>
      </c>
      <c r="HI14">
        <v>57130</v>
      </c>
      <c r="HJ14" t="s">
        <v>2403</v>
      </c>
      <c r="HK14" t="s">
        <v>2850</v>
      </c>
      <c r="HL14">
        <v>0</v>
      </c>
      <c r="HM14">
        <v>0</v>
      </c>
      <c r="HN14">
        <v>0</v>
      </c>
      <c r="HO14" t="s">
        <v>2851</v>
      </c>
      <c r="HP14" t="s">
        <v>2403</v>
      </c>
      <c r="HQ14">
        <v>0</v>
      </c>
      <c r="HR14" t="s">
        <v>1633</v>
      </c>
      <c r="HS14" t="s">
        <v>761</v>
      </c>
      <c r="HT14">
        <v>0</v>
      </c>
      <c r="HU14">
        <v>0</v>
      </c>
      <c r="HV14">
        <v>0</v>
      </c>
      <c r="HW14" t="s">
        <v>2852</v>
      </c>
      <c r="HX14">
        <v>0</v>
      </c>
      <c r="HY14">
        <v>0</v>
      </c>
      <c r="HZ14">
        <v>0</v>
      </c>
      <c r="IA14">
        <v>76901</v>
      </c>
      <c r="IB14" t="s">
        <v>2403</v>
      </c>
      <c r="IC14">
        <v>0</v>
      </c>
      <c r="ID14" t="s">
        <v>2403</v>
      </c>
      <c r="IE14">
        <v>0</v>
      </c>
      <c r="IF14">
        <v>0</v>
      </c>
      <c r="IG14">
        <v>0</v>
      </c>
      <c r="IH14" t="s">
        <v>2403</v>
      </c>
      <c r="II14">
        <v>0</v>
      </c>
      <c r="IJ14" t="s">
        <v>2403</v>
      </c>
      <c r="IK14">
        <v>0</v>
      </c>
      <c r="IL14" t="s">
        <v>2853</v>
      </c>
      <c r="IM14">
        <v>0</v>
      </c>
      <c r="IN14">
        <v>0</v>
      </c>
      <c r="IO14">
        <v>0</v>
      </c>
      <c r="IP14">
        <v>0</v>
      </c>
      <c r="IQ14">
        <v>629.41</v>
      </c>
      <c r="IR14">
        <v>0</v>
      </c>
      <c r="IS14">
        <v>0</v>
      </c>
      <c r="IT14">
        <v>0</v>
      </c>
      <c r="IU14">
        <v>629.40997314453125</v>
      </c>
      <c r="IV14">
        <v>4900</v>
      </c>
      <c r="IW14">
        <v>19600</v>
      </c>
      <c r="IX14">
        <v>0</v>
      </c>
      <c r="IY14" t="s">
        <v>231</v>
      </c>
      <c r="IZ14" t="s">
        <v>2403</v>
      </c>
      <c r="JA14">
        <v>57130</v>
      </c>
      <c r="JB14" t="s">
        <v>2403</v>
      </c>
      <c r="JC14" t="s">
        <v>2854</v>
      </c>
      <c r="JD14" t="s">
        <v>2403</v>
      </c>
      <c r="JE14">
        <v>0</v>
      </c>
      <c r="JF14">
        <v>0</v>
      </c>
      <c r="JG14" t="s">
        <v>761</v>
      </c>
      <c r="JH14">
        <v>0</v>
      </c>
      <c r="JI14">
        <v>0</v>
      </c>
      <c r="JJ14">
        <v>0</v>
      </c>
      <c r="JK14" t="s">
        <v>2852</v>
      </c>
      <c r="JL14">
        <v>0</v>
      </c>
      <c r="JM14">
        <v>0</v>
      </c>
      <c r="JN14">
        <v>0</v>
      </c>
      <c r="JO14" t="s">
        <v>2850</v>
      </c>
      <c r="JP14">
        <v>0</v>
      </c>
      <c r="JQ14">
        <v>0</v>
      </c>
      <c r="JR14">
        <v>0</v>
      </c>
      <c r="JS14" t="s">
        <v>2849</v>
      </c>
      <c r="JT14">
        <v>0</v>
      </c>
      <c r="JU14">
        <v>0</v>
      </c>
      <c r="JV14">
        <v>0</v>
      </c>
      <c r="JW14">
        <v>0</v>
      </c>
      <c r="JX14" t="s">
        <v>2403</v>
      </c>
      <c r="JY14">
        <v>0</v>
      </c>
      <c r="JZ14" t="s">
        <v>2403</v>
      </c>
      <c r="KA14">
        <v>0</v>
      </c>
      <c r="KB14">
        <v>0</v>
      </c>
      <c r="KC14">
        <v>0</v>
      </c>
      <c r="KD14" t="s">
        <v>2403</v>
      </c>
      <c r="KE14">
        <v>0</v>
      </c>
      <c r="KF14" t="s">
        <v>2403</v>
      </c>
      <c r="KG14">
        <v>0</v>
      </c>
      <c r="KH14" t="s">
        <v>2855</v>
      </c>
      <c r="KI14">
        <v>0</v>
      </c>
      <c r="KJ14">
        <v>0</v>
      </c>
      <c r="KK14">
        <v>0</v>
      </c>
      <c r="KL14">
        <v>0</v>
      </c>
      <c r="KM14">
        <v>629.41</v>
      </c>
      <c r="KN14">
        <v>0</v>
      </c>
      <c r="KO14">
        <v>0</v>
      </c>
      <c r="KP14">
        <v>0</v>
      </c>
      <c r="KQ14">
        <v>629.40997314453125</v>
      </c>
      <c r="KR14">
        <v>4900</v>
      </c>
      <c r="KS14">
        <v>19600</v>
      </c>
      <c r="KT14">
        <v>0</v>
      </c>
      <c r="KU14" t="s">
        <v>231</v>
      </c>
      <c r="KV14" t="s">
        <v>2403</v>
      </c>
      <c r="KW14">
        <v>57130</v>
      </c>
      <c r="KX14" t="s">
        <v>2856</v>
      </c>
      <c r="KY14" t="s">
        <v>2403</v>
      </c>
      <c r="KZ14" t="s">
        <v>2403</v>
      </c>
      <c r="LA14">
        <v>0</v>
      </c>
      <c r="LB14" t="s">
        <v>761</v>
      </c>
      <c r="LC14">
        <v>0</v>
      </c>
      <c r="LD14">
        <v>0</v>
      </c>
      <c r="LE14">
        <v>0</v>
      </c>
      <c r="LF14">
        <v>0</v>
      </c>
      <c r="LG14" t="s">
        <v>2852</v>
      </c>
      <c r="LH14">
        <v>0</v>
      </c>
      <c r="LI14">
        <v>0</v>
      </c>
      <c r="LJ14">
        <v>0</v>
      </c>
      <c r="LK14">
        <v>0</v>
      </c>
      <c r="LL14" t="s">
        <v>2850</v>
      </c>
      <c r="LM14">
        <v>0</v>
      </c>
      <c r="LN14">
        <v>0</v>
      </c>
      <c r="LO14">
        <v>0</v>
      </c>
      <c r="LP14" t="s">
        <v>2849</v>
      </c>
      <c r="LQ14">
        <v>0</v>
      </c>
      <c r="LR14">
        <v>0</v>
      </c>
      <c r="LS14">
        <v>0</v>
      </c>
      <c r="LT14" t="s">
        <v>2403</v>
      </c>
      <c r="LU14">
        <v>0</v>
      </c>
      <c r="LV14" t="s">
        <v>2403</v>
      </c>
      <c r="LW14">
        <v>0</v>
      </c>
      <c r="LX14">
        <v>0</v>
      </c>
      <c r="LY14">
        <v>0</v>
      </c>
      <c r="LZ14" t="s">
        <v>2403</v>
      </c>
      <c r="MA14">
        <v>0</v>
      </c>
      <c r="MB14" t="s">
        <v>2403</v>
      </c>
      <c r="MC14">
        <v>0</v>
      </c>
      <c r="MD14" t="s">
        <v>2857</v>
      </c>
      <c r="ME14">
        <v>0</v>
      </c>
      <c r="MF14">
        <v>0</v>
      </c>
      <c r="MG14">
        <v>0</v>
      </c>
      <c r="MH14">
        <v>0</v>
      </c>
      <c r="MI14">
        <v>629.41</v>
      </c>
      <c r="MJ14">
        <v>0</v>
      </c>
      <c r="MK14">
        <v>0</v>
      </c>
      <c r="ML14">
        <v>0</v>
      </c>
      <c r="MM14">
        <v>629.40997314453125</v>
      </c>
      <c r="MN14">
        <v>4900</v>
      </c>
      <c r="MO14">
        <v>19600</v>
      </c>
      <c r="MP14">
        <v>0</v>
      </c>
      <c r="MQ14" t="s">
        <v>231</v>
      </c>
      <c r="MR14" t="s">
        <v>2403</v>
      </c>
      <c r="MS14">
        <v>57130</v>
      </c>
      <c r="MT14" t="s">
        <v>2858</v>
      </c>
      <c r="MU14" t="s">
        <v>2403</v>
      </c>
      <c r="MV14" t="s">
        <v>2403</v>
      </c>
      <c r="MW14">
        <v>0</v>
      </c>
      <c r="MX14" t="s">
        <v>761</v>
      </c>
      <c r="MY14">
        <v>0</v>
      </c>
      <c r="MZ14">
        <v>0</v>
      </c>
      <c r="NA14">
        <v>0</v>
      </c>
      <c r="NB14">
        <v>0</v>
      </c>
      <c r="NC14" t="s">
        <v>2852</v>
      </c>
      <c r="ND14">
        <v>0</v>
      </c>
      <c r="NE14">
        <v>0</v>
      </c>
      <c r="NF14">
        <v>0</v>
      </c>
      <c r="NG14" t="s">
        <v>2850</v>
      </c>
      <c r="NH14">
        <v>0</v>
      </c>
      <c r="NI14">
        <v>0</v>
      </c>
      <c r="NJ14">
        <v>0</v>
      </c>
      <c r="NK14" t="s">
        <v>2849</v>
      </c>
      <c r="NL14">
        <v>0</v>
      </c>
      <c r="NM14">
        <v>0</v>
      </c>
      <c r="NN14">
        <v>0</v>
      </c>
      <c r="NO14">
        <v>0</v>
      </c>
      <c r="NP14" t="s">
        <v>2403</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I14">
        <v>0</v>
      </c>
      <c r="QJ14">
        <v>0</v>
      </c>
      <c r="QK14">
        <v>0</v>
      </c>
      <c r="QL14">
        <v>0</v>
      </c>
      <c r="QM14">
        <v>0</v>
      </c>
      <c r="QN14">
        <v>0</v>
      </c>
      <c r="QO14">
        <v>0</v>
      </c>
      <c r="QP14">
        <v>0</v>
      </c>
      <c r="QQ14">
        <v>0</v>
      </c>
      <c r="QR14">
        <v>0</v>
      </c>
      <c r="QS14">
        <v>0</v>
      </c>
      <c r="QT14">
        <v>0</v>
      </c>
      <c r="QU14">
        <v>0</v>
      </c>
      <c r="QV14">
        <v>0</v>
      </c>
      <c r="QW14">
        <v>0</v>
      </c>
      <c r="QX14">
        <v>0</v>
      </c>
      <c r="QY14">
        <v>0</v>
      </c>
      <c r="QZ14">
        <v>0</v>
      </c>
      <c r="RA14">
        <v>0</v>
      </c>
      <c r="RB14">
        <v>0</v>
      </c>
      <c r="RC14">
        <v>0</v>
      </c>
      <c r="RD14">
        <v>0</v>
      </c>
      <c r="RE14">
        <v>0</v>
      </c>
      <c r="RF14">
        <v>0</v>
      </c>
      <c r="RG14">
        <v>0</v>
      </c>
      <c r="RH14">
        <v>0</v>
      </c>
      <c r="RI14">
        <v>0</v>
      </c>
      <c r="RJ14">
        <v>0</v>
      </c>
      <c r="RK14">
        <v>0</v>
      </c>
      <c r="RL14">
        <v>0</v>
      </c>
      <c r="RM14">
        <v>0</v>
      </c>
      <c r="RN14">
        <v>0</v>
      </c>
      <c r="RO14">
        <v>0</v>
      </c>
      <c r="RP14">
        <v>0</v>
      </c>
      <c r="RQ14">
        <v>0</v>
      </c>
      <c r="RR14">
        <v>0</v>
      </c>
      <c r="RS14">
        <v>0</v>
      </c>
      <c r="RT14">
        <v>0</v>
      </c>
      <c r="RU14">
        <v>0</v>
      </c>
      <c r="RV14">
        <v>0</v>
      </c>
      <c r="RW14">
        <v>0</v>
      </c>
      <c r="RX14">
        <v>0</v>
      </c>
      <c r="RY14">
        <v>0</v>
      </c>
      <c r="RZ14">
        <v>0</v>
      </c>
      <c r="SA14">
        <v>0</v>
      </c>
      <c r="SB14">
        <v>0</v>
      </c>
      <c r="SC14">
        <v>0</v>
      </c>
      <c r="SD14">
        <v>0</v>
      </c>
      <c r="SE14">
        <v>0</v>
      </c>
      <c r="SF14">
        <v>0</v>
      </c>
      <c r="SG14">
        <v>0</v>
      </c>
      <c r="SH14">
        <v>0</v>
      </c>
      <c r="SI14">
        <v>0</v>
      </c>
      <c r="SJ14">
        <v>0</v>
      </c>
      <c r="SK14">
        <v>0</v>
      </c>
      <c r="SL14">
        <v>0</v>
      </c>
      <c r="SM14">
        <v>0</v>
      </c>
      <c r="SN14">
        <v>0</v>
      </c>
      <c r="SO14">
        <v>0</v>
      </c>
      <c r="SP14">
        <v>0</v>
      </c>
      <c r="SQ14">
        <v>0</v>
      </c>
      <c r="SR14">
        <v>0</v>
      </c>
      <c r="SS14">
        <v>0</v>
      </c>
      <c r="ST14">
        <v>0</v>
      </c>
      <c r="SU14">
        <v>0</v>
      </c>
      <c r="SV14">
        <v>0</v>
      </c>
      <c r="SW14">
        <v>0</v>
      </c>
      <c r="SX14">
        <v>0</v>
      </c>
      <c r="SY14">
        <v>0</v>
      </c>
      <c r="SZ14">
        <v>0</v>
      </c>
      <c r="TA14">
        <v>0</v>
      </c>
      <c r="TB14">
        <v>0</v>
      </c>
      <c r="TC14">
        <v>0</v>
      </c>
      <c r="TD14">
        <v>0</v>
      </c>
      <c r="TE14">
        <v>0</v>
      </c>
      <c r="TF14">
        <v>0</v>
      </c>
      <c r="TG14">
        <v>0</v>
      </c>
      <c r="TH14">
        <v>0</v>
      </c>
      <c r="TI14">
        <v>0</v>
      </c>
      <c r="TJ14">
        <v>0</v>
      </c>
      <c r="TK14">
        <v>0</v>
      </c>
      <c r="TL14">
        <v>0</v>
      </c>
      <c r="TM14">
        <v>0</v>
      </c>
      <c r="TN14">
        <v>0</v>
      </c>
      <c r="TO14">
        <v>0</v>
      </c>
      <c r="TP14">
        <v>0</v>
      </c>
      <c r="TQ14">
        <v>0</v>
      </c>
      <c r="TR14">
        <v>0</v>
      </c>
      <c r="TS14">
        <v>0</v>
      </c>
      <c r="TT14">
        <v>0</v>
      </c>
      <c r="TU14">
        <v>0</v>
      </c>
      <c r="TV14">
        <v>0</v>
      </c>
      <c r="TW14">
        <v>0</v>
      </c>
      <c r="TX14">
        <v>0</v>
      </c>
      <c r="TY14">
        <v>0</v>
      </c>
      <c r="TZ14">
        <v>0</v>
      </c>
      <c r="UA14">
        <v>0</v>
      </c>
      <c r="UB14">
        <v>0</v>
      </c>
      <c r="UC14">
        <v>0</v>
      </c>
      <c r="UD14">
        <v>0</v>
      </c>
      <c r="UE14">
        <v>0</v>
      </c>
      <c r="UF14">
        <v>0</v>
      </c>
      <c r="UG14">
        <v>0</v>
      </c>
      <c r="UH14">
        <v>0</v>
      </c>
      <c r="UI14">
        <v>0</v>
      </c>
      <c r="UJ14">
        <v>0</v>
      </c>
      <c r="UK14">
        <v>0</v>
      </c>
      <c r="UL14">
        <v>0</v>
      </c>
      <c r="UM14">
        <v>0</v>
      </c>
      <c r="UN14">
        <v>0</v>
      </c>
      <c r="UO14">
        <v>0</v>
      </c>
      <c r="UP14">
        <v>0</v>
      </c>
      <c r="UQ14">
        <v>0</v>
      </c>
      <c r="UR14">
        <v>0</v>
      </c>
      <c r="US14">
        <v>0</v>
      </c>
      <c r="UT14">
        <v>0</v>
      </c>
      <c r="UU14">
        <v>0</v>
      </c>
      <c r="UV14">
        <v>0</v>
      </c>
      <c r="UW14">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S14">
        <v>0</v>
      </c>
      <c r="YT14">
        <v>0</v>
      </c>
      <c r="YU14">
        <v>0</v>
      </c>
      <c r="YV14">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c r="ACR14">
        <v>0</v>
      </c>
      <c r="ACS14">
        <v>0</v>
      </c>
      <c r="ACT14">
        <v>0</v>
      </c>
      <c r="ACU14">
        <v>0</v>
      </c>
      <c r="ACV14">
        <v>0</v>
      </c>
      <c r="ACW14">
        <v>0</v>
      </c>
      <c r="ACX14">
        <v>0</v>
      </c>
      <c r="ACY14">
        <v>0</v>
      </c>
      <c r="ACZ14">
        <v>0</v>
      </c>
      <c r="ADA14">
        <v>0</v>
      </c>
      <c r="ADB14">
        <v>0</v>
      </c>
      <c r="ADC14">
        <v>0</v>
      </c>
      <c r="ADD14">
        <v>0</v>
      </c>
      <c r="ADE14">
        <v>0</v>
      </c>
      <c r="ADF14">
        <v>0</v>
      </c>
      <c r="ADG14">
        <v>0</v>
      </c>
      <c r="ADH14">
        <v>0</v>
      </c>
      <c r="ADI14">
        <v>0</v>
      </c>
      <c r="ADJ14">
        <v>0</v>
      </c>
      <c r="ADK14">
        <v>0</v>
      </c>
      <c r="ADL14">
        <v>0</v>
      </c>
      <c r="ADM14">
        <v>0</v>
      </c>
      <c r="ADN14">
        <v>0</v>
      </c>
      <c r="ADO14">
        <v>0</v>
      </c>
      <c r="ADP14">
        <v>0</v>
      </c>
      <c r="ADQ14">
        <v>0</v>
      </c>
      <c r="ADR14">
        <v>0</v>
      </c>
      <c r="ADS14">
        <v>0</v>
      </c>
      <c r="ADT14">
        <v>0</v>
      </c>
      <c r="ADU14">
        <v>0</v>
      </c>
      <c r="ADV14">
        <v>0</v>
      </c>
      <c r="ADW14">
        <v>0</v>
      </c>
      <c r="ADX14">
        <v>0</v>
      </c>
      <c r="ADY14">
        <v>0</v>
      </c>
      <c r="ADZ14">
        <v>0</v>
      </c>
      <c r="AEA14">
        <v>0</v>
      </c>
      <c r="AEB14">
        <v>0</v>
      </c>
      <c r="AEC14">
        <v>0</v>
      </c>
      <c r="AED14">
        <v>0</v>
      </c>
      <c r="AEE14">
        <v>0</v>
      </c>
      <c r="AEF14">
        <v>0</v>
      </c>
      <c r="AEG14">
        <v>0</v>
      </c>
      <c r="AEH14">
        <v>0</v>
      </c>
      <c r="AEI14">
        <v>0</v>
      </c>
      <c r="AEJ14">
        <v>0</v>
      </c>
      <c r="AEK14">
        <v>0</v>
      </c>
      <c r="AEL14">
        <v>0</v>
      </c>
      <c r="AEM14">
        <v>0</v>
      </c>
      <c r="AEN14">
        <v>0</v>
      </c>
      <c r="AEO14">
        <v>0</v>
      </c>
      <c r="AEP14">
        <v>0</v>
      </c>
      <c r="AEQ14">
        <v>0</v>
      </c>
      <c r="AER14">
        <v>0</v>
      </c>
      <c r="AES14">
        <v>0</v>
      </c>
      <c r="AET14">
        <v>0</v>
      </c>
      <c r="AEU14">
        <v>0</v>
      </c>
      <c r="AEV14">
        <v>0</v>
      </c>
      <c r="AEW14">
        <v>0</v>
      </c>
      <c r="AEX14">
        <v>0</v>
      </c>
      <c r="AEY14">
        <v>0</v>
      </c>
      <c r="AEZ14">
        <v>0</v>
      </c>
      <c r="AFA14">
        <v>0</v>
      </c>
      <c r="AFB14">
        <v>0</v>
      </c>
      <c r="AFC14">
        <v>0</v>
      </c>
      <c r="AFD14">
        <v>0</v>
      </c>
      <c r="AFE14">
        <v>0</v>
      </c>
      <c r="AFF14">
        <v>0</v>
      </c>
      <c r="AFG14">
        <v>0</v>
      </c>
      <c r="AFH14">
        <v>0</v>
      </c>
      <c r="AFI14">
        <v>0</v>
      </c>
      <c r="AFJ14">
        <v>0</v>
      </c>
      <c r="AFK14">
        <v>0</v>
      </c>
      <c r="AFL14">
        <v>0</v>
      </c>
      <c r="AFM14">
        <v>0</v>
      </c>
      <c r="AFN14">
        <v>0</v>
      </c>
      <c r="AFO14">
        <v>0</v>
      </c>
      <c r="AFP14">
        <v>0</v>
      </c>
      <c r="AFQ14">
        <v>0</v>
      </c>
      <c r="AFR14">
        <v>0</v>
      </c>
      <c r="AFS14">
        <v>0</v>
      </c>
      <c r="AFT14">
        <v>0</v>
      </c>
      <c r="AFU14">
        <v>0</v>
      </c>
      <c r="AFV14">
        <v>0</v>
      </c>
      <c r="AFW14">
        <v>0</v>
      </c>
      <c r="AFX14">
        <v>0</v>
      </c>
      <c r="AFY14">
        <v>0</v>
      </c>
      <c r="AFZ14">
        <v>0</v>
      </c>
      <c r="AGA14">
        <v>0</v>
      </c>
      <c r="AGB14">
        <v>0</v>
      </c>
      <c r="AGC14">
        <v>0</v>
      </c>
      <c r="AGD14">
        <v>0</v>
      </c>
      <c r="AGE14">
        <v>0</v>
      </c>
      <c r="AGF14">
        <v>0</v>
      </c>
      <c r="AGG14">
        <v>0</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A14">
        <v>0</v>
      </c>
      <c r="AIB14">
        <v>0</v>
      </c>
      <c r="AIC14">
        <v>0</v>
      </c>
      <c r="AID14">
        <v>0</v>
      </c>
      <c r="AIE14">
        <v>0</v>
      </c>
      <c r="AIF14">
        <v>0</v>
      </c>
      <c r="AIG14">
        <v>0</v>
      </c>
      <c r="AIH14">
        <v>0</v>
      </c>
      <c r="AII14">
        <v>0</v>
      </c>
      <c r="AIJ14">
        <v>0</v>
      </c>
      <c r="AIK14">
        <v>0</v>
      </c>
      <c r="AIL14">
        <v>0</v>
      </c>
      <c r="AIM14">
        <v>0</v>
      </c>
      <c r="AIN14">
        <v>0</v>
      </c>
      <c r="AIO14">
        <v>0</v>
      </c>
      <c r="AIP14">
        <v>0</v>
      </c>
      <c r="AIQ14">
        <v>0</v>
      </c>
      <c r="AIR14">
        <v>0</v>
      </c>
      <c r="AIS14">
        <v>0</v>
      </c>
      <c r="AIT14">
        <v>0</v>
      </c>
      <c r="AIU14">
        <v>0</v>
      </c>
      <c r="AIV14">
        <v>0</v>
      </c>
      <c r="AIW14">
        <v>0</v>
      </c>
      <c r="AIX14">
        <v>0</v>
      </c>
      <c r="AIY14">
        <v>0</v>
      </c>
      <c r="AIZ14">
        <v>0</v>
      </c>
      <c r="AJA14">
        <v>0</v>
      </c>
      <c r="AJB14">
        <v>0</v>
      </c>
      <c r="AJC14">
        <v>0</v>
      </c>
      <c r="AJD14">
        <v>0</v>
      </c>
      <c r="AJE14">
        <v>0</v>
      </c>
      <c r="AJF14">
        <v>0</v>
      </c>
      <c r="AJG14">
        <v>0</v>
      </c>
      <c r="AJH14">
        <v>0</v>
      </c>
      <c r="AJI14">
        <v>0</v>
      </c>
      <c r="AJJ14">
        <v>0</v>
      </c>
      <c r="AJK14">
        <v>0</v>
      </c>
      <c r="AJL14">
        <v>0</v>
      </c>
      <c r="AJM14">
        <v>0</v>
      </c>
      <c r="AJN14">
        <v>0</v>
      </c>
      <c r="AJO14">
        <v>0</v>
      </c>
      <c r="AJP14">
        <v>0</v>
      </c>
      <c r="AJQ14">
        <v>0</v>
      </c>
      <c r="AJR14">
        <v>0</v>
      </c>
      <c r="AJS14">
        <v>0</v>
      </c>
      <c r="AJT14">
        <v>0</v>
      </c>
      <c r="AJU14">
        <v>0</v>
      </c>
      <c r="AJV14">
        <v>0</v>
      </c>
      <c r="AJW14">
        <v>0</v>
      </c>
      <c r="AJX14">
        <v>0</v>
      </c>
      <c r="AJY14">
        <v>0</v>
      </c>
      <c r="AJZ14">
        <v>0</v>
      </c>
      <c r="AKA14">
        <v>0</v>
      </c>
      <c r="AKB14">
        <v>0</v>
      </c>
      <c r="AKC14">
        <v>0</v>
      </c>
      <c r="AKD14">
        <v>0</v>
      </c>
      <c r="AKE14">
        <v>0</v>
      </c>
      <c r="AKF14">
        <v>0</v>
      </c>
      <c r="AKG14">
        <v>0</v>
      </c>
      <c r="AKH14">
        <v>0</v>
      </c>
      <c r="AKI14">
        <v>0</v>
      </c>
      <c r="AKJ14">
        <v>0</v>
      </c>
      <c r="AKK14">
        <v>0</v>
      </c>
      <c r="AKL14">
        <v>0</v>
      </c>
      <c r="AKM14">
        <v>0</v>
      </c>
      <c r="AKN14">
        <v>0</v>
      </c>
      <c r="AKO14">
        <v>0</v>
      </c>
      <c r="AKP14">
        <v>0</v>
      </c>
      <c r="AKQ14">
        <v>0</v>
      </c>
      <c r="AKR14">
        <v>0</v>
      </c>
      <c r="AKS14">
        <v>0</v>
      </c>
      <c r="AKT14">
        <v>0</v>
      </c>
      <c r="AKU14">
        <v>0</v>
      </c>
      <c r="AKV14">
        <v>0</v>
      </c>
      <c r="AKW14">
        <v>0</v>
      </c>
      <c r="AKX14">
        <v>0</v>
      </c>
      <c r="AKY14">
        <v>0</v>
      </c>
      <c r="AKZ14">
        <v>0</v>
      </c>
      <c r="ALA14">
        <v>0</v>
      </c>
      <c r="ALB14">
        <v>0</v>
      </c>
      <c r="ALC14">
        <v>0</v>
      </c>
      <c r="ALD14">
        <v>0</v>
      </c>
      <c r="ALE14">
        <v>0</v>
      </c>
      <c r="ALF14">
        <v>0</v>
      </c>
      <c r="ALG14">
        <v>0</v>
      </c>
      <c r="ALH14">
        <v>0</v>
      </c>
      <c r="ALI14">
        <v>0</v>
      </c>
      <c r="ALJ14">
        <v>0</v>
      </c>
      <c r="ALK14">
        <v>0</v>
      </c>
      <c r="ALL14">
        <v>0</v>
      </c>
      <c r="ALM14">
        <v>0</v>
      </c>
      <c r="ALN14">
        <v>0</v>
      </c>
      <c r="ALO14">
        <v>0</v>
      </c>
      <c r="ALP14">
        <v>0</v>
      </c>
      <c r="ALQ14">
        <v>0</v>
      </c>
      <c r="ALR14">
        <v>0</v>
      </c>
      <c r="ALS14">
        <v>0</v>
      </c>
      <c r="ALT14">
        <v>0</v>
      </c>
      <c r="ALU14">
        <v>0</v>
      </c>
      <c r="ALV14">
        <v>0</v>
      </c>
      <c r="ALW14">
        <v>0</v>
      </c>
      <c r="ALX14">
        <v>0</v>
      </c>
      <c r="ALY14">
        <v>0</v>
      </c>
      <c r="ALZ14">
        <v>0</v>
      </c>
      <c r="AMA14">
        <v>0</v>
      </c>
      <c r="AMB14">
        <v>0</v>
      </c>
      <c r="AMC14">
        <v>0</v>
      </c>
      <c r="AMD14">
        <v>0</v>
      </c>
      <c r="AME14">
        <v>0</v>
      </c>
      <c r="AMF14">
        <v>0</v>
      </c>
      <c r="AMG14">
        <v>0</v>
      </c>
      <c r="AMH14">
        <v>0</v>
      </c>
      <c r="AMI14">
        <v>0</v>
      </c>
      <c r="AMJ14">
        <v>0</v>
      </c>
      <c r="AMK14">
        <v>0</v>
      </c>
      <c r="AML14">
        <v>0</v>
      </c>
      <c r="AMM14">
        <v>0</v>
      </c>
      <c r="AMN14">
        <v>0</v>
      </c>
      <c r="AMO14">
        <v>0</v>
      </c>
      <c r="AMP14">
        <v>0</v>
      </c>
      <c r="AMQ14">
        <v>0</v>
      </c>
      <c r="AMR14">
        <v>0</v>
      </c>
      <c r="AMS14">
        <v>0</v>
      </c>
      <c r="AMT14">
        <v>0</v>
      </c>
      <c r="AMU14">
        <v>0</v>
      </c>
      <c r="AMV14">
        <v>0</v>
      </c>
      <c r="AMW14">
        <v>0</v>
      </c>
      <c r="AMX14">
        <v>0</v>
      </c>
      <c r="AMY14">
        <v>0</v>
      </c>
      <c r="AMZ14">
        <v>0</v>
      </c>
      <c r="ANA14">
        <v>0</v>
      </c>
      <c r="ANB14">
        <v>0</v>
      </c>
      <c r="ANC14">
        <v>0</v>
      </c>
      <c r="AND14">
        <v>0</v>
      </c>
      <c r="ANE14">
        <v>0</v>
      </c>
      <c r="ANF14">
        <v>0</v>
      </c>
      <c r="ANG14">
        <v>0</v>
      </c>
      <c r="ANH14">
        <v>0</v>
      </c>
      <c r="ANI14">
        <v>0</v>
      </c>
      <c r="ANJ14">
        <v>0</v>
      </c>
      <c r="ANK14">
        <v>0</v>
      </c>
      <c r="ANL14">
        <v>0</v>
      </c>
      <c r="ANM14">
        <v>0</v>
      </c>
      <c r="ANN14">
        <v>0</v>
      </c>
      <c r="ANO14">
        <v>0</v>
      </c>
      <c r="ANP14">
        <v>0</v>
      </c>
      <c r="ANQ14">
        <v>0</v>
      </c>
      <c r="ANR14">
        <v>0</v>
      </c>
      <c r="ANS14">
        <v>0</v>
      </c>
      <c r="ANT14">
        <v>0</v>
      </c>
      <c r="ANU14">
        <v>0</v>
      </c>
      <c r="ANV14">
        <v>0</v>
      </c>
      <c r="ANW14">
        <v>0</v>
      </c>
      <c r="ANX14">
        <v>0</v>
      </c>
      <c r="ANY14">
        <v>0</v>
      </c>
      <c r="ANZ14">
        <v>0</v>
      </c>
      <c r="AOA14">
        <v>0</v>
      </c>
      <c r="AOB14">
        <v>0</v>
      </c>
      <c r="AOC14">
        <v>0</v>
      </c>
      <c r="AOD14">
        <v>0</v>
      </c>
      <c r="AOE14">
        <v>0</v>
      </c>
      <c r="AOF14">
        <v>0</v>
      </c>
      <c r="AOG14">
        <v>0</v>
      </c>
      <c r="AOH14">
        <v>0</v>
      </c>
      <c r="AOI14">
        <v>0</v>
      </c>
      <c r="AOJ14">
        <v>0</v>
      </c>
      <c r="AOK14">
        <v>0</v>
      </c>
      <c r="AOL14">
        <v>0</v>
      </c>
      <c r="AOM14">
        <v>0</v>
      </c>
      <c r="AON14">
        <v>0</v>
      </c>
      <c r="AOO14">
        <v>0</v>
      </c>
      <c r="AOP14">
        <v>0</v>
      </c>
      <c r="AOQ14">
        <v>0</v>
      </c>
      <c r="AOR14">
        <v>0</v>
      </c>
      <c r="AOS14">
        <v>0</v>
      </c>
      <c r="AOT14">
        <v>0</v>
      </c>
      <c r="AOU14">
        <v>0</v>
      </c>
      <c r="AOV14">
        <v>0</v>
      </c>
      <c r="AOW14">
        <v>0</v>
      </c>
      <c r="AOX14">
        <v>0</v>
      </c>
      <c r="AOY14">
        <v>0</v>
      </c>
      <c r="AOZ14">
        <v>0</v>
      </c>
      <c r="APA14">
        <v>0</v>
      </c>
      <c r="APB14">
        <v>0</v>
      </c>
      <c r="APC14">
        <v>0</v>
      </c>
      <c r="APD14">
        <v>0</v>
      </c>
      <c r="APE14">
        <v>0</v>
      </c>
      <c r="APF14">
        <v>0</v>
      </c>
      <c r="APG14">
        <v>0</v>
      </c>
      <c r="APH14">
        <v>0</v>
      </c>
      <c r="API14">
        <v>0</v>
      </c>
      <c r="APJ14">
        <v>0</v>
      </c>
      <c r="APK14">
        <v>0</v>
      </c>
      <c r="APL14">
        <v>0</v>
      </c>
      <c r="APM14">
        <v>0</v>
      </c>
      <c r="APN14">
        <v>0</v>
      </c>
      <c r="APO14">
        <v>0</v>
      </c>
      <c r="APP14">
        <v>0</v>
      </c>
      <c r="APQ14">
        <v>0</v>
      </c>
      <c r="APR14">
        <v>0</v>
      </c>
      <c r="APS14">
        <v>0</v>
      </c>
      <c r="APT14">
        <v>0</v>
      </c>
      <c r="APU14">
        <v>0</v>
      </c>
      <c r="APV14">
        <v>0</v>
      </c>
      <c r="APW14">
        <v>0</v>
      </c>
      <c r="APX14">
        <v>0</v>
      </c>
      <c r="APY14">
        <v>0</v>
      </c>
      <c r="APZ14">
        <v>0</v>
      </c>
      <c r="AQA14">
        <v>0</v>
      </c>
      <c r="AQB14">
        <v>0</v>
      </c>
      <c r="AQC14">
        <v>0</v>
      </c>
      <c r="AQD14">
        <v>0</v>
      </c>
      <c r="AQE14">
        <v>0</v>
      </c>
      <c r="AQF14">
        <v>0</v>
      </c>
      <c r="AQG14">
        <v>0</v>
      </c>
      <c r="AQH14">
        <v>0</v>
      </c>
      <c r="AQI14">
        <v>0</v>
      </c>
      <c r="AQJ14">
        <v>0</v>
      </c>
      <c r="AQK14">
        <v>0</v>
      </c>
      <c r="AQL14">
        <v>0</v>
      </c>
      <c r="AQM14">
        <v>0</v>
      </c>
      <c r="AQN14">
        <v>0</v>
      </c>
      <c r="AQO14">
        <v>0</v>
      </c>
      <c r="AQP14">
        <v>0</v>
      </c>
      <c r="AQQ14">
        <v>0</v>
      </c>
      <c r="AQR14">
        <v>0</v>
      </c>
      <c r="AQS14">
        <v>0</v>
      </c>
      <c r="AQT14">
        <v>0</v>
      </c>
      <c r="AQU14">
        <v>0</v>
      </c>
      <c r="AQV14">
        <v>0</v>
      </c>
      <c r="AQW14">
        <v>0</v>
      </c>
      <c r="AQX14">
        <v>0</v>
      </c>
      <c r="AQY14">
        <v>0</v>
      </c>
      <c r="AQZ14">
        <v>0</v>
      </c>
      <c r="ARA14">
        <v>0</v>
      </c>
      <c r="ARB14">
        <v>0</v>
      </c>
      <c r="ARC14">
        <v>0</v>
      </c>
      <c r="ARD14">
        <v>0</v>
      </c>
      <c r="ARE14">
        <v>0</v>
      </c>
      <c r="ARF14">
        <v>0</v>
      </c>
      <c r="ARG14">
        <v>0</v>
      </c>
      <c r="ARH14">
        <v>0</v>
      </c>
      <c r="ARI14">
        <v>0</v>
      </c>
      <c r="ARJ14">
        <v>0</v>
      </c>
      <c r="ARK14">
        <v>0</v>
      </c>
      <c r="ARL14">
        <v>0</v>
      </c>
      <c r="ARM14">
        <v>0</v>
      </c>
      <c r="ARN14">
        <v>0</v>
      </c>
      <c r="ARO14">
        <v>0</v>
      </c>
      <c r="ARP14">
        <v>0</v>
      </c>
      <c r="ARQ14">
        <v>0</v>
      </c>
      <c r="ARR14">
        <v>0</v>
      </c>
      <c r="ARS14">
        <v>0</v>
      </c>
      <c r="ART14">
        <v>0</v>
      </c>
      <c r="ARU14">
        <v>0</v>
      </c>
      <c r="ARV14">
        <v>0</v>
      </c>
      <c r="ARW14">
        <v>0</v>
      </c>
      <c r="ARX14">
        <v>0</v>
      </c>
      <c r="ARY14">
        <v>0</v>
      </c>
      <c r="ARZ14">
        <v>0</v>
      </c>
      <c r="ASA14">
        <v>0</v>
      </c>
      <c r="ASB14">
        <v>0</v>
      </c>
      <c r="ASC14">
        <v>0</v>
      </c>
      <c r="ASD14">
        <v>0</v>
      </c>
      <c r="ASE14">
        <v>0</v>
      </c>
      <c r="ASF14">
        <v>0</v>
      </c>
      <c r="ASG14">
        <v>0</v>
      </c>
      <c r="ASH14">
        <v>0</v>
      </c>
      <c r="ASI14">
        <v>0</v>
      </c>
      <c r="ASJ14">
        <v>0</v>
      </c>
      <c r="ASK14">
        <v>0</v>
      </c>
      <c r="ASL14">
        <v>0</v>
      </c>
      <c r="ASM14">
        <v>0</v>
      </c>
      <c r="ASN14">
        <v>0</v>
      </c>
      <c r="ASO14">
        <v>0</v>
      </c>
      <c r="ASP14">
        <v>0</v>
      </c>
      <c r="ASQ14">
        <v>0</v>
      </c>
      <c r="ASR14">
        <v>0</v>
      </c>
      <c r="ASS14">
        <v>0</v>
      </c>
      <c r="AST14">
        <v>0</v>
      </c>
      <c r="ASU14">
        <v>0</v>
      </c>
      <c r="ASV14">
        <v>0</v>
      </c>
      <c r="ASW14">
        <v>0</v>
      </c>
      <c r="ASX14">
        <v>0</v>
      </c>
      <c r="ASY14">
        <v>0</v>
      </c>
      <c r="ASZ14">
        <v>0</v>
      </c>
      <c r="ATA14">
        <v>0</v>
      </c>
      <c r="ATB14">
        <v>0</v>
      </c>
      <c r="ATC14">
        <v>0</v>
      </c>
      <c r="ATD14">
        <v>0</v>
      </c>
      <c r="ATE14">
        <v>0</v>
      </c>
      <c r="ATF14">
        <v>0</v>
      </c>
      <c r="ATG14">
        <v>0</v>
      </c>
      <c r="ATH14">
        <v>0</v>
      </c>
      <c r="ATI14">
        <v>0</v>
      </c>
      <c r="ATJ14">
        <v>0</v>
      </c>
      <c r="ATK14">
        <v>0</v>
      </c>
      <c r="ATL14">
        <v>0</v>
      </c>
      <c r="ATM14">
        <v>0</v>
      </c>
      <c r="ATN14">
        <v>0</v>
      </c>
      <c r="ATO14">
        <v>0</v>
      </c>
      <c r="ATP14">
        <v>0</v>
      </c>
      <c r="ATQ14">
        <v>0</v>
      </c>
      <c r="ATR14">
        <v>0</v>
      </c>
      <c r="ATS14">
        <v>0</v>
      </c>
      <c r="ATT14">
        <v>0</v>
      </c>
      <c r="ATU14">
        <v>0</v>
      </c>
      <c r="ATV14">
        <v>0</v>
      </c>
      <c r="ATW14">
        <v>0</v>
      </c>
      <c r="ATX14">
        <v>0</v>
      </c>
      <c r="ATY14">
        <v>0</v>
      </c>
      <c r="ATZ14">
        <v>0</v>
      </c>
      <c r="AUA14">
        <v>0</v>
      </c>
      <c r="AUB14">
        <v>0</v>
      </c>
      <c r="AUC14">
        <v>0</v>
      </c>
      <c r="AUD14">
        <v>0</v>
      </c>
      <c r="AUE14">
        <v>0</v>
      </c>
      <c r="AUF14">
        <v>0</v>
      </c>
      <c r="AUG14">
        <v>0</v>
      </c>
      <c r="AUH14">
        <v>0</v>
      </c>
      <c r="AUI14">
        <v>0</v>
      </c>
      <c r="AUJ14">
        <v>0</v>
      </c>
      <c r="AUK14">
        <v>0</v>
      </c>
      <c r="AUL14">
        <v>0</v>
      </c>
      <c r="AUM14">
        <v>0</v>
      </c>
      <c r="AUN14">
        <v>0</v>
      </c>
      <c r="AUO14">
        <v>0</v>
      </c>
      <c r="AUP14">
        <v>0</v>
      </c>
      <c r="AUQ14">
        <v>0</v>
      </c>
      <c r="AUR14">
        <v>0</v>
      </c>
      <c r="AUS14">
        <v>0</v>
      </c>
      <c r="AUT14">
        <v>0</v>
      </c>
      <c r="AUU14">
        <v>0</v>
      </c>
      <c r="AUV14">
        <v>0</v>
      </c>
      <c r="AUW14">
        <v>0</v>
      </c>
      <c r="AUX14">
        <v>0</v>
      </c>
      <c r="AUY14">
        <v>0</v>
      </c>
      <c r="AUZ14">
        <v>0</v>
      </c>
      <c r="AVA14">
        <v>0</v>
      </c>
      <c r="AVB14">
        <v>0</v>
      </c>
      <c r="AVC14">
        <v>0</v>
      </c>
      <c r="AVD14">
        <v>0</v>
      </c>
      <c r="AVE14">
        <v>0</v>
      </c>
      <c r="AVF14">
        <v>0</v>
      </c>
      <c r="AVG14">
        <v>0</v>
      </c>
      <c r="AVH14">
        <v>0</v>
      </c>
      <c r="AVI14">
        <v>0</v>
      </c>
      <c r="AVJ14">
        <v>0</v>
      </c>
      <c r="AVK14">
        <v>0</v>
      </c>
      <c r="AVL14">
        <v>0</v>
      </c>
      <c r="AVM14">
        <v>0</v>
      </c>
      <c r="AVN14">
        <v>0</v>
      </c>
      <c r="AVO14">
        <v>0</v>
      </c>
      <c r="AVP14">
        <v>0</v>
      </c>
      <c r="AVQ14">
        <v>0</v>
      </c>
      <c r="AVR14">
        <v>0</v>
      </c>
      <c r="AVS14">
        <v>0</v>
      </c>
      <c r="AVT14">
        <v>0</v>
      </c>
      <c r="AVU14">
        <v>0</v>
      </c>
      <c r="AVV14">
        <v>0</v>
      </c>
      <c r="AVW14">
        <v>0</v>
      </c>
      <c r="AVX14">
        <v>0</v>
      </c>
      <c r="AVY14">
        <v>0</v>
      </c>
      <c r="AVZ14">
        <v>0</v>
      </c>
      <c r="AWA14">
        <v>0</v>
      </c>
      <c r="AWB14">
        <v>0</v>
      </c>
      <c r="AWC14">
        <v>0</v>
      </c>
      <c r="AWD14">
        <v>0</v>
      </c>
      <c r="AWE14">
        <v>0</v>
      </c>
      <c r="AWF14">
        <v>0</v>
      </c>
      <c r="AWG14">
        <v>0</v>
      </c>
      <c r="AWH14">
        <v>0</v>
      </c>
      <c r="AWI14">
        <v>0</v>
      </c>
      <c r="AWJ14">
        <v>0</v>
      </c>
      <c r="AWK14">
        <v>0</v>
      </c>
      <c r="AWL14">
        <v>0</v>
      </c>
      <c r="AWM14">
        <v>0</v>
      </c>
      <c r="AWN14">
        <v>0</v>
      </c>
      <c r="AWO14">
        <v>0</v>
      </c>
      <c r="AWP14">
        <v>0</v>
      </c>
      <c r="AWQ14">
        <v>0</v>
      </c>
      <c r="AWR14">
        <v>0</v>
      </c>
      <c r="AWS14">
        <v>0</v>
      </c>
      <c r="AWT14">
        <v>0</v>
      </c>
      <c r="AWU14">
        <v>0</v>
      </c>
      <c r="AWV14">
        <v>0</v>
      </c>
      <c r="AWW14">
        <v>0</v>
      </c>
      <c r="AWX14">
        <v>0</v>
      </c>
      <c r="AWY14">
        <v>0</v>
      </c>
      <c r="AWZ14">
        <v>0</v>
      </c>
      <c r="AXA14">
        <v>0</v>
      </c>
      <c r="AXB14">
        <v>0</v>
      </c>
      <c r="AXC14">
        <v>0</v>
      </c>
      <c r="AXD14">
        <v>0</v>
      </c>
      <c r="AXE14">
        <v>0</v>
      </c>
      <c r="AXF14">
        <v>0</v>
      </c>
      <c r="AXG14">
        <v>0</v>
      </c>
      <c r="AXH14">
        <v>0</v>
      </c>
      <c r="AXI14">
        <v>0</v>
      </c>
      <c r="AXJ14">
        <v>0</v>
      </c>
      <c r="AXK14">
        <v>0</v>
      </c>
      <c r="AXL14">
        <v>0</v>
      </c>
      <c r="AXM14">
        <v>0</v>
      </c>
      <c r="AXN14">
        <v>0</v>
      </c>
      <c r="AXO14">
        <v>0</v>
      </c>
      <c r="AXP14">
        <v>0</v>
      </c>
      <c r="AXQ14">
        <v>0</v>
      </c>
      <c r="AXR14">
        <v>0</v>
      </c>
      <c r="AXS14">
        <v>0</v>
      </c>
      <c r="AXT14">
        <v>0</v>
      </c>
      <c r="AXU14">
        <v>0</v>
      </c>
      <c r="AXV14">
        <v>0</v>
      </c>
      <c r="AXW14">
        <v>0</v>
      </c>
      <c r="AXX14">
        <v>0</v>
      </c>
      <c r="AXY14">
        <v>0</v>
      </c>
      <c r="AXZ14">
        <v>0</v>
      </c>
      <c r="AYA14">
        <v>0</v>
      </c>
      <c r="AYB14">
        <v>0</v>
      </c>
      <c r="AYC14">
        <v>0</v>
      </c>
      <c r="AYD14">
        <v>0</v>
      </c>
      <c r="AYE14">
        <v>0</v>
      </c>
      <c r="AYF14">
        <v>0</v>
      </c>
      <c r="AYG14">
        <v>0</v>
      </c>
      <c r="AYH14">
        <v>0</v>
      </c>
      <c r="AYI14">
        <v>0</v>
      </c>
      <c r="AYJ14">
        <v>0</v>
      </c>
      <c r="AYK14">
        <v>0</v>
      </c>
      <c r="AYL14">
        <v>0</v>
      </c>
      <c r="AYM14">
        <v>0</v>
      </c>
      <c r="AYN14">
        <v>0</v>
      </c>
      <c r="AYO14">
        <v>0</v>
      </c>
      <c r="AYP14">
        <v>0</v>
      </c>
      <c r="AYQ14">
        <v>0</v>
      </c>
      <c r="AYR14">
        <v>0</v>
      </c>
      <c r="AYS14">
        <v>0</v>
      </c>
      <c r="AYT14">
        <v>0</v>
      </c>
      <c r="AYU14">
        <v>0</v>
      </c>
      <c r="AYV14">
        <v>0</v>
      </c>
      <c r="AYW14">
        <v>0</v>
      </c>
      <c r="AYX14">
        <v>0</v>
      </c>
      <c r="AYY14">
        <v>0</v>
      </c>
      <c r="AYZ14">
        <v>0</v>
      </c>
      <c r="AZA14">
        <v>0</v>
      </c>
      <c r="AZB14">
        <v>0</v>
      </c>
      <c r="AZC14">
        <v>0</v>
      </c>
      <c r="AZD14">
        <v>0</v>
      </c>
      <c r="AZE14">
        <v>0</v>
      </c>
      <c r="AZF14">
        <v>0</v>
      </c>
      <c r="AZG14">
        <v>0</v>
      </c>
      <c r="AZH14">
        <v>0</v>
      </c>
      <c r="AZI14">
        <v>0</v>
      </c>
      <c r="AZJ14">
        <v>0</v>
      </c>
      <c r="AZK14">
        <v>0</v>
      </c>
      <c r="AZL14">
        <v>0</v>
      </c>
      <c r="AZM14">
        <v>0</v>
      </c>
      <c r="AZN14">
        <v>0</v>
      </c>
      <c r="AZO14">
        <v>0</v>
      </c>
      <c r="AZP14">
        <v>0</v>
      </c>
      <c r="AZQ14">
        <v>0</v>
      </c>
      <c r="AZR14">
        <v>0</v>
      </c>
      <c r="AZS14">
        <v>0</v>
      </c>
      <c r="AZT14">
        <v>0</v>
      </c>
      <c r="AZU14">
        <v>0</v>
      </c>
      <c r="AZV14">
        <v>0</v>
      </c>
      <c r="AZW14">
        <v>0</v>
      </c>
      <c r="AZX14">
        <v>0</v>
      </c>
      <c r="AZY14">
        <v>0</v>
      </c>
      <c r="AZZ14">
        <v>0</v>
      </c>
      <c r="BAA14">
        <v>0</v>
      </c>
      <c r="BAB14">
        <v>0</v>
      </c>
      <c r="BAC14">
        <v>0</v>
      </c>
      <c r="BAD14">
        <v>0</v>
      </c>
      <c r="BAE14">
        <v>0</v>
      </c>
      <c r="BAF14">
        <v>0</v>
      </c>
      <c r="BAG14">
        <v>0</v>
      </c>
      <c r="BAH14">
        <v>0</v>
      </c>
      <c r="BAI14">
        <v>0</v>
      </c>
      <c r="BAJ14">
        <v>0</v>
      </c>
      <c r="BAK14">
        <v>1689973</v>
      </c>
      <c r="BAL14">
        <v>7872.73</v>
      </c>
      <c r="BAM14">
        <v>6798.73</v>
      </c>
      <c r="BAN14">
        <v>1074</v>
      </c>
      <c r="BAO14">
        <v>0</v>
      </c>
      <c r="BAP14">
        <v>0</v>
      </c>
      <c r="BAQ14">
        <v>0</v>
      </c>
      <c r="BAR14">
        <v>0</v>
      </c>
      <c r="BAS14">
        <v>0</v>
      </c>
      <c r="BAT14">
        <v>0</v>
      </c>
      <c r="BAU14">
        <v>0</v>
      </c>
      <c r="BAV14">
        <v>0</v>
      </c>
      <c r="BAW14">
        <v>0</v>
      </c>
      <c r="BAX14">
        <v>0</v>
      </c>
      <c r="BAY14">
        <v>0</v>
      </c>
      <c r="BAZ14">
        <v>0</v>
      </c>
      <c r="BBA14">
        <v>0</v>
      </c>
      <c r="BBB14">
        <v>0</v>
      </c>
      <c r="BBC14">
        <v>0</v>
      </c>
      <c r="BBD14">
        <v>0</v>
      </c>
      <c r="BBE14">
        <v>0</v>
      </c>
      <c r="BBF14">
        <v>0</v>
      </c>
      <c r="BBG14">
        <v>0</v>
      </c>
      <c r="BBH14">
        <v>0</v>
      </c>
      <c r="BBI14">
        <v>0</v>
      </c>
      <c r="BBJ14">
        <v>0</v>
      </c>
      <c r="BBK14">
        <v>0</v>
      </c>
      <c r="BBL14">
        <v>0</v>
      </c>
      <c r="BBM14">
        <v>0</v>
      </c>
      <c r="BBN14">
        <v>0</v>
      </c>
      <c r="BBO14">
        <v>0</v>
      </c>
      <c r="BBP14">
        <v>0</v>
      </c>
      <c r="BBQ14">
        <v>0</v>
      </c>
      <c r="BBR14">
        <v>0</v>
      </c>
      <c r="BBS14">
        <v>0</v>
      </c>
      <c r="BBT14">
        <v>0</v>
      </c>
      <c r="BBU14">
        <v>0</v>
      </c>
      <c r="BBV14">
        <v>0</v>
      </c>
      <c r="BBW14">
        <v>0</v>
      </c>
      <c r="BBX14">
        <v>0</v>
      </c>
      <c r="BBY14">
        <v>0</v>
      </c>
      <c r="BBZ14">
        <v>0</v>
      </c>
      <c r="BCA14">
        <v>0</v>
      </c>
      <c r="BCB14">
        <v>0</v>
      </c>
      <c r="BCC14">
        <v>0</v>
      </c>
      <c r="BCD14">
        <v>0</v>
      </c>
      <c r="BCE14">
        <v>0</v>
      </c>
      <c r="BCF14">
        <v>0</v>
      </c>
      <c r="BCG14">
        <v>0</v>
      </c>
      <c r="BCH14">
        <v>0</v>
      </c>
      <c r="BCI14">
        <v>0</v>
      </c>
      <c r="BCJ14">
        <v>0</v>
      </c>
      <c r="BCK14">
        <v>0</v>
      </c>
      <c r="BCL14">
        <v>0</v>
      </c>
      <c r="BCM14">
        <v>0</v>
      </c>
      <c r="BCN14">
        <v>0</v>
      </c>
      <c r="BCO14">
        <v>0</v>
      </c>
      <c r="BCP14">
        <v>0</v>
      </c>
      <c r="BCQ14">
        <v>0</v>
      </c>
      <c r="BCR14">
        <v>0</v>
      </c>
      <c r="BCS14">
        <v>0</v>
      </c>
      <c r="BCT14">
        <v>0</v>
      </c>
      <c r="BCU14">
        <v>0</v>
      </c>
      <c r="BCV14">
        <v>0</v>
      </c>
      <c r="BCW14">
        <v>0</v>
      </c>
      <c r="BCX14">
        <v>0</v>
      </c>
      <c r="BCY14">
        <v>0</v>
      </c>
      <c r="BCZ14">
        <v>0</v>
      </c>
      <c r="BDA14">
        <v>0</v>
      </c>
      <c r="BDB14">
        <v>0</v>
      </c>
      <c r="BDC14">
        <v>0</v>
      </c>
      <c r="BDD14">
        <v>0</v>
      </c>
      <c r="BDE14">
        <v>0</v>
      </c>
      <c r="BDF14">
        <v>0</v>
      </c>
      <c r="BDG14">
        <v>0</v>
      </c>
      <c r="BDH14">
        <v>0</v>
      </c>
      <c r="BDI14">
        <v>0</v>
      </c>
      <c r="BDJ14">
        <v>0</v>
      </c>
      <c r="BDK14">
        <v>0</v>
      </c>
      <c r="BDL14">
        <v>0</v>
      </c>
      <c r="BDM14">
        <v>0</v>
      </c>
      <c r="BDN14">
        <v>0</v>
      </c>
      <c r="BDO14">
        <v>0</v>
      </c>
      <c r="BDP14">
        <v>0</v>
      </c>
      <c r="BDQ14">
        <v>0</v>
      </c>
      <c r="BDR14">
        <v>0</v>
      </c>
      <c r="BDS14">
        <v>0</v>
      </c>
      <c r="BDT14">
        <v>0</v>
      </c>
      <c r="BDU14">
        <v>0</v>
      </c>
      <c r="BDV14">
        <v>0</v>
      </c>
      <c r="BDW14">
        <v>0</v>
      </c>
      <c r="BDX14">
        <v>0</v>
      </c>
      <c r="BDY14">
        <v>0</v>
      </c>
      <c r="BDZ14">
        <v>0</v>
      </c>
      <c r="BEA14">
        <v>0</v>
      </c>
      <c r="BEB14">
        <v>0</v>
      </c>
      <c r="BEC14">
        <v>0</v>
      </c>
      <c r="BED14">
        <v>0</v>
      </c>
      <c r="BEE14">
        <v>0</v>
      </c>
      <c r="BEF14">
        <v>0</v>
      </c>
      <c r="BEG14">
        <v>0</v>
      </c>
      <c r="BEH14">
        <v>0</v>
      </c>
      <c r="BEI14">
        <v>0</v>
      </c>
      <c r="BEJ14">
        <v>0</v>
      </c>
      <c r="BEK14">
        <v>0</v>
      </c>
      <c r="BEL14">
        <v>0</v>
      </c>
      <c r="BEM14">
        <v>0</v>
      </c>
      <c r="BEN14">
        <v>0</v>
      </c>
      <c r="BEO14">
        <v>0</v>
      </c>
      <c r="BEP14">
        <v>0</v>
      </c>
      <c r="BEQ14">
        <v>0</v>
      </c>
      <c r="BER14">
        <v>0</v>
      </c>
      <c r="BES14">
        <v>0</v>
      </c>
      <c r="BET14">
        <v>0</v>
      </c>
      <c r="BEU14">
        <v>0</v>
      </c>
      <c r="BEV14">
        <v>0</v>
      </c>
      <c r="BEW14">
        <v>0</v>
      </c>
      <c r="BEX14">
        <v>0</v>
      </c>
      <c r="BEY14">
        <v>0</v>
      </c>
      <c r="BEZ14">
        <v>0</v>
      </c>
      <c r="BFA14">
        <v>0</v>
      </c>
      <c r="BFB14">
        <v>0</v>
      </c>
      <c r="BFC14">
        <v>0</v>
      </c>
      <c r="BFD14" t="b">
        <v>0</v>
      </c>
      <c r="BFE14" t="b">
        <v>0</v>
      </c>
      <c r="BFF14" t="b">
        <v>0</v>
      </c>
      <c r="BFG14" t="b">
        <v>0</v>
      </c>
      <c r="BFH14">
        <v>0</v>
      </c>
      <c r="BFI14">
        <v>0</v>
      </c>
      <c r="BFJ14">
        <v>0</v>
      </c>
      <c r="BFK14">
        <v>0</v>
      </c>
      <c r="BFL14">
        <v>0</v>
      </c>
      <c r="BFM14">
        <v>0</v>
      </c>
      <c r="BFN14">
        <v>0</v>
      </c>
      <c r="BFO14">
        <v>0</v>
      </c>
      <c r="BFP14">
        <v>0</v>
      </c>
      <c r="BFQ14">
        <v>0</v>
      </c>
      <c r="BFR14">
        <v>0</v>
      </c>
      <c r="BFS14">
        <v>0</v>
      </c>
      <c r="BFT14">
        <v>0</v>
      </c>
      <c r="BFU14">
        <v>0</v>
      </c>
      <c r="BFV14">
        <v>0</v>
      </c>
      <c r="BFW14">
        <v>0</v>
      </c>
      <c r="BFX14">
        <v>0</v>
      </c>
      <c r="BFY14">
        <v>0</v>
      </c>
    </row>
    <row r="15" spans="1:1533" ht="18.75" customHeight="1" x14ac:dyDescent="0.25">
      <c r="A15" t="s">
        <v>2859</v>
      </c>
      <c r="B15" t="s">
        <v>2860</v>
      </c>
      <c r="C15">
        <v>130</v>
      </c>
      <c r="D15">
        <v>45</v>
      </c>
      <c r="E15" t="s">
        <v>2861</v>
      </c>
      <c r="F15">
        <v>234234234</v>
      </c>
      <c r="G15">
        <v>123123123</v>
      </c>
      <c r="H15" t="s">
        <v>2404</v>
      </c>
      <c r="I15" t="s">
        <v>2403</v>
      </c>
      <c r="J15" t="s">
        <v>2403</v>
      </c>
      <c r="K15" t="s">
        <v>2403</v>
      </c>
      <c r="L15" t="s">
        <v>2404</v>
      </c>
      <c r="M15">
        <v>101911</v>
      </c>
      <c r="N15" t="s">
        <v>2403</v>
      </c>
      <c r="O15" t="s">
        <v>1883</v>
      </c>
      <c r="P15" t="s">
        <v>1883</v>
      </c>
      <c r="Q15" t="s">
        <v>2403</v>
      </c>
      <c r="R15" t="s">
        <v>1883</v>
      </c>
      <c r="S15" t="s">
        <v>1639</v>
      </c>
      <c r="T15" t="s">
        <v>2404</v>
      </c>
      <c r="U15" t="s">
        <v>2424</v>
      </c>
      <c r="V15" t="s">
        <v>2862</v>
      </c>
      <c r="W15" t="s">
        <v>309</v>
      </c>
      <c r="X15">
        <v>1300</v>
      </c>
      <c r="Y15">
        <v>43537</v>
      </c>
      <c r="Z15">
        <v>0</v>
      </c>
      <c r="AA15">
        <v>0</v>
      </c>
      <c r="AB15">
        <v>0</v>
      </c>
      <c r="AC15" t="s">
        <v>409</v>
      </c>
      <c r="AD15">
        <v>125</v>
      </c>
      <c r="AE15">
        <v>0</v>
      </c>
      <c r="AF15">
        <v>43564</v>
      </c>
      <c r="AG15">
        <v>45</v>
      </c>
      <c r="AH15">
        <v>100000</v>
      </c>
      <c r="AI15" t="s">
        <v>2738</v>
      </c>
      <c r="AJ15" t="s">
        <v>271</v>
      </c>
      <c r="AK15">
        <v>0.15004999999999999</v>
      </c>
      <c r="AL15">
        <v>0</v>
      </c>
      <c r="AM15">
        <v>50</v>
      </c>
      <c r="AN15">
        <v>47186</v>
      </c>
      <c r="AO15">
        <v>0.15961618233143593</v>
      </c>
      <c r="AP15">
        <v>28794</v>
      </c>
      <c r="AQ15">
        <v>29058.700000000121</v>
      </c>
      <c r="AR15">
        <v>57852.700000000121</v>
      </c>
      <c r="AS15">
        <v>482.12</v>
      </c>
      <c r="AT15">
        <v>480.42</v>
      </c>
      <c r="AU15" t="s">
        <v>1889</v>
      </c>
      <c r="AV15" t="s">
        <v>2119</v>
      </c>
      <c r="AW15" t="s">
        <v>2738</v>
      </c>
      <c r="AX15">
        <v>19</v>
      </c>
      <c r="AY15">
        <v>0</v>
      </c>
      <c r="AZ15">
        <v>43530</v>
      </c>
      <c r="BA15">
        <v>100</v>
      </c>
      <c r="BB15">
        <v>3</v>
      </c>
      <c r="BC15">
        <v>5</v>
      </c>
      <c r="BD15" t="s">
        <v>410</v>
      </c>
      <c r="BE15">
        <v>736</v>
      </c>
      <c r="BF15">
        <v>0</v>
      </c>
      <c r="BG15">
        <v>43533</v>
      </c>
      <c r="BH15">
        <v>120</v>
      </c>
      <c r="BI15">
        <v>0</v>
      </c>
      <c r="BJ15">
        <v>50</v>
      </c>
      <c r="BK15">
        <v>43476</v>
      </c>
      <c r="BL15">
        <v>0</v>
      </c>
      <c r="BM15">
        <v>0</v>
      </c>
      <c r="BN15">
        <v>0</v>
      </c>
      <c r="BO15" t="s">
        <v>2863</v>
      </c>
      <c r="BP15" t="s">
        <v>2403</v>
      </c>
      <c r="BQ15" t="s">
        <v>2403</v>
      </c>
      <c r="BR15" t="s">
        <v>2403</v>
      </c>
      <c r="BS15">
        <v>123456789</v>
      </c>
      <c r="BT15">
        <v>31048</v>
      </c>
      <c r="BU15" t="s">
        <v>2864</v>
      </c>
      <c r="BV15" t="s">
        <v>2865</v>
      </c>
      <c r="BW15" t="s">
        <v>1637</v>
      </c>
      <c r="BX15">
        <v>53511</v>
      </c>
      <c r="BY15" t="s">
        <v>2866</v>
      </c>
      <c r="BZ15" t="s">
        <v>2867</v>
      </c>
      <c r="CA15">
        <v>78640</v>
      </c>
      <c r="CB15" t="s">
        <v>1633</v>
      </c>
      <c r="CC15" t="s">
        <v>1919</v>
      </c>
      <c r="CD15" t="s">
        <v>2868</v>
      </c>
      <c r="CE15" t="s">
        <v>2868</v>
      </c>
      <c r="CF15">
        <v>0</v>
      </c>
      <c r="CG15">
        <v>0</v>
      </c>
      <c r="CH15">
        <v>0</v>
      </c>
      <c r="CI15">
        <v>0</v>
      </c>
      <c r="CJ15">
        <v>0</v>
      </c>
      <c r="CK15">
        <v>5125127777</v>
      </c>
      <c r="CL15">
        <v>5125126666</v>
      </c>
      <c r="CM15">
        <v>5125125555</v>
      </c>
      <c r="CN15" t="s">
        <v>2869</v>
      </c>
      <c r="CO15" t="s">
        <v>2870</v>
      </c>
      <c r="CP15" t="s">
        <v>2403</v>
      </c>
      <c r="CQ15" t="s">
        <v>2403</v>
      </c>
      <c r="CR15" t="s">
        <v>2403</v>
      </c>
      <c r="CS15" t="s">
        <v>2864</v>
      </c>
      <c r="CT15" t="s">
        <v>2865</v>
      </c>
      <c r="CU15" t="s">
        <v>1637</v>
      </c>
      <c r="CV15">
        <v>53511</v>
      </c>
      <c r="CW15">
        <v>2345678910</v>
      </c>
      <c r="CX15">
        <v>30713</v>
      </c>
      <c r="CY15" t="s">
        <v>2866</v>
      </c>
      <c r="CZ15" t="s">
        <v>2867</v>
      </c>
      <c r="DA15">
        <v>78640</v>
      </c>
      <c r="DB15" t="s">
        <v>1633</v>
      </c>
      <c r="DC15" t="s">
        <v>1919</v>
      </c>
      <c r="DD15">
        <v>0</v>
      </c>
      <c r="DE15">
        <v>0</v>
      </c>
      <c r="DF15">
        <v>0</v>
      </c>
      <c r="DG15">
        <v>0</v>
      </c>
      <c r="DH15">
        <v>0</v>
      </c>
      <c r="DI15">
        <v>0</v>
      </c>
      <c r="DJ15">
        <v>0</v>
      </c>
      <c r="DK15">
        <v>5125123333</v>
      </c>
      <c r="DL15">
        <v>5125122222</v>
      </c>
      <c r="DM15">
        <v>5125121111</v>
      </c>
      <c r="DN15" t="s">
        <v>2869</v>
      </c>
      <c r="DO15" t="s">
        <v>2871</v>
      </c>
      <c r="DP15" t="s">
        <v>2403</v>
      </c>
      <c r="DQ15" t="s">
        <v>2403</v>
      </c>
      <c r="DR15" t="s">
        <v>2403</v>
      </c>
      <c r="DS15" t="s">
        <v>2872</v>
      </c>
      <c r="DT15" t="s">
        <v>2872</v>
      </c>
      <c r="DU15" t="s">
        <v>2872</v>
      </c>
      <c r="DV15" t="s">
        <v>2872</v>
      </c>
      <c r="DW15">
        <v>1237897897</v>
      </c>
      <c r="DX15">
        <v>27454</v>
      </c>
      <c r="DY15" t="s">
        <v>2872</v>
      </c>
      <c r="DZ15" t="s">
        <v>2872</v>
      </c>
      <c r="EA15" t="s">
        <v>2872</v>
      </c>
      <c r="EB15" t="s">
        <v>2872</v>
      </c>
      <c r="EC15" t="s">
        <v>1919</v>
      </c>
      <c r="ED15">
        <v>0</v>
      </c>
      <c r="EE15">
        <v>0</v>
      </c>
      <c r="EF15">
        <v>0</v>
      </c>
      <c r="EG15">
        <v>0</v>
      </c>
      <c r="EH15">
        <v>0</v>
      </c>
      <c r="EI15">
        <v>0</v>
      </c>
      <c r="EJ15">
        <v>0</v>
      </c>
      <c r="EK15">
        <v>0</v>
      </c>
      <c r="EL15">
        <v>0</v>
      </c>
      <c r="EM15">
        <v>5125127897</v>
      </c>
      <c r="EN15" t="s">
        <v>2873</v>
      </c>
      <c r="EO15">
        <v>1300</v>
      </c>
      <c r="EP15">
        <v>28550</v>
      </c>
      <c r="EQ15">
        <v>3</v>
      </c>
      <c r="ER15">
        <v>0</v>
      </c>
      <c r="ES15" t="s">
        <v>2874</v>
      </c>
      <c r="ET15" t="s">
        <v>2875</v>
      </c>
      <c r="EU15" t="s">
        <v>2876</v>
      </c>
      <c r="EV15">
        <v>0</v>
      </c>
      <c r="EW15">
        <v>0</v>
      </c>
      <c r="EX15">
        <v>0</v>
      </c>
      <c r="EY15">
        <v>0</v>
      </c>
      <c r="EZ15">
        <v>0</v>
      </c>
      <c r="FA15">
        <v>0</v>
      </c>
      <c r="FB15">
        <v>0</v>
      </c>
      <c r="FC15">
        <v>0</v>
      </c>
      <c r="FD15">
        <v>0</v>
      </c>
      <c r="FE15">
        <v>0</v>
      </c>
      <c r="FF15">
        <v>0</v>
      </c>
      <c r="FG15">
        <v>0</v>
      </c>
      <c r="FH15">
        <v>0</v>
      </c>
      <c r="FI15">
        <v>0</v>
      </c>
      <c r="FJ15">
        <v>0</v>
      </c>
      <c r="FK15">
        <v>0</v>
      </c>
      <c r="FL15">
        <v>0</v>
      </c>
      <c r="FM15">
        <v>19500</v>
      </c>
      <c r="FN15">
        <v>3500</v>
      </c>
      <c r="FO15">
        <v>5550</v>
      </c>
      <c r="FP15">
        <v>0</v>
      </c>
      <c r="FQ15">
        <v>0</v>
      </c>
      <c r="FR15">
        <v>0</v>
      </c>
      <c r="FS15">
        <v>0</v>
      </c>
      <c r="FT15">
        <v>0</v>
      </c>
      <c r="FU15">
        <v>0</v>
      </c>
      <c r="FV15">
        <v>0</v>
      </c>
      <c r="FW15">
        <v>0</v>
      </c>
      <c r="FX15">
        <v>0</v>
      </c>
      <c r="FY15">
        <v>0</v>
      </c>
      <c r="FZ15">
        <v>0</v>
      </c>
      <c r="GA15">
        <v>0</v>
      </c>
      <c r="GB15">
        <v>0</v>
      </c>
      <c r="GC15">
        <v>0</v>
      </c>
      <c r="GD15">
        <v>0</v>
      </c>
      <c r="GE15">
        <v>0</v>
      </c>
      <c r="GF15">
        <v>0</v>
      </c>
      <c r="GG15">
        <v>0</v>
      </c>
      <c r="GH15" t="s">
        <v>2403</v>
      </c>
      <c r="GI15">
        <v>0</v>
      </c>
      <c r="GJ15">
        <v>0</v>
      </c>
      <c r="GK15">
        <v>0</v>
      </c>
      <c r="GL15" t="s">
        <v>2403</v>
      </c>
      <c r="GM15">
        <v>0</v>
      </c>
      <c r="GN15" t="s">
        <v>2403</v>
      </c>
      <c r="GO15">
        <v>0</v>
      </c>
      <c r="GP15">
        <v>11123</v>
      </c>
      <c r="GQ15">
        <v>11124</v>
      </c>
      <c r="GR15">
        <v>11125</v>
      </c>
      <c r="GS15">
        <v>0</v>
      </c>
      <c r="GT15" t="s">
        <v>2877</v>
      </c>
      <c r="GU15">
        <v>7500</v>
      </c>
      <c r="GV15">
        <v>1500</v>
      </c>
      <c r="GW15">
        <v>3500</v>
      </c>
      <c r="GX15">
        <v>0</v>
      </c>
      <c r="GY15">
        <v>0</v>
      </c>
      <c r="GZ15">
        <v>0</v>
      </c>
      <c r="HA15">
        <v>0</v>
      </c>
      <c r="HB15">
        <v>0</v>
      </c>
      <c r="HC15">
        <v>12500</v>
      </c>
      <c r="HD15">
        <v>0</v>
      </c>
      <c r="HE15">
        <v>0</v>
      </c>
      <c r="HF15" t="s">
        <v>13</v>
      </c>
      <c r="HG15" t="s">
        <v>232</v>
      </c>
      <c r="HH15" t="s">
        <v>2403</v>
      </c>
      <c r="HI15">
        <v>0</v>
      </c>
      <c r="HJ15" t="s">
        <v>2403</v>
      </c>
      <c r="HK15">
        <v>0</v>
      </c>
      <c r="HL15">
        <v>0</v>
      </c>
      <c r="HM15">
        <v>0</v>
      </c>
      <c r="HN15">
        <v>0</v>
      </c>
      <c r="HO15" t="s">
        <v>2878</v>
      </c>
      <c r="HP15" t="s">
        <v>2403</v>
      </c>
      <c r="HQ15">
        <v>0</v>
      </c>
      <c r="HR15" t="s">
        <v>1633</v>
      </c>
      <c r="HS15" t="s">
        <v>2874</v>
      </c>
      <c r="HT15" t="s">
        <v>2875</v>
      </c>
      <c r="HU15" t="s">
        <v>2876</v>
      </c>
      <c r="HV15">
        <v>0</v>
      </c>
      <c r="HW15" t="s">
        <v>2045</v>
      </c>
      <c r="HX15" t="s">
        <v>2045</v>
      </c>
      <c r="HY15" t="s">
        <v>2045</v>
      </c>
      <c r="HZ15">
        <v>0</v>
      </c>
      <c r="IA15">
        <v>78701</v>
      </c>
      <c r="IB15" t="s">
        <v>2403</v>
      </c>
      <c r="IC15">
        <v>0</v>
      </c>
      <c r="ID15" t="s">
        <v>2403</v>
      </c>
      <c r="IE15">
        <v>0</v>
      </c>
      <c r="IF15">
        <v>0</v>
      </c>
      <c r="IG15">
        <v>0</v>
      </c>
      <c r="IH15" t="s">
        <v>2403</v>
      </c>
      <c r="II15">
        <v>0</v>
      </c>
      <c r="IJ15" t="s">
        <v>2403</v>
      </c>
      <c r="IK15">
        <v>0</v>
      </c>
      <c r="IL15">
        <v>11123</v>
      </c>
      <c r="IM15">
        <v>11124</v>
      </c>
      <c r="IN15">
        <v>11125</v>
      </c>
      <c r="IO15">
        <v>0</v>
      </c>
      <c r="IP15" t="s">
        <v>2879</v>
      </c>
      <c r="IQ15">
        <v>1500</v>
      </c>
      <c r="IR15">
        <v>500</v>
      </c>
      <c r="IS15">
        <v>600</v>
      </c>
      <c r="IT15">
        <v>0</v>
      </c>
      <c r="IU15">
        <v>2600</v>
      </c>
      <c r="IV15">
        <v>0</v>
      </c>
      <c r="IW15">
        <v>0</v>
      </c>
      <c r="IX15" t="s">
        <v>13</v>
      </c>
      <c r="IY15" t="s">
        <v>232</v>
      </c>
      <c r="IZ15" t="s">
        <v>2403</v>
      </c>
      <c r="JA15">
        <v>0</v>
      </c>
      <c r="JB15" t="s">
        <v>2403</v>
      </c>
      <c r="JC15" t="s">
        <v>2880</v>
      </c>
      <c r="JD15" t="s">
        <v>2403</v>
      </c>
      <c r="JE15">
        <v>0</v>
      </c>
      <c r="JF15" t="s">
        <v>1633</v>
      </c>
      <c r="JG15" t="s">
        <v>2874</v>
      </c>
      <c r="JH15" t="s">
        <v>2875</v>
      </c>
      <c r="JI15" t="s">
        <v>2876</v>
      </c>
      <c r="JJ15">
        <v>0</v>
      </c>
      <c r="JK15" t="s">
        <v>2045</v>
      </c>
      <c r="JL15" t="s">
        <v>2045</v>
      </c>
      <c r="JM15" t="s">
        <v>2045</v>
      </c>
      <c r="JN15">
        <v>0</v>
      </c>
      <c r="JO15">
        <v>0</v>
      </c>
      <c r="JP15">
        <v>0</v>
      </c>
      <c r="JQ15">
        <v>0</v>
      </c>
      <c r="JR15">
        <v>0</v>
      </c>
      <c r="JS15">
        <v>0</v>
      </c>
      <c r="JT15">
        <v>0</v>
      </c>
      <c r="JU15">
        <v>0</v>
      </c>
      <c r="JV15">
        <v>0</v>
      </c>
      <c r="JW15">
        <v>78701</v>
      </c>
      <c r="JX15" t="s">
        <v>2403</v>
      </c>
      <c r="JY15">
        <v>0</v>
      </c>
      <c r="JZ15" t="s">
        <v>2403</v>
      </c>
      <c r="KA15">
        <v>0</v>
      </c>
      <c r="KB15">
        <v>0</v>
      </c>
      <c r="KC15">
        <v>0</v>
      </c>
      <c r="KD15" t="s">
        <v>2403</v>
      </c>
      <c r="KE15">
        <v>0</v>
      </c>
      <c r="KF15" t="s">
        <v>2403</v>
      </c>
      <c r="KG15">
        <v>0</v>
      </c>
      <c r="KH15">
        <v>11123</v>
      </c>
      <c r="KI15">
        <v>11124</v>
      </c>
      <c r="KJ15">
        <v>11125</v>
      </c>
      <c r="KK15">
        <v>0</v>
      </c>
      <c r="KL15" t="s">
        <v>2881</v>
      </c>
      <c r="KM15">
        <v>4500</v>
      </c>
      <c r="KN15">
        <v>400</v>
      </c>
      <c r="KO15">
        <v>300</v>
      </c>
      <c r="KP15">
        <v>0</v>
      </c>
      <c r="KQ15">
        <v>5200</v>
      </c>
      <c r="KR15">
        <v>0</v>
      </c>
      <c r="KS15">
        <v>0</v>
      </c>
      <c r="KT15" t="s">
        <v>13</v>
      </c>
      <c r="KU15" t="s">
        <v>232</v>
      </c>
      <c r="KV15" t="s">
        <v>2403</v>
      </c>
      <c r="KW15">
        <v>0</v>
      </c>
      <c r="KX15" t="s">
        <v>2882</v>
      </c>
      <c r="KY15" t="s">
        <v>2403</v>
      </c>
      <c r="KZ15" t="s">
        <v>2403</v>
      </c>
      <c r="LA15" t="s">
        <v>1633</v>
      </c>
      <c r="LB15" t="s">
        <v>2874</v>
      </c>
      <c r="LC15" t="s">
        <v>2875</v>
      </c>
      <c r="LD15" t="s">
        <v>2876</v>
      </c>
      <c r="LE15">
        <v>0</v>
      </c>
      <c r="LF15">
        <v>0</v>
      </c>
      <c r="LG15" t="s">
        <v>2045</v>
      </c>
      <c r="LH15" t="s">
        <v>2045</v>
      </c>
      <c r="LI15" t="s">
        <v>2045</v>
      </c>
      <c r="LJ15">
        <v>0</v>
      </c>
      <c r="LK15">
        <v>78701</v>
      </c>
      <c r="LL15">
        <v>0</v>
      </c>
      <c r="LM15">
        <v>0</v>
      </c>
      <c r="LN15">
        <v>0</v>
      </c>
      <c r="LO15">
        <v>0</v>
      </c>
      <c r="LP15">
        <v>0</v>
      </c>
      <c r="LQ15">
        <v>0</v>
      </c>
      <c r="LR15">
        <v>0</v>
      </c>
      <c r="LS15">
        <v>0</v>
      </c>
      <c r="LT15" t="s">
        <v>2403</v>
      </c>
      <c r="LU15">
        <v>0</v>
      </c>
      <c r="LV15" t="s">
        <v>2403</v>
      </c>
      <c r="LW15">
        <v>0</v>
      </c>
      <c r="LX15">
        <v>0</v>
      </c>
      <c r="LY15">
        <v>0</v>
      </c>
      <c r="LZ15" t="s">
        <v>2403</v>
      </c>
      <c r="MA15">
        <v>0</v>
      </c>
      <c r="MB15" t="s">
        <v>2403</v>
      </c>
      <c r="MC15">
        <v>0</v>
      </c>
      <c r="MD15">
        <v>11123</v>
      </c>
      <c r="ME15">
        <v>11124</v>
      </c>
      <c r="MF15">
        <v>11125</v>
      </c>
      <c r="MG15">
        <v>0</v>
      </c>
      <c r="MH15" t="s">
        <v>2883</v>
      </c>
      <c r="MI15">
        <v>5000</v>
      </c>
      <c r="MJ15">
        <v>900</v>
      </c>
      <c r="MK15">
        <v>850</v>
      </c>
      <c r="ML15">
        <v>0</v>
      </c>
      <c r="MM15">
        <v>6750</v>
      </c>
      <c r="MN15">
        <v>0</v>
      </c>
      <c r="MO15">
        <v>0</v>
      </c>
      <c r="MP15" t="s">
        <v>13</v>
      </c>
      <c r="MQ15" t="s">
        <v>232</v>
      </c>
      <c r="MR15" t="s">
        <v>2403</v>
      </c>
      <c r="MS15">
        <v>0</v>
      </c>
      <c r="MT15" t="s">
        <v>2884</v>
      </c>
      <c r="MU15" t="s">
        <v>2403</v>
      </c>
      <c r="MV15" t="s">
        <v>2403</v>
      </c>
      <c r="MW15" t="s">
        <v>1633</v>
      </c>
      <c r="MX15" t="s">
        <v>2874</v>
      </c>
      <c r="MY15" t="s">
        <v>2875</v>
      </c>
      <c r="MZ15" t="s">
        <v>2876</v>
      </c>
      <c r="NA15">
        <v>0</v>
      </c>
      <c r="NB15">
        <v>0</v>
      </c>
      <c r="NC15" t="s">
        <v>2045</v>
      </c>
      <c r="ND15" t="s">
        <v>2045</v>
      </c>
      <c r="NE15" t="s">
        <v>2045</v>
      </c>
      <c r="NF15">
        <v>0</v>
      </c>
      <c r="NG15">
        <v>0</v>
      </c>
      <c r="NH15">
        <v>0</v>
      </c>
      <c r="NI15">
        <v>0</v>
      </c>
      <c r="NJ15">
        <v>0</v>
      </c>
      <c r="NK15">
        <v>0</v>
      </c>
      <c r="NL15">
        <v>0</v>
      </c>
      <c r="NM15">
        <v>0</v>
      </c>
      <c r="NN15">
        <v>0</v>
      </c>
      <c r="NO15">
        <v>78701</v>
      </c>
      <c r="NP15" t="s">
        <v>2403</v>
      </c>
      <c r="NQ15">
        <v>0</v>
      </c>
      <c r="NR15" t="s">
        <v>2403</v>
      </c>
      <c r="NS15">
        <v>0</v>
      </c>
      <c r="NT15">
        <v>0</v>
      </c>
      <c r="NU15">
        <v>0</v>
      </c>
      <c r="NV15" t="s">
        <v>2403</v>
      </c>
      <c r="NW15">
        <v>0</v>
      </c>
      <c r="NX15" t="s">
        <v>2403</v>
      </c>
      <c r="NY15">
        <v>0</v>
      </c>
      <c r="NZ15">
        <v>11123</v>
      </c>
      <c r="OA15">
        <v>11124</v>
      </c>
      <c r="OB15">
        <v>11125</v>
      </c>
      <c r="OC15">
        <v>0</v>
      </c>
      <c r="OD15" t="s">
        <v>2885</v>
      </c>
      <c r="OE15">
        <v>1000</v>
      </c>
      <c r="OF15">
        <v>200</v>
      </c>
      <c r="OG15">
        <v>300</v>
      </c>
      <c r="OH15">
        <v>0</v>
      </c>
      <c r="OI15">
        <v>1500</v>
      </c>
      <c r="OJ15">
        <v>0</v>
      </c>
      <c r="OK15">
        <v>0</v>
      </c>
      <c r="OL15" t="s">
        <v>13</v>
      </c>
      <c r="OM15" t="s">
        <v>232</v>
      </c>
      <c r="ON15" t="s">
        <v>2403</v>
      </c>
      <c r="OO15">
        <v>0</v>
      </c>
      <c r="OP15" t="s">
        <v>2886</v>
      </c>
      <c r="OQ15" t="s">
        <v>2403</v>
      </c>
      <c r="OR15" t="s">
        <v>2403</v>
      </c>
      <c r="OS15" t="s">
        <v>1633</v>
      </c>
      <c r="OT15" t="s">
        <v>2874</v>
      </c>
      <c r="OU15" t="s">
        <v>2875</v>
      </c>
      <c r="OV15" t="s">
        <v>2876</v>
      </c>
      <c r="OW15">
        <v>0</v>
      </c>
      <c r="OX15">
        <v>0</v>
      </c>
      <c r="OY15" t="s">
        <v>2045</v>
      </c>
      <c r="OZ15" t="s">
        <v>2045</v>
      </c>
      <c r="PA15" t="s">
        <v>2045</v>
      </c>
      <c r="PB15">
        <v>0</v>
      </c>
      <c r="PC15">
        <v>0</v>
      </c>
      <c r="PD15">
        <v>0</v>
      </c>
      <c r="PE15">
        <v>0</v>
      </c>
      <c r="PF15">
        <v>0</v>
      </c>
      <c r="PG15">
        <v>0</v>
      </c>
      <c r="PH15">
        <v>0</v>
      </c>
      <c r="PI15">
        <v>0</v>
      </c>
      <c r="PJ15">
        <v>0</v>
      </c>
      <c r="PK15">
        <v>78701</v>
      </c>
      <c r="PL15" t="s">
        <v>2403</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I15">
        <v>0</v>
      </c>
      <c r="QJ15">
        <v>0</v>
      </c>
      <c r="QK15">
        <v>0</v>
      </c>
      <c r="QL15">
        <v>0</v>
      </c>
      <c r="QM15">
        <v>0</v>
      </c>
      <c r="QN15">
        <v>0</v>
      </c>
      <c r="QO15">
        <v>0</v>
      </c>
      <c r="QP15">
        <v>0</v>
      </c>
      <c r="QQ15">
        <v>0</v>
      </c>
      <c r="QR15">
        <v>0</v>
      </c>
      <c r="QS15">
        <v>0</v>
      </c>
      <c r="QT15">
        <v>0</v>
      </c>
      <c r="QU15">
        <v>0</v>
      </c>
      <c r="QV15">
        <v>0</v>
      </c>
      <c r="QW15">
        <v>0</v>
      </c>
      <c r="QX15">
        <v>0</v>
      </c>
      <c r="QY15">
        <v>0</v>
      </c>
      <c r="QZ15">
        <v>0</v>
      </c>
      <c r="RA15">
        <v>0</v>
      </c>
      <c r="RB15">
        <v>0</v>
      </c>
      <c r="RC15">
        <v>0</v>
      </c>
      <c r="RD15">
        <v>0</v>
      </c>
      <c r="RE15">
        <v>0</v>
      </c>
      <c r="RF15">
        <v>0</v>
      </c>
      <c r="RG15">
        <v>0</v>
      </c>
      <c r="RH15">
        <v>0</v>
      </c>
      <c r="RI15">
        <v>0</v>
      </c>
      <c r="RJ15">
        <v>0</v>
      </c>
      <c r="RK15">
        <v>0</v>
      </c>
      <c r="RL15">
        <v>0</v>
      </c>
      <c r="RM15">
        <v>0</v>
      </c>
      <c r="RN15">
        <v>0</v>
      </c>
      <c r="RO15">
        <v>0</v>
      </c>
      <c r="RP15">
        <v>0</v>
      </c>
      <c r="RQ15">
        <v>0</v>
      </c>
      <c r="RR15">
        <v>0</v>
      </c>
      <c r="RS15">
        <v>0</v>
      </c>
      <c r="RT15">
        <v>0</v>
      </c>
      <c r="RU15">
        <v>0</v>
      </c>
      <c r="RV15">
        <v>0</v>
      </c>
      <c r="RW15">
        <v>0</v>
      </c>
      <c r="RX15">
        <v>0</v>
      </c>
      <c r="RY15">
        <v>0</v>
      </c>
      <c r="RZ15">
        <v>0</v>
      </c>
      <c r="SA15">
        <v>0</v>
      </c>
      <c r="SB15">
        <v>0</v>
      </c>
      <c r="SC15">
        <v>0</v>
      </c>
      <c r="SD15">
        <v>0</v>
      </c>
      <c r="SE15">
        <v>0</v>
      </c>
      <c r="SF15">
        <v>0</v>
      </c>
      <c r="SG15">
        <v>0</v>
      </c>
      <c r="SH15">
        <v>0</v>
      </c>
      <c r="SI15">
        <v>0</v>
      </c>
      <c r="SJ15">
        <v>0</v>
      </c>
      <c r="SK15">
        <v>0</v>
      </c>
      <c r="SL15">
        <v>0</v>
      </c>
      <c r="SM15">
        <v>0</v>
      </c>
      <c r="SN15">
        <v>0</v>
      </c>
      <c r="SO15">
        <v>0</v>
      </c>
      <c r="SP15">
        <v>0</v>
      </c>
      <c r="SQ15">
        <v>0</v>
      </c>
      <c r="SR15">
        <v>0</v>
      </c>
      <c r="SS15">
        <v>0</v>
      </c>
      <c r="ST15">
        <v>0</v>
      </c>
      <c r="SU15">
        <v>0</v>
      </c>
      <c r="SV15">
        <v>0</v>
      </c>
      <c r="SW15">
        <v>0</v>
      </c>
      <c r="SX15">
        <v>0</v>
      </c>
      <c r="SY15">
        <v>0</v>
      </c>
      <c r="SZ15">
        <v>0</v>
      </c>
      <c r="TA15">
        <v>0</v>
      </c>
      <c r="TB15">
        <v>0</v>
      </c>
      <c r="TC15">
        <v>0</v>
      </c>
      <c r="TD15">
        <v>0</v>
      </c>
      <c r="TE15">
        <v>0</v>
      </c>
      <c r="TF15">
        <v>0</v>
      </c>
      <c r="TG15">
        <v>0</v>
      </c>
      <c r="TH15">
        <v>0</v>
      </c>
      <c r="TI15">
        <v>0</v>
      </c>
      <c r="TJ15">
        <v>0</v>
      </c>
      <c r="TK15">
        <v>0</v>
      </c>
      <c r="TL15">
        <v>0</v>
      </c>
      <c r="TM15">
        <v>0</v>
      </c>
      <c r="TN15">
        <v>0</v>
      </c>
      <c r="TO15">
        <v>0</v>
      </c>
      <c r="TP15">
        <v>0</v>
      </c>
      <c r="TQ15">
        <v>0</v>
      </c>
      <c r="TR15">
        <v>0</v>
      </c>
      <c r="TS15">
        <v>0</v>
      </c>
      <c r="TT15">
        <v>0</v>
      </c>
      <c r="TU15">
        <v>0</v>
      </c>
      <c r="TV15">
        <v>0</v>
      </c>
      <c r="TW15">
        <v>0</v>
      </c>
      <c r="TX15">
        <v>0</v>
      </c>
      <c r="TY15">
        <v>0</v>
      </c>
      <c r="TZ15">
        <v>0</v>
      </c>
      <c r="UA15">
        <v>0</v>
      </c>
      <c r="UB15">
        <v>0</v>
      </c>
      <c r="UC15">
        <v>0</v>
      </c>
      <c r="UD15">
        <v>0</v>
      </c>
      <c r="UE15">
        <v>0</v>
      </c>
      <c r="UF15">
        <v>0</v>
      </c>
      <c r="UG15">
        <v>0</v>
      </c>
      <c r="UH15">
        <v>0</v>
      </c>
      <c r="UI15">
        <v>0</v>
      </c>
      <c r="UJ15">
        <v>0</v>
      </c>
      <c r="UK15">
        <v>0</v>
      </c>
      <c r="UL15">
        <v>0</v>
      </c>
      <c r="UM15">
        <v>0</v>
      </c>
      <c r="UN15">
        <v>0</v>
      </c>
      <c r="UO15">
        <v>0</v>
      </c>
      <c r="UP15">
        <v>0</v>
      </c>
      <c r="UQ15">
        <v>0</v>
      </c>
      <c r="UR15">
        <v>0</v>
      </c>
      <c r="US15">
        <v>0</v>
      </c>
      <c r="UT15">
        <v>0</v>
      </c>
      <c r="UU15">
        <v>0</v>
      </c>
      <c r="UV15">
        <v>0</v>
      </c>
      <c r="UW15">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S15">
        <v>0</v>
      </c>
      <c r="YT15">
        <v>0</v>
      </c>
      <c r="YU15">
        <v>0</v>
      </c>
      <c r="YV15">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c r="ACR15">
        <v>0</v>
      </c>
      <c r="ACS15">
        <v>0</v>
      </c>
      <c r="ACT15">
        <v>0</v>
      </c>
      <c r="ACU15">
        <v>0</v>
      </c>
      <c r="ACV15">
        <v>0</v>
      </c>
      <c r="ACW15">
        <v>0</v>
      </c>
      <c r="ACX15">
        <v>0</v>
      </c>
      <c r="ACY15">
        <v>0</v>
      </c>
      <c r="ACZ15">
        <v>0</v>
      </c>
      <c r="ADA15">
        <v>0</v>
      </c>
      <c r="ADB15">
        <v>0</v>
      </c>
      <c r="ADC15">
        <v>0</v>
      </c>
      <c r="ADD15">
        <v>0</v>
      </c>
      <c r="ADE15">
        <v>0</v>
      </c>
      <c r="ADF15">
        <v>0</v>
      </c>
      <c r="ADG15">
        <v>0</v>
      </c>
      <c r="ADH15">
        <v>0</v>
      </c>
      <c r="ADI15">
        <v>0</v>
      </c>
      <c r="ADJ15">
        <v>0</v>
      </c>
      <c r="ADK15">
        <v>0</v>
      </c>
      <c r="ADL15">
        <v>0</v>
      </c>
      <c r="ADM15">
        <v>0</v>
      </c>
      <c r="ADN15">
        <v>0</v>
      </c>
      <c r="ADO15">
        <v>0</v>
      </c>
      <c r="ADP15">
        <v>0</v>
      </c>
      <c r="ADQ15">
        <v>0</v>
      </c>
      <c r="ADR15">
        <v>0</v>
      </c>
      <c r="ADS15">
        <v>0</v>
      </c>
      <c r="ADT15">
        <v>0</v>
      </c>
      <c r="ADU15">
        <v>0</v>
      </c>
      <c r="ADV15">
        <v>0</v>
      </c>
      <c r="ADW15">
        <v>0</v>
      </c>
      <c r="ADX15">
        <v>0</v>
      </c>
      <c r="ADY15">
        <v>0</v>
      </c>
      <c r="ADZ15">
        <v>0</v>
      </c>
      <c r="AEA15">
        <v>0</v>
      </c>
      <c r="AEB15">
        <v>0</v>
      </c>
      <c r="AEC15">
        <v>0</v>
      </c>
      <c r="AED15">
        <v>0</v>
      </c>
      <c r="AEE15">
        <v>0</v>
      </c>
      <c r="AEF15">
        <v>0</v>
      </c>
      <c r="AEG15">
        <v>0</v>
      </c>
      <c r="AEH15">
        <v>0</v>
      </c>
      <c r="AEI15">
        <v>0</v>
      </c>
      <c r="AEJ15">
        <v>0</v>
      </c>
      <c r="AEK15">
        <v>0</v>
      </c>
      <c r="AEL15">
        <v>0</v>
      </c>
      <c r="AEM15">
        <v>0</v>
      </c>
      <c r="AEN15">
        <v>0</v>
      </c>
      <c r="AEO15">
        <v>0</v>
      </c>
      <c r="AEP15">
        <v>0</v>
      </c>
      <c r="AEQ15">
        <v>0</v>
      </c>
      <c r="AER15">
        <v>0</v>
      </c>
      <c r="AES15">
        <v>0</v>
      </c>
      <c r="AET15">
        <v>0</v>
      </c>
      <c r="AEU15">
        <v>0</v>
      </c>
      <c r="AEV15">
        <v>0</v>
      </c>
      <c r="AEW15">
        <v>0</v>
      </c>
      <c r="AEX15">
        <v>0</v>
      </c>
      <c r="AEY15">
        <v>0</v>
      </c>
      <c r="AEZ15">
        <v>0</v>
      </c>
      <c r="AFA15">
        <v>0</v>
      </c>
      <c r="AFB15">
        <v>0</v>
      </c>
      <c r="AFC15">
        <v>0</v>
      </c>
      <c r="AFD15">
        <v>0</v>
      </c>
      <c r="AFE15">
        <v>0</v>
      </c>
      <c r="AFF15">
        <v>0</v>
      </c>
      <c r="AFG15">
        <v>0</v>
      </c>
      <c r="AFH15">
        <v>0</v>
      </c>
      <c r="AFI15">
        <v>0</v>
      </c>
      <c r="AFJ15">
        <v>0</v>
      </c>
      <c r="AFK15">
        <v>0</v>
      </c>
      <c r="AFL15">
        <v>0</v>
      </c>
      <c r="AFM15">
        <v>0</v>
      </c>
      <c r="AFN15">
        <v>0</v>
      </c>
      <c r="AFO15">
        <v>0</v>
      </c>
      <c r="AFP15">
        <v>0</v>
      </c>
      <c r="AFQ15">
        <v>0</v>
      </c>
      <c r="AFR15">
        <v>0</v>
      </c>
      <c r="AFS15">
        <v>0</v>
      </c>
      <c r="AFT15">
        <v>0</v>
      </c>
      <c r="AFU15">
        <v>0</v>
      </c>
      <c r="AFV15">
        <v>0</v>
      </c>
      <c r="AFW15">
        <v>0</v>
      </c>
      <c r="AFX15">
        <v>0</v>
      </c>
      <c r="AFY15">
        <v>0</v>
      </c>
      <c r="AFZ15">
        <v>0</v>
      </c>
      <c r="AGA15">
        <v>0</v>
      </c>
      <c r="AGB15">
        <v>0</v>
      </c>
      <c r="AGC15">
        <v>0</v>
      </c>
      <c r="AGD15">
        <v>0</v>
      </c>
      <c r="AGE15">
        <v>0</v>
      </c>
      <c r="AGF15">
        <v>0</v>
      </c>
      <c r="AGG15">
        <v>0</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A15">
        <v>0</v>
      </c>
      <c r="AIB15">
        <v>0</v>
      </c>
      <c r="AIC15">
        <v>0</v>
      </c>
      <c r="AID15">
        <v>0</v>
      </c>
      <c r="AIE15">
        <v>0</v>
      </c>
      <c r="AIF15">
        <v>0</v>
      </c>
      <c r="AIG15">
        <v>0</v>
      </c>
      <c r="AIH15">
        <v>0</v>
      </c>
      <c r="AII15">
        <v>0</v>
      </c>
      <c r="AIJ15">
        <v>0</v>
      </c>
      <c r="AIK15">
        <v>0</v>
      </c>
      <c r="AIL15">
        <v>0</v>
      </c>
      <c r="AIM15">
        <v>0</v>
      </c>
      <c r="AIN15">
        <v>0</v>
      </c>
      <c r="AIO15">
        <v>0</v>
      </c>
      <c r="AIP15">
        <v>0</v>
      </c>
      <c r="AIQ15">
        <v>0</v>
      </c>
      <c r="AIR15">
        <v>0</v>
      </c>
      <c r="AIS15">
        <v>0</v>
      </c>
      <c r="AIT15">
        <v>0</v>
      </c>
      <c r="AIU15">
        <v>0</v>
      </c>
      <c r="AIV15">
        <v>0</v>
      </c>
      <c r="AIW15">
        <v>0</v>
      </c>
      <c r="AIX15">
        <v>0</v>
      </c>
      <c r="AIY15">
        <v>0</v>
      </c>
      <c r="AIZ15">
        <v>0</v>
      </c>
      <c r="AJA15">
        <v>0</v>
      </c>
      <c r="AJB15">
        <v>0</v>
      </c>
      <c r="AJC15">
        <v>0</v>
      </c>
      <c r="AJD15">
        <v>0</v>
      </c>
      <c r="AJE15">
        <v>0</v>
      </c>
      <c r="AJF15">
        <v>0</v>
      </c>
      <c r="AJG15">
        <v>0</v>
      </c>
      <c r="AJH15">
        <v>0</v>
      </c>
      <c r="AJI15">
        <v>0</v>
      </c>
      <c r="AJJ15">
        <v>0</v>
      </c>
      <c r="AJK15">
        <v>0</v>
      </c>
      <c r="AJL15">
        <v>0</v>
      </c>
      <c r="AJM15">
        <v>0</v>
      </c>
      <c r="AJN15">
        <v>0</v>
      </c>
      <c r="AJO15">
        <v>0</v>
      </c>
      <c r="AJP15">
        <v>0</v>
      </c>
      <c r="AJQ15">
        <v>0</v>
      </c>
      <c r="AJR15">
        <v>0</v>
      </c>
      <c r="AJS15">
        <v>0</v>
      </c>
      <c r="AJT15">
        <v>0</v>
      </c>
      <c r="AJU15">
        <v>0</v>
      </c>
      <c r="AJV15">
        <v>0</v>
      </c>
      <c r="AJW15">
        <v>0</v>
      </c>
      <c r="AJX15">
        <v>0</v>
      </c>
      <c r="AJY15">
        <v>0</v>
      </c>
      <c r="AJZ15">
        <v>0</v>
      </c>
      <c r="AKA15">
        <v>0</v>
      </c>
      <c r="AKB15">
        <v>0</v>
      </c>
      <c r="AKC15">
        <v>0</v>
      </c>
      <c r="AKD15">
        <v>0</v>
      </c>
      <c r="AKE15">
        <v>0</v>
      </c>
      <c r="AKF15">
        <v>0</v>
      </c>
      <c r="AKG15">
        <v>0</v>
      </c>
      <c r="AKH15">
        <v>0</v>
      </c>
      <c r="AKI15">
        <v>0</v>
      </c>
      <c r="AKJ15">
        <v>0</v>
      </c>
      <c r="AKK15">
        <v>0</v>
      </c>
      <c r="AKL15">
        <v>0</v>
      </c>
      <c r="AKM15">
        <v>0</v>
      </c>
      <c r="AKN15">
        <v>0</v>
      </c>
      <c r="AKO15">
        <v>0</v>
      </c>
      <c r="AKP15">
        <v>0</v>
      </c>
      <c r="AKQ15">
        <v>0</v>
      </c>
      <c r="AKR15">
        <v>0</v>
      </c>
      <c r="AKS15">
        <v>0</v>
      </c>
      <c r="AKT15">
        <v>0</v>
      </c>
      <c r="AKU15">
        <v>0</v>
      </c>
      <c r="AKV15">
        <v>0</v>
      </c>
      <c r="AKW15">
        <v>0</v>
      </c>
      <c r="AKX15">
        <v>0</v>
      </c>
      <c r="AKY15">
        <v>0</v>
      </c>
      <c r="AKZ15">
        <v>0</v>
      </c>
      <c r="ALA15">
        <v>0</v>
      </c>
      <c r="ALB15">
        <v>0</v>
      </c>
      <c r="ALC15">
        <v>0</v>
      </c>
      <c r="ALD15">
        <v>0</v>
      </c>
      <c r="ALE15">
        <v>0</v>
      </c>
      <c r="ALF15">
        <v>0</v>
      </c>
      <c r="ALG15">
        <v>0</v>
      </c>
      <c r="ALH15">
        <v>0</v>
      </c>
      <c r="ALI15">
        <v>0</v>
      </c>
      <c r="ALJ15">
        <v>0</v>
      </c>
      <c r="ALK15">
        <v>0</v>
      </c>
      <c r="ALL15">
        <v>0</v>
      </c>
      <c r="ALM15">
        <v>0</v>
      </c>
      <c r="ALN15">
        <v>0</v>
      </c>
      <c r="ALO15">
        <v>0</v>
      </c>
      <c r="ALP15">
        <v>0</v>
      </c>
      <c r="ALQ15">
        <v>0</v>
      </c>
      <c r="ALR15">
        <v>0</v>
      </c>
      <c r="ALS15">
        <v>0</v>
      </c>
      <c r="ALT15">
        <v>0</v>
      </c>
      <c r="ALU15">
        <v>0</v>
      </c>
      <c r="ALV15">
        <v>0</v>
      </c>
      <c r="ALW15">
        <v>0</v>
      </c>
      <c r="ALX15">
        <v>0</v>
      </c>
      <c r="ALY15">
        <v>0</v>
      </c>
      <c r="ALZ15">
        <v>0</v>
      </c>
      <c r="AMA15">
        <v>0</v>
      </c>
      <c r="AMB15">
        <v>0</v>
      </c>
      <c r="AMC15">
        <v>0</v>
      </c>
      <c r="AMD15">
        <v>0</v>
      </c>
      <c r="AME15">
        <v>0</v>
      </c>
      <c r="AMF15">
        <v>0</v>
      </c>
      <c r="AMG15">
        <v>0</v>
      </c>
      <c r="AMH15">
        <v>0</v>
      </c>
      <c r="AMI15">
        <v>0</v>
      </c>
      <c r="AMJ15">
        <v>0</v>
      </c>
      <c r="AMK15">
        <v>0</v>
      </c>
      <c r="AML15">
        <v>0</v>
      </c>
      <c r="AMM15">
        <v>0</v>
      </c>
      <c r="AMN15">
        <v>0</v>
      </c>
      <c r="AMO15">
        <v>0</v>
      </c>
      <c r="AMP15">
        <v>0</v>
      </c>
      <c r="AMQ15">
        <v>0</v>
      </c>
      <c r="AMR15">
        <v>0</v>
      </c>
      <c r="AMS15">
        <v>0</v>
      </c>
      <c r="AMT15">
        <v>0</v>
      </c>
      <c r="AMU15">
        <v>0</v>
      </c>
      <c r="AMV15">
        <v>0</v>
      </c>
      <c r="AMW15">
        <v>0</v>
      </c>
      <c r="AMX15">
        <v>0</v>
      </c>
      <c r="AMY15">
        <v>0</v>
      </c>
      <c r="AMZ15">
        <v>0</v>
      </c>
      <c r="ANA15">
        <v>0</v>
      </c>
      <c r="ANB15">
        <v>0</v>
      </c>
      <c r="ANC15">
        <v>0</v>
      </c>
      <c r="AND15">
        <v>0</v>
      </c>
      <c r="ANE15">
        <v>0</v>
      </c>
      <c r="ANF15">
        <v>0</v>
      </c>
      <c r="ANG15">
        <v>0</v>
      </c>
      <c r="ANH15">
        <v>0</v>
      </c>
      <c r="ANI15">
        <v>0</v>
      </c>
      <c r="ANJ15">
        <v>0</v>
      </c>
      <c r="ANK15">
        <v>0</v>
      </c>
      <c r="ANL15">
        <v>0</v>
      </c>
      <c r="ANM15">
        <v>0</v>
      </c>
      <c r="ANN15">
        <v>0</v>
      </c>
      <c r="ANO15">
        <v>0</v>
      </c>
      <c r="ANP15">
        <v>0</v>
      </c>
      <c r="ANQ15">
        <v>0</v>
      </c>
      <c r="ANR15">
        <v>0</v>
      </c>
      <c r="ANS15">
        <v>0</v>
      </c>
      <c r="ANT15">
        <v>0</v>
      </c>
      <c r="ANU15">
        <v>0</v>
      </c>
      <c r="ANV15">
        <v>0</v>
      </c>
      <c r="ANW15">
        <v>0</v>
      </c>
      <c r="ANX15">
        <v>0</v>
      </c>
      <c r="ANY15">
        <v>0</v>
      </c>
      <c r="ANZ15">
        <v>0</v>
      </c>
      <c r="AOA15">
        <v>0</v>
      </c>
      <c r="AOB15">
        <v>0</v>
      </c>
      <c r="AOC15">
        <v>0</v>
      </c>
      <c r="AOD15">
        <v>0</v>
      </c>
      <c r="AOE15">
        <v>0</v>
      </c>
      <c r="AOF15">
        <v>0</v>
      </c>
      <c r="AOG15">
        <v>0</v>
      </c>
      <c r="AOH15">
        <v>0</v>
      </c>
      <c r="AOI15">
        <v>0</v>
      </c>
      <c r="AOJ15">
        <v>0</v>
      </c>
      <c r="AOK15">
        <v>0</v>
      </c>
      <c r="AOL15">
        <v>0</v>
      </c>
      <c r="AOM15">
        <v>0</v>
      </c>
      <c r="AON15">
        <v>0</v>
      </c>
      <c r="AOO15">
        <v>0</v>
      </c>
      <c r="AOP15">
        <v>0</v>
      </c>
      <c r="AOQ15">
        <v>0</v>
      </c>
      <c r="AOR15">
        <v>0</v>
      </c>
      <c r="AOS15">
        <v>0</v>
      </c>
      <c r="AOT15">
        <v>0</v>
      </c>
      <c r="AOU15">
        <v>0</v>
      </c>
      <c r="AOV15">
        <v>0</v>
      </c>
      <c r="AOW15">
        <v>0</v>
      </c>
      <c r="AOX15">
        <v>0</v>
      </c>
      <c r="AOY15">
        <v>0</v>
      </c>
      <c r="AOZ15">
        <v>0</v>
      </c>
      <c r="APA15">
        <v>0</v>
      </c>
      <c r="APB15">
        <v>0</v>
      </c>
      <c r="APC15">
        <v>0</v>
      </c>
      <c r="APD15">
        <v>0</v>
      </c>
      <c r="APE15">
        <v>0</v>
      </c>
      <c r="APF15">
        <v>0</v>
      </c>
      <c r="APG15">
        <v>0</v>
      </c>
      <c r="APH15">
        <v>0</v>
      </c>
      <c r="API15">
        <v>0</v>
      </c>
      <c r="APJ15">
        <v>0</v>
      </c>
      <c r="APK15">
        <v>0</v>
      </c>
      <c r="APL15">
        <v>0</v>
      </c>
      <c r="APM15">
        <v>0</v>
      </c>
      <c r="APN15">
        <v>0</v>
      </c>
      <c r="APO15">
        <v>0</v>
      </c>
      <c r="APP15">
        <v>0</v>
      </c>
      <c r="APQ15">
        <v>0</v>
      </c>
      <c r="APR15">
        <v>0</v>
      </c>
      <c r="APS15">
        <v>0</v>
      </c>
      <c r="APT15">
        <v>0</v>
      </c>
      <c r="APU15">
        <v>0</v>
      </c>
      <c r="APV15">
        <v>0</v>
      </c>
      <c r="APW15">
        <v>0</v>
      </c>
      <c r="APX15">
        <v>0</v>
      </c>
      <c r="APY15">
        <v>0</v>
      </c>
      <c r="APZ15">
        <v>0</v>
      </c>
      <c r="AQA15">
        <v>0</v>
      </c>
      <c r="AQB15">
        <v>0</v>
      </c>
      <c r="AQC15">
        <v>0</v>
      </c>
      <c r="AQD15">
        <v>0</v>
      </c>
      <c r="AQE15">
        <v>0</v>
      </c>
      <c r="AQF15">
        <v>0</v>
      </c>
      <c r="AQG15">
        <v>0</v>
      </c>
      <c r="AQH15">
        <v>0</v>
      </c>
      <c r="AQI15">
        <v>0</v>
      </c>
      <c r="AQJ15">
        <v>0</v>
      </c>
      <c r="AQK15">
        <v>0</v>
      </c>
      <c r="AQL15">
        <v>0</v>
      </c>
      <c r="AQM15">
        <v>0</v>
      </c>
      <c r="AQN15">
        <v>0</v>
      </c>
      <c r="AQO15">
        <v>0</v>
      </c>
      <c r="AQP15">
        <v>0</v>
      </c>
      <c r="AQQ15">
        <v>0</v>
      </c>
      <c r="AQR15">
        <v>0</v>
      </c>
      <c r="AQS15">
        <v>0</v>
      </c>
      <c r="AQT15">
        <v>0</v>
      </c>
      <c r="AQU15">
        <v>0</v>
      </c>
      <c r="AQV15">
        <v>0</v>
      </c>
      <c r="AQW15">
        <v>0</v>
      </c>
      <c r="AQX15">
        <v>0</v>
      </c>
      <c r="AQY15">
        <v>0</v>
      </c>
      <c r="AQZ15">
        <v>0</v>
      </c>
      <c r="ARA15">
        <v>0</v>
      </c>
      <c r="ARB15">
        <v>0</v>
      </c>
      <c r="ARC15">
        <v>0</v>
      </c>
      <c r="ARD15">
        <v>0</v>
      </c>
      <c r="ARE15">
        <v>0</v>
      </c>
      <c r="ARF15">
        <v>0</v>
      </c>
      <c r="ARG15">
        <v>0</v>
      </c>
      <c r="ARH15">
        <v>0</v>
      </c>
      <c r="ARI15">
        <v>0</v>
      </c>
      <c r="ARJ15">
        <v>0</v>
      </c>
      <c r="ARK15">
        <v>0</v>
      </c>
      <c r="ARL15">
        <v>0</v>
      </c>
      <c r="ARM15">
        <v>0</v>
      </c>
      <c r="ARN15">
        <v>0</v>
      </c>
      <c r="ARO15">
        <v>0</v>
      </c>
      <c r="ARP15">
        <v>0</v>
      </c>
      <c r="ARQ15">
        <v>0</v>
      </c>
      <c r="ARR15">
        <v>0</v>
      </c>
      <c r="ARS15">
        <v>0</v>
      </c>
      <c r="ART15">
        <v>0</v>
      </c>
      <c r="ARU15">
        <v>0</v>
      </c>
      <c r="ARV15">
        <v>0</v>
      </c>
      <c r="ARW15">
        <v>0</v>
      </c>
      <c r="ARX15">
        <v>0</v>
      </c>
      <c r="ARY15">
        <v>0</v>
      </c>
      <c r="ARZ15">
        <v>0</v>
      </c>
      <c r="ASA15">
        <v>0</v>
      </c>
      <c r="ASB15">
        <v>0</v>
      </c>
      <c r="ASC15">
        <v>0</v>
      </c>
      <c r="ASD15">
        <v>0</v>
      </c>
      <c r="ASE15">
        <v>0</v>
      </c>
      <c r="ASF15">
        <v>0</v>
      </c>
      <c r="ASG15">
        <v>0</v>
      </c>
      <c r="ASH15">
        <v>0</v>
      </c>
      <c r="ASI15">
        <v>0</v>
      </c>
      <c r="ASJ15">
        <v>0</v>
      </c>
      <c r="ASK15">
        <v>0</v>
      </c>
      <c r="ASL15">
        <v>0</v>
      </c>
      <c r="ASM15">
        <v>0</v>
      </c>
      <c r="ASN15">
        <v>0</v>
      </c>
      <c r="ASO15">
        <v>0</v>
      </c>
      <c r="ASP15">
        <v>0</v>
      </c>
      <c r="ASQ15">
        <v>0</v>
      </c>
      <c r="ASR15">
        <v>0</v>
      </c>
      <c r="ASS15">
        <v>0</v>
      </c>
      <c r="AST15">
        <v>0</v>
      </c>
      <c r="ASU15">
        <v>0</v>
      </c>
      <c r="ASV15">
        <v>0</v>
      </c>
      <c r="ASW15">
        <v>0</v>
      </c>
      <c r="ASX15">
        <v>0</v>
      </c>
      <c r="ASY15">
        <v>0</v>
      </c>
      <c r="ASZ15">
        <v>0</v>
      </c>
      <c r="ATA15">
        <v>0</v>
      </c>
      <c r="ATB15">
        <v>0</v>
      </c>
      <c r="ATC15">
        <v>0</v>
      </c>
      <c r="ATD15">
        <v>0</v>
      </c>
      <c r="ATE15">
        <v>0</v>
      </c>
      <c r="ATF15">
        <v>0</v>
      </c>
      <c r="ATG15">
        <v>0</v>
      </c>
      <c r="ATH15">
        <v>0</v>
      </c>
      <c r="ATI15">
        <v>0</v>
      </c>
      <c r="ATJ15">
        <v>0</v>
      </c>
      <c r="ATK15">
        <v>0</v>
      </c>
      <c r="ATL15">
        <v>0</v>
      </c>
      <c r="ATM15">
        <v>0</v>
      </c>
      <c r="ATN15">
        <v>0</v>
      </c>
      <c r="ATO15">
        <v>0</v>
      </c>
      <c r="ATP15">
        <v>0</v>
      </c>
      <c r="ATQ15">
        <v>0</v>
      </c>
      <c r="ATR15">
        <v>0</v>
      </c>
      <c r="ATS15">
        <v>0</v>
      </c>
      <c r="ATT15">
        <v>0</v>
      </c>
      <c r="ATU15">
        <v>0</v>
      </c>
      <c r="ATV15">
        <v>0</v>
      </c>
      <c r="ATW15">
        <v>0</v>
      </c>
      <c r="ATX15">
        <v>0</v>
      </c>
      <c r="ATY15">
        <v>0</v>
      </c>
      <c r="ATZ15">
        <v>0</v>
      </c>
      <c r="AUA15">
        <v>0</v>
      </c>
      <c r="AUB15">
        <v>0</v>
      </c>
      <c r="AUC15">
        <v>0</v>
      </c>
      <c r="AUD15">
        <v>0</v>
      </c>
      <c r="AUE15">
        <v>0</v>
      </c>
      <c r="AUF15">
        <v>0</v>
      </c>
      <c r="AUG15">
        <v>0</v>
      </c>
      <c r="AUH15">
        <v>0</v>
      </c>
      <c r="AUI15">
        <v>0</v>
      </c>
      <c r="AUJ15">
        <v>0</v>
      </c>
      <c r="AUK15">
        <v>0</v>
      </c>
      <c r="AUL15">
        <v>0</v>
      </c>
      <c r="AUM15">
        <v>0</v>
      </c>
      <c r="AUN15">
        <v>0</v>
      </c>
      <c r="AUO15">
        <v>0</v>
      </c>
      <c r="AUP15">
        <v>0</v>
      </c>
      <c r="AUQ15">
        <v>0</v>
      </c>
      <c r="AUR15">
        <v>0</v>
      </c>
      <c r="AUS15">
        <v>0</v>
      </c>
      <c r="AUT15">
        <v>0</v>
      </c>
      <c r="AUU15">
        <v>0</v>
      </c>
      <c r="AUV15">
        <v>0</v>
      </c>
      <c r="AUW15">
        <v>0</v>
      </c>
      <c r="AUX15">
        <v>0</v>
      </c>
      <c r="AUY15">
        <v>0</v>
      </c>
      <c r="AUZ15">
        <v>0</v>
      </c>
      <c r="AVA15">
        <v>0</v>
      </c>
      <c r="AVB15">
        <v>0</v>
      </c>
      <c r="AVC15">
        <v>0</v>
      </c>
      <c r="AVD15">
        <v>0</v>
      </c>
      <c r="AVE15">
        <v>0</v>
      </c>
      <c r="AVF15">
        <v>0</v>
      </c>
      <c r="AVG15">
        <v>0</v>
      </c>
      <c r="AVH15">
        <v>0</v>
      </c>
      <c r="AVI15">
        <v>0</v>
      </c>
      <c r="AVJ15">
        <v>0</v>
      </c>
      <c r="AVK15">
        <v>0</v>
      </c>
      <c r="AVL15">
        <v>0</v>
      </c>
      <c r="AVM15">
        <v>0</v>
      </c>
      <c r="AVN15">
        <v>0</v>
      </c>
      <c r="AVO15">
        <v>0</v>
      </c>
      <c r="AVP15">
        <v>0</v>
      </c>
      <c r="AVQ15">
        <v>0</v>
      </c>
      <c r="AVR15">
        <v>0</v>
      </c>
      <c r="AVS15">
        <v>0</v>
      </c>
      <c r="AVT15">
        <v>0</v>
      </c>
      <c r="AVU15">
        <v>0</v>
      </c>
      <c r="AVV15">
        <v>0</v>
      </c>
      <c r="AVW15">
        <v>0</v>
      </c>
      <c r="AVX15">
        <v>0</v>
      </c>
      <c r="AVY15">
        <v>0</v>
      </c>
      <c r="AVZ15">
        <v>0</v>
      </c>
      <c r="AWA15">
        <v>0</v>
      </c>
      <c r="AWB15">
        <v>0</v>
      </c>
      <c r="AWC15">
        <v>0</v>
      </c>
      <c r="AWD15">
        <v>0</v>
      </c>
      <c r="AWE15">
        <v>0</v>
      </c>
      <c r="AWF15">
        <v>0</v>
      </c>
      <c r="AWG15">
        <v>0</v>
      </c>
      <c r="AWH15">
        <v>0</v>
      </c>
      <c r="AWI15">
        <v>0</v>
      </c>
      <c r="AWJ15">
        <v>0</v>
      </c>
      <c r="AWK15">
        <v>0</v>
      </c>
      <c r="AWL15">
        <v>0</v>
      </c>
      <c r="AWM15">
        <v>0</v>
      </c>
      <c r="AWN15">
        <v>0</v>
      </c>
      <c r="AWO15">
        <v>0</v>
      </c>
      <c r="AWP15">
        <v>0</v>
      </c>
      <c r="AWQ15">
        <v>0</v>
      </c>
      <c r="AWR15">
        <v>0</v>
      </c>
      <c r="AWS15">
        <v>0</v>
      </c>
      <c r="AWT15">
        <v>0</v>
      </c>
      <c r="AWU15">
        <v>0</v>
      </c>
      <c r="AWV15">
        <v>0</v>
      </c>
      <c r="AWW15">
        <v>0</v>
      </c>
      <c r="AWX15">
        <v>0</v>
      </c>
      <c r="AWY15">
        <v>0</v>
      </c>
      <c r="AWZ15">
        <v>0</v>
      </c>
      <c r="AXA15">
        <v>0</v>
      </c>
      <c r="AXB15">
        <v>0</v>
      </c>
      <c r="AXC15">
        <v>0</v>
      </c>
      <c r="AXD15">
        <v>0</v>
      </c>
      <c r="AXE15">
        <v>0</v>
      </c>
      <c r="AXF15">
        <v>0</v>
      </c>
      <c r="AXG15">
        <v>0</v>
      </c>
      <c r="AXH15">
        <v>0</v>
      </c>
      <c r="AXI15">
        <v>0</v>
      </c>
      <c r="AXJ15">
        <v>0</v>
      </c>
      <c r="AXK15">
        <v>0</v>
      </c>
      <c r="AXL15">
        <v>0</v>
      </c>
      <c r="AXM15">
        <v>0</v>
      </c>
      <c r="AXN15">
        <v>0</v>
      </c>
      <c r="AXO15">
        <v>0</v>
      </c>
      <c r="AXP15">
        <v>0</v>
      </c>
      <c r="AXQ15">
        <v>0</v>
      </c>
      <c r="AXR15">
        <v>0</v>
      </c>
      <c r="AXS15">
        <v>0</v>
      </c>
      <c r="AXT15">
        <v>0</v>
      </c>
      <c r="AXU15">
        <v>0</v>
      </c>
      <c r="AXV15">
        <v>0</v>
      </c>
      <c r="AXW15">
        <v>0</v>
      </c>
      <c r="AXX15">
        <v>0</v>
      </c>
      <c r="AXY15">
        <v>0</v>
      </c>
      <c r="AXZ15">
        <v>0</v>
      </c>
      <c r="AYA15">
        <v>0</v>
      </c>
      <c r="AYB15">
        <v>0</v>
      </c>
      <c r="AYC15">
        <v>0</v>
      </c>
      <c r="AYD15">
        <v>0</v>
      </c>
      <c r="AYE15">
        <v>0</v>
      </c>
      <c r="AYF15">
        <v>0</v>
      </c>
      <c r="AYG15">
        <v>0</v>
      </c>
      <c r="AYH15">
        <v>0</v>
      </c>
      <c r="AYI15">
        <v>0</v>
      </c>
      <c r="AYJ15">
        <v>0</v>
      </c>
      <c r="AYK15">
        <v>0</v>
      </c>
      <c r="AYL15">
        <v>0</v>
      </c>
      <c r="AYM15">
        <v>0</v>
      </c>
      <c r="AYN15">
        <v>0</v>
      </c>
      <c r="AYO15">
        <v>0</v>
      </c>
      <c r="AYP15">
        <v>0</v>
      </c>
      <c r="AYQ15">
        <v>0</v>
      </c>
      <c r="AYR15">
        <v>0</v>
      </c>
      <c r="AYS15">
        <v>0</v>
      </c>
      <c r="AYT15">
        <v>0</v>
      </c>
      <c r="AYU15">
        <v>0</v>
      </c>
      <c r="AYV15">
        <v>0</v>
      </c>
      <c r="AYW15">
        <v>0</v>
      </c>
      <c r="AYX15">
        <v>0</v>
      </c>
      <c r="AYY15">
        <v>0</v>
      </c>
      <c r="AYZ15">
        <v>0</v>
      </c>
      <c r="AZA15">
        <v>0</v>
      </c>
      <c r="AZB15">
        <v>0</v>
      </c>
      <c r="AZC15">
        <v>0</v>
      </c>
      <c r="AZD15">
        <v>0</v>
      </c>
      <c r="AZE15">
        <v>0</v>
      </c>
      <c r="AZF15">
        <v>0</v>
      </c>
      <c r="AZG15">
        <v>0</v>
      </c>
      <c r="AZH15">
        <v>0</v>
      </c>
      <c r="AZI15">
        <v>0</v>
      </c>
      <c r="AZJ15">
        <v>0</v>
      </c>
      <c r="AZK15">
        <v>0</v>
      </c>
      <c r="AZL15">
        <v>0</v>
      </c>
      <c r="AZM15">
        <v>0</v>
      </c>
      <c r="AZN15">
        <v>0</v>
      </c>
      <c r="AZO15">
        <v>0</v>
      </c>
      <c r="AZP15">
        <v>0</v>
      </c>
      <c r="AZQ15">
        <v>0</v>
      </c>
      <c r="AZR15">
        <v>0</v>
      </c>
      <c r="AZS15">
        <v>0</v>
      </c>
      <c r="AZT15">
        <v>0</v>
      </c>
      <c r="AZU15">
        <v>0</v>
      </c>
      <c r="AZV15">
        <v>0</v>
      </c>
      <c r="AZW15">
        <v>0</v>
      </c>
      <c r="AZX15">
        <v>0</v>
      </c>
      <c r="AZY15">
        <v>0</v>
      </c>
      <c r="AZZ15">
        <v>0</v>
      </c>
      <c r="BAA15">
        <v>0</v>
      </c>
      <c r="BAB15">
        <v>0</v>
      </c>
      <c r="BAC15">
        <v>0</v>
      </c>
      <c r="BAD15">
        <v>0</v>
      </c>
      <c r="BAE15">
        <v>0</v>
      </c>
      <c r="BAF15">
        <v>0</v>
      </c>
      <c r="BAG15">
        <v>0</v>
      </c>
      <c r="BAH15">
        <v>0</v>
      </c>
      <c r="BAI15">
        <v>0</v>
      </c>
      <c r="BAJ15">
        <v>0</v>
      </c>
      <c r="BAK15">
        <v>337895</v>
      </c>
      <c r="BAL15">
        <v>29850</v>
      </c>
      <c r="BAM15">
        <v>28550</v>
      </c>
      <c r="BAN15">
        <v>1300</v>
      </c>
      <c r="BAO15">
        <v>0</v>
      </c>
      <c r="BAP15">
        <v>0</v>
      </c>
      <c r="BAQ15">
        <v>0</v>
      </c>
      <c r="BAR15">
        <v>0</v>
      </c>
      <c r="BAS15">
        <v>0</v>
      </c>
      <c r="BAT15">
        <v>0</v>
      </c>
      <c r="BAU15">
        <v>0</v>
      </c>
      <c r="BAV15">
        <v>0</v>
      </c>
      <c r="BAW15">
        <v>0</v>
      </c>
      <c r="BAX15">
        <v>0</v>
      </c>
      <c r="BAY15">
        <v>0</v>
      </c>
      <c r="BAZ15">
        <v>0</v>
      </c>
      <c r="BBA15">
        <v>0</v>
      </c>
      <c r="BBB15">
        <v>0</v>
      </c>
      <c r="BBC15">
        <v>0</v>
      </c>
      <c r="BBD15">
        <v>0</v>
      </c>
      <c r="BBE15">
        <v>0</v>
      </c>
      <c r="BBF15">
        <v>0</v>
      </c>
      <c r="BBG15">
        <v>0</v>
      </c>
      <c r="BBH15">
        <v>0</v>
      </c>
      <c r="BBI15">
        <v>0</v>
      </c>
      <c r="BBJ15">
        <v>0</v>
      </c>
      <c r="BBK15">
        <v>0</v>
      </c>
      <c r="BBL15">
        <v>0</v>
      </c>
      <c r="BBM15">
        <v>0</v>
      </c>
      <c r="BBN15">
        <v>0</v>
      </c>
      <c r="BBO15">
        <v>0</v>
      </c>
      <c r="BBP15">
        <v>0</v>
      </c>
      <c r="BBQ15">
        <v>0</v>
      </c>
      <c r="BBR15">
        <v>0</v>
      </c>
      <c r="BBS15">
        <v>0</v>
      </c>
      <c r="BBT15">
        <v>0</v>
      </c>
      <c r="BBU15">
        <v>0</v>
      </c>
      <c r="BBV15">
        <v>0</v>
      </c>
      <c r="BBW15">
        <v>0</v>
      </c>
      <c r="BBX15">
        <v>0</v>
      </c>
      <c r="BBY15">
        <v>0</v>
      </c>
      <c r="BBZ15">
        <v>0</v>
      </c>
      <c r="BCA15">
        <v>0</v>
      </c>
      <c r="BCB15">
        <v>0</v>
      </c>
      <c r="BCC15">
        <v>0</v>
      </c>
      <c r="BCD15">
        <v>0</v>
      </c>
      <c r="BCE15">
        <v>0</v>
      </c>
      <c r="BCF15">
        <v>0</v>
      </c>
      <c r="BCG15">
        <v>0</v>
      </c>
      <c r="BCH15">
        <v>0</v>
      </c>
      <c r="BCI15">
        <v>0</v>
      </c>
      <c r="BCJ15">
        <v>0</v>
      </c>
      <c r="BCK15">
        <v>0</v>
      </c>
      <c r="BCL15">
        <v>0</v>
      </c>
      <c r="BCM15">
        <v>0</v>
      </c>
      <c r="BCN15">
        <v>0</v>
      </c>
      <c r="BCO15">
        <v>0</v>
      </c>
      <c r="BCP15">
        <v>0</v>
      </c>
      <c r="BCQ15">
        <v>0</v>
      </c>
      <c r="BCR15">
        <v>0</v>
      </c>
      <c r="BCS15">
        <v>0</v>
      </c>
      <c r="BCT15">
        <v>0</v>
      </c>
      <c r="BCU15">
        <v>0</v>
      </c>
      <c r="BCV15">
        <v>0</v>
      </c>
      <c r="BCW15">
        <v>0</v>
      </c>
      <c r="BCX15">
        <v>0</v>
      </c>
      <c r="BCY15">
        <v>0</v>
      </c>
      <c r="BCZ15">
        <v>0</v>
      </c>
      <c r="BDA15">
        <v>0</v>
      </c>
      <c r="BDB15">
        <v>0</v>
      </c>
      <c r="BDC15">
        <v>0</v>
      </c>
      <c r="BDD15">
        <v>0</v>
      </c>
      <c r="BDE15">
        <v>0</v>
      </c>
      <c r="BDF15">
        <v>0</v>
      </c>
      <c r="BDG15">
        <v>0</v>
      </c>
      <c r="BDH15">
        <v>0</v>
      </c>
      <c r="BDI15">
        <v>0</v>
      </c>
      <c r="BDJ15">
        <v>0</v>
      </c>
      <c r="BDK15">
        <v>0</v>
      </c>
      <c r="BDL15">
        <v>0</v>
      </c>
      <c r="BDM15">
        <v>0</v>
      </c>
      <c r="BDN15">
        <v>0</v>
      </c>
      <c r="BDO15">
        <v>0</v>
      </c>
      <c r="BDP15">
        <v>0</v>
      </c>
      <c r="BDQ15">
        <v>0</v>
      </c>
      <c r="BDR15">
        <v>0</v>
      </c>
      <c r="BDS15">
        <v>0</v>
      </c>
      <c r="BDT15">
        <v>0</v>
      </c>
      <c r="BDU15">
        <v>0</v>
      </c>
      <c r="BDV15">
        <v>0</v>
      </c>
      <c r="BDW15">
        <v>0</v>
      </c>
      <c r="BDX15">
        <v>0</v>
      </c>
      <c r="BDY15">
        <v>0</v>
      </c>
      <c r="BDZ15">
        <v>0</v>
      </c>
      <c r="BEA15">
        <v>0</v>
      </c>
      <c r="BEB15">
        <v>0</v>
      </c>
      <c r="BEC15">
        <v>0</v>
      </c>
      <c r="BED15">
        <v>0</v>
      </c>
      <c r="BEE15">
        <v>0</v>
      </c>
      <c r="BEF15">
        <v>0</v>
      </c>
      <c r="BEG15">
        <v>0</v>
      </c>
      <c r="BEH15">
        <v>0</v>
      </c>
      <c r="BEI15">
        <v>0</v>
      </c>
      <c r="BEJ15">
        <v>0</v>
      </c>
      <c r="BEK15">
        <v>0</v>
      </c>
      <c r="BEL15">
        <v>0</v>
      </c>
      <c r="BEM15">
        <v>0</v>
      </c>
      <c r="BEN15">
        <v>0</v>
      </c>
      <c r="BEO15">
        <v>0</v>
      </c>
      <c r="BEP15">
        <v>0</v>
      </c>
      <c r="BEQ15">
        <v>0</v>
      </c>
      <c r="BER15">
        <v>0</v>
      </c>
      <c r="BES15">
        <v>0</v>
      </c>
      <c r="BET15">
        <v>0</v>
      </c>
      <c r="BEU15">
        <v>0</v>
      </c>
      <c r="BEV15">
        <v>0</v>
      </c>
      <c r="BEW15">
        <v>0</v>
      </c>
      <c r="BEX15">
        <v>0</v>
      </c>
      <c r="BEY15">
        <v>0</v>
      </c>
      <c r="BEZ15">
        <v>0</v>
      </c>
      <c r="BFA15">
        <v>0</v>
      </c>
      <c r="BFB15">
        <v>0</v>
      </c>
      <c r="BFC15">
        <v>0</v>
      </c>
      <c r="BFD15" t="b">
        <v>0</v>
      </c>
      <c r="BFE15" t="b">
        <v>0</v>
      </c>
      <c r="BFF15" t="b">
        <v>0</v>
      </c>
      <c r="BFG15" t="b">
        <v>0</v>
      </c>
      <c r="BFH15">
        <v>0</v>
      </c>
      <c r="BFI15">
        <v>0</v>
      </c>
      <c r="BFJ15">
        <v>0</v>
      </c>
      <c r="BFK15">
        <v>0</v>
      </c>
      <c r="BFL15">
        <v>0</v>
      </c>
      <c r="BFM15">
        <v>0</v>
      </c>
      <c r="BFN15">
        <v>0</v>
      </c>
      <c r="BFO15">
        <v>0</v>
      </c>
      <c r="BFP15">
        <v>0</v>
      </c>
      <c r="BFQ15">
        <v>0</v>
      </c>
      <c r="BFR15">
        <v>0</v>
      </c>
      <c r="BFS15">
        <v>0</v>
      </c>
      <c r="BFT15">
        <v>0</v>
      </c>
      <c r="BFU15">
        <v>0</v>
      </c>
      <c r="BFV15">
        <v>0</v>
      </c>
      <c r="BFW15">
        <v>0</v>
      </c>
      <c r="BFX15">
        <v>0</v>
      </c>
      <c r="BFY15">
        <v>0</v>
      </c>
    </row>
    <row r="16" spans="1:1533" ht="18.75" customHeight="1" x14ac:dyDescent="0.25">
      <c r="A16" t="s">
        <v>2887</v>
      </c>
      <c r="B16" t="s">
        <v>2888</v>
      </c>
      <c r="C16">
        <v>130</v>
      </c>
      <c r="D16">
        <v>45</v>
      </c>
      <c r="E16">
        <v>0</v>
      </c>
      <c r="F16">
        <v>0</v>
      </c>
      <c r="G16">
        <v>0</v>
      </c>
      <c r="H16" t="s">
        <v>2403</v>
      </c>
      <c r="I16" t="s">
        <v>2403</v>
      </c>
      <c r="J16" t="s">
        <v>2403</v>
      </c>
      <c r="K16" t="s">
        <v>2403</v>
      </c>
      <c r="L16" t="s">
        <v>2403</v>
      </c>
      <c r="M16" t="s">
        <v>1883</v>
      </c>
      <c r="N16" t="s">
        <v>2403</v>
      </c>
      <c r="O16" t="s">
        <v>1883</v>
      </c>
      <c r="P16" t="s">
        <v>1883</v>
      </c>
      <c r="Q16" t="s">
        <v>2403</v>
      </c>
      <c r="R16" t="s">
        <v>1883</v>
      </c>
      <c r="S16" t="s">
        <v>1639</v>
      </c>
      <c r="T16" t="s">
        <v>2404</v>
      </c>
      <c r="U16" t="s">
        <v>2424</v>
      </c>
      <c r="V16" t="s">
        <v>2889</v>
      </c>
      <c r="W16" t="s">
        <v>309</v>
      </c>
      <c r="X16">
        <v>1000</v>
      </c>
      <c r="Y16">
        <v>43531</v>
      </c>
      <c r="Z16">
        <v>268</v>
      </c>
      <c r="AA16">
        <v>0</v>
      </c>
      <c r="AB16">
        <v>100</v>
      </c>
      <c r="AC16" t="s">
        <v>272</v>
      </c>
      <c r="AD16">
        <v>25</v>
      </c>
      <c r="AE16">
        <v>0</v>
      </c>
      <c r="AF16">
        <v>43559</v>
      </c>
      <c r="AG16">
        <v>45</v>
      </c>
      <c r="AH16">
        <v>0</v>
      </c>
      <c r="AI16">
        <v>0</v>
      </c>
      <c r="AJ16" t="s">
        <v>271</v>
      </c>
      <c r="AK16">
        <v>0.15989</v>
      </c>
      <c r="AL16">
        <v>0</v>
      </c>
      <c r="AM16">
        <v>50</v>
      </c>
      <c r="AN16">
        <v>47181</v>
      </c>
      <c r="AO16">
        <v>0.1743051830307687</v>
      </c>
      <c r="AP16">
        <v>13903.33</v>
      </c>
      <c r="AQ16">
        <v>15580.080000000058</v>
      </c>
      <c r="AR16">
        <v>29483.410000000058</v>
      </c>
      <c r="AS16">
        <v>245.7</v>
      </c>
      <c r="AT16">
        <v>245.11</v>
      </c>
      <c r="AU16" t="s">
        <v>1913</v>
      </c>
      <c r="AV16" t="s">
        <v>2119</v>
      </c>
      <c r="AW16" t="s">
        <v>2738</v>
      </c>
      <c r="AX16">
        <v>19</v>
      </c>
      <c r="AY16">
        <v>0</v>
      </c>
      <c r="AZ16">
        <v>43524</v>
      </c>
      <c r="BA16">
        <v>100</v>
      </c>
      <c r="BB16">
        <v>1</v>
      </c>
      <c r="BC16">
        <v>2</v>
      </c>
      <c r="BD16" t="s">
        <v>415</v>
      </c>
      <c r="BE16">
        <v>436</v>
      </c>
      <c r="BF16">
        <v>224</v>
      </c>
      <c r="BG16">
        <v>43528</v>
      </c>
      <c r="BH16">
        <v>120</v>
      </c>
      <c r="BI16">
        <v>0</v>
      </c>
      <c r="BJ16">
        <v>50</v>
      </c>
      <c r="BK16">
        <v>43477</v>
      </c>
      <c r="BL16">
        <v>0</v>
      </c>
      <c r="BM16">
        <v>0</v>
      </c>
      <c r="BN16">
        <v>0</v>
      </c>
      <c r="BO16" t="s">
        <v>2890</v>
      </c>
      <c r="BP16" t="s">
        <v>2403</v>
      </c>
      <c r="BQ16" t="s">
        <v>2403</v>
      </c>
      <c r="BR16" t="s">
        <v>2403</v>
      </c>
      <c r="BS16">
        <v>459616965</v>
      </c>
      <c r="BT16">
        <v>25862</v>
      </c>
      <c r="BU16" t="s">
        <v>2891</v>
      </c>
      <c r="BV16" t="s">
        <v>2892</v>
      </c>
      <c r="BW16" t="s">
        <v>1633</v>
      </c>
      <c r="BX16">
        <v>78553</v>
      </c>
      <c r="BY16" t="s">
        <v>2893</v>
      </c>
      <c r="BZ16" t="s">
        <v>2892</v>
      </c>
      <c r="CA16">
        <v>78553</v>
      </c>
      <c r="CB16" t="s">
        <v>1633</v>
      </c>
      <c r="CC16" t="s">
        <v>1919</v>
      </c>
      <c r="CD16">
        <v>0</v>
      </c>
      <c r="CE16">
        <v>0</v>
      </c>
      <c r="CF16">
        <v>0</v>
      </c>
      <c r="CG16">
        <v>0</v>
      </c>
      <c r="CH16">
        <v>0</v>
      </c>
      <c r="CI16">
        <v>0</v>
      </c>
      <c r="CJ16">
        <v>0</v>
      </c>
      <c r="CK16">
        <v>0</v>
      </c>
      <c r="CL16">
        <v>9564109119</v>
      </c>
      <c r="CM16">
        <v>9564109119</v>
      </c>
      <c r="CN16" t="s">
        <v>2894</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DN16" t="s">
        <v>2894</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1268</v>
      </c>
      <c r="EP16">
        <v>12457.330078125</v>
      </c>
      <c r="EQ16">
        <v>4</v>
      </c>
      <c r="ER16">
        <v>2</v>
      </c>
      <c r="ES16" t="s">
        <v>2895</v>
      </c>
      <c r="ET16" t="s">
        <v>2896</v>
      </c>
      <c r="EU16">
        <v>0</v>
      </c>
      <c r="EV16">
        <v>0</v>
      </c>
      <c r="EW16">
        <v>0</v>
      </c>
      <c r="EX16">
        <v>0</v>
      </c>
      <c r="EY16">
        <v>0</v>
      </c>
      <c r="EZ16">
        <v>0</v>
      </c>
      <c r="FA16">
        <v>0</v>
      </c>
      <c r="FB16">
        <v>0</v>
      </c>
      <c r="FC16">
        <v>0</v>
      </c>
      <c r="FD16">
        <v>0</v>
      </c>
      <c r="FE16">
        <v>0</v>
      </c>
      <c r="FF16">
        <v>0</v>
      </c>
      <c r="FG16">
        <v>0</v>
      </c>
      <c r="FH16">
        <v>0</v>
      </c>
      <c r="FI16">
        <v>0</v>
      </c>
      <c r="FJ16">
        <v>0</v>
      </c>
      <c r="FK16">
        <v>0</v>
      </c>
      <c r="FL16">
        <v>0</v>
      </c>
      <c r="FM16">
        <v>2576.04</v>
      </c>
      <c r="FN16">
        <v>9881.2900000000009</v>
      </c>
      <c r="FO16">
        <v>0</v>
      </c>
      <c r="FP16">
        <v>0</v>
      </c>
      <c r="FQ16">
        <v>0</v>
      </c>
      <c r="FR16">
        <v>0</v>
      </c>
      <c r="FS16">
        <v>0</v>
      </c>
      <c r="FT16">
        <v>0</v>
      </c>
      <c r="FU16">
        <v>0</v>
      </c>
      <c r="FV16">
        <v>0</v>
      </c>
      <c r="FW16">
        <v>0</v>
      </c>
      <c r="FX16">
        <v>0</v>
      </c>
      <c r="FY16">
        <v>0</v>
      </c>
      <c r="FZ16">
        <v>0</v>
      </c>
      <c r="GA16">
        <v>0</v>
      </c>
      <c r="GB16">
        <v>0</v>
      </c>
      <c r="GC16">
        <v>0</v>
      </c>
      <c r="GD16">
        <v>0</v>
      </c>
      <c r="GE16">
        <v>0</v>
      </c>
      <c r="GF16">
        <v>0</v>
      </c>
      <c r="GG16">
        <v>0</v>
      </c>
      <c r="GH16" t="s">
        <v>2403</v>
      </c>
      <c r="GI16">
        <v>0</v>
      </c>
      <c r="GJ16">
        <v>0</v>
      </c>
      <c r="GK16">
        <v>0</v>
      </c>
      <c r="GL16" t="s">
        <v>2403</v>
      </c>
      <c r="GM16">
        <v>0</v>
      </c>
      <c r="GN16" t="s">
        <v>2403</v>
      </c>
      <c r="GO16">
        <v>0</v>
      </c>
      <c r="GP16" t="s">
        <v>2897</v>
      </c>
      <c r="GQ16">
        <v>1661700010039000</v>
      </c>
      <c r="GR16">
        <v>0</v>
      </c>
      <c r="GS16">
        <v>0</v>
      </c>
      <c r="GT16" t="s">
        <v>1883</v>
      </c>
      <c r="GU16">
        <v>1199.56</v>
      </c>
      <c r="GV16">
        <v>4601.3999999999996</v>
      </c>
      <c r="GW16">
        <v>0</v>
      </c>
      <c r="GX16">
        <v>0</v>
      </c>
      <c r="GY16" t="s">
        <v>2898</v>
      </c>
      <c r="GZ16" t="s">
        <v>2898</v>
      </c>
      <c r="HA16">
        <v>0</v>
      </c>
      <c r="HB16">
        <v>0</v>
      </c>
      <c r="HC16">
        <v>5800.9599609375</v>
      </c>
      <c r="HD16">
        <v>36378</v>
      </c>
      <c r="HE16">
        <v>36378</v>
      </c>
      <c r="HF16" t="s">
        <v>2892</v>
      </c>
      <c r="HG16" t="s">
        <v>36</v>
      </c>
      <c r="HH16" t="s">
        <v>2403</v>
      </c>
      <c r="HI16">
        <v>36378</v>
      </c>
      <c r="HJ16" t="s">
        <v>2403</v>
      </c>
      <c r="HK16" t="s">
        <v>2899</v>
      </c>
      <c r="HL16" t="s">
        <v>2899</v>
      </c>
      <c r="HM16">
        <v>0</v>
      </c>
      <c r="HN16">
        <v>0</v>
      </c>
      <c r="HO16" t="s">
        <v>2900</v>
      </c>
      <c r="HP16" t="s">
        <v>2403</v>
      </c>
      <c r="HQ16">
        <v>0</v>
      </c>
      <c r="HR16" t="s">
        <v>1633</v>
      </c>
      <c r="HS16" t="s">
        <v>2895</v>
      </c>
      <c r="HT16" t="s">
        <v>2896</v>
      </c>
      <c r="HU16">
        <v>0</v>
      </c>
      <c r="HV16">
        <v>0</v>
      </c>
      <c r="HW16" t="s">
        <v>2810</v>
      </c>
      <c r="HX16" t="s">
        <v>2901</v>
      </c>
      <c r="HY16">
        <v>0</v>
      </c>
      <c r="HZ16">
        <v>0</v>
      </c>
      <c r="IA16">
        <v>78553</v>
      </c>
      <c r="IB16" t="s">
        <v>2403</v>
      </c>
      <c r="IC16">
        <v>0</v>
      </c>
      <c r="ID16" t="s">
        <v>2403</v>
      </c>
      <c r="IE16">
        <v>0</v>
      </c>
      <c r="IF16">
        <v>0</v>
      </c>
      <c r="IG16">
        <v>0</v>
      </c>
      <c r="IH16" t="s">
        <v>2403</v>
      </c>
      <c r="II16">
        <v>0</v>
      </c>
      <c r="IJ16" t="s">
        <v>2403</v>
      </c>
      <c r="IK16">
        <v>0</v>
      </c>
      <c r="IL16" t="s">
        <v>2902</v>
      </c>
      <c r="IM16">
        <v>1661700010040000</v>
      </c>
      <c r="IN16">
        <v>0</v>
      </c>
      <c r="IO16">
        <v>0</v>
      </c>
      <c r="IP16" t="s">
        <v>1883</v>
      </c>
      <c r="IQ16">
        <v>1376.48</v>
      </c>
      <c r="IR16">
        <v>5279.89</v>
      </c>
      <c r="IS16">
        <v>0</v>
      </c>
      <c r="IT16">
        <v>0</v>
      </c>
      <c r="IU16">
        <v>6656.3701171875</v>
      </c>
      <c r="IV16">
        <v>36378</v>
      </c>
      <c r="IW16">
        <v>36378</v>
      </c>
      <c r="IX16" t="s">
        <v>2892</v>
      </c>
      <c r="IY16" t="s">
        <v>36</v>
      </c>
      <c r="IZ16" t="s">
        <v>2403</v>
      </c>
      <c r="JA16">
        <v>36378</v>
      </c>
      <c r="JB16" t="s">
        <v>2403</v>
      </c>
      <c r="JC16" t="s">
        <v>2903</v>
      </c>
      <c r="JD16" t="s">
        <v>2403</v>
      </c>
      <c r="JE16">
        <v>0</v>
      </c>
      <c r="JF16" t="s">
        <v>1633</v>
      </c>
      <c r="JG16" t="s">
        <v>2895</v>
      </c>
      <c r="JH16" t="s">
        <v>2896</v>
      </c>
      <c r="JI16">
        <v>0</v>
      </c>
      <c r="JJ16">
        <v>0</v>
      </c>
      <c r="JK16" t="s">
        <v>2810</v>
      </c>
      <c r="JL16" t="s">
        <v>2901</v>
      </c>
      <c r="JM16">
        <v>0</v>
      </c>
      <c r="JN16">
        <v>0</v>
      </c>
      <c r="JO16" t="s">
        <v>2899</v>
      </c>
      <c r="JP16" t="s">
        <v>2899</v>
      </c>
      <c r="JQ16">
        <v>0</v>
      </c>
      <c r="JR16">
        <v>0</v>
      </c>
      <c r="JS16" t="s">
        <v>2898</v>
      </c>
      <c r="JT16" t="s">
        <v>2898</v>
      </c>
      <c r="JU16">
        <v>0</v>
      </c>
      <c r="JV16">
        <v>0</v>
      </c>
      <c r="JW16">
        <v>78553</v>
      </c>
      <c r="JX16" t="s">
        <v>2403</v>
      </c>
      <c r="JY16">
        <v>0</v>
      </c>
      <c r="JZ16">
        <v>0</v>
      </c>
      <c r="KA16">
        <v>0</v>
      </c>
      <c r="KB16">
        <v>0</v>
      </c>
      <c r="KC16">
        <v>0</v>
      </c>
      <c r="KD16">
        <v>0</v>
      </c>
      <c r="KE16">
        <v>0</v>
      </c>
      <c r="KF16">
        <v>0</v>
      </c>
      <c r="KG16">
        <v>0</v>
      </c>
      <c r="KH16">
        <v>0</v>
      </c>
      <c r="KI16">
        <v>0</v>
      </c>
      <c r="KJ16">
        <v>0</v>
      </c>
      <c r="KK16">
        <v>0</v>
      </c>
      <c r="KL16">
        <v>0</v>
      </c>
      <c r="KM16">
        <v>0</v>
      </c>
      <c r="KN16">
        <v>0</v>
      </c>
      <c r="KO16">
        <v>0</v>
      </c>
      <c r="KP16">
        <v>0</v>
      </c>
      <c r="KQ16">
        <v>0</v>
      </c>
      <c r="KR16">
        <v>0</v>
      </c>
      <c r="KS16">
        <v>0</v>
      </c>
      <c r="KT16">
        <v>0</v>
      </c>
      <c r="KU16">
        <v>0</v>
      </c>
      <c r="KV16">
        <v>0</v>
      </c>
      <c r="KW16">
        <v>0</v>
      </c>
      <c r="KX16">
        <v>0</v>
      </c>
      <c r="KY16">
        <v>0</v>
      </c>
      <c r="KZ16">
        <v>0</v>
      </c>
      <c r="LA16">
        <v>0</v>
      </c>
      <c r="LB16">
        <v>0</v>
      </c>
      <c r="LC16">
        <v>0</v>
      </c>
      <c r="LD16">
        <v>0</v>
      </c>
      <c r="LE16">
        <v>0</v>
      </c>
      <c r="LF16">
        <v>0</v>
      </c>
      <c r="LG16">
        <v>0</v>
      </c>
      <c r="LH16">
        <v>0</v>
      </c>
      <c r="LI16">
        <v>0</v>
      </c>
      <c r="LJ16">
        <v>0</v>
      </c>
      <c r="LK16">
        <v>0</v>
      </c>
      <c r="LL16">
        <v>0</v>
      </c>
      <c r="LM16">
        <v>0</v>
      </c>
      <c r="LN16">
        <v>0</v>
      </c>
      <c r="LO16">
        <v>0</v>
      </c>
      <c r="LP16">
        <v>0</v>
      </c>
      <c r="LQ16">
        <v>0</v>
      </c>
      <c r="LR16">
        <v>0</v>
      </c>
      <c r="LS16">
        <v>0</v>
      </c>
      <c r="LT16">
        <v>0</v>
      </c>
      <c r="LU16">
        <v>0</v>
      </c>
      <c r="LV16">
        <v>0</v>
      </c>
      <c r="LW16">
        <v>0</v>
      </c>
      <c r="LX16">
        <v>0</v>
      </c>
      <c r="LY16">
        <v>0</v>
      </c>
      <c r="LZ16">
        <v>0</v>
      </c>
      <c r="MA16">
        <v>0</v>
      </c>
      <c r="MB16">
        <v>0</v>
      </c>
      <c r="MC16">
        <v>0</v>
      </c>
      <c r="MD16">
        <v>0</v>
      </c>
      <c r="ME16">
        <v>0</v>
      </c>
      <c r="MF16">
        <v>0</v>
      </c>
      <c r="MG16">
        <v>0</v>
      </c>
      <c r="MH16">
        <v>0</v>
      </c>
      <c r="MI16">
        <v>0</v>
      </c>
      <c r="MJ16">
        <v>0</v>
      </c>
      <c r="MK16">
        <v>0</v>
      </c>
      <c r="ML16">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I16">
        <v>0</v>
      </c>
      <c r="QJ16">
        <v>0</v>
      </c>
      <c r="QK16">
        <v>0</v>
      </c>
      <c r="QL16">
        <v>0</v>
      </c>
      <c r="QM16">
        <v>0</v>
      </c>
      <c r="QN16">
        <v>0</v>
      </c>
      <c r="QO16">
        <v>0</v>
      </c>
      <c r="QP16">
        <v>0</v>
      </c>
      <c r="QQ16">
        <v>0</v>
      </c>
      <c r="QR16">
        <v>0</v>
      </c>
      <c r="QS16">
        <v>0</v>
      </c>
      <c r="QT16">
        <v>0</v>
      </c>
      <c r="QU16">
        <v>0</v>
      </c>
      <c r="QV16">
        <v>0</v>
      </c>
      <c r="QW16">
        <v>0</v>
      </c>
      <c r="QX16">
        <v>0</v>
      </c>
      <c r="QY16">
        <v>0</v>
      </c>
      <c r="QZ16">
        <v>0</v>
      </c>
      <c r="RA16">
        <v>0</v>
      </c>
      <c r="RB16">
        <v>0</v>
      </c>
      <c r="RC16">
        <v>0</v>
      </c>
      <c r="RD16">
        <v>0</v>
      </c>
      <c r="RE16">
        <v>0</v>
      </c>
      <c r="RF16">
        <v>0</v>
      </c>
      <c r="RG16">
        <v>0</v>
      </c>
      <c r="RH16">
        <v>0</v>
      </c>
      <c r="RI16">
        <v>0</v>
      </c>
      <c r="RJ16">
        <v>0</v>
      </c>
      <c r="RK16">
        <v>0</v>
      </c>
      <c r="RL16">
        <v>0</v>
      </c>
      <c r="RM16">
        <v>0</v>
      </c>
      <c r="RN16">
        <v>0</v>
      </c>
      <c r="RO16">
        <v>0</v>
      </c>
      <c r="RP16">
        <v>0</v>
      </c>
      <c r="RQ16">
        <v>0</v>
      </c>
      <c r="RR16">
        <v>0</v>
      </c>
      <c r="RS16">
        <v>0</v>
      </c>
      <c r="RT16">
        <v>0</v>
      </c>
      <c r="RU16">
        <v>0</v>
      </c>
      <c r="RV16">
        <v>0</v>
      </c>
      <c r="RW16">
        <v>0</v>
      </c>
      <c r="RX16">
        <v>0</v>
      </c>
      <c r="RY16">
        <v>0</v>
      </c>
      <c r="RZ16">
        <v>0</v>
      </c>
      <c r="SA16">
        <v>0</v>
      </c>
      <c r="SB16">
        <v>0</v>
      </c>
      <c r="SC16">
        <v>0</v>
      </c>
      <c r="SD16">
        <v>0</v>
      </c>
      <c r="SE16">
        <v>0</v>
      </c>
      <c r="SF16">
        <v>0</v>
      </c>
      <c r="SG16">
        <v>0</v>
      </c>
      <c r="SH16">
        <v>0</v>
      </c>
      <c r="SI16">
        <v>0</v>
      </c>
      <c r="SJ16">
        <v>0</v>
      </c>
      <c r="SK16">
        <v>0</v>
      </c>
      <c r="SL16">
        <v>0</v>
      </c>
      <c r="SM16">
        <v>0</v>
      </c>
      <c r="SN16">
        <v>0</v>
      </c>
      <c r="SO16">
        <v>0</v>
      </c>
      <c r="SP16">
        <v>0</v>
      </c>
      <c r="SQ16">
        <v>0</v>
      </c>
      <c r="SR16">
        <v>0</v>
      </c>
      <c r="SS16">
        <v>0</v>
      </c>
      <c r="ST16">
        <v>0</v>
      </c>
      <c r="SU16">
        <v>0</v>
      </c>
      <c r="SV16">
        <v>0</v>
      </c>
      <c r="SW16">
        <v>0</v>
      </c>
      <c r="SX16">
        <v>0</v>
      </c>
      <c r="SY16">
        <v>0</v>
      </c>
      <c r="SZ16">
        <v>0</v>
      </c>
      <c r="TA16">
        <v>0</v>
      </c>
      <c r="TB16">
        <v>0</v>
      </c>
      <c r="TC16">
        <v>0</v>
      </c>
      <c r="TD16">
        <v>0</v>
      </c>
      <c r="TE16">
        <v>0</v>
      </c>
      <c r="TF16">
        <v>0</v>
      </c>
      <c r="TG16">
        <v>0</v>
      </c>
      <c r="TH16">
        <v>0</v>
      </c>
      <c r="TI16">
        <v>0</v>
      </c>
      <c r="TJ16">
        <v>0</v>
      </c>
      <c r="TK16">
        <v>0</v>
      </c>
      <c r="TL16">
        <v>0</v>
      </c>
      <c r="TM16">
        <v>0</v>
      </c>
      <c r="TN16">
        <v>0</v>
      </c>
      <c r="TO16">
        <v>0</v>
      </c>
      <c r="TP16">
        <v>0</v>
      </c>
      <c r="TQ16">
        <v>0</v>
      </c>
      <c r="TR16">
        <v>0</v>
      </c>
      <c r="TS16">
        <v>0</v>
      </c>
      <c r="TT16">
        <v>0</v>
      </c>
      <c r="TU16">
        <v>0</v>
      </c>
      <c r="TV16">
        <v>0</v>
      </c>
      <c r="TW16">
        <v>0</v>
      </c>
      <c r="TX16">
        <v>0</v>
      </c>
      <c r="TY16">
        <v>0</v>
      </c>
      <c r="TZ16">
        <v>0</v>
      </c>
      <c r="UA16">
        <v>0</v>
      </c>
      <c r="UB16">
        <v>0</v>
      </c>
      <c r="UC16">
        <v>0</v>
      </c>
      <c r="UD16">
        <v>0</v>
      </c>
      <c r="UE16">
        <v>0</v>
      </c>
      <c r="UF16">
        <v>0</v>
      </c>
      <c r="UG16">
        <v>0</v>
      </c>
      <c r="UH16">
        <v>0</v>
      </c>
      <c r="UI16">
        <v>0</v>
      </c>
      <c r="UJ16">
        <v>0</v>
      </c>
      <c r="UK16">
        <v>0</v>
      </c>
      <c r="UL16">
        <v>0</v>
      </c>
      <c r="UM16">
        <v>0</v>
      </c>
      <c r="UN16">
        <v>0</v>
      </c>
      <c r="UO16">
        <v>0</v>
      </c>
      <c r="UP16">
        <v>0</v>
      </c>
      <c r="UQ16">
        <v>0</v>
      </c>
      <c r="UR16">
        <v>0</v>
      </c>
      <c r="US16">
        <v>0</v>
      </c>
      <c r="UT16">
        <v>0</v>
      </c>
      <c r="UU16">
        <v>0</v>
      </c>
      <c r="UV16">
        <v>0</v>
      </c>
      <c r="UW16">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S16">
        <v>0</v>
      </c>
      <c r="YT16">
        <v>0</v>
      </c>
      <c r="YU16">
        <v>0</v>
      </c>
      <c r="YV16">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c r="ACR16">
        <v>0</v>
      </c>
      <c r="ACS16">
        <v>0</v>
      </c>
      <c r="ACT16">
        <v>0</v>
      </c>
      <c r="ACU16">
        <v>0</v>
      </c>
      <c r="ACV16">
        <v>0</v>
      </c>
      <c r="ACW16">
        <v>0</v>
      </c>
      <c r="ACX16">
        <v>0</v>
      </c>
      <c r="ACY16">
        <v>0</v>
      </c>
      <c r="ACZ16">
        <v>0</v>
      </c>
      <c r="ADA16">
        <v>0</v>
      </c>
      <c r="ADB16">
        <v>0</v>
      </c>
      <c r="ADC16">
        <v>0</v>
      </c>
      <c r="ADD16">
        <v>0</v>
      </c>
      <c r="ADE16">
        <v>0</v>
      </c>
      <c r="ADF16">
        <v>0</v>
      </c>
      <c r="ADG16">
        <v>0</v>
      </c>
      <c r="ADH16">
        <v>0</v>
      </c>
      <c r="ADI16">
        <v>0</v>
      </c>
      <c r="ADJ16">
        <v>0</v>
      </c>
      <c r="ADK16">
        <v>0</v>
      </c>
      <c r="ADL16">
        <v>0</v>
      </c>
      <c r="ADM16">
        <v>0</v>
      </c>
      <c r="ADN16">
        <v>0</v>
      </c>
      <c r="ADO16">
        <v>0</v>
      </c>
      <c r="ADP16">
        <v>0</v>
      </c>
      <c r="ADQ16">
        <v>0</v>
      </c>
      <c r="ADR16">
        <v>0</v>
      </c>
      <c r="ADS16">
        <v>0</v>
      </c>
      <c r="ADT16">
        <v>0</v>
      </c>
      <c r="ADU16">
        <v>0</v>
      </c>
      <c r="ADV16">
        <v>0</v>
      </c>
      <c r="ADW16">
        <v>0</v>
      </c>
      <c r="ADX16">
        <v>0</v>
      </c>
      <c r="ADY16">
        <v>0</v>
      </c>
      <c r="ADZ16">
        <v>0</v>
      </c>
      <c r="AEA16">
        <v>0</v>
      </c>
      <c r="AEB16">
        <v>0</v>
      </c>
      <c r="AEC16">
        <v>0</v>
      </c>
      <c r="AED16">
        <v>0</v>
      </c>
      <c r="AEE16">
        <v>0</v>
      </c>
      <c r="AEF16">
        <v>0</v>
      </c>
      <c r="AEG16">
        <v>0</v>
      </c>
      <c r="AEH16">
        <v>0</v>
      </c>
      <c r="AEI16">
        <v>0</v>
      </c>
      <c r="AEJ16">
        <v>0</v>
      </c>
      <c r="AEK16">
        <v>0</v>
      </c>
      <c r="AEL16">
        <v>0</v>
      </c>
      <c r="AEM16">
        <v>0</v>
      </c>
      <c r="AEN16">
        <v>0</v>
      </c>
      <c r="AEO16">
        <v>0</v>
      </c>
      <c r="AEP16">
        <v>0</v>
      </c>
      <c r="AEQ16">
        <v>0</v>
      </c>
      <c r="AER16">
        <v>0</v>
      </c>
      <c r="AES16">
        <v>0</v>
      </c>
      <c r="AET16">
        <v>0</v>
      </c>
      <c r="AEU16">
        <v>0</v>
      </c>
      <c r="AEV16">
        <v>0</v>
      </c>
      <c r="AEW16">
        <v>0</v>
      </c>
      <c r="AEX16">
        <v>0</v>
      </c>
      <c r="AEY16">
        <v>0</v>
      </c>
      <c r="AEZ16">
        <v>0</v>
      </c>
      <c r="AFA16">
        <v>0</v>
      </c>
      <c r="AFB16">
        <v>0</v>
      </c>
      <c r="AFC16">
        <v>0</v>
      </c>
      <c r="AFD16">
        <v>0</v>
      </c>
      <c r="AFE16">
        <v>0</v>
      </c>
      <c r="AFF16">
        <v>0</v>
      </c>
      <c r="AFG16">
        <v>0</v>
      </c>
      <c r="AFH16">
        <v>0</v>
      </c>
      <c r="AFI16">
        <v>0</v>
      </c>
      <c r="AFJ16">
        <v>0</v>
      </c>
      <c r="AFK16">
        <v>0</v>
      </c>
      <c r="AFL16">
        <v>0</v>
      </c>
      <c r="AFM16">
        <v>0</v>
      </c>
      <c r="AFN16">
        <v>0</v>
      </c>
      <c r="AFO16">
        <v>0</v>
      </c>
      <c r="AFP16">
        <v>0</v>
      </c>
      <c r="AFQ16">
        <v>0</v>
      </c>
      <c r="AFR16">
        <v>0</v>
      </c>
      <c r="AFS16">
        <v>0</v>
      </c>
      <c r="AFT16">
        <v>0</v>
      </c>
      <c r="AFU16">
        <v>0</v>
      </c>
      <c r="AFV16">
        <v>0</v>
      </c>
      <c r="AFW16">
        <v>0</v>
      </c>
      <c r="AFX16">
        <v>0</v>
      </c>
      <c r="AFY16">
        <v>0</v>
      </c>
      <c r="AFZ16">
        <v>0</v>
      </c>
      <c r="AGA16">
        <v>0</v>
      </c>
      <c r="AGB16">
        <v>0</v>
      </c>
      <c r="AGC16">
        <v>0</v>
      </c>
      <c r="AGD16">
        <v>0</v>
      </c>
      <c r="AGE16">
        <v>0</v>
      </c>
      <c r="AGF16">
        <v>0</v>
      </c>
      <c r="AGG16">
        <v>0</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A16">
        <v>0</v>
      </c>
      <c r="AIB16">
        <v>0</v>
      </c>
      <c r="AIC16">
        <v>0</v>
      </c>
      <c r="AID16">
        <v>0</v>
      </c>
      <c r="AIE16">
        <v>0</v>
      </c>
      <c r="AIF16">
        <v>0</v>
      </c>
      <c r="AIG16">
        <v>0</v>
      </c>
      <c r="AIH16">
        <v>0</v>
      </c>
      <c r="AII16">
        <v>0</v>
      </c>
      <c r="AIJ16">
        <v>0</v>
      </c>
      <c r="AIK16">
        <v>0</v>
      </c>
      <c r="AIL16">
        <v>0</v>
      </c>
      <c r="AIM16">
        <v>0</v>
      </c>
      <c r="AIN16">
        <v>0</v>
      </c>
      <c r="AIO16">
        <v>0</v>
      </c>
      <c r="AIP16">
        <v>0</v>
      </c>
      <c r="AIQ16">
        <v>0</v>
      </c>
      <c r="AIR16">
        <v>0</v>
      </c>
      <c r="AIS16">
        <v>0</v>
      </c>
      <c r="AIT16">
        <v>0</v>
      </c>
      <c r="AIU16">
        <v>0</v>
      </c>
      <c r="AIV16">
        <v>0</v>
      </c>
      <c r="AIW16">
        <v>0</v>
      </c>
      <c r="AIX16">
        <v>0</v>
      </c>
      <c r="AIY16">
        <v>0</v>
      </c>
      <c r="AIZ16">
        <v>0</v>
      </c>
      <c r="AJA16">
        <v>0</v>
      </c>
      <c r="AJB16">
        <v>0</v>
      </c>
      <c r="AJC16">
        <v>0</v>
      </c>
      <c r="AJD16">
        <v>0</v>
      </c>
      <c r="AJE16">
        <v>0</v>
      </c>
      <c r="AJF16">
        <v>0</v>
      </c>
      <c r="AJG16">
        <v>0</v>
      </c>
      <c r="AJH16">
        <v>0</v>
      </c>
      <c r="AJI16">
        <v>0</v>
      </c>
      <c r="AJJ16">
        <v>0</v>
      </c>
      <c r="AJK16">
        <v>0</v>
      </c>
      <c r="AJL16">
        <v>0</v>
      </c>
      <c r="AJM16">
        <v>0</v>
      </c>
      <c r="AJN16">
        <v>0</v>
      </c>
      <c r="AJO16">
        <v>0</v>
      </c>
      <c r="AJP16">
        <v>0</v>
      </c>
      <c r="AJQ16">
        <v>0</v>
      </c>
      <c r="AJR16">
        <v>0</v>
      </c>
      <c r="AJS16">
        <v>0</v>
      </c>
      <c r="AJT16">
        <v>0</v>
      </c>
      <c r="AJU16">
        <v>0</v>
      </c>
      <c r="AJV16">
        <v>0</v>
      </c>
      <c r="AJW16">
        <v>0</v>
      </c>
      <c r="AJX16">
        <v>0</v>
      </c>
      <c r="AJY16">
        <v>0</v>
      </c>
      <c r="AJZ16">
        <v>0</v>
      </c>
      <c r="AKA16">
        <v>0</v>
      </c>
      <c r="AKB16">
        <v>0</v>
      </c>
      <c r="AKC16">
        <v>0</v>
      </c>
      <c r="AKD16">
        <v>0</v>
      </c>
      <c r="AKE16">
        <v>0</v>
      </c>
      <c r="AKF16">
        <v>0</v>
      </c>
      <c r="AKG16">
        <v>0</v>
      </c>
      <c r="AKH16">
        <v>0</v>
      </c>
      <c r="AKI16">
        <v>0</v>
      </c>
      <c r="AKJ16">
        <v>0</v>
      </c>
      <c r="AKK16">
        <v>0</v>
      </c>
      <c r="AKL16">
        <v>0</v>
      </c>
      <c r="AKM16">
        <v>0</v>
      </c>
      <c r="AKN16">
        <v>0</v>
      </c>
      <c r="AKO16">
        <v>0</v>
      </c>
      <c r="AKP16">
        <v>0</v>
      </c>
      <c r="AKQ16">
        <v>0</v>
      </c>
      <c r="AKR16">
        <v>0</v>
      </c>
      <c r="AKS16">
        <v>0</v>
      </c>
      <c r="AKT16">
        <v>0</v>
      </c>
      <c r="AKU16">
        <v>0</v>
      </c>
      <c r="AKV16">
        <v>0</v>
      </c>
      <c r="AKW16">
        <v>0</v>
      </c>
      <c r="AKX16">
        <v>0</v>
      </c>
      <c r="AKY16">
        <v>0</v>
      </c>
      <c r="AKZ16">
        <v>0</v>
      </c>
      <c r="ALA16">
        <v>0</v>
      </c>
      <c r="ALB16">
        <v>0</v>
      </c>
      <c r="ALC16">
        <v>0</v>
      </c>
      <c r="ALD16">
        <v>0</v>
      </c>
      <c r="ALE16">
        <v>0</v>
      </c>
      <c r="ALF16">
        <v>0</v>
      </c>
      <c r="ALG16">
        <v>0</v>
      </c>
      <c r="ALH16">
        <v>0</v>
      </c>
      <c r="ALI16">
        <v>0</v>
      </c>
      <c r="ALJ16">
        <v>0</v>
      </c>
      <c r="ALK16">
        <v>0</v>
      </c>
      <c r="ALL16">
        <v>0</v>
      </c>
      <c r="ALM16">
        <v>0</v>
      </c>
      <c r="ALN16">
        <v>0</v>
      </c>
      <c r="ALO16">
        <v>0</v>
      </c>
      <c r="ALP16">
        <v>0</v>
      </c>
      <c r="ALQ16">
        <v>0</v>
      </c>
      <c r="ALR16">
        <v>0</v>
      </c>
      <c r="ALS16">
        <v>0</v>
      </c>
      <c r="ALT16">
        <v>0</v>
      </c>
      <c r="ALU16">
        <v>0</v>
      </c>
      <c r="ALV16">
        <v>0</v>
      </c>
      <c r="ALW16">
        <v>0</v>
      </c>
      <c r="ALX16">
        <v>0</v>
      </c>
      <c r="ALY16">
        <v>0</v>
      </c>
      <c r="ALZ16">
        <v>0</v>
      </c>
      <c r="AMA16">
        <v>0</v>
      </c>
      <c r="AMB16">
        <v>0</v>
      </c>
      <c r="AMC16">
        <v>0</v>
      </c>
      <c r="AMD16">
        <v>0</v>
      </c>
      <c r="AME16">
        <v>0</v>
      </c>
      <c r="AMF16">
        <v>0</v>
      </c>
      <c r="AMG16">
        <v>0</v>
      </c>
      <c r="AMH16">
        <v>0</v>
      </c>
      <c r="AMI16">
        <v>0</v>
      </c>
      <c r="AMJ16">
        <v>0</v>
      </c>
      <c r="AMK16">
        <v>0</v>
      </c>
      <c r="AML16">
        <v>0</v>
      </c>
      <c r="AMM16">
        <v>0</v>
      </c>
      <c r="AMN16">
        <v>0</v>
      </c>
      <c r="AMO16">
        <v>0</v>
      </c>
      <c r="AMP16">
        <v>0</v>
      </c>
      <c r="AMQ16">
        <v>0</v>
      </c>
      <c r="AMR16">
        <v>0</v>
      </c>
      <c r="AMS16">
        <v>0</v>
      </c>
      <c r="AMT16">
        <v>0</v>
      </c>
      <c r="AMU16">
        <v>0</v>
      </c>
      <c r="AMV16">
        <v>0</v>
      </c>
      <c r="AMW16">
        <v>0</v>
      </c>
      <c r="AMX16">
        <v>0</v>
      </c>
      <c r="AMY16">
        <v>0</v>
      </c>
      <c r="AMZ16">
        <v>0</v>
      </c>
      <c r="ANA16">
        <v>0</v>
      </c>
      <c r="ANB16">
        <v>0</v>
      </c>
      <c r="ANC16">
        <v>0</v>
      </c>
      <c r="AND16">
        <v>0</v>
      </c>
      <c r="ANE16">
        <v>0</v>
      </c>
      <c r="ANF16">
        <v>0</v>
      </c>
      <c r="ANG16">
        <v>0</v>
      </c>
      <c r="ANH16">
        <v>0</v>
      </c>
      <c r="ANI16">
        <v>0</v>
      </c>
      <c r="ANJ16">
        <v>0</v>
      </c>
      <c r="ANK16">
        <v>0</v>
      </c>
      <c r="ANL16">
        <v>0</v>
      </c>
      <c r="ANM16">
        <v>0</v>
      </c>
      <c r="ANN16">
        <v>0</v>
      </c>
      <c r="ANO16">
        <v>0</v>
      </c>
      <c r="ANP16">
        <v>0</v>
      </c>
      <c r="ANQ16">
        <v>0</v>
      </c>
      <c r="ANR16">
        <v>0</v>
      </c>
      <c r="ANS16">
        <v>0</v>
      </c>
      <c r="ANT16">
        <v>0</v>
      </c>
      <c r="ANU16">
        <v>0</v>
      </c>
      <c r="ANV16">
        <v>0</v>
      </c>
      <c r="ANW16">
        <v>0</v>
      </c>
      <c r="ANX16">
        <v>0</v>
      </c>
      <c r="ANY16">
        <v>0</v>
      </c>
      <c r="ANZ16">
        <v>0</v>
      </c>
      <c r="AOA16">
        <v>0</v>
      </c>
      <c r="AOB16">
        <v>0</v>
      </c>
      <c r="AOC16">
        <v>0</v>
      </c>
      <c r="AOD16">
        <v>0</v>
      </c>
      <c r="AOE16">
        <v>0</v>
      </c>
      <c r="AOF16">
        <v>0</v>
      </c>
      <c r="AOG16">
        <v>0</v>
      </c>
      <c r="AOH16">
        <v>0</v>
      </c>
      <c r="AOI16">
        <v>0</v>
      </c>
      <c r="AOJ16">
        <v>0</v>
      </c>
      <c r="AOK16">
        <v>0</v>
      </c>
      <c r="AOL16">
        <v>0</v>
      </c>
      <c r="AOM16">
        <v>0</v>
      </c>
      <c r="AON16">
        <v>0</v>
      </c>
      <c r="AOO16">
        <v>0</v>
      </c>
      <c r="AOP16">
        <v>0</v>
      </c>
      <c r="AOQ16">
        <v>0</v>
      </c>
      <c r="AOR16">
        <v>0</v>
      </c>
      <c r="AOS16">
        <v>0</v>
      </c>
      <c r="AOT16">
        <v>0</v>
      </c>
      <c r="AOU16">
        <v>0</v>
      </c>
      <c r="AOV16">
        <v>0</v>
      </c>
      <c r="AOW16">
        <v>0</v>
      </c>
      <c r="AOX16">
        <v>0</v>
      </c>
      <c r="AOY16">
        <v>0</v>
      </c>
      <c r="AOZ16">
        <v>0</v>
      </c>
      <c r="APA16">
        <v>0</v>
      </c>
      <c r="APB16">
        <v>0</v>
      </c>
      <c r="APC16">
        <v>0</v>
      </c>
      <c r="APD16">
        <v>0</v>
      </c>
      <c r="APE16">
        <v>0</v>
      </c>
      <c r="APF16">
        <v>0</v>
      </c>
      <c r="APG16">
        <v>0</v>
      </c>
      <c r="APH16">
        <v>0</v>
      </c>
      <c r="API16">
        <v>0</v>
      </c>
      <c r="APJ16">
        <v>0</v>
      </c>
      <c r="APK16">
        <v>0</v>
      </c>
      <c r="APL16">
        <v>0</v>
      </c>
      <c r="APM16">
        <v>0</v>
      </c>
      <c r="APN16">
        <v>0</v>
      </c>
      <c r="APO16">
        <v>0</v>
      </c>
      <c r="APP16">
        <v>0</v>
      </c>
      <c r="APQ16">
        <v>0</v>
      </c>
      <c r="APR16">
        <v>0</v>
      </c>
      <c r="APS16">
        <v>0</v>
      </c>
      <c r="APT16">
        <v>0</v>
      </c>
      <c r="APU16">
        <v>0</v>
      </c>
      <c r="APV16">
        <v>0</v>
      </c>
      <c r="APW16">
        <v>0</v>
      </c>
      <c r="APX16">
        <v>0</v>
      </c>
      <c r="APY16">
        <v>0</v>
      </c>
      <c r="APZ16">
        <v>0</v>
      </c>
      <c r="AQA16">
        <v>0</v>
      </c>
      <c r="AQB16">
        <v>0</v>
      </c>
      <c r="AQC16">
        <v>0</v>
      </c>
      <c r="AQD16">
        <v>0</v>
      </c>
      <c r="AQE16">
        <v>0</v>
      </c>
      <c r="AQF16">
        <v>0</v>
      </c>
      <c r="AQG16">
        <v>0</v>
      </c>
      <c r="AQH16">
        <v>0</v>
      </c>
      <c r="AQI16">
        <v>0</v>
      </c>
      <c r="AQJ16">
        <v>0</v>
      </c>
      <c r="AQK16">
        <v>0</v>
      </c>
      <c r="AQL16">
        <v>0</v>
      </c>
      <c r="AQM16">
        <v>0</v>
      </c>
      <c r="AQN16">
        <v>0</v>
      </c>
      <c r="AQO16">
        <v>0</v>
      </c>
      <c r="AQP16">
        <v>0</v>
      </c>
      <c r="AQQ16">
        <v>0</v>
      </c>
      <c r="AQR16">
        <v>0</v>
      </c>
      <c r="AQS16">
        <v>0</v>
      </c>
      <c r="AQT16">
        <v>0</v>
      </c>
      <c r="AQU16">
        <v>0</v>
      </c>
      <c r="AQV16">
        <v>0</v>
      </c>
      <c r="AQW16">
        <v>0</v>
      </c>
      <c r="AQX16">
        <v>0</v>
      </c>
      <c r="AQY16">
        <v>0</v>
      </c>
      <c r="AQZ16">
        <v>0</v>
      </c>
      <c r="ARA16">
        <v>0</v>
      </c>
      <c r="ARB16">
        <v>0</v>
      </c>
      <c r="ARC16">
        <v>0</v>
      </c>
      <c r="ARD16">
        <v>0</v>
      </c>
      <c r="ARE16">
        <v>0</v>
      </c>
      <c r="ARF16">
        <v>0</v>
      </c>
      <c r="ARG16">
        <v>0</v>
      </c>
      <c r="ARH16">
        <v>0</v>
      </c>
      <c r="ARI16">
        <v>0</v>
      </c>
      <c r="ARJ16">
        <v>0</v>
      </c>
      <c r="ARK16">
        <v>0</v>
      </c>
      <c r="ARL16">
        <v>0</v>
      </c>
      <c r="ARM16">
        <v>0</v>
      </c>
      <c r="ARN16">
        <v>0</v>
      </c>
      <c r="ARO16">
        <v>0</v>
      </c>
      <c r="ARP16">
        <v>0</v>
      </c>
      <c r="ARQ16">
        <v>0</v>
      </c>
      <c r="ARR16">
        <v>0</v>
      </c>
      <c r="ARS16">
        <v>0</v>
      </c>
      <c r="ART16">
        <v>0</v>
      </c>
      <c r="ARU16">
        <v>0</v>
      </c>
      <c r="ARV16">
        <v>0</v>
      </c>
      <c r="ARW16">
        <v>0</v>
      </c>
      <c r="ARX16">
        <v>0</v>
      </c>
      <c r="ARY16">
        <v>0</v>
      </c>
      <c r="ARZ16">
        <v>0</v>
      </c>
      <c r="ASA16">
        <v>0</v>
      </c>
      <c r="ASB16">
        <v>0</v>
      </c>
      <c r="ASC16">
        <v>0</v>
      </c>
      <c r="ASD16">
        <v>0</v>
      </c>
      <c r="ASE16">
        <v>0</v>
      </c>
      <c r="ASF16">
        <v>0</v>
      </c>
      <c r="ASG16">
        <v>0</v>
      </c>
      <c r="ASH16">
        <v>0</v>
      </c>
      <c r="ASI16">
        <v>0</v>
      </c>
      <c r="ASJ16">
        <v>0</v>
      </c>
      <c r="ASK16">
        <v>0</v>
      </c>
      <c r="ASL16">
        <v>0</v>
      </c>
      <c r="ASM16">
        <v>0</v>
      </c>
      <c r="ASN16">
        <v>0</v>
      </c>
      <c r="ASO16">
        <v>0</v>
      </c>
      <c r="ASP16">
        <v>0</v>
      </c>
      <c r="ASQ16">
        <v>0</v>
      </c>
      <c r="ASR16">
        <v>0</v>
      </c>
      <c r="ASS16">
        <v>0</v>
      </c>
      <c r="AST16">
        <v>0</v>
      </c>
      <c r="ASU16">
        <v>0</v>
      </c>
      <c r="ASV16">
        <v>0</v>
      </c>
      <c r="ASW16">
        <v>0</v>
      </c>
      <c r="ASX16">
        <v>0</v>
      </c>
      <c r="ASY16">
        <v>0</v>
      </c>
      <c r="ASZ16">
        <v>0</v>
      </c>
      <c r="ATA16">
        <v>0</v>
      </c>
      <c r="ATB16">
        <v>0</v>
      </c>
      <c r="ATC16">
        <v>0</v>
      </c>
      <c r="ATD16">
        <v>0</v>
      </c>
      <c r="ATE16">
        <v>0</v>
      </c>
      <c r="ATF16">
        <v>0</v>
      </c>
      <c r="ATG16">
        <v>0</v>
      </c>
      <c r="ATH16">
        <v>0</v>
      </c>
      <c r="ATI16">
        <v>0</v>
      </c>
      <c r="ATJ16">
        <v>0</v>
      </c>
      <c r="ATK16">
        <v>0</v>
      </c>
      <c r="ATL16">
        <v>0</v>
      </c>
      <c r="ATM16">
        <v>0</v>
      </c>
      <c r="ATN16">
        <v>0</v>
      </c>
      <c r="ATO16">
        <v>0</v>
      </c>
      <c r="ATP16">
        <v>0</v>
      </c>
      <c r="ATQ16">
        <v>0</v>
      </c>
      <c r="ATR16">
        <v>0</v>
      </c>
      <c r="ATS16">
        <v>0</v>
      </c>
      <c r="ATT16">
        <v>0</v>
      </c>
      <c r="ATU16">
        <v>0</v>
      </c>
      <c r="ATV16">
        <v>0</v>
      </c>
      <c r="ATW16">
        <v>0</v>
      </c>
      <c r="ATX16">
        <v>0</v>
      </c>
      <c r="ATY16">
        <v>0</v>
      </c>
      <c r="ATZ16">
        <v>0</v>
      </c>
      <c r="AUA16">
        <v>0</v>
      </c>
      <c r="AUB16">
        <v>0</v>
      </c>
      <c r="AUC16">
        <v>0</v>
      </c>
      <c r="AUD16">
        <v>0</v>
      </c>
      <c r="AUE16">
        <v>0</v>
      </c>
      <c r="AUF16">
        <v>0</v>
      </c>
      <c r="AUG16">
        <v>0</v>
      </c>
      <c r="AUH16">
        <v>0</v>
      </c>
      <c r="AUI16">
        <v>0</v>
      </c>
      <c r="AUJ16">
        <v>0</v>
      </c>
      <c r="AUK16">
        <v>0</v>
      </c>
      <c r="AUL16">
        <v>0</v>
      </c>
      <c r="AUM16">
        <v>0</v>
      </c>
      <c r="AUN16">
        <v>0</v>
      </c>
      <c r="AUO16">
        <v>0</v>
      </c>
      <c r="AUP16">
        <v>0</v>
      </c>
      <c r="AUQ16">
        <v>0</v>
      </c>
      <c r="AUR16">
        <v>0</v>
      </c>
      <c r="AUS16">
        <v>0</v>
      </c>
      <c r="AUT16">
        <v>0</v>
      </c>
      <c r="AUU16">
        <v>0</v>
      </c>
      <c r="AUV16">
        <v>0</v>
      </c>
      <c r="AUW16">
        <v>0</v>
      </c>
      <c r="AUX16">
        <v>0</v>
      </c>
      <c r="AUY16">
        <v>0</v>
      </c>
      <c r="AUZ16">
        <v>0</v>
      </c>
      <c r="AVA16">
        <v>0</v>
      </c>
      <c r="AVB16">
        <v>0</v>
      </c>
      <c r="AVC16">
        <v>0</v>
      </c>
      <c r="AVD16">
        <v>0</v>
      </c>
      <c r="AVE16">
        <v>0</v>
      </c>
      <c r="AVF16">
        <v>0</v>
      </c>
      <c r="AVG16">
        <v>0</v>
      </c>
      <c r="AVH16">
        <v>0</v>
      </c>
      <c r="AVI16">
        <v>0</v>
      </c>
      <c r="AVJ16">
        <v>0</v>
      </c>
      <c r="AVK16">
        <v>0</v>
      </c>
      <c r="AVL16">
        <v>0</v>
      </c>
      <c r="AVM16">
        <v>0</v>
      </c>
      <c r="AVN16">
        <v>0</v>
      </c>
      <c r="AVO16">
        <v>0</v>
      </c>
      <c r="AVP16">
        <v>0</v>
      </c>
      <c r="AVQ16">
        <v>0</v>
      </c>
      <c r="AVR16">
        <v>0</v>
      </c>
      <c r="AVS16">
        <v>0</v>
      </c>
      <c r="AVT16">
        <v>0</v>
      </c>
      <c r="AVU16">
        <v>0</v>
      </c>
      <c r="AVV16">
        <v>0</v>
      </c>
      <c r="AVW16">
        <v>0</v>
      </c>
      <c r="AVX16">
        <v>0</v>
      </c>
      <c r="AVY16">
        <v>0</v>
      </c>
      <c r="AVZ16">
        <v>0</v>
      </c>
      <c r="AWA16">
        <v>0</v>
      </c>
      <c r="AWB16">
        <v>0</v>
      </c>
      <c r="AWC16">
        <v>0</v>
      </c>
      <c r="AWD16">
        <v>0</v>
      </c>
      <c r="AWE16">
        <v>0</v>
      </c>
      <c r="AWF16">
        <v>0</v>
      </c>
      <c r="AWG16">
        <v>0</v>
      </c>
      <c r="AWH16">
        <v>0</v>
      </c>
      <c r="AWI16">
        <v>0</v>
      </c>
      <c r="AWJ16">
        <v>0</v>
      </c>
      <c r="AWK16">
        <v>0</v>
      </c>
      <c r="AWL16">
        <v>0</v>
      </c>
      <c r="AWM16">
        <v>0</v>
      </c>
      <c r="AWN16">
        <v>0</v>
      </c>
      <c r="AWO16">
        <v>0</v>
      </c>
      <c r="AWP16">
        <v>0</v>
      </c>
      <c r="AWQ16">
        <v>0</v>
      </c>
      <c r="AWR16">
        <v>0</v>
      </c>
      <c r="AWS16">
        <v>0</v>
      </c>
      <c r="AWT16">
        <v>0</v>
      </c>
      <c r="AWU16">
        <v>0</v>
      </c>
      <c r="AWV16">
        <v>0</v>
      </c>
      <c r="AWW16">
        <v>0</v>
      </c>
      <c r="AWX16">
        <v>0</v>
      </c>
      <c r="AWY16">
        <v>0</v>
      </c>
      <c r="AWZ16">
        <v>0</v>
      </c>
      <c r="AXA16">
        <v>0</v>
      </c>
      <c r="AXB16">
        <v>0</v>
      </c>
      <c r="AXC16">
        <v>0</v>
      </c>
      <c r="AXD16">
        <v>0</v>
      </c>
      <c r="AXE16">
        <v>0</v>
      </c>
      <c r="AXF16">
        <v>0</v>
      </c>
      <c r="AXG16">
        <v>0</v>
      </c>
      <c r="AXH16">
        <v>0</v>
      </c>
      <c r="AXI16">
        <v>0</v>
      </c>
      <c r="AXJ16">
        <v>0</v>
      </c>
      <c r="AXK16">
        <v>0</v>
      </c>
      <c r="AXL16">
        <v>0</v>
      </c>
      <c r="AXM16">
        <v>0</v>
      </c>
      <c r="AXN16">
        <v>0</v>
      </c>
      <c r="AXO16">
        <v>0</v>
      </c>
      <c r="AXP16">
        <v>0</v>
      </c>
      <c r="AXQ16">
        <v>0</v>
      </c>
      <c r="AXR16">
        <v>0</v>
      </c>
      <c r="AXS16">
        <v>0</v>
      </c>
      <c r="AXT16">
        <v>0</v>
      </c>
      <c r="AXU16">
        <v>0</v>
      </c>
      <c r="AXV16">
        <v>0</v>
      </c>
      <c r="AXW16">
        <v>0</v>
      </c>
      <c r="AXX16">
        <v>0</v>
      </c>
      <c r="AXY16">
        <v>0</v>
      </c>
      <c r="AXZ16">
        <v>0</v>
      </c>
      <c r="AYA16">
        <v>0</v>
      </c>
      <c r="AYB16">
        <v>0</v>
      </c>
      <c r="AYC16">
        <v>0</v>
      </c>
      <c r="AYD16">
        <v>0</v>
      </c>
      <c r="AYE16">
        <v>0</v>
      </c>
      <c r="AYF16">
        <v>0</v>
      </c>
      <c r="AYG16">
        <v>0</v>
      </c>
      <c r="AYH16">
        <v>0</v>
      </c>
      <c r="AYI16">
        <v>0</v>
      </c>
      <c r="AYJ16">
        <v>0</v>
      </c>
      <c r="AYK16">
        <v>0</v>
      </c>
      <c r="AYL16">
        <v>0</v>
      </c>
      <c r="AYM16">
        <v>0</v>
      </c>
      <c r="AYN16">
        <v>0</v>
      </c>
      <c r="AYO16">
        <v>0</v>
      </c>
      <c r="AYP16">
        <v>0</v>
      </c>
      <c r="AYQ16">
        <v>0</v>
      </c>
      <c r="AYR16">
        <v>0</v>
      </c>
      <c r="AYS16">
        <v>0</v>
      </c>
      <c r="AYT16">
        <v>0</v>
      </c>
      <c r="AYU16">
        <v>0</v>
      </c>
      <c r="AYV16">
        <v>0</v>
      </c>
      <c r="AYW16">
        <v>0</v>
      </c>
      <c r="AYX16">
        <v>0</v>
      </c>
      <c r="AYY16">
        <v>0</v>
      </c>
      <c r="AYZ16">
        <v>0</v>
      </c>
      <c r="AZA16">
        <v>0</v>
      </c>
      <c r="AZB16">
        <v>0</v>
      </c>
      <c r="AZC16">
        <v>0</v>
      </c>
      <c r="AZD16">
        <v>0</v>
      </c>
      <c r="AZE16">
        <v>0</v>
      </c>
      <c r="AZF16">
        <v>0</v>
      </c>
      <c r="AZG16">
        <v>0</v>
      </c>
      <c r="AZH16">
        <v>0</v>
      </c>
      <c r="AZI16">
        <v>0</v>
      </c>
      <c r="AZJ16">
        <v>0</v>
      </c>
      <c r="AZK16">
        <v>0</v>
      </c>
      <c r="AZL16">
        <v>0</v>
      </c>
      <c r="AZM16">
        <v>0</v>
      </c>
      <c r="AZN16">
        <v>0</v>
      </c>
      <c r="AZO16">
        <v>0</v>
      </c>
      <c r="AZP16">
        <v>0</v>
      </c>
      <c r="AZQ16">
        <v>0</v>
      </c>
      <c r="AZR16">
        <v>0</v>
      </c>
      <c r="AZS16">
        <v>0</v>
      </c>
      <c r="AZT16">
        <v>0</v>
      </c>
      <c r="AZU16">
        <v>0</v>
      </c>
      <c r="AZV16">
        <v>0</v>
      </c>
      <c r="AZW16">
        <v>0</v>
      </c>
      <c r="AZX16">
        <v>0</v>
      </c>
      <c r="AZY16">
        <v>0</v>
      </c>
      <c r="AZZ16">
        <v>0</v>
      </c>
      <c r="BAA16">
        <v>0</v>
      </c>
      <c r="BAB16">
        <v>0</v>
      </c>
      <c r="BAC16">
        <v>0</v>
      </c>
      <c r="BAD16">
        <v>0</v>
      </c>
      <c r="BAE16">
        <v>0</v>
      </c>
      <c r="BAF16">
        <v>0</v>
      </c>
      <c r="BAG16">
        <v>0</v>
      </c>
      <c r="BAH16">
        <v>0</v>
      </c>
      <c r="BAI16">
        <v>0</v>
      </c>
      <c r="BAJ16">
        <v>0</v>
      </c>
      <c r="BAK16">
        <v>1689973</v>
      </c>
      <c r="BAL16">
        <v>14659.33</v>
      </c>
      <c r="BAM16">
        <v>13435.33</v>
      </c>
      <c r="BAN16">
        <v>1224</v>
      </c>
      <c r="BAO16">
        <v>310</v>
      </c>
      <c r="BAP16">
        <v>400</v>
      </c>
      <c r="BAQ16">
        <v>978</v>
      </c>
      <c r="BAR16">
        <v>0</v>
      </c>
      <c r="BAS16">
        <v>0</v>
      </c>
      <c r="BAT16">
        <v>0</v>
      </c>
      <c r="BAU16">
        <v>0</v>
      </c>
      <c r="BAV16">
        <v>0</v>
      </c>
      <c r="BAW16">
        <v>0</v>
      </c>
      <c r="BAX16">
        <v>0</v>
      </c>
      <c r="BAY16">
        <v>0</v>
      </c>
      <c r="BAZ16">
        <v>0</v>
      </c>
      <c r="BBA16">
        <v>0</v>
      </c>
      <c r="BBB16">
        <v>0</v>
      </c>
      <c r="BBC16">
        <v>0</v>
      </c>
      <c r="BBD16">
        <v>0</v>
      </c>
      <c r="BBE16">
        <v>0</v>
      </c>
      <c r="BBF16">
        <v>0</v>
      </c>
      <c r="BBG16">
        <v>0</v>
      </c>
      <c r="BBH16">
        <v>0</v>
      </c>
      <c r="BBI16">
        <v>0</v>
      </c>
      <c r="BBJ16">
        <v>0</v>
      </c>
      <c r="BBK16">
        <v>0</v>
      </c>
      <c r="BBL16">
        <v>0</v>
      </c>
      <c r="BBM16">
        <v>0</v>
      </c>
      <c r="BBN16">
        <v>0</v>
      </c>
      <c r="BBO16">
        <v>0</v>
      </c>
      <c r="BBP16">
        <v>0</v>
      </c>
      <c r="BBQ16">
        <v>0</v>
      </c>
      <c r="BBR16">
        <v>0</v>
      </c>
      <c r="BBS16">
        <v>0</v>
      </c>
      <c r="BBT16">
        <v>0</v>
      </c>
      <c r="BBU16">
        <v>0</v>
      </c>
      <c r="BBV16">
        <v>0</v>
      </c>
      <c r="BBW16">
        <v>0</v>
      </c>
      <c r="BBX16">
        <v>0</v>
      </c>
      <c r="BBY16">
        <v>0</v>
      </c>
      <c r="BBZ16">
        <v>0</v>
      </c>
      <c r="BCA16">
        <v>0</v>
      </c>
      <c r="BCB16">
        <v>0</v>
      </c>
      <c r="BCC16">
        <v>0</v>
      </c>
      <c r="BCD16">
        <v>0</v>
      </c>
      <c r="BCE16">
        <v>0</v>
      </c>
      <c r="BCF16">
        <v>0</v>
      </c>
      <c r="BCG16">
        <v>0</v>
      </c>
      <c r="BCH16">
        <v>0</v>
      </c>
      <c r="BCI16">
        <v>0</v>
      </c>
      <c r="BCJ16">
        <v>0</v>
      </c>
      <c r="BCK16">
        <v>0</v>
      </c>
      <c r="BCL16">
        <v>0</v>
      </c>
      <c r="BCM16">
        <v>0</v>
      </c>
      <c r="BCN16">
        <v>0</v>
      </c>
      <c r="BCO16">
        <v>0</v>
      </c>
      <c r="BCP16">
        <v>0</v>
      </c>
      <c r="BCQ16">
        <v>0</v>
      </c>
      <c r="BCR16">
        <v>0</v>
      </c>
      <c r="BCS16">
        <v>0</v>
      </c>
      <c r="BCT16">
        <v>0</v>
      </c>
      <c r="BCU16">
        <v>0</v>
      </c>
      <c r="BCV16">
        <v>0</v>
      </c>
      <c r="BCW16">
        <v>0</v>
      </c>
      <c r="BCX16">
        <v>0</v>
      </c>
      <c r="BCY16">
        <v>0</v>
      </c>
      <c r="BCZ16">
        <v>0</v>
      </c>
      <c r="BDA16">
        <v>0</v>
      </c>
      <c r="BDB16">
        <v>0</v>
      </c>
      <c r="BDC16">
        <v>0</v>
      </c>
      <c r="BDD16">
        <v>0</v>
      </c>
      <c r="BDE16">
        <v>0</v>
      </c>
      <c r="BDF16">
        <v>0</v>
      </c>
      <c r="BDG16">
        <v>0</v>
      </c>
      <c r="BDH16">
        <v>0</v>
      </c>
      <c r="BDI16">
        <v>0</v>
      </c>
      <c r="BDJ16">
        <v>0</v>
      </c>
      <c r="BDK16">
        <v>0</v>
      </c>
      <c r="BDL16">
        <v>0</v>
      </c>
      <c r="BDM16">
        <v>0</v>
      </c>
      <c r="BDN16">
        <v>0</v>
      </c>
      <c r="BDO16">
        <v>0</v>
      </c>
      <c r="BDP16">
        <v>0</v>
      </c>
      <c r="BDQ16">
        <v>0</v>
      </c>
      <c r="BDR16">
        <v>0</v>
      </c>
      <c r="BDS16">
        <v>0</v>
      </c>
      <c r="BDT16">
        <v>0</v>
      </c>
      <c r="BDU16">
        <v>0</v>
      </c>
      <c r="BDV16">
        <v>0</v>
      </c>
      <c r="BDW16">
        <v>0</v>
      </c>
      <c r="BDX16">
        <v>0</v>
      </c>
      <c r="BDY16">
        <v>0</v>
      </c>
      <c r="BDZ16">
        <v>0</v>
      </c>
      <c r="BEA16">
        <v>0</v>
      </c>
      <c r="BEB16">
        <v>0</v>
      </c>
      <c r="BEC16">
        <v>0</v>
      </c>
      <c r="BED16">
        <v>0</v>
      </c>
      <c r="BEE16">
        <v>0</v>
      </c>
      <c r="BEF16">
        <v>0</v>
      </c>
      <c r="BEG16">
        <v>0</v>
      </c>
      <c r="BEH16">
        <v>0</v>
      </c>
      <c r="BEI16">
        <v>0</v>
      </c>
      <c r="BEJ16">
        <v>0</v>
      </c>
      <c r="BEK16">
        <v>0</v>
      </c>
      <c r="BEL16">
        <v>0</v>
      </c>
      <c r="BEM16">
        <v>0</v>
      </c>
      <c r="BEN16">
        <v>0</v>
      </c>
      <c r="BEO16">
        <v>0</v>
      </c>
      <c r="BEP16">
        <v>0</v>
      </c>
      <c r="BEQ16">
        <v>0</v>
      </c>
      <c r="BER16">
        <v>0</v>
      </c>
      <c r="BES16">
        <v>0</v>
      </c>
      <c r="BET16">
        <v>0</v>
      </c>
      <c r="BEU16">
        <v>0</v>
      </c>
      <c r="BEV16">
        <v>0</v>
      </c>
      <c r="BEW16">
        <v>0</v>
      </c>
      <c r="BEX16">
        <v>0</v>
      </c>
      <c r="BEY16">
        <v>0</v>
      </c>
      <c r="BEZ16">
        <v>0</v>
      </c>
      <c r="BFA16">
        <v>0</v>
      </c>
      <c r="BFB16">
        <v>0</v>
      </c>
      <c r="BFC16">
        <v>0</v>
      </c>
      <c r="BFD16" t="b">
        <v>0</v>
      </c>
      <c r="BFE16" t="b">
        <v>0</v>
      </c>
      <c r="BFF16" t="b">
        <v>0</v>
      </c>
      <c r="BFG16" t="b">
        <v>0</v>
      </c>
      <c r="BFH16">
        <v>0</v>
      </c>
      <c r="BFI16">
        <v>0</v>
      </c>
      <c r="BFJ16">
        <v>0</v>
      </c>
      <c r="BFK16">
        <v>0</v>
      </c>
      <c r="BFL16">
        <v>0</v>
      </c>
      <c r="BFM16">
        <v>0</v>
      </c>
      <c r="BFN16">
        <v>0</v>
      </c>
      <c r="BFO16">
        <v>0</v>
      </c>
      <c r="BFP16">
        <v>0</v>
      </c>
      <c r="BFQ16">
        <v>0</v>
      </c>
      <c r="BFR16">
        <v>0</v>
      </c>
      <c r="BFS16">
        <v>0</v>
      </c>
      <c r="BFT16">
        <v>0</v>
      </c>
      <c r="BFU16">
        <v>0</v>
      </c>
      <c r="BFV16">
        <v>0</v>
      </c>
      <c r="BFW16">
        <v>0</v>
      </c>
      <c r="BFX16">
        <v>0</v>
      </c>
      <c r="BFY16">
        <v>0</v>
      </c>
    </row>
    <row r="17" spans="1:1533" ht="18.75" customHeight="1" x14ac:dyDescent="0.25">
      <c r="A17" t="s">
        <v>2904</v>
      </c>
      <c r="B17" t="s">
        <v>2905</v>
      </c>
      <c r="C17" s="120">
        <v>130</v>
      </c>
      <c r="D17" s="120">
        <v>45</v>
      </c>
      <c r="E17">
        <v>0</v>
      </c>
      <c r="F17">
        <v>0</v>
      </c>
      <c r="G17">
        <v>0</v>
      </c>
      <c r="H17" t="s">
        <v>2403</v>
      </c>
      <c r="I17" t="s">
        <v>2403</v>
      </c>
      <c r="J17" t="s">
        <v>2403</v>
      </c>
      <c r="K17" t="s">
        <v>2403</v>
      </c>
      <c r="L17" t="s">
        <v>2403</v>
      </c>
      <c r="M17" t="s">
        <v>1883</v>
      </c>
      <c r="N17" t="s">
        <v>2403</v>
      </c>
      <c r="O17" t="s">
        <v>1883</v>
      </c>
      <c r="P17" t="s">
        <v>1883</v>
      </c>
      <c r="Q17" t="s">
        <v>2403</v>
      </c>
      <c r="R17" t="s">
        <v>1883</v>
      </c>
      <c r="S17" t="s">
        <v>1639</v>
      </c>
      <c r="T17" t="s">
        <v>2404</v>
      </c>
      <c r="U17" t="s">
        <v>2424</v>
      </c>
      <c r="V17">
        <v>0</v>
      </c>
      <c r="W17" t="s">
        <v>309</v>
      </c>
      <c r="X17">
        <v>900</v>
      </c>
      <c r="Y17" s="120">
        <v>4</v>
      </c>
      <c r="Z17" s="58">
        <v>0</v>
      </c>
      <c r="AA17" s="120">
        <v>0</v>
      </c>
      <c r="AB17" s="120">
        <v>0</v>
      </c>
      <c r="AC17" s="120">
        <v>0</v>
      </c>
      <c r="AD17">
        <v>25</v>
      </c>
      <c r="AE17" s="120">
        <v>0</v>
      </c>
      <c r="AF17" s="120">
        <v>0</v>
      </c>
      <c r="AG17" s="58">
        <v>45</v>
      </c>
      <c r="AH17" s="120">
        <v>101</v>
      </c>
      <c r="AI17" s="119">
        <v>0</v>
      </c>
      <c r="AJ17" t="s">
        <v>271</v>
      </c>
      <c r="AK17">
        <v>0</v>
      </c>
      <c r="AL17" s="114">
        <v>0</v>
      </c>
      <c r="AM17" s="120">
        <v>50</v>
      </c>
      <c r="AN17" s="120">
        <v>0</v>
      </c>
      <c r="AO17" s="58" t="e">
        <v>#NUM!</v>
      </c>
      <c r="AP17" s="114">
        <v>150.5</v>
      </c>
      <c r="AQ17" s="120">
        <v>756</v>
      </c>
      <c r="AR17" s="120">
        <v>906.5</v>
      </c>
      <c r="AS17" s="120">
        <v>906.5</v>
      </c>
      <c r="AT17" s="120">
        <v>906.5</v>
      </c>
      <c r="AU17" s="120">
        <v>0</v>
      </c>
      <c r="AV17" t="s">
        <v>2119</v>
      </c>
      <c r="AW17" t="s">
        <v>2738</v>
      </c>
      <c r="AX17">
        <v>19</v>
      </c>
      <c r="AY17" s="120">
        <v>0</v>
      </c>
      <c r="AZ17">
        <v>0</v>
      </c>
      <c r="BA17" s="58">
        <v>100</v>
      </c>
      <c r="BB17" s="120">
        <v>3</v>
      </c>
      <c r="BC17">
        <v>3</v>
      </c>
      <c r="BD17">
        <v>0</v>
      </c>
      <c r="BE17">
        <v>436</v>
      </c>
      <c r="BF17" s="120">
        <v>0</v>
      </c>
      <c r="BG17" s="120">
        <v>0</v>
      </c>
      <c r="BH17" s="58">
        <v>0</v>
      </c>
      <c r="BI17">
        <v>0</v>
      </c>
      <c r="BJ17" s="120">
        <v>50</v>
      </c>
      <c r="BK17" s="120">
        <v>43478</v>
      </c>
      <c r="BL17">
        <v>0</v>
      </c>
      <c r="BM17">
        <v>0</v>
      </c>
      <c r="BN17">
        <v>0</v>
      </c>
      <c r="BO17" t="s">
        <v>2488</v>
      </c>
      <c r="BP17" t="s">
        <v>2403</v>
      </c>
      <c r="BQ17" s="58" t="s">
        <v>2403</v>
      </c>
      <c r="BR17" t="s">
        <v>2403</v>
      </c>
      <c r="BS17">
        <v>0</v>
      </c>
      <c r="BT17">
        <v>32874</v>
      </c>
      <c r="BU17">
        <v>0</v>
      </c>
      <c r="BV17">
        <v>0</v>
      </c>
      <c r="BW17">
        <v>0</v>
      </c>
      <c r="BX17">
        <v>0</v>
      </c>
      <c r="BY17" t="s">
        <v>1883</v>
      </c>
      <c r="BZ17" t="s">
        <v>1883</v>
      </c>
      <c r="CA17">
        <v>0</v>
      </c>
      <c r="CB17">
        <v>0</v>
      </c>
      <c r="CC17">
        <v>0</v>
      </c>
      <c r="CD17" t="s">
        <v>2906</v>
      </c>
      <c r="CE17" t="s">
        <v>2907</v>
      </c>
      <c r="CF17">
        <v>0</v>
      </c>
      <c r="CG17">
        <v>0</v>
      </c>
      <c r="CH17">
        <v>0</v>
      </c>
      <c r="CI17" s="118">
        <v>0</v>
      </c>
      <c r="CJ17" s="118">
        <v>0</v>
      </c>
      <c r="CK17" s="118">
        <v>0</v>
      </c>
      <c r="CL17">
        <v>0</v>
      </c>
      <c r="CM17">
        <v>0</v>
      </c>
      <c r="CN17">
        <v>0</v>
      </c>
      <c r="CO17">
        <v>0</v>
      </c>
      <c r="CP17" t="s">
        <v>2403</v>
      </c>
      <c r="CQ17" t="s">
        <v>2403</v>
      </c>
      <c r="CR17" t="s">
        <v>2403</v>
      </c>
      <c r="CS17">
        <v>0</v>
      </c>
      <c r="CT17">
        <v>0</v>
      </c>
      <c r="CU17">
        <v>0</v>
      </c>
      <c r="CV17" s="58">
        <v>0</v>
      </c>
      <c r="CW17">
        <v>0</v>
      </c>
      <c r="CX17">
        <v>0</v>
      </c>
      <c r="CY17">
        <v>0</v>
      </c>
      <c r="CZ17">
        <v>0</v>
      </c>
      <c r="DA17">
        <v>0</v>
      </c>
      <c r="DB17">
        <v>0</v>
      </c>
      <c r="DC17">
        <v>0</v>
      </c>
      <c r="DD17" t="s">
        <v>2908</v>
      </c>
      <c r="DE17" t="s">
        <v>2909</v>
      </c>
      <c r="DF17" t="s">
        <v>2910</v>
      </c>
      <c r="DG17">
        <v>0</v>
      </c>
      <c r="DH17">
        <v>0</v>
      </c>
      <c r="DI17">
        <v>0</v>
      </c>
      <c r="DJ17" s="118">
        <v>0</v>
      </c>
      <c r="DK17" s="118">
        <v>0</v>
      </c>
      <c r="DL17" s="118">
        <v>0</v>
      </c>
      <c r="DM17">
        <v>0</v>
      </c>
      <c r="DN17">
        <v>0</v>
      </c>
      <c r="DO17">
        <v>0</v>
      </c>
      <c r="DP17" t="s">
        <v>2403</v>
      </c>
      <c r="DQ17" t="s">
        <v>2403</v>
      </c>
      <c r="DR17" t="s">
        <v>2403</v>
      </c>
      <c r="DS17">
        <v>0</v>
      </c>
      <c r="DT17">
        <v>0</v>
      </c>
      <c r="DU17">
        <v>0</v>
      </c>
      <c r="DV17">
        <v>0</v>
      </c>
      <c r="DW17" s="58">
        <v>0</v>
      </c>
      <c r="DX17">
        <v>0</v>
      </c>
      <c r="DY17">
        <v>0</v>
      </c>
      <c r="DZ17">
        <v>0</v>
      </c>
      <c r="EA17">
        <v>0</v>
      </c>
      <c r="EB17">
        <v>0</v>
      </c>
      <c r="EC17">
        <v>0</v>
      </c>
      <c r="ED17" t="s">
        <v>2626</v>
      </c>
      <c r="EE17" t="s">
        <v>2911</v>
      </c>
      <c r="EF17" t="s">
        <v>2912</v>
      </c>
      <c r="EG17">
        <v>0</v>
      </c>
      <c r="EH17">
        <v>0</v>
      </c>
      <c r="EI17">
        <v>0</v>
      </c>
      <c r="EJ17">
        <v>0</v>
      </c>
      <c r="EK17" s="118">
        <v>0</v>
      </c>
      <c r="EL17" s="118">
        <v>0</v>
      </c>
      <c r="EM17" s="118">
        <v>0</v>
      </c>
      <c r="EN17">
        <v>0</v>
      </c>
      <c r="EO17">
        <v>900</v>
      </c>
      <c r="EP17" s="119">
        <v>6.5</v>
      </c>
      <c r="EQ17">
        <v>1</v>
      </c>
      <c r="ER17">
        <v>3</v>
      </c>
      <c r="ES17" t="s">
        <v>2488</v>
      </c>
      <c r="ET17" t="s">
        <v>2491</v>
      </c>
      <c r="EU17" t="s">
        <v>2492</v>
      </c>
      <c r="EV17">
        <v>0</v>
      </c>
      <c r="EW17">
        <v>0</v>
      </c>
      <c r="EX17">
        <v>0</v>
      </c>
      <c r="EY17">
        <v>0</v>
      </c>
      <c r="EZ17">
        <v>0</v>
      </c>
      <c r="FA17">
        <v>0</v>
      </c>
      <c r="FB17">
        <v>0</v>
      </c>
      <c r="FC17">
        <v>0</v>
      </c>
      <c r="FD17">
        <v>0</v>
      </c>
      <c r="FE17">
        <v>0</v>
      </c>
      <c r="FF17">
        <v>0</v>
      </c>
      <c r="FG17">
        <v>0</v>
      </c>
      <c r="FH17">
        <v>0</v>
      </c>
      <c r="FI17">
        <v>0</v>
      </c>
      <c r="FJ17">
        <v>0</v>
      </c>
      <c r="FK17">
        <v>0</v>
      </c>
      <c r="FL17">
        <v>0</v>
      </c>
      <c r="FM17" s="119">
        <v>1</v>
      </c>
      <c r="FN17" s="119">
        <v>2</v>
      </c>
      <c r="FO17" s="119">
        <v>3.5</v>
      </c>
      <c r="FP17" s="119">
        <v>0</v>
      </c>
      <c r="FQ17" s="119">
        <v>0</v>
      </c>
      <c r="FR17" s="119">
        <v>0</v>
      </c>
      <c r="FS17" s="119">
        <v>0</v>
      </c>
      <c r="FT17" s="119">
        <v>0</v>
      </c>
      <c r="FU17" s="119">
        <v>0</v>
      </c>
      <c r="FV17" s="119">
        <v>0</v>
      </c>
      <c r="FW17" s="119">
        <v>0</v>
      </c>
      <c r="FX17" s="119">
        <v>0</v>
      </c>
      <c r="FY17" s="119">
        <v>0</v>
      </c>
      <c r="FZ17" s="119">
        <v>0</v>
      </c>
      <c r="GA17" s="119">
        <v>0</v>
      </c>
      <c r="GB17" s="119">
        <v>0</v>
      </c>
      <c r="GC17" s="119">
        <v>0</v>
      </c>
      <c r="GD17" s="119">
        <v>0</v>
      </c>
      <c r="GE17" s="119">
        <v>0</v>
      </c>
      <c r="GF17" s="119">
        <v>0</v>
      </c>
      <c r="GG17">
        <v>0</v>
      </c>
      <c r="GH17" t="s">
        <v>2403</v>
      </c>
      <c r="GI17">
        <v>0</v>
      </c>
      <c r="GJ17">
        <v>0</v>
      </c>
      <c r="GK17">
        <v>0</v>
      </c>
      <c r="GL17" t="s">
        <v>2403</v>
      </c>
      <c r="GM17" s="58">
        <v>0</v>
      </c>
      <c r="GN17" t="s">
        <v>2403</v>
      </c>
      <c r="GO17">
        <v>0</v>
      </c>
      <c r="GP17" s="128" t="s">
        <v>2488</v>
      </c>
      <c r="GQ17" s="128">
        <v>0</v>
      </c>
      <c r="GR17" s="128">
        <v>0</v>
      </c>
      <c r="GS17" s="128">
        <v>0</v>
      </c>
      <c r="GT17" t="s">
        <v>1883</v>
      </c>
      <c r="GU17" s="119">
        <v>1</v>
      </c>
      <c r="GV17" s="119">
        <v>2</v>
      </c>
      <c r="GW17" s="119">
        <v>3.5</v>
      </c>
      <c r="GX17" s="119">
        <v>0</v>
      </c>
      <c r="GY17" t="s">
        <v>2488</v>
      </c>
      <c r="GZ17">
        <v>0</v>
      </c>
      <c r="HA17">
        <v>0</v>
      </c>
      <c r="HB17">
        <v>0</v>
      </c>
      <c r="HC17" s="120">
        <v>6.5</v>
      </c>
      <c r="HD17" s="119">
        <v>0</v>
      </c>
      <c r="HE17">
        <v>0</v>
      </c>
      <c r="HF17" t="s">
        <v>1883</v>
      </c>
      <c r="HG17" t="s">
        <v>232</v>
      </c>
      <c r="HH17" t="s">
        <v>2403</v>
      </c>
      <c r="HI17" s="119">
        <v>0</v>
      </c>
      <c r="HJ17" t="s">
        <v>2403</v>
      </c>
      <c r="HK17" t="s">
        <v>2488</v>
      </c>
      <c r="HL17">
        <v>0</v>
      </c>
      <c r="HM17">
        <v>0</v>
      </c>
      <c r="HN17">
        <v>0</v>
      </c>
      <c r="HO17" t="s">
        <v>1883</v>
      </c>
      <c r="HP17" t="s">
        <v>2403</v>
      </c>
      <c r="HQ17">
        <v>0</v>
      </c>
      <c r="HR17" t="s">
        <v>1633</v>
      </c>
      <c r="HS17" t="s">
        <v>2488</v>
      </c>
      <c r="HT17" t="s">
        <v>2491</v>
      </c>
      <c r="HU17" t="s">
        <v>2492</v>
      </c>
      <c r="HV17">
        <v>0</v>
      </c>
      <c r="HW17" t="s">
        <v>2488</v>
      </c>
      <c r="HX17">
        <v>0</v>
      </c>
      <c r="HY17">
        <v>0</v>
      </c>
      <c r="HZ17">
        <v>0</v>
      </c>
      <c r="IA17" t="s">
        <v>1883</v>
      </c>
      <c r="IB17" t="s">
        <v>2403</v>
      </c>
      <c r="IC17">
        <v>0</v>
      </c>
      <c r="ID17" t="s">
        <v>2403</v>
      </c>
      <c r="IE17">
        <v>0</v>
      </c>
      <c r="IF17">
        <v>0</v>
      </c>
      <c r="IG17">
        <v>0</v>
      </c>
      <c r="IH17" t="s">
        <v>2403</v>
      </c>
      <c r="II17">
        <v>0</v>
      </c>
      <c r="IJ17" t="s">
        <v>2403</v>
      </c>
      <c r="IK17">
        <v>0</v>
      </c>
      <c r="IL17" s="128">
        <v>0</v>
      </c>
      <c r="IM17" s="128">
        <v>0</v>
      </c>
      <c r="IN17" s="128">
        <v>0</v>
      </c>
      <c r="IO17" s="128">
        <v>0</v>
      </c>
      <c r="IP17">
        <v>0</v>
      </c>
      <c r="IQ17" s="119">
        <v>0</v>
      </c>
      <c r="IR17" s="119">
        <v>0</v>
      </c>
      <c r="IS17" s="119">
        <v>0</v>
      </c>
      <c r="IT17" s="119">
        <v>0</v>
      </c>
      <c r="IU17" s="119">
        <v>0</v>
      </c>
      <c r="IV17">
        <v>0</v>
      </c>
      <c r="IW17">
        <v>0</v>
      </c>
      <c r="IX17">
        <v>0</v>
      </c>
      <c r="IY17">
        <v>0</v>
      </c>
      <c r="IZ17" t="s">
        <v>2403</v>
      </c>
      <c r="JA17" s="119">
        <v>0</v>
      </c>
      <c r="JB17" t="s">
        <v>2403</v>
      </c>
      <c r="JC17">
        <v>0</v>
      </c>
      <c r="JD17" t="s">
        <v>2403</v>
      </c>
      <c r="JE17">
        <v>0</v>
      </c>
      <c r="JF17">
        <v>0</v>
      </c>
      <c r="JG17">
        <v>0</v>
      </c>
      <c r="JH17">
        <v>0</v>
      </c>
      <c r="JI17">
        <v>0</v>
      </c>
      <c r="JJ17">
        <v>0</v>
      </c>
      <c r="JK17">
        <v>0</v>
      </c>
      <c r="JL17">
        <v>0</v>
      </c>
      <c r="JM17">
        <v>0</v>
      </c>
      <c r="JN17">
        <v>0</v>
      </c>
      <c r="JO17">
        <v>0</v>
      </c>
      <c r="JP17">
        <v>0</v>
      </c>
      <c r="JQ17">
        <v>0</v>
      </c>
      <c r="JR17">
        <v>0</v>
      </c>
      <c r="JS17">
        <v>0</v>
      </c>
      <c r="JT17">
        <v>0</v>
      </c>
      <c r="JU17">
        <v>0</v>
      </c>
      <c r="JV17">
        <v>0</v>
      </c>
      <c r="JW17">
        <v>0</v>
      </c>
      <c r="JX17" t="s">
        <v>2403</v>
      </c>
      <c r="JY17">
        <v>0</v>
      </c>
      <c r="JZ17" t="s">
        <v>2403</v>
      </c>
      <c r="KA17">
        <v>0</v>
      </c>
      <c r="KB17">
        <v>0</v>
      </c>
      <c r="KC17">
        <v>0</v>
      </c>
      <c r="KD17" t="s">
        <v>2403</v>
      </c>
      <c r="KE17">
        <v>0</v>
      </c>
      <c r="KF17" t="s">
        <v>2403</v>
      </c>
      <c r="KG17">
        <v>0</v>
      </c>
      <c r="KH17" s="128">
        <v>0</v>
      </c>
      <c r="KI17" s="128">
        <v>0</v>
      </c>
      <c r="KJ17" s="128">
        <v>0</v>
      </c>
      <c r="KK17" s="128">
        <v>0</v>
      </c>
      <c r="KL17">
        <v>0</v>
      </c>
      <c r="KM17" s="119">
        <v>0</v>
      </c>
      <c r="KN17" s="119">
        <v>0</v>
      </c>
      <c r="KO17" s="119">
        <v>0</v>
      </c>
      <c r="KP17" s="119">
        <v>0</v>
      </c>
      <c r="KQ17" s="121">
        <v>0</v>
      </c>
      <c r="KR17">
        <v>0</v>
      </c>
      <c r="KS17" s="119">
        <v>0</v>
      </c>
      <c r="KT17">
        <v>0</v>
      </c>
      <c r="KU17">
        <v>0</v>
      </c>
      <c r="KV17" t="s">
        <v>2403</v>
      </c>
      <c r="KW17" s="119">
        <v>0</v>
      </c>
      <c r="KX17">
        <v>0</v>
      </c>
      <c r="KY17" t="s">
        <v>2403</v>
      </c>
      <c r="KZ17" t="s">
        <v>2403</v>
      </c>
      <c r="LA17">
        <v>0</v>
      </c>
      <c r="LB17">
        <v>0</v>
      </c>
      <c r="LC17">
        <v>0</v>
      </c>
      <c r="LD17">
        <v>0</v>
      </c>
      <c r="LE17">
        <v>0</v>
      </c>
      <c r="LF17">
        <v>0</v>
      </c>
      <c r="LG17">
        <v>0</v>
      </c>
      <c r="LH17">
        <v>0</v>
      </c>
      <c r="LI17">
        <v>0</v>
      </c>
      <c r="LJ17">
        <v>0</v>
      </c>
      <c r="LK17">
        <v>0</v>
      </c>
      <c r="LL17">
        <v>0</v>
      </c>
      <c r="LM17">
        <v>0</v>
      </c>
      <c r="LN17">
        <v>0</v>
      </c>
      <c r="LO17">
        <v>0</v>
      </c>
      <c r="LP17">
        <v>0</v>
      </c>
      <c r="LQ17">
        <v>0</v>
      </c>
      <c r="LR17">
        <v>0</v>
      </c>
      <c r="LS17">
        <v>0</v>
      </c>
      <c r="LT17" t="s">
        <v>2403</v>
      </c>
      <c r="LU17">
        <v>0</v>
      </c>
      <c r="LV17">
        <v>0</v>
      </c>
      <c r="LW17">
        <v>0</v>
      </c>
      <c r="LX17">
        <v>0</v>
      </c>
      <c r="LY17">
        <v>0</v>
      </c>
      <c r="LZ17">
        <v>0</v>
      </c>
      <c r="MA17">
        <v>0</v>
      </c>
      <c r="MB17">
        <v>0</v>
      </c>
      <c r="MC17">
        <v>0</v>
      </c>
      <c r="MD17" s="128">
        <v>0</v>
      </c>
      <c r="ME17" s="128">
        <v>0</v>
      </c>
      <c r="MF17" s="128">
        <v>0</v>
      </c>
      <c r="MG17" s="128">
        <v>0</v>
      </c>
      <c r="MH17">
        <v>0</v>
      </c>
      <c r="MI17" s="119">
        <v>0</v>
      </c>
      <c r="MJ17" s="119">
        <v>0</v>
      </c>
      <c r="MK17" s="119">
        <v>0</v>
      </c>
      <c r="ML17" s="119">
        <v>0</v>
      </c>
      <c r="MM17" s="121">
        <v>0</v>
      </c>
      <c r="MN17" s="119">
        <v>0</v>
      </c>
      <c r="MO17">
        <v>0</v>
      </c>
      <c r="MP17">
        <v>0</v>
      </c>
      <c r="MQ17">
        <v>0</v>
      </c>
      <c r="MR17">
        <v>0</v>
      </c>
      <c r="MS17" s="119">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s="116">
        <v>0</v>
      </c>
      <c r="NR17" s="116">
        <v>0</v>
      </c>
      <c r="NS17" s="116">
        <v>0</v>
      </c>
      <c r="NT17" s="116">
        <v>0</v>
      </c>
      <c r="NU17" s="116">
        <v>0</v>
      </c>
      <c r="NV17" s="116">
        <v>0</v>
      </c>
      <c r="NW17" s="116">
        <v>0</v>
      </c>
      <c r="NX17" s="116">
        <v>0</v>
      </c>
      <c r="NY17" s="116">
        <v>0</v>
      </c>
      <c r="NZ17" s="128">
        <v>0</v>
      </c>
      <c r="OA17" s="128">
        <v>0</v>
      </c>
      <c r="OB17" s="128">
        <v>0</v>
      </c>
      <c r="OC17" s="128">
        <v>0</v>
      </c>
      <c r="OD17">
        <v>0</v>
      </c>
      <c r="OE17" s="119">
        <v>0</v>
      </c>
      <c r="OF17" s="119">
        <v>0</v>
      </c>
      <c r="OG17" s="119">
        <v>0</v>
      </c>
      <c r="OH17" s="119">
        <v>0</v>
      </c>
      <c r="OI17" s="121">
        <v>0</v>
      </c>
      <c r="OJ17" s="119">
        <v>0</v>
      </c>
      <c r="OK17">
        <v>0</v>
      </c>
      <c r="OL17">
        <v>0</v>
      </c>
      <c r="OM17">
        <v>0</v>
      </c>
      <c r="ON17">
        <v>0</v>
      </c>
      <c r="OO17" s="119">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s="128">
        <v>0</v>
      </c>
      <c r="PW17" s="128">
        <v>0</v>
      </c>
      <c r="PX17" s="128">
        <v>0</v>
      </c>
      <c r="PY17" s="128">
        <v>0</v>
      </c>
      <c r="PZ17">
        <v>0</v>
      </c>
      <c r="QA17" s="119">
        <v>0</v>
      </c>
      <c r="QB17" s="119">
        <v>0</v>
      </c>
      <c r="QC17" s="119">
        <v>0</v>
      </c>
      <c r="QD17" s="119">
        <v>0</v>
      </c>
      <c r="QE17" s="121">
        <v>0</v>
      </c>
      <c r="QF17" s="119">
        <v>0</v>
      </c>
      <c r="QG17">
        <v>0</v>
      </c>
      <c r="QH17">
        <v>0</v>
      </c>
      <c r="QI17">
        <v>0</v>
      </c>
      <c r="QJ17">
        <v>0</v>
      </c>
      <c r="QK17" s="119">
        <v>0</v>
      </c>
      <c r="QL17">
        <v>0</v>
      </c>
      <c r="QM17">
        <v>0</v>
      </c>
      <c r="QN17">
        <v>0</v>
      </c>
      <c r="QO17">
        <v>0</v>
      </c>
      <c r="QP17">
        <v>0</v>
      </c>
      <c r="QQ17">
        <v>0</v>
      </c>
      <c r="QR17">
        <v>0</v>
      </c>
      <c r="QS17">
        <v>0</v>
      </c>
      <c r="QT17">
        <v>0</v>
      </c>
      <c r="QU17">
        <v>0</v>
      </c>
      <c r="QV17">
        <v>0</v>
      </c>
      <c r="QW17">
        <v>0</v>
      </c>
      <c r="QX17">
        <v>0</v>
      </c>
      <c r="QY17">
        <v>0</v>
      </c>
      <c r="QZ17">
        <v>0</v>
      </c>
      <c r="RA17">
        <v>0</v>
      </c>
      <c r="RB17">
        <v>0</v>
      </c>
      <c r="RC17">
        <v>0</v>
      </c>
      <c r="RD17">
        <v>0</v>
      </c>
      <c r="RE17">
        <v>0</v>
      </c>
      <c r="RF17">
        <v>0</v>
      </c>
      <c r="RG17">
        <v>0</v>
      </c>
      <c r="RH17">
        <v>0</v>
      </c>
      <c r="RI17" s="116">
        <v>0</v>
      </c>
      <c r="RJ17" s="116">
        <v>0</v>
      </c>
      <c r="RK17" s="116">
        <v>0</v>
      </c>
      <c r="RL17" s="116">
        <v>0</v>
      </c>
      <c r="RM17" s="116">
        <v>0</v>
      </c>
      <c r="RN17" s="116">
        <v>0</v>
      </c>
      <c r="RO17" s="116">
        <v>0</v>
      </c>
      <c r="RP17" s="116">
        <v>0</v>
      </c>
      <c r="RQ17" s="116">
        <v>0</v>
      </c>
      <c r="RR17" s="128">
        <v>0</v>
      </c>
      <c r="RS17" s="128">
        <v>0</v>
      </c>
      <c r="RT17" s="128">
        <v>0</v>
      </c>
      <c r="RU17" s="128">
        <v>0</v>
      </c>
      <c r="RV17">
        <v>0</v>
      </c>
      <c r="RW17" s="119">
        <v>0</v>
      </c>
      <c r="RX17" s="119">
        <v>0</v>
      </c>
      <c r="RY17" s="119">
        <v>0</v>
      </c>
      <c r="RZ17" s="119">
        <v>0</v>
      </c>
      <c r="SA17" s="121">
        <v>0</v>
      </c>
      <c r="SB17" s="119">
        <v>0</v>
      </c>
      <c r="SC17">
        <v>0</v>
      </c>
      <c r="SD17">
        <v>0</v>
      </c>
      <c r="SE17">
        <v>0</v>
      </c>
      <c r="SF17">
        <v>0</v>
      </c>
      <c r="SG17" s="119">
        <v>0</v>
      </c>
      <c r="SH17">
        <v>0</v>
      </c>
      <c r="SI17">
        <v>0</v>
      </c>
      <c r="SJ17">
        <v>0</v>
      </c>
      <c r="SK17">
        <v>0</v>
      </c>
      <c r="SL17">
        <v>0</v>
      </c>
      <c r="SM17">
        <v>0</v>
      </c>
      <c r="SN17">
        <v>0</v>
      </c>
      <c r="SO17">
        <v>0</v>
      </c>
      <c r="SP17">
        <v>0</v>
      </c>
      <c r="SQ17">
        <v>0</v>
      </c>
      <c r="SR17">
        <v>0</v>
      </c>
      <c r="SS17">
        <v>0</v>
      </c>
      <c r="ST17">
        <v>0</v>
      </c>
      <c r="SU17">
        <v>0</v>
      </c>
      <c r="SV17">
        <v>0</v>
      </c>
      <c r="SW17">
        <v>0</v>
      </c>
      <c r="SX17">
        <v>0</v>
      </c>
      <c r="SY17">
        <v>0</v>
      </c>
      <c r="SZ17">
        <v>0</v>
      </c>
      <c r="TA17">
        <v>0</v>
      </c>
      <c r="TB17">
        <v>0</v>
      </c>
      <c r="TC17">
        <v>0</v>
      </c>
      <c r="TD17">
        <v>0</v>
      </c>
      <c r="TE17" s="116">
        <v>0</v>
      </c>
      <c r="TF17" s="116">
        <v>0</v>
      </c>
      <c r="TG17" s="116">
        <v>0</v>
      </c>
      <c r="TH17" s="116">
        <v>0</v>
      </c>
      <c r="TI17" s="116">
        <v>0</v>
      </c>
      <c r="TJ17" s="116">
        <v>0</v>
      </c>
      <c r="TK17" s="116">
        <v>0</v>
      </c>
      <c r="TL17" s="116">
        <v>0</v>
      </c>
      <c r="TM17" s="116">
        <v>0</v>
      </c>
      <c r="TN17" s="128">
        <v>0</v>
      </c>
      <c r="TO17" s="128">
        <v>0</v>
      </c>
      <c r="TP17" s="128">
        <v>0</v>
      </c>
      <c r="TQ17" s="128">
        <v>0</v>
      </c>
      <c r="TR17">
        <v>0</v>
      </c>
      <c r="TS17" s="119">
        <v>0</v>
      </c>
      <c r="TT17" s="119">
        <v>0</v>
      </c>
      <c r="TU17" s="119">
        <v>0</v>
      </c>
      <c r="TV17" s="119">
        <v>0</v>
      </c>
      <c r="TW17" s="121">
        <v>0</v>
      </c>
      <c r="TX17" s="119">
        <v>0</v>
      </c>
      <c r="TY17">
        <v>0</v>
      </c>
      <c r="TZ17">
        <v>0</v>
      </c>
      <c r="UA17">
        <v>0</v>
      </c>
      <c r="UB17">
        <v>0</v>
      </c>
      <c r="UC17" s="119">
        <v>0</v>
      </c>
      <c r="UD17">
        <v>0</v>
      </c>
      <c r="UE17">
        <v>0</v>
      </c>
      <c r="UF17">
        <v>0</v>
      </c>
      <c r="UG17">
        <v>0</v>
      </c>
      <c r="UH17">
        <v>0</v>
      </c>
      <c r="UI17">
        <v>0</v>
      </c>
      <c r="UJ17">
        <v>0</v>
      </c>
      <c r="UK17">
        <v>0</v>
      </c>
      <c r="UL17">
        <v>0</v>
      </c>
      <c r="UM17">
        <v>0</v>
      </c>
      <c r="UN17">
        <v>0</v>
      </c>
      <c r="UO17">
        <v>0</v>
      </c>
      <c r="UP17">
        <v>0</v>
      </c>
      <c r="UQ17">
        <v>0</v>
      </c>
      <c r="UR17">
        <v>0</v>
      </c>
      <c r="US17">
        <v>0</v>
      </c>
      <c r="UT17">
        <v>0</v>
      </c>
      <c r="UU17">
        <v>0</v>
      </c>
      <c r="UV17">
        <v>0</v>
      </c>
      <c r="UW17">
        <v>0</v>
      </c>
      <c r="UX17">
        <v>0</v>
      </c>
      <c r="UY17">
        <v>0</v>
      </c>
      <c r="UZ17">
        <v>0</v>
      </c>
      <c r="VA17" s="116">
        <v>0</v>
      </c>
      <c r="VB17" s="116">
        <v>0</v>
      </c>
      <c r="VC17" s="116">
        <v>0</v>
      </c>
      <c r="VD17" s="116">
        <v>0</v>
      </c>
      <c r="VE17" s="116">
        <v>0</v>
      </c>
      <c r="VF17" s="116">
        <v>0</v>
      </c>
      <c r="VG17" s="116">
        <v>0</v>
      </c>
      <c r="VH17" s="116">
        <v>0</v>
      </c>
      <c r="VI17" s="116">
        <v>0</v>
      </c>
      <c r="VJ17" s="128">
        <v>0</v>
      </c>
      <c r="VK17" s="128">
        <v>0</v>
      </c>
      <c r="VL17" s="128">
        <v>0</v>
      </c>
      <c r="VM17" s="128">
        <v>0</v>
      </c>
      <c r="VN17">
        <v>0</v>
      </c>
      <c r="VO17" s="119">
        <v>0</v>
      </c>
      <c r="VP17" s="119">
        <v>0</v>
      </c>
      <c r="VQ17" s="119">
        <v>0</v>
      </c>
      <c r="VR17" s="119">
        <v>0</v>
      </c>
      <c r="VS17" s="121">
        <v>0</v>
      </c>
      <c r="VT17" s="119">
        <v>0</v>
      </c>
      <c r="VU17" s="119">
        <v>0</v>
      </c>
      <c r="VV17">
        <v>0</v>
      </c>
      <c r="VW17">
        <v>0</v>
      </c>
      <c r="VX17">
        <v>0</v>
      </c>
      <c r="VY17" s="119">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s="116">
        <v>0</v>
      </c>
      <c r="WX17" s="116">
        <v>0</v>
      </c>
      <c r="WY17" s="116">
        <v>0</v>
      </c>
      <c r="WZ17" s="116">
        <v>0</v>
      </c>
      <c r="XA17" s="116">
        <v>0</v>
      </c>
      <c r="XB17" s="116">
        <v>0</v>
      </c>
      <c r="XC17" s="116">
        <v>0</v>
      </c>
      <c r="XD17" s="116">
        <v>0</v>
      </c>
      <c r="XE17" s="116">
        <v>0</v>
      </c>
      <c r="XF17" s="128">
        <v>0</v>
      </c>
      <c r="XG17" s="128">
        <v>0</v>
      </c>
      <c r="XH17" s="128">
        <v>0</v>
      </c>
      <c r="XI17" s="128">
        <v>0</v>
      </c>
      <c r="XJ17">
        <v>0</v>
      </c>
      <c r="XK17" s="119">
        <v>0</v>
      </c>
      <c r="XL17" s="119">
        <v>0</v>
      </c>
      <c r="XM17" s="119">
        <v>0</v>
      </c>
      <c r="XN17" s="119">
        <v>0</v>
      </c>
      <c r="XO17" s="121">
        <v>0</v>
      </c>
      <c r="XP17" s="119">
        <v>0</v>
      </c>
      <c r="XQ17" s="119">
        <v>0</v>
      </c>
      <c r="XR17">
        <v>0</v>
      </c>
      <c r="XS17">
        <v>0</v>
      </c>
      <c r="XT17">
        <v>0</v>
      </c>
      <c r="XU17" s="119">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S17">
        <v>0</v>
      </c>
      <c r="YT17">
        <v>0</v>
      </c>
      <c r="YU17">
        <v>0</v>
      </c>
      <c r="YV17">
        <v>0</v>
      </c>
      <c r="YW17">
        <v>0</v>
      </c>
      <c r="YX17">
        <v>0</v>
      </c>
      <c r="YY17">
        <v>0</v>
      </c>
      <c r="YZ17">
        <v>0</v>
      </c>
      <c r="ZA17">
        <v>0</v>
      </c>
      <c r="ZB17" s="128">
        <v>0</v>
      </c>
      <c r="ZC17" s="128">
        <v>0</v>
      </c>
      <c r="ZD17" s="128">
        <v>0</v>
      </c>
      <c r="ZE17" s="128">
        <v>0</v>
      </c>
      <c r="ZF17">
        <v>0</v>
      </c>
      <c r="ZG17" s="119">
        <v>0</v>
      </c>
      <c r="ZH17" s="119">
        <v>0</v>
      </c>
      <c r="ZI17" s="119">
        <v>0</v>
      </c>
      <c r="ZJ17" s="119">
        <v>0</v>
      </c>
      <c r="ZK17" s="121">
        <v>0</v>
      </c>
      <c r="ZL17" s="119">
        <v>0</v>
      </c>
      <c r="ZM17" s="119">
        <v>0</v>
      </c>
      <c r="ZN17">
        <v>0</v>
      </c>
      <c r="ZO17">
        <v>0</v>
      </c>
      <c r="ZP17">
        <v>0</v>
      </c>
      <c r="ZQ17" s="119">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s="116">
        <v>0</v>
      </c>
      <c r="AAP17" s="116">
        <v>0</v>
      </c>
      <c r="AAQ17" s="116">
        <v>0</v>
      </c>
      <c r="AAR17" s="116">
        <v>0</v>
      </c>
      <c r="AAS17" s="116">
        <v>0</v>
      </c>
      <c r="AAT17" s="116">
        <v>0</v>
      </c>
      <c r="AAU17" s="116">
        <v>0</v>
      </c>
      <c r="AAV17" s="116">
        <v>0</v>
      </c>
      <c r="AAW17" s="116">
        <v>0</v>
      </c>
      <c r="AAX17" s="128">
        <v>0</v>
      </c>
      <c r="AAY17" s="128">
        <v>0</v>
      </c>
      <c r="AAZ17" s="128">
        <v>0</v>
      </c>
      <c r="ABA17" s="128">
        <v>0</v>
      </c>
      <c r="ABB17">
        <v>0</v>
      </c>
      <c r="ABC17" s="119">
        <v>0</v>
      </c>
      <c r="ABD17" s="119">
        <v>0</v>
      </c>
      <c r="ABE17" s="119">
        <v>0</v>
      </c>
      <c r="ABF17" s="119">
        <v>0</v>
      </c>
      <c r="ABG17" s="121">
        <v>0</v>
      </c>
      <c r="ABH17" s="119">
        <v>0</v>
      </c>
      <c r="ABI17" s="119">
        <v>0</v>
      </c>
      <c r="ABJ17">
        <v>0</v>
      </c>
      <c r="ABK17">
        <v>0</v>
      </c>
      <c r="ABL17">
        <v>0</v>
      </c>
      <c r="ABM17" s="119">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s="116">
        <v>0</v>
      </c>
      <c r="ACL17" s="116">
        <v>0</v>
      </c>
      <c r="ACM17" s="116">
        <v>0</v>
      </c>
      <c r="ACN17" s="116">
        <v>0</v>
      </c>
      <c r="ACO17" s="116">
        <v>0</v>
      </c>
      <c r="ACP17" s="116">
        <v>0</v>
      </c>
      <c r="ACQ17" s="116">
        <v>0</v>
      </c>
      <c r="ACR17" s="116">
        <v>0</v>
      </c>
      <c r="ACS17" s="116">
        <v>0</v>
      </c>
      <c r="ACT17" s="128">
        <v>0</v>
      </c>
      <c r="ACU17" s="128">
        <v>0</v>
      </c>
      <c r="ACV17" s="128">
        <v>0</v>
      </c>
      <c r="ACW17" s="128">
        <v>0</v>
      </c>
      <c r="ACX17">
        <v>0</v>
      </c>
      <c r="ACY17" s="119">
        <v>0</v>
      </c>
      <c r="ACZ17" s="119">
        <v>0</v>
      </c>
      <c r="ADA17" s="119">
        <v>0</v>
      </c>
      <c r="ADB17" s="119">
        <v>0</v>
      </c>
      <c r="ADC17" s="121">
        <v>0</v>
      </c>
      <c r="ADD17" s="119">
        <v>0</v>
      </c>
      <c r="ADE17" s="119">
        <v>0</v>
      </c>
      <c r="ADF17">
        <v>0</v>
      </c>
      <c r="ADG17">
        <v>0</v>
      </c>
      <c r="ADH17">
        <v>0</v>
      </c>
      <c r="ADI17" s="119">
        <v>0</v>
      </c>
      <c r="ADJ17">
        <v>0</v>
      </c>
      <c r="ADK17">
        <v>0</v>
      </c>
      <c r="ADL17">
        <v>0</v>
      </c>
      <c r="ADM17">
        <v>0</v>
      </c>
      <c r="ADN17">
        <v>0</v>
      </c>
      <c r="ADO17">
        <v>0</v>
      </c>
      <c r="ADP17">
        <v>0</v>
      </c>
      <c r="ADQ17">
        <v>0</v>
      </c>
      <c r="ADR17">
        <v>0</v>
      </c>
      <c r="ADS17">
        <v>0</v>
      </c>
      <c r="ADT17">
        <v>0</v>
      </c>
      <c r="ADU17">
        <v>0</v>
      </c>
      <c r="ADV17">
        <v>0</v>
      </c>
      <c r="ADW17">
        <v>0</v>
      </c>
      <c r="ADX17">
        <v>0</v>
      </c>
      <c r="ADY17">
        <v>0</v>
      </c>
      <c r="ADZ17">
        <v>0</v>
      </c>
      <c r="AEA17">
        <v>0</v>
      </c>
      <c r="AEB17">
        <v>0</v>
      </c>
      <c r="AEC17">
        <v>0</v>
      </c>
      <c r="AED17">
        <v>0</v>
      </c>
      <c r="AEE17">
        <v>0</v>
      </c>
      <c r="AEF17">
        <v>0</v>
      </c>
      <c r="AEG17" s="116">
        <v>0</v>
      </c>
      <c r="AEH17" s="116">
        <v>0</v>
      </c>
      <c r="AEI17" s="116">
        <v>0</v>
      </c>
      <c r="AEJ17" s="116">
        <v>0</v>
      </c>
      <c r="AEK17" s="116">
        <v>0</v>
      </c>
      <c r="AEL17" s="116">
        <v>0</v>
      </c>
      <c r="AEM17" s="116">
        <v>0</v>
      </c>
      <c r="AEN17" s="116">
        <v>0</v>
      </c>
      <c r="AEO17" s="116">
        <v>0</v>
      </c>
      <c r="AEP17" s="128">
        <v>0</v>
      </c>
      <c r="AEQ17" s="128">
        <v>0</v>
      </c>
      <c r="AER17" s="128">
        <v>0</v>
      </c>
      <c r="AES17" s="128">
        <v>0</v>
      </c>
      <c r="AET17">
        <v>0</v>
      </c>
      <c r="AEU17" s="119">
        <v>0</v>
      </c>
      <c r="AEV17" s="119">
        <v>0</v>
      </c>
      <c r="AEW17" s="119">
        <v>0</v>
      </c>
      <c r="AEX17" s="119">
        <v>0</v>
      </c>
      <c r="AEY17" s="121">
        <v>0</v>
      </c>
      <c r="AEZ17" s="119">
        <v>0</v>
      </c>
      <c r="AFA17" s="119">
        <v>0</v>
      </c>
      <c r="AFB17">
        <v>0</v>
      </c>
      <c r="AFC17">
        <v>0</v>
      </c>
      <c r="AFD17">
        <v>0</v>
      </c>
      <c r="AFE17" s="119">
        <v>0</v>
      </c>
      <c r="AFF17">
        <v>0</v>
      </c>
      <c r="AFG17">
        <v>0</v>
      </c>
      <c r="AFH17">
        <v>0</v>
      </c>
      <c r="AFI17">
        <v>0</v>
      </c>
      <c r="AFJ17">
        <v>0</v>
      </c>
      <c r="AFK17">
        <v>0</v>
      </c>
      <c r="AFL17">
        <v>0</v>
      </c>
      <c r="AFM17">
        <v>0</v>
      </c>
      <c r="AFN17">
        <v>0</v>
      </c>
      <c r="AFO17">
        <v>0</v>
      </c>
      <c r="AFP17">
        <v>0</v>
      </c>
      <c r="AFQ17">
        <v>0</v>
      </c>
      <c r="AFR17">
        <v>0</v>
      </c>
      <c r="AFS17">
        <v>0</v>
      </c>
      <c r="AFT17">
        <v>0</v>
      </c>
      <c r="AFU17">
        <v>0</v>
      </c>
      <c r="AFV17">
        <v>0</v>
      </c>
      <c r="AFW17">
        <v>0</v>
      </c>
      <c r="AFX17">
        <v>0</v>
      </c>
      <c r="AFY17">
        <v>0</v>
      </c>
      <c r="AFZ17">
        <v>0</v>
      </c>
      <c r="AGA17">
        <v>0</v>
      </c>
      <c r="AGB17">
        <v>0</v>
      </c>
      <c r="AGC17" s="116">
        <v>0</v>
      </c>
      <c r="AGD17" s="116">
        <v>0</v>
      </c>
      <c r="AGE17" s="116">
        <v>0</v>
      </c>
      <c r="AGF17" s="116">
        <v>0</v>
      </c>
      <c r="AGG17" s="116">
        <v>0</v>
      </c>
      <c r="AGH17" s="116">
        <v>0</v>
      </c>
      <c r="AGI17" s="116">
        <v>0</v>
      </c>
      <c r="AGJ17" s="116">
        <v>0</v>
      </c>
      <c r="AGK17" s="116">
        <v>0</v>
      </c>
      <c r="AGL17" s="128">
        <v>0</v>
      </c>
      <c r="AGM17" s="128">
        <v>0</v>
      </c>
      <c r="AGN17" s="128">
        <v>0</v>
      </c>
      <c r="AGO17" s="128">
        <v>0</v>
      </c>
      <c r="AGP17">
        <v>0</v>
      </c>
      <c r="AGQ17" s="119">
        <v>0</v>
      </c>
      <c r="AGR17" s="119">
        <v>0</v>
      </c>
      <c r="AGS17" s="119">
        <v>0</v>
      </c>
      <c r="AGT17" s="119">
        <v>0</v>
      </c>
      <c r="AGU17" s="121">
        <v>0</v>
      </c>
      <c r="AGV17" s="119">
        <v>0</v>
      </c>
      <c r="AGW17" s="119">
        <v>0</v>
      </c>
      <c r="AGX17">
        <v>0</v>
      </c>
      <c r="AGY17">
        <v>0</v>
      </c>
      <c r="AGZ17">
        <v>0</v>
      </c>
      <c r="AHA17" s="119">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A17">
        <v>0</v>
      </c>
      <c r="AIB17">
        <v>0</v>
      </c>
      <c r="AIC17">
        <v>0</v>
      </c>
      <c r="AID17">
        <v>0</v>
      </c>
      <c r="AIE17">
        <v>0</v>
      </c>
      <c r="AIF17">
        <v>0</v>
      </c>
      <c r="AIG17">
        <v>0</v>
      </c>
      <c r="AIH17" s="128">
        <v>0</v>
      </c>
      <c r="AII17" s="128">
        <v>0</v>
      </c>
      <c r="AIJ17" s="128">
        <v>0</v>
      </c>
      <c r="AIK17" s="128">
        <v>0</v>
      </c>
      <c r="AIL17">
        <v>0</v>
      </c>
      <c r="AIM17" s="119">
        <v>0</v>
      </c>
      <c r="AIN17" s="119">
        <v>0</v>
      </c>
      <c r="AIO17" s="119">
        <v>0</v>
      </c>
      <c r="AIP17" s="119">
        <v>0</v>
      </c>
      <c r="AIQ17" s="121">
        <v>0</v>
      </c>
      <c r="AIR17" s="119">
        <v>0</v>
      </c>
      <c r="AIS17" s="119">
        <v>0</v>
      </c>
      <c r="AIT17">
        <v>0</v>
      </c>
      <c r="AIU17">
        <v>0</v>
      </c>
      <c r="AIV17">
        <v>0</v>
      </c>
      <c r="AIW17" s="119">
        <v>0</v>
      </c>
      <c r="AIX17">
        <v>0</v>
      </c>
      <c r="AIY17">
        <v>0</v>
      </c>
      <c r="AIZ17">
        <v>0</v>
      </c>
      <c r="AJA17">
        <v>0</v>
      </c>
      <c r="AJB17">
        <v>0</v>
      </c>
      <c r="AJC17">
        <v>0</v>
      </c>
      <c r="AJD17">
        <v>0</v>
      </c>
      <c r="AJE17">
        <v>0</v>
      </c>
      <c r="AJF17">
        <v>0</v>
      </c>
      <c r="AJG17">
        <v>0</v>
      </c>
      <c r="AJH17">
        <v>0</v>
      </c>
      <c r="AJI17">
        <v>0</v>
      </c>
      <c r="AJJ17">
        <v>0</v>
      </c>
      <c r="AJK17">
        <v>0</v>
      </c>
      <c r="AJL17">
        <v>0</v>
      </c>
      <c r="AJM17">
        <v>0</v>
      </c>
      <c r="AJN17">
        <v>0</v>
      </c>
      <c r="AJO17">
        <v>0</v>
      </c>
      <c r="AJP17">
        <v>0</v>
      </c>
      <c r="AJQ17">
        <v>0</v>
      </c>
      <c r="AJR17">
        <v>0</v>
      </c>
      <c r="AJS17">
        <v>0</v>
      </c>
      <c r="AJT17">
        <v>0</v>
      </c>
      <c r="AJU17" s="116">
        <v>0</v>
      </c>
      <c r="AJV17" s="116">
        <v>0</v>
      </c>
      <c r="AJW17" s="116">
        <v>0</v>
      </c>
      <c r="AJX17" s="116">
        <v>0</v>
      </c>
      <c r="AJY17" s="116">
        <v>0</v>
      </c>
      <c r="AJZ17" s="116">
        <v>0</v>
      </c>
      <c r="AKA17" s="116">
        <v>0</v>
      </c>
      <c r="AKB17" s="116">
        <v>0</v>
      </c>
      <c r="AKC17" s="116">
        <v>0</v>
      </c>
      <c r="AKD17" s="128">
        <v>0</v>
      </c>
      <c r="AKE17" s="128">
        <v>0</v>
      </c>
      <c r="AKF17" s="128">
        <v>0</v>
      </c>
      <c r="AKG17" s="128">
        <v>0</v>
      </c>
      <c r="AKH17">
        <v>0</v>
      </c>
      <c r="AKI17" s="119">
        <v>0</v>
      </c>
      <c r="AKJ17" s="119">
        <v>0</v>
      </c>
      <c r="AKK17" s="119">
        <v>0</v>
      </c>
      <c r="AKL17" s="119">
        <v>0</v>
      </c>
      <c r="AKM17" s="121">
        <v>0</v>
      </c>
      <c r="AKN17" s="119">
        <v>0</v>
      </c>
      <c r="AKO17" s="119">
        <v>0</v>
      </c>
      <c r="AKP17">
        <v>0</v>
      </c>
      <c r="AKQ17">
        <v>0</v>
      </c>
      <c r="AKR17">
        <v>0</v>
      </c>
      <c r="AKS17" s="119">
        <v>0</v>
      </c>
      <c r="AKT17">
        <v>0</v>
      </c>
      <c r="AKU17">
        <v>0</v>
      </c>
      <c r="AKV17">
        <v>0</v>
      </c>
      <c r="AKW17">
        <v>0</v>
      </c>
      <c r="AKX17">
        <v>0</v>
      </c>
      <c r="AKY17">
        <v>0</v>
      </c>
      <c r="AKZ17">
        <v>0</v>
      </c>
      <c r="ALA17">
        <v>0</v>
      </c>
      <c r="ALB17">
        <v>0</v>
      </c>
      <c r="ALC17">
        <v>0</v>
      </c>
      <c r="ALD17">
        <v>0</v>
      </c>
      <c r="ALE17">
        <v>0</v>
      </c>
      <c r="ALF17">
        <v>0</v>
      </c>
      <c r="ALG17">
        <v>0</v>
      </c>
      <c r="ALH17">
        <v>0</v>
      </c>
      <c r="ALI17">
        <v>0</v>
      </c>
      <c r="ALJ17">
        <v>0</v>
      </c>
      <c r="ALK17">
        <v>0</v>
      </c>
      <c r="ALL17">
        <v>0</v>
      </c>
      <c r="ALM17">
        <v>0</v>
      </c>
      <c r="ALN17">
        <v>0</v>
      </c>
      <c r="ALO17">
        <v>0</v>
      </c>
      <c r="ALP17">
        <v>0</v>
      </c>
      <c r="ALQ17" s="116">
        <v>0</v>
      </c>
      <c r="ALR17" s="116">
        <v>0</v>
      </c>
      <c r="ALS17" s="116">
        <v>0</v>
      </c>
      <c r="ALT17" s="116">
        <v>0</v>
      </c>
      <c r="ALU17" s="116">
        <v>0</v>
      </c>
      <c r="ALV17" s="116">
        <v>0</v>
      </c>
      <c r="ALW17" s="116">
        <v>0</v>
      </c>
      <c r="ALX17" s="116">
        <v>0</v>
      </c>
      <c r="ALY17" s="116">
        <v>0</v>
      </c>
      <c r="ALZ17" s="128">
        <v>0</v>
      </c>
      <c r="AMA17" s="128">
        <v>0</v>
      </c>
      <c r="AMB17" s="128">
        <v>0</v>
      </c>
      <c r="AMC17" s="128">
        <v>0</v>
      </c>
      <c r="AMD17">
        <v>0</v>
      </c>
      <c r="AME17" s="119">
        <v>0</v>
      </c>
      <c r="AMF17" s="119">
        <v>0</v>
      </c>
      <c r="AMG17" s="119">
        <v>0</v>
      </c>
      <c r="AMH17" s="119">
        <v>0</v>
      </c>
      <c r="AMI17" s="121">
        <v>0</v>
      </c>
      <c r="AMJ17" s="119">
        <v>0</v>
      </c>
      <c r="AMK17" s="119">
        <v>0</v>
      </c>
      <c r="AML17">
        <v>0</v>
      </c>
      <c r="AMM17">
        <v>0</v>
      </c>
      <c r="AMN17">
        <v>0</v>
      </c>
      <c r="AMO17" s="119">
        <v>0</v>
      </c>
      <c r="AMP17">
        <v>0</v>
      </c>
      <c r="AMQ17">
        <v>0</v>
      </c>
      <c r="AMR17">
        <v>0</v>
      </c>
      <c r="AMS17">
        <v>0</v>
      </c>
      <c r="AMT17">
        <v>0</v>
      </c>
      <c r="AMU17">
        <v>0</v>
      </c>
      <c r="AMV17">
        <v>0</v>
      </c>
      <c r="AMW17">
        <v>0</v>
      </c>
      <c r="AMX17">
        <v>0</v>
      </c>
      <c r="AMY17">
        <v>0</v>
      </c>
      <c r="AMZ17">
        <v>0</v>
      </c>
      <c r="ANA17">
        <v>0</v>
      </c>
      <c r="ANB17">
        <v>0</v>
      </c>
      <c r="ANC17">
        <v>0</v>
      </c>
      <c r="AND17">
        <v>0</v>
      </c>
      <c r="ANE17">
        <v>0</v>
      </c>
      <c r="ANF17">
        <v>0</v>
      </c>
      <c r="ANG17">
        <v>0</v>
      </c>
      <c r="ANH17">
        <v>0</v>
      </c>
      <c r="ANI17">
        <v>0</v>
      </c>
      <c r="ANJ17">
        <v>0</v>
      </c>
      <c r="ANK17">
        <v>0</v>
      </c>
      <c r="ANL17">
        <v>0</v>
      </c>
      <c r="ANM17" s="116">
        <v>0</v>
      </c>
      <c r="ANN17" s="116">
        <v>0</v>
      </c>
      <c r="ANO17" s="116">
        <v>0</v>
      </c>
      <c r="ANP17" s="116">
        <v>0</v>
      </c>
      <c r="ANQ17" s="116">
        <v>0</v>
      </c>
      <c r="ANR17" s="116">
        <v>0</v>
      </c>
      <c r="ANS17" s="116">
        <v>0</v>
      </c>
      <c r="ANT17" s="116">
        <v>0</v>
      </c>
      <c r="ANU17" s="116">
        <v>0</v>
      </c>
      <c r="ANV17" s="128">
        <v>0</v>
      </c>
      <c r="ANW17" s="128">
        <v>0</v>
      </c>
      <c r="ANX17" s="128">
        <v>0</v>
      </c>
      <c r="ANY17" s="128">
        <v>0</v>
      </c>
      <c r="ANZ17">
        <v>0</v>
      </c>
      <c r="AOA17" s="119">
        <v>0</v>
      </c>
      <c r="AOB17" s="119">
        <v>0</v>
      </c>
      <c r="AOC17" s="119">
        <v>0</v>
      </c>
      <c r="AOD17" s="119">
        <v>0</v>
      </c>
      <c r="AOE17" s="121">
        <v>0</v>
      </c>
      <c r="AOF17" s="119">
        <v>0</v>
      </c>
      <c r="AOG17" s="119">
        <v>0</v>
      </c>
      <c r="AOH17">
        <v>0</v>
      </c>
      <c r="AOI17">
        <v>0</v>
      </c>
      <c r="AOJ17">
        <v>0</v>
      </c>
      <c r="AOK17" s="119">
        <v>0</v>
      </c>
      <c r="AOL17">
        <v>0</v>
      </c>
      <c r="AOM17">
        <v>0</v>
      </c>
      <c r="AON17">
        <v>0</v>
      </c>
      <c r="AOO17">
        <v>0</v>
      </c>
      <c r="AOP17">
        <v>0</v>
      </c>
      <c r="AOQ17">
        <v>0</v>
      </c>
      <c r="AOR17">
        <v>0</v>
      </c>
      <c r="AOS17">
        <v>0</v>
      </c>
      <c r="AOT17">
        <v>0</v>
      </c>
      <c r="AOU17">
        <v>0</v>
      </c>
      <c r="AOV17">
        <v>0</v>
      </c>
      <c r="AOW17">
        <v>0</v>
      </c>
      <c r="AOX17">
        <v>0</v>
      </c>
      <c r="AOY17">
        <v>0</v>
      </c>
      <c r="AOZ17">
        <v>0</v>
      </c>
      <c r="APA17">
        <v>0</v>
      </c>
      <c r="APB17">
        <v>0</v>
      </c>
      <c r="APC17">
        <v>0</v>
      </c>
      <c r="APD17">
        <v>0</v>
      </c>
      <c r="APE17">
        <v>0</v>
      </c>
      <c r="APF17">
        <v>0</v>
      </c>
      <c r="APG17">
        <v>0</v>
      </c>
      <c r="APH17">
        <v>0</v>
      </c>
      <c r="API17" s="116">
        <v>0</v>
      </c>
      <c r="APJ17" s="116">
        <v>0</v>
      </c>
      <c r="APK17" s="116">
        <v>0</v>
      </c>
      <c r="APL17" s="116">
        <v>0</v>
      </c>
      <c r="APM17" s="116">
        <v>0</v>
      </c>
      <c r="APN17" s="116">
        <v>0</v>
      </c>
      <c r="APO17" s="116">
        <v>0</v>
      </c>
      <c r="APP17" s="116">
        <v>0</v>
      </c>
      <c r="APQ17" s="116">
        <v>0</v>
      </c>
      <c r="APR17" s="128">
        <v>0</v>
      </c>
      <c r="APS17" s="128">
        <v>0</v>
      </c>
      <c r="APT17" s="128">
        <v>0</v>
      </c>
      <c r="APU17" s="128">
        <v>0</v>
      </c>
      <c r="APV17">
        <v>0</v>
      </c>
      <c r="APW17" s="119">
        <v>0</v>
      </c>
      <c r="APX17" s="119">
        <v>0</v>
      </c>
      <c r="APY17" s="119">
        <v>0</v>
      </c>
      <c r="APZ17" s="119">
        <v>0</v>
      </c>
      <c r="AQA17" s="121">
        <v>0</v>
      </c>
      <c r="AQB17" s="119">
        <v>0</v>
      </c>
      <c r="AQC17" s="119">
        <v>0</v>
      </c>
      <c r="AQD17">
        <v>0</v>
      </c>
      <c r="AQE17">
        <v>0</v>
      </c>
      <c r="AQF17">
        <v>0</v>
      </c>
      <c r="AQG17" s="119">
        <v>0</v>
      </c>
      <c r="AQH17">
        <v>0</v>
      </c>
      <c r="AQI17">
        <v>0</v>
      </c>
      <c r="AQJ17">
        <v>0</v>
      </c>
      <c r="AQK17">
        <v>0</v>
      </c>
      <c r="AQL17">
        <v>0</v>
      </c>
      <c r="AQM17">
        <v>0</v>
      </c>
      <c r="AQN17">
        <v>0</v>
      </c>
      <c r="AQO17">
        <v>0</v>
      </c>
      <c r="AQP17">
        <v>0</v>
      </c>
      <c r="AQQ17">
        <v>0</v>
      </c>
      <c r="AQR17">
        <v>0</v>
      </c>
      <c r="AQS17">
        <v>0</v>
      </c>
      <c r="AQT17">
        <v>0</v>
      </c>
      <c r="AQU17">
        <v>0</v>
      </c>
      <c r="AQV17">
        <v>0</v>
      </c>
      <c r="AQW17">
        <v>0</v>
      </c>
      <c r="AQX17">
        <v>0</v>
      </c>
      <c r="AQY17">
        <v>0</v>
      </c>
      <c r="AQZ17">
        <v>0</v>
      </c>
      <c r="ARA17">
        <v>0</v>
      </c>
      <c r="ARB17">
        <v>0</v>
      </c>
      <c r="ARC17">
        <v>0</v>
      </c>
      <c r="ARD17">
        <v>0</v>
      </c>
      <c r="ARE17">
        <v>0</v>
      </c>
      <c r="ARF17">
        <v>0</v>
      </c>
      <c r="ARG17">
        <v>0</v>
      </c>
      <c r="ARH17">
        <v>0</v>
      </c>
      <c r="ARI17">
        <v>0</v>
      </c>
      <c r="ARJ17">
        <v>0</v>
      </c>
      <c r="ARK17">
        <v>0</v>
      </c>
      <c r="ARL17">
        <v>0</v>
      </c>
      <c r="ARM17">
        <v>0</v>
      </c>
      <c r="ARN17" s="128">
        <v>0</v>
      </c>
      <c r="ARO17" s="128">
        <v>0</v>
      </c>
      <c r="ARP17" s="128">
        <v>0</v>
      </c>
      <c r="ARQ17" s="128">
        <v>0</v>
      </c>
      <c r="ARR17">
        <v>0</v>
      </c>
      <c r="ARS17" s="119">
        <v>0</v>
      </c>
      <c r="ART17" s="119">
        <v>0</v>
      </c>
      <c r="ARU17" s="119">
        <v>0</v>
      </c>
      <c r="ARV17" s="119">
        <v>0</v>
      </c>
      <c r="ARW17" s="121">
        <v>0</v>
      </c>
      <c r="ARX17" s="119">
        <v>0</v>
      </c>
      <c r="ARY17" s="119">
        <v>0</v>
      </c>
      <c r="ARZ17">
        <v>0</v>
      </c>
      <c r="ASA17">
        <v>0</v>
      </c>
      <c r="ASB17">
        <v>0</v>
      </c>
      <c r="ASC17" s="119">
        <v>0</v>
      </c>
      <c r="ASD17">
        <v>0</v>
      </c>
      <c r="ASE17">
        <v>0</v>
      </c>
      <c r="ASF17">
        <v>0</v>
      </c>
      <c r="ASG17">
        <v>0</v>
      </c>
      <c r="ASH17">
        <v>0</v>
      </c>
      <c r="ASI17">
        <v>0</v>
      </c>
      <c r="ASJ17">
        <v>0</v>
      </c>
      <c r="ASK17">
        <v>0</v>
      </c>
      <c r="ASL17">
        <v>0</v>
      </c>
      <c r="ASM17">
        <v>0</v>
      </c>
      <c r="ASN17">
        <v>0</v>
      </c>
      <c r="ASO17">
        <v>0</v>
      </c>
      <c r="ASP17">
        <v>0</v>
      </c>
      <c r="ASQ17">
        <v>0</v>
      </c>
      <c r="ASR17">
        <v>0</v>
      </c>
      <c r="ASS17">
        <v>0</v>
      </c>
      <c r="AST17">
        <v>0</v>
      </c>
      <c r="ASU17">
        <v>0</v>
      </c>
      <c r="ASV17">
        <v>0</v>
      </c>
      <c r="ASW17">
        <v>0</v>
      </c>
      <c r="ASX17">
        <v>0</v>
      </c>
      <c r="ASY17">
        <v>0</v>
      </c>
      <c r="ASZ17">
        <v>0</v>
      </c>
      <c r="ATA17" s="116">
        <v>0</v>
      </c>
      <c r="ATB17" s="116">
        <v>0</v>
      </c>
      <c r="ATC17" s="116">
        <v>0</v>
      </c>
      <c r="ATD17" s="116">
        <v>0</v>
      </c>
      <c r="ATE17" s="116">
        <v>0</v>
      </c>
      <c r="ATF17" s="116">
        <v>0</v>
      </c>
      <c r="ATG17" s="116">
        <v>0</v>
      </c>
      <c r="ATH17" s="116">
        <v>0</v>
      </c>
      <c r="ATI17" s="116">
        <v>0</v>
      </c>
      <c r="ATJ17" s="128">
        <v>0</v>
      </c>
      <c r="ATK17" s="128">
        <v>0</v>
      </c>
      <c r="ATL17" s="128">
        <v>0</v>
      </c>
      <c r="ATM17" s="128">
        <v>0</v>
      </c>
      <c r="ATN17">
        <v>0</v>
      </c>
      <c r="ATO17" s="119">
        <v>0</v>
      </c>
      <c r="ATP17" s="119">
        <v>0</v>
      </c>
      <c r="ATQ17" s="119">
        <v>0</v>
      </c>
      <c r="ATR17" s="119">
        <v>0</v>
      </c>
      <c r="ATS17" s="121">
        <v>0</v>
      </c>
      <c r="ATT17" s="119">
        <v>0</v>
      </c>
      <c r="ATU17" s="119">
        <v>0</v>
      </c>
      <c r="ATV17">
        <v>0</v>
      </c>
      <c r="ATW17">
        <v>0</v>
      </c>
      <c r="ATX17">
        <v>0</v>
      </c>
      <c r="ATY17" s="119">
        <v>0</v>
      </c>
      <c r="ATZ17">
        <v>0</v>
      </c>
      <c r="AUA17">
        <v>0</v>
      </c>
      <c r="AUB17">
        <v>0</v>
      </c>
      <c r="AUC17">
        <v>0</v>
      </c>
      <c r="AUD17">
        <v>0</v>
      </c>
      <c r="AUE17">
        <v>0</v>
      </c>
      <c r="AUF17">
        <v>0</v>
      </c>
      <c r="AUG17">
        <v>0</v>
      </c>
      <c r="AUH17">
        <v>0</v>
      </c>
      <c r="AUI17">
        <v>0</v>
      </c>
      <c r="AUJ17">
        <v>0</v>
      </c>
      <c r="AUK17">
        <v>0</v>
      </c>
      <c r="AUL17">
        <v>0</v>
      </c>
      <c r="AUM17">
        <v>0</v>
      </c>
      <c r="AUN17">
        <v>0</v>
      </c>
      <c r="AUO17">
        <v>0</v>
      </c>
      <c r="AUP17">
        <v>0</v>
      </c>
      <c r="AUQ17">
        <v>0</v>
      </c>
      <c r="AUR17">
        <v>0</v>
      </c>
      <c r="AUS17">
        <v>0</v>
      </c>
      <c r="AUT17">
        <v>0</v>
      </c>
      <c r="AUU17">
        <v>0</v>
      </c>
      <c r="AUV17">
        <v>0</v>
      </c>
      <c r="AUW17" s="116">
        <v>0</v>
      </c>
      <c r="AUX17" s="116">
        <v>0</v>
      </c>
      <c r="AUY17" s="116">
        <v>0</v>
      </c>
      <c r="AUZ17" s="116">
        <v>0</v>
      </c>
      <c r="AVA17" s="116">
        <v>0</v>
      </c>
      <c r="AVB17" s="116">
        <v>0</v>
      </c>
      <c r="AVC17" s="116">
        <v>0</v>
      </c>
      <c r="AVD17" s="116">
        <v>0</v>
      </c>
      <c r="AVE17" s="116">
        <v>0</v>
      </c>
      <c r="AVF17" s="128">
        <v>0</v>
      </c>
      <c r="AVG17" s="128">
        <v>0</v>
      </c>
      <c r="AVH17" s="128">
        <v>0</v>
      </c>
      <c r="AVI17" s="128">
        <v>0</v>
      </c>
      <c r="AVJ17">
        <v>0</v>
      </c>
      <c r="AVK17" s="119">
        <v>0</v>
      </c>
      <c r="AVL17" s="119">
        <v>0</v>
      </c>
      <c r="AVM17" s="119">
        <v>0</v>
      </c>
      <c r="AVN17" s="119">
        <v>0</v>
      </c>
      <c r="AVO17" s="121">
        <v>0</v>
      </c>
      <c r="AVP17" s="119">
        <v>0</v>
      </c>
      <c r="AVQ17" s="119">
        <v>0</v>
      </c>
      <c r="AVR17">
        <v>0</v>
      </c>
      <c r="AVS17">
        <v>0</v>
      </c>
      <c r="AVT17">
        <v>0</v>
      </c>
      <c r="AVU17" s="119">
        <v>0</v>
      </c>
      <c r="AVV17">
        <v>0</v>
      </c>
      <c r="AVW17">
        <v>0</v>
      </c>
      <c r="AVX17">
        <v>0</v>
      </c>
      <c r="AVY17">
        <v>0</v>
      </c>
      <c r="AVZ17">
        <v>0</v>
      </c>
      <c r="AWA17">
        <v>0</v>
      </c>
      <c r="AWB17">
        <v>0</v>
      </c>
      <c r="AWC17">
        <v>0</v>
      </c>
      <c r="AWD17">
        <v>0</v>
      </c>
      <c r="AWE17">
        <v>0</v>
      </c>
      <c r="AWF17">
        <v>0</v>
      </c>
      <c r="AWG17">
        <v>0</v>
      </c>
      <c r="AWH17">
        <v>0</v>
      </c>
      <c r="AWI17">
        <v>0</v>
      </c>
      <c r="AWJ17">
        <v>0</v>
      </c>
      <c r="AWK17">
        <v>0</v>
      </c>
      <c r="AWL17">
        <v>0</v>
      </c>
      <c r="AWM17">
        <v>0</v>
      </c>
      <c r="AWN17">
        <v>0</v>
      </c>
      <c r="AWO17">
        <v>0</v>
      </c>
      <c r="AWP17">
        <v>0</v>
      </c>
      <c r="AWQ17">
        <v>0</v>
      </c>
      <c r="AWR17">
        <v>0</v>
      </c>
      <c r="AWS17" s="116">
        <v>0</v>
      </c>
      <c r="AWT17" s="116">
        <v>0</v>
      </c>
      <c r="AWU17" s="116">
        <v>0</v>
      </c>
      <c r="AWV17" s="116">
        <v>0</v>
      </c>
      <c r="AWW17" s="116">
        <v>0</v>
      </c>
      <c r="AWX17" s="116">
        <v>0</v>
      </c>
      <c r="AWY17" s="116">
        <v>0</v>
      </c>
      <c r="AWZ17" s="116">
        <v>0</v>
      </c>
      <c r="AXA17" s="116">
        <v>0</v>
      </c>
      <c r="AXB17" s="128">
        <v>0</v>
      </c>
      <c r="AXC17" s="128">
        <v>0</v>
      </c>
      <c r="AXD17" s="128">
        <v>0</v>
      </c>
      <c r="AXE17" s="128">
        <v>0</v>
      </c>
      <c r="AXF17">
        <v>0</v>
      </c>
      <c r="AXG17" s="119">
        <v>0</v>
      </c>
      <c r="AXH17" s="119">
        <v>0</v>
      </c>
      <c r="AXI17" s="119">
        <v>0</v>
      </c>
      <c r="AXJ17" s="119">
        <v>0</v>
      </c>
      <c r="AXK17" s="121">
        <v>0</v>
      </c>
      <c r="AXL17" s="119">
        <v>0</v>
      </c>
      <c r="AXM17" s="119">
        <v>0</v>
      </c>
      <c r="AXN17">
        <v>0</v>
      </c>
      <c r="AXO17">
        <v>0</v>
      </c>
      <c r="AXP17">
        <v>0</v>
      </c>
      <c r="AXQ17" s="119">
        <v>0</v>
      </c>
      <c r="AXR17">
        <v>0</v>
      </c>
      <c r="AXS17">
        <v>0</v>
      </c>
      <c r="AXT17">
        <v>0</v>
      </c>
      <c r="AXU17">
        <v>0</v>
      </c>
      <c r="AXV17">
        <v>0</v>
      </c>
      <c r="AXW17">
        <v>0</v>
      </c>
      <c r="AXX17">
        <v>0</v>
      </c>
      <c r="AXY17">
        <v>0</v>
      </c>
      <c r="AXZ17">
        <v>0</v>
      </c>
      <c r="AYA17">
        <v>0</v>
      </c>
      <c r="AYB17">
        <v>0</v>
      </c>
      <c r="AYC17">
        <v>0</v>
      </c>
      <c r="AYD17">
        <v>0</v>
      </c>
      <c r="AYE17">
        <v>0</v>
      </c>
      <c r="AYF17">
        <v>0</v>
      </c>
      <c r="AYG17">
        <v>0</v>
      </c>
      <c r="AYH17">
        <v>0</v>
      </c>
      <c r="AYI17">
        <v>0</v>
      </c>
      <c r="AYJ17">
        <v>0</v>
      </c>
      <c r="AYK17">
        <v>0</v>
      </c>
      <c r="AYL17">
        <v>0</v>
      </c>
      <c r="AYM17">
        <v>0</v>
      </c>
      <c r="AYN17">
        <v>0</v>
      </c>
      <c r="AYO17" s="116">
        <v>0</v>
      </c>
      <c r="AYP17" s="116">
        <v>0</v>
      </c>
      <c r="AYQ17" s="116">
        <v>0</v>
      </c>
      <c r="AYR17" s="116">
        <v>0</v>
      </c>
      <c r="AYS17" s="116">
        <v>0</v>
      </c>
      <c r="AYT17" s="116">
        <v>0</v>
      </c>
      <c r="AYU17" s="116">
        <v>0</v>
      </c>
      <c r="AYV17" s="116">
        <v>0</v>
      </c>
      <c r="AYW17" s="116">
        <v>0</v>
      </c>
      <c r="AYX17" s="128">
        <v>0</v>
      </c>
      <c r="AYY17" s="128">
        <v>0</v>
      </c>
      <c r="AYZ17" s="128">
        <v>0</v>
      </c>
      <c r="AZA17" s="128">
        <v>0</v>
      </c>
      <c r="AZB17">
        <v>0</v>
      </c>
      <c r="AZC17" s="119">
        <v>0</v>
      </c>
      <c r="AZD17" s="119">
        <v>0</v>
      </c>
      <c r="AZE17" s="119">
        <v>0</v>
      </c>
      <c r="AZF17" s="119">
        <v>0</v>
      </c>
      <c r="AZG17" s="121">
        <v>0</v>
      </c>
      <c r="AZH17" s="119">
        <v>0</v>
      </c>
      <c r="AZI17" s="119">
        <v>0</v>
      </c>
      <c r="AZJ17">
        <v>0</v>
      </c>
      <c r="AZK17">
        <v>0</v>
      </c>
      <c r="AZL17">
        <v>0</v>
      </c>
      <c r="AZM17" s="119">
        <v>0</v>
      </c>
      <c r="AZN17">
        <v>0</v>
      </c>
      <c r="AZO17">
        <v>0</v>
      </c>
      <c r="AZP17">
        <v>0</v>
      </c>
      <c r="AZQ17">
        <v>0</v>
      </c>
      <c r="AZR17">
        <v>0</v>
      </c>
      <c r="AZS17">
        <v>0</v>
      </c>
      <c r="AZT17">
        <v>0</v>
      </c>
      <c r="AZU17">
        <v>0</v>
      </c>
      <c r="AZV17">
        <v>0</v>
      </c>
      <c r="AZW17">
        <v>0</v>
      </c>
      <c r="AZX17">
        <v>0</v>
      </c>
      <c r="AZY17">
        <v>0</v>
      </c>
      <c r="AZZ17">
        <v>0</v>
      </c>
      <c r="BAA17">
        <v>0</v>
      </c>
      <c r="BAB17">
        <v>0</v>
      </c>
      <c r="BAC17">
        <v>0</v>
      </c>
      <c r="BAD17">
        <v>0</v>
      </c>
      <c r="BAE17">
        <v>0</v>
      </c>
      <c r="BAF17">
        <v>0</v>
      </c>
      <c r="BAG17">
        <v>0</v>
      </c>
      <c r="BAH17">
        <v>0</v>
      </c>
      <c r="BAI17">
        <v>0</v>
      </c>
      <c r="BAJ17">
        <v>0</v>
      </c>
      <c r="BAK17">
        <v>0</v>
      </c>
      <c r="BAL17" s="120">
        <v>906.5</v>
      </c>
      <c r="BAM17" s="120">
        <v>6.5</v>
      </c>
      <c r="BAN17" s="120">
        <v>900</v>
      </c>
      <c r="BAO17" s="120">
        <v>0</v>
      </c>
      <c r="BAP17" s="120">
        <v>0</v>
      </c>
      <c r="BAQ17" s="120">
        <v>0</v>
      </c>
      <c r="BAR17">
        <v>0</v>
      </c>
      <c r="BAS17">
        <v>0</v>
      </c>
      <c r="BAT17">
        <v>0</v>
      </c>
      <c r="BAU17">
        <v>0</v>
      </c>
      <c r="BAV17">
        <v>0</v>
      </c>
      <c r="BAW17">
        <v>0</v>
      </c>
      <c r="BAX17">
        <v>0</v>
      </c>
      <c r="BAY17">
        <v>0</v>
      </c>
      <c r="BAZ17">
        <v>0</v>
      </c>
      <c r="BBA17">
        <v>0</v>
      </c>
      <c r="BBB17">
        <v>0</v>
      </c>
      <c r="BBC17">
        <v>0</v>
      </c>
      <c r="BBD17">
        <v>0</v>
      </c>
      <c r="BBE17">
        <v>0</v>
      </c>
      <c r="BBF17">
        <v>0</v>
      </c>
      <c r="BBG17">
        <v>0</v>
      </c>
      <c r="BBH17">
        <v>0</v>
      </c>
      <c r="BBI17">
        <v>0</v>
      </c>
      <c r="BBJ17">
        <v>0</v>
      </c>
      <c r="BBK17">
        <v>0</v>
      </c>
      <c r="BBL17">
        <v>0</v>
      </c>
      <c r="BBM17">
        <v>0</v>
      </c>
      <c r="BBN17">
        <v>0</v>
      </c>
      <c r="BBO17">
        <v>0</v>
      </c>
      <c r="BBP17">
        <v>0</v>
      </c>
      <c r="BBQ17">
        <v>0</v>
      </c>
      <c r="BBR17">
        <v>0</v>
      </c>
      <c r="BBS17">
        <v>0</v>
      </c>
      <c r="BBT17">
        <v>0</v>
      </c>
      <c r="BBU17">
        <v>0</v>
      </c>
      <c r="BBV17">
        <v>0</v>
      </c>
      <c r="BBW17">
        <v>0</v>
      </c>
      <c r="BBX17">
        <v>0</v>
      </c>
      <c r="BBY17">
        <v>0</v>
      </c>
      <c r="BBZ17">
        <v>0</v>
      </c>
      <c r="BCA17">
        <v>0</v>
      </c>
      <c r="BCB17">
        <v>0</v>
      </c>
      <c r="BCC17">
        <v>0</v>
      </c>
      <c r="BCD17">
        <v>0</v>
      </c>
      <c r="BCE17">
        <v>0</v>
      </c>
      <c r="BCF17">
        <v>0</v>
      </c>
      <c r="BCG17">
        <v>0</v>
      </c>
      <c r="BCH17">
        <v>0</v>
      </c>
      <c r="BCI17">
        <v>0</v>
      </c>
      <c r="BCJ17">
        <v>0</v>
      </c>
      <c r="BCK17">
        <v>0</v>
      </c>
      <c r="BCL17">
        <v>0</v>
      </c>
      <c r="BCM17">
        <v>0</v>
      </c>
      <c r="BCN17">
        <v>0</v>
      </c>
      <c r="BCO17">
        <v>0</v>
      </c>
      <c r="BCP17">
        <v>0</v>
      </c>
      <c r="BCQ17">
        <v>0</v>
      </c>
      <c r="BCR17">
        <v>0</v>
      </c>
      <c r="BCS17">
        <v>0</v>
      </c>
      <c r="BCT17">
        <v>0</v>
      </c>
      <c r="BCU17">
        <v>0</v>
      </c>
      <c r="BCV17">
        <v>0</v>
      </c>
      <c r="BCW17">
        <v>0</v>
      </c>
      <c r="BCX17">
        <v>0</v>
      </c>
      <c r="BCY17">
        <v>0</v>
      </c>
      <c r="BCZ17">
        <v>0</v>
      </c>
      <c r="BDA17">
        <v>0</v>
      </c>
      <c r="BDB17">
        <v>0</v>
      </c>
      <c r="BDC17">
        <v>0</v>
      </c>
      <c r="BDD17">
        <v>0</v>
      </c>
      <c r="BDE17">
        <v>0</v>
      </c>
      <c r="BDF17">
        <v>0</v>
      </c>
      <c r="BDG17">
        <v>0</v>
      </c>
      <c r="BDH17">
        <v>0</v>
      </c>
      <c r="BDI17">
        <v>0</v>
      </c>
      <c r="BDJ17">
        <v>0</v>
      </c>
      <c r="BDK17">
        <v>0</v>
      </c>
      <c r="BDL17">
        <v>0</v>
      </c>
      <c r="BDM17">
        <v>0</v>
      </c>
      <c r="BDN17">
        <v>0</v>
      </c>
      <c r="BDO17">
        <v>0</v>
      </c>
      <c r="BDP17">
        <v>0</v>
      </c>
      <c r="BDQ17">
        <v>0</v>
      </c>
      <c r="BDR17">
        <v>0</v>
      </c>
      <c r="BDS17">
        <v>0</v>
      </c>
      <c r="BDT17">
        <v>0</v>
      </c>
      <c r="BDU17">
        <v>0</v>
      </c>
      <c r="BDV17">
        <v>0</v>
      </c>
      <c r="BDW17">
        <v>0</v>
      </c>
      <c r="BDX17">
        <v>0</v>
      </c>
      <c r="BDY17">
        <v>0</v>
      </c>
      <c r="BDZ17">
        <v>0</v>
      </c>
      <c r="BEA17">
        <v>0</v>
      </c>
      <c r="BEB17">
        <v>0</v>
      </c>
      <c r="BEC17">
        <v>0</v>
      </c>
      <c r="BED17">
        <v>0</v>
      </c>
      <c r="BEE17">
        <v>0</v>
      </c>
      <c r="BEF17">
        <v>0</v>
      </c>
      <c r="BEG17">
        <v>0</v>
      </c>
      <c r="BEH17">
        <v>0</v>
      </c>
      <c r="BEI17">
        <v>0</v>
      </c>
      <c r="BEJ17">
        <v>0</v>
      </c>
      <c r="BEK17">
        <v>0</v>
      </c>
      <c r="BEL17">
        <v>0</v>
      </c>
      <c r="BEM17">
        <v>0</v>
      </c>
      <c r="BEN17">
        <v>0</v>
      </c>
      <c r="BEO17">
        <v>0</v>
      </c>
      <c r="BEP17">
        <v>0</v>
      </c>
      <c r="BEQ17">
        <v>0</v>
      </c>
      <c r="BER17">
        <v>0</v>
      </c>
      <c r="BES17">
        <v>0</v>
      </c>
      <c r="BET17">
        <v>0</v>
      </c>
      <c r="BEU17">
        <v>0</v>
      </c>
      <c r="BEV17">
        <v>0</v>
      </c>
      <c r="BEW17">
        <v>0</v>
      </c>
      <c r="BEX17">
        <v>0</v>
      </c>
      <c r="BEY17">
        <v>0</v>
      </c>
      <c r="BEZ17">
        <v>0</v>
      </c>
      <c r="BFA17">
        <v>0</v>
      </c>
      <c r="BFB17">
        <v>0</v>
      </c>
      <c r="BFC17">
        <v>0</v>
      </c>
      <c r="BFD17" t="b">
        <v>0</v>
      </c>
      <c r="BFE17" t="b">
        <v>0</v>
      </c>
      <c r="BFF17" t="b">
        <v>0</v>
      </c>
      <c r="BFG17" t="b">
        <v>0</v>
      </c>
      <c r="BFH17">
        <v>0</v>
      </c>
      <c r="BFI17">
        <v>0</v>
      </c>
      <c r="BFJ17">
        <v>0</v>
      </c>
      <c r="BFK17">
        <v>0</v>
      </c>
      <c r="BFL17">
        <v>0</v>
      </c>
      <c r="BFM17">
        <v>0</v>
      </c>
      <c r="BFN17">
        <v>0</v>
      </c>
      <c r="BFO17">
        <v>0</v>
      </c>
      <c r="BFP17">
        <v>0</v>
      </c>
      <c r="BFQ17">
        <v>0</v>
      </c>
      <c r="BFR17">
        <v>0</v>
      </c>
      <c r="BFS17">
        <v>0</v>
      </c>
      <c r="BFT17">
        <v>0</v>
      </c>
      <c r="BFU17">
        <v>0</v>
      </c>
      <c r="BFV17">
        <v>0</v>
      </c>
      <c r="BFW17">
        <v>0</v>
      </c>
      <c r="BFX17">
        <v>0</v>
      </c>
      <c r="BFY17">
        <v>0</v>
      </c>
    </row>
    <row r="18" spans="1:1533" ht="18.75" customHeight="1" x14ac:dyDescent="0.25">
      <c r="A18" t="s">
        <v>2501</v>
      </c>
      <c r="B18" t="s">
        <v>2514</v>
      </c>
      <c r="C18" s="120">
        <v>130</v>
      </c>
      <c r="D18" s="120">
        <v>45</v>
      </c>
      <c r="E18">
        <v>0</v>
      </c>
      <c r="F18">
        <v>0</v>
      </c>
      <c r="G18">
        <v>0</v>
      </c>
      <c r="H18" t="s">
        <v>2403</v>
      </c>
      <c r="I18" t="s">
        <v>2403</v>
      </c>
      <c r="J18" t="s">
        <v>2403</v>
      </c>
      <c r="K18" t="s">
        <v>2403</v>
      </c>
      <c r="L18" t="s">
        <v>2403</v>
      </c>
      <c r="M18" t="s">
        <v>1883</v>
      </c>
      <c r="N18" t="s">
        <v>2403</v>
      </c>
      <c r="O18" t="s">
        <v>1883</v>
      </c>
      <c r="P18" t="s">
        <v>1883</v>
      </c>
      <c r="Q18" t="s">
        <v>2403</v>
      </c>
      <c r="R18" t="s">
        <v>1883</v>
      </c>
      <c r="S18" t="s">
        <v>1639</v>
      </c>
      <c r="T18" t="s">
        <v>2404</v>
      </c>
      <c r="U18" t="s">
        <v>2424</v>
      </c>
      <c r="V18" t="s">
        <v>2502</v>
      </c>
      <c r="W18" t="s">
        <v>309</v>
      </c>
      <c r="X18">
        <v>550</v>
      </c>
      <c r="Y18" s="120">
        <v>43549</v>
      </c>
      <c r="Z18" s="58">
        <v>0</v>
      </c>
      <c r="AA18" s="120">
        <v>114</v>
      </c>
      <c r="AB18" s="120">
        <v>100</v>
      </c>
      <c r="AC18" s="120" t="s">
        <v>272</v>
      </c>
      <c r="AD18">
        <v>25</v>
      </c>
      <c r="AE18" s="120">
        <v>0</v>
      </c>
      <c r="AF18" s="120">
        <v>43576</v>
      </c>
      <c r="AG18" s="58">
        <v>45</v>
      </c>
      <c r="AH18" s="120">
        <v>0</v>
      </c>
      <c r="AI18" s="119">
        <v>0</v>
      </c>
      <c r="AJ18" t="s">
        <v>2403</v>
      </c>
      <c r="AK18">
        <v>0.11</v>
      </c>
      <c r="AL18" s="114">
        <v>0</v>
      </c>
      <c r="AM18" s="120">
        <v>50</v>
      </c>
      <c r="AN18" s="120">
        <v>47198</v>
      </c>
      <c r="AO18" s="58">
        <v>0.11687324532444077</v>
      </c>
      <c r="AP18" s="114">
        <v>10737.68</v>
      </c>
      <c r="AQ18" s="120">
        <v>7529.3000000000065</v>
      </c>
      <c r="AR18" s="120">
        <v>18266.980000000007</v>
      </c>
      <c r="AS18" s="120">
        <v>152.24</v>
      </c>
      <c r="AT18" s="120">
        <v>150.41999999999999</v>
      </c>
      <c r="AU18" s="120" t="s">
        <v>1914</v>
      </c>
      <c r="AV18" t="s">
        <v>2120</v>
      </c>
      <c r="AW18" t="s">
        <v>271</v>
      </c>
      <c r="AX18">
        <v>19</v>
      </c>
      <c r="AY18" s="120">
        <v>0</v>
      </c>
      <c r="AZ18">
        <v>43538</v>
      </c>
      <c r="BA18" s="58">
        <v>100</v>
      </c>
      <c r="BB18" s="120">
        <v>1</v>
      </c>
      <c r="BC18">
        <v>2</v>
      </c>
      <c r="BD18" t="s">
        <v>415</v>
      </c>
      <c r="BE18">
        <v>100</v>
      </c>
      <c r="BF18" s="120">
        <v>100</v>
      </c>
      <c r="BG18" s="120">
        <v>43545</v>
      </c>
      <c r="BH18" s="58">
        <v>120</v>
      </c>
      <c r="BI18">
        <v>0</v>
      </c>
      <c r="BJ18" s="120">
        <v>50</v>
      </c>
      <c r="BK18" s="120">
        <v>43479</v>
      </c>
      <c r="BL18">
        <v>0</v>
      </c>
      <c r="BM18">
        <v>0</v>
      </c>
      <c r="BN18">
        <v>0</v>
      </c>
      <c r="BO18" t="s">
        <v>2503</v>
      </c>
      <c r="BP18" t="s">
        <v>2403</v>
      </c>
      <c r="BQ18" s="58" t="s">
        <v>2403</v>
      </c>
      <c r="BR18" t="s">
        <v>2403</v>
      </c>
      <c r="BS18">
        <v>454452522</v>
      </c>
      <c r="BT18">
        <v>0</v>
      </c>
      <c r="BU18" t="s">
        <v>2504</v>
      </c>
      <c r="BV18" t="s">
        <v>2505</v>
      </c>
      <c r="BW18" t="s">
        <v>1633</v>
      </c>
      <c r="BX18">
        <v>77573</v>
      </c>
      <c r="BY18" t="s">
        <v>2504</v>
      </c>
      <c r="BZ18" t="s">
        <v>2505</v>
      </c>
      <c r="CA18">
        <v>77573</v>
      </c>
      <c r="CB18" t="s">
        <v>1633</v>
      </c>
      <c r="CC18">
        <v>0</v>
      </c>
      <c r="CD18" t="s">
        <v>2519</v>
      </c>
      <c r="CE18" t="s">
        <v>2503</v>
      </c>
      <c r="CF18" t="s">
        <v>2520</v>
      </c>
      <c r="CG18">
        <v>0</v>
      </c>
      <c r="CH18">
        <v>0</v>
      </c>
      <c r="CI18" s="118">
        <v>0</v>
      </c>
      <c r="CJ18" s="118">
        <v>0</v>
      </c>
      <c r="CK18" s="118">
        <v>2819243872</v>
      </c>
      <c r="CL18">
        <v>0</v>
      </c>
      <c r="CM18">
        <v>0</v>
      </c>
      <c r="CN18" t="s">
        <v>2506</v>
      </c>
      <c r="CO18">
        <v>0</v>
      </c>
      <c r="CP18">
        <v>0</v>
      </c>
      <c r="CQ18">
        <v>0</v>
      </c>
      <c r="CR18">
        <v>0</v>
      </c>
      <c r="CS18">
        <v>0</v>
      </c>
      <c r="CT18">
        <v>0</v>
      </c>
      <c r="CU18">
        <v>0</v>
      </c>
      <c r="CV18" s="58">
        <v>0</v>
      </c>
      <c r="CW18">
        <v>0</v>
      </c>
      <c r="CX18">
        <v>0</v>
      </c>
      <c r="CY18">
        <v>0</v>
      </c>
      <c r="CZ18">
        <v>0</v>
      </c>
      <c r="DA18">
        <v>0</v>
      </c>
      <c r="DB18">
        <v>0</v>
      </c>
      <c r="DC18">
        <v>0</v>
      </c>
      <c r="DD18">
        <v>0</v>
      </c>
      <c r="DE18">
        <v>0</v>
      </c>
      <c r="DF18">
        <v>0</v>
      </c>
      <c r="DG18">
        <v>0</v>
      </c>
      <c r="DH18">
        <v>0</v>
      </c>
      <c r="DI18">
        <v>0</v>
      </c>
      <c r="DJ18" s="118">
        <v>0</v>
      </c>
      <c r="DK18" s="118">
        <v>0</v>
      </c>
      <c r="DL18" s="118">
        <v>0</v>
      </c>
      <c r="DM18">
        <v>0</v>
      </c>
      <c r="DN18" t="s">
        <v>2506</v>
      </c>
      <c r="DO18">
        <v>0</v>
      </c>
      <c r="DP18">
        <v>0</v>
      </c>
      <c r="DQ18">
        <v>0</v>
      </c>
      <c r="DR18">
        <v>0</v>
      </c>
      <c r="DS18">
        <v>0</v>
      </c>
      <c r="DT18">
        <v>0</v>
      </c>
      <c r="DU18">
        <v>0</v>
      </c>
      <c r="DV18">
        <v>0</v>
      </c>
      <c r="DW18" s="58">
        <v>0</v>
      </c>
      <c r="DX18">
        <v>0</v>
      </c>
      <c r="DY18">
        <v>0</v>
      </c>
      <c r="DZ18">
        <v>0</v>
      </c>
      <c r="EA18">
        <v>0</v>
      </c>
      <c r="EB18">
        <v>0</v>
      </c>
      <c r="EC18">
        <v>0</v>
      </c>
      <c r="ED18">
        <v>0</v>
      </c>
      <c r="EE18">
        <v>0</v>
      </c>
      <c r="EF18">
        <v>0</v>
      </c>
      <c r="EG18">
        <v>0</v>
      </c>
      <c r="EH18">
        <v>0</v>
      </c>
      <c r="EI18">
        <v>0</v>
      </c>
      <c r="EJ18">
        <v>0</v>
      </c>
      <c r="EK18" s="118">
        <v>0</v>
      </c>
      <c r="EL18" s="118">
        <v>0</v>
      </c>
      <c r="EM18" s="118">
        <v>0</v>
      </c>
      <c r="EN18">
        <v>0</v>
      </c>
      <c r="EO18">
        <v>550</v>
      </c>
      <c r="EP18" s="119">
        <v>10303.6796875</v>
      </c>
      <c r="EQ18">
        <v>3</v>
      </c>
      <c r="ER18">
        <v>2</v>
      </c>
      <c r="ES18" t="s">
        <v>2508</v>
      </c>
      <c r="ET18" t="s">
        <v>712</v>
      </c>
      <c r="EU18">
        <v>0</v>
      </c>
      <c r="EV18">
        <v>0</v>
      </c>
      <c r="EW18">
        <v>0</v>
      </c>
      <c r="EX18">
        <v>0</v>
      </c>
      <c r="EY18">
        <v>0</v>
      </c>
      <c r="EZ18">
        <v>0</v>
      </c>
      <c r="FA18">
        <v>0</v>
      </c>
      <c r="FB18">
        <v>0</v>
      </c>
      <c r="FC18">
        <v>0</v>
      </c>
      <c r="FD18">
        <v>0</v>
      </c>
      <c r="FE18">
        <v>0</v>
      </c>
      <c r="FF18">
        <v>0</v>
      </c>
      <c r="FG18">
        <v>0</v>
      </c>
      <c r="FH18">
        <v>0</v>
      </c>
      <c r="FI18">
        <v>0</v>
      </c>
      <c r="FJ18">
        <v>0</v>
      </c>
      <c r="FK18">
        <v>0</v>
      </c>
      <c r="FL18">
        <v>0</v>
      </c>
      <c r="FM18" s="119">
        <v>5133.53</v>
      </c>
      <c r="FN18" s="119">
        <v>5170.1499999999996</v>
      </c>
      <c r="FO18" s="119">
        <v>0</v>
      </c>
      <c r="FP18" s="119">
        <v>0</v>
      </c>
      <c r="FQ18" s="119">
        <v>0</v>
      </c>
      <c r="FR18" s="119">
        <v>0</v>
      </c>
      <c r="FS18" s="119">
        <v>0</v>
      </c>
      <c r="FT18" s="119">
        <v>0</v>
      </c>
      <c r="FU18" s="119">
        <v>0</v>
      </c>
      <c r="FV18" s="119">
        <v>0</v>
      </c>
      <c r="FW18" s="119">
        <v>0</v>
      </c>
      <c r="FX18" s="119">
        <v>0</v>
      </c>
      <c r="FY18" s="119">
        <v>0</v>
      </c>
      <c r="FZ18" s="119">
        <v>0</v>
      </c>
      <c r="GA18" s="119">
        <v>0</v>
      </c>
      <c r="GB18" s="119">
        <v>0</v>
      </c>
      <c r="GC18" s="119">
        <v>0</v>
      </c>
      <c r="GD18" s="119">
        <v>0</v>
      </c>
      <c r="GE18" s="119">
        <v>0</v>
      </c>
      <c r="GF18" s="119">
        <v>0</v>
      </c>
      <c r="GG18">
        <v>0</v>
      </c>
      <c r="GH18" t="s">
        <v>2403</v>
      </c>
      <c r="GI18">
        <v>0</v>
      </c>
      <c r="GJ18">
        <v>0</v>
      </c>
      <c r="GK18">
        <v>0</v>
      </c>
      <c r="GL18" t="s">
        <v>2403</v>
      </c>
      <c r="GM18" s="58">
        <v>0</v>
      </c>
      <c r="GN18" t="s">
        <v>2403</v>
      </c>
      <c r="GO18">
        <v>0</v>
      </c>
      <c r="GP18" s="128" t="s">
        <v>2521</v>
      </c>
      <c r="GQ18" s="128">
        <v>0</v>
      </c>
      <c r="GR18" s="128">
        <v>0</v>
      </c>
      <c r="GS18" s="128">
        <v>0</v>
      </c>
      <c r="GT18" t="s">
        <v>2507</v>
      </c>
      <c r="GU18" s="119">
        <v>1550.84</v>
      </c>
      <c r="GV18" s="119">
        <v>0</v>
      </c>
      <c r="GW18" s="119">
        <v>0</v>
      </c>
      <c r="GX18" s="119">
        <v>0</v>
      </c>
      <c r="GY18" t="s">
        <v>2509</v>
      </c>
      <c r="GZ18">
        <v>0</v>
      </c>
      <c r="HA18">
        <v>0</v>
      </c>
      <c r="HB18">
        <v>0</v>
      </c>
      <c r="HC18" s="120">
        <v>1550.8399658203125</v>
      </c>
      <c r="HD18" s="119">
        <v>153870</v>
      </c>
      <c r="HE18">
        <v>37000</v>
      </c>
      <c r="HF18" t="s">
        <v>118</v>
      </c>
      <c r="HG18" t="s">
        <v>106</v>
      </c>
      <c r="HH18" t="s">
        <v>2403</v>
      </c>
      <c r="HI18" s="119">
        <v>153870</v>
      </c>
      <c r="HJ18" t="s">
        <v>2403</v>
      </c>
      <c r="HK18" t="s">
        <v>2046</v>
      </c>
      <c r="HL18">
        <v>0</v>
      </c>
      <c r="HM18">
        <v>0</v>
      </c>
      <c r="HN18">
        <v>0</v>
      </c>
      <c r="HO18" t="s">
        <v>2512</v>
      </c>
      <c r="HP18" t="s">
        <v>2403</v>
      </c>
      <c r="HQ18">
        <v>0</v>
      </c>
      <c r="HR18" t="s">
        <v>1633</v>
      </c>
      <c r="HS18" t="s">
        <v>2508</v>
      </c>
      <c r="HT18">
        <v>0</v>
      </c>
      <c r="HU18">
        <v>0</v>
      </c>
      <c r="HV18">
        <v>0</v>
      </c>
      <c r="HW18" t="s">
        <v>2045</v>
      </c>
      <c r="HX18">
        <v>0</v>
      </c>
      <c r="HY18">
        <v>0</v>
      </c>
      <c r="HZ18">
        <v>0</v>
      </c>
      <c r="IA18">
        <v>77075</v>
      </c>
      <c r="IB18" t="s">
        <v>2403</v>
      </c>
      <c r="IC18">
        <v>0</v>
      </c>
      <c r="ID18" t="s">
        <v>2403</v>
      </c>
      <c r="IE18">
        <v>0</v>
      </c>
      <c r="IF18">
        <v>0</v>
      </c>
      <c r="IG18">
        <v>0</v>
      </c>
      <c r="IH18" t="s">
        <v>2403</v>
      </c>
      <c r="II18">
        <v>0</v>
      </c>
      <c r="IJ18" t="s">
        <v>2403</v>
      </c>
      <c r="IK18">
        <v>0</v>
      </c>
      <c r="IL18" s="128" t="s">
        <v>2522</v>
      </c>
      <c r="IM18" s="128" t="s">
        <v>2517</v>
      </c>
      <c r="IN18" s="128">
        <v>0</v>
      </c>
      <c r="IO18" s="128">
        <v>0</v>
      </c>
      <c r="IP18" t="s">
        <v>2510</v>
      </c>
      <c r="IQ18" s="119">
        <v>3582.69</v>
      </c>
      <c r="IR18" s="119">
        <v>5170.1499999999996</v>
      </c>
      <c r="IS18" s="119">
        <v>0</v>
      </c>
      <c r="IT18" s="119">
        <v>0</v>
      </c>
      <c r="IU18" s="119">
        <v>8752.83984375</v>
      </c>
      <c r="IV18">
        <v>153870</v>
      </c>
      <c r="IW18">
        <v>37000</v>
      </c>
      <c r="IX18" t="s">
        <v>118</v>
      </c>
      <c r="IY18" t="s">
        <v>106</v>
      </c>
      <c r="IZ18" t="s">
        <v>2403</v>
      </c>
      <c r="JA18" s="119">
        <v>153870</v>
      </c>
      <c r="JB18" t="s">
        <v>2403</v>
      </c>
      <c r="JC18" t="s">
        <v>2513</v>
      </c>
      <c r="JD18" t="s">
        <v>2403</v>
      </c>
      <c r="JE18">
        <v>0</v>
      </c>
      <c r="JF18" t="s">
        <v>1633</v>
      </c>
      <c r="JG18" t="s">
        <v>2508</v>
      </c>
      <c r="JH18" t="s">
        <v>712</v>
      </c>
      <c r="JI18">
        <v>0</v>
      </c>
      <c r="JJ18">
        <v>0</v>
      </c>
      <c r="JK18" t="s">
        <v>2045</v>
      </c>
      <c r="JL18" t="s">
        <v>2045</v>
      </c>
      <c r="JM18">
        <v>0</v>
      </c>
      <c r="JN18">
        <v>0</v>
      </c>
      <c r="JO18" t="s">
        <v>2046</v>
      </c>
      <c r="JP18" t="s">
        <v>2511</v>
      </c>
      <c r="JQ18">
        <v>0</v>
      </c>
      <c r="JR18">
        <v>0</v>
      </c>
      <c r="JS18" t="s">
        <v>2509</v>
      </c>
      <c r="JT18" t="s">
        <v>2509</v>
      </c>
      <c r="JU18">
        <v>0</v>
      </c>
      <c r="JV18">
        <v>0</v>
      </c>
      <c r="JW18">
        <v>77075</v>
      </c>
      <c r="JX18" t="s">
        <v>2403</v>
      </c>
      <c r="JY18">
        <v>0</v>
      </c>
      <c r="JZ18">
        <v>0</v>
      </c>
      <c r="KA18">
        <v>0</v>
      </c>
      <c r="KB18">
        <v>0</v>
      </c>
      <c r="KC18">
        <v>0</v>
      </c>
      <c r="KD18">
        <v>0</v>
      </c>
      <c r="KE18">
        <v>0</v>
      </c>
      <c r="KF18">
        <v>0</v>
      </c>
      <c r="KG18">
        <v>0</v>
      </c>
      <c r="KH18" s="128">
        <v>0</v>
      </c>
      <c r="KI18" s="128">
        <v>0</v>
      </c>
      <c r="KJ18" s="128">
        <v>0</v>
      </c>
      <c r="KK18" s="128">
        <v>0</v>
      </c>
      <c r="KL18">
        <v>0</v>
      </c>
      <c r="KM18" s="119">
        <v>0</v>
      </c>
      <c r="KN18" s="119">
        <v>0</v>
      </c>
      <c r="KO18" s="119">
        <v>0</v>
      </c>
      <c r="KP18" s="119">
        <v>0</v>
      </c>
      <c r="KQ18" s="121">
        <v>0</v>
      </c>
      <c r="KR18">
        <v>0</v>
      </c>
      <c r="KS18" s="119">
        <v>0</v>
      </c>
      <c r="KT18">
        <v>0</v>
      </c>
      <c r="KU18">
        <v>0</v>
      </c>
      <c r="KV18">
        <v>0</v>
      </c>
      <c r="KW18" s="119">
        <v>0</v>
      </c>
      <c r="KX18">
        <v>0</v>
      </c>
      <c r="KY18">
        <v>0</v>
      </c>
      <c r="KZ18">
        <v>0</v>
      </c>
      <c r="LA18">
        <v>0</v>
      </c>
      <c r="LB18">
        <v>0</v>
      </c>
      <c r="LC18">
        <v>0</v>
      </c>
      <c r="LD18">
        <v>0</v>
      </c>
      <c r="LE18">
        <v>0</v>
      </c>
      <c r="LF18">
        <v>0</v>
      </c>
      <c r="LG18">
        <v>0</v>
      </c>
      <c r="LH18">
        <v>0</v>
      </c>
      <c r="LI18">
        <v>0</v>
      </c>
      <c r="LJ18">
        <v>0</v>
      </c>
      <c r="LK18">
        <v>0</v>
      </c>
      <c r="LL18">
        <v>0</v>
      </c>
      <c r="LM18">
        <v>0</v>
      </c>
      <c r="LN18">
        <v>0</v>
      </c>
      <c r="LO18">
        <v>0</v>
      </c>
      <c r="LP18">
        <v>0</v>
      </c>
      <c r="LQ18">
        <v>0</v>
      </c>
      <c r="LR18">
        <v>0</v>
      </c>
      <c r="LS18">
        <v>0</v>
      </c>
      <c r="LT18">
        <v>0</v>
      </c>
      <c r="LU18">
        <v>0</v>
      </c>
      <c r="LV18">
        <v>0</v>
      </c>
      <c r="LW18">
        <v>0</v>
      </c>
      <c r="LX18">
        <v>0</v>
      </c>
      <c r="LY18">
        <v>0</v>
      </c>
      <c r="LZ18">
        <v>0</v>
      </c>
      <c r="MA18">
        <v>0</v>
      </c>
      <c r="MB18">
        <v>0</v>
      </c>
      <c r="MC18">
        <v>0</v>
      </c>
      <c r="MD18" s="128">
        <v>0</v>
      </c>
      <c r="ME18" s="128">
        <v>0</v>
      </c>
      <c r="MF18" s="128">
        <v>0</v>
      </c>
      <c r="MG18" s="128">
        <v>0</v>
      </c>
      <c r="MH18">
        <v>0</v>
      </c>
      <c r="MI18" s="119">
        <v>0</v>
      </c>
      <c r="MJ18" s="119">
        <v>0</v>
      </c>
      <c r="MK18" s="119">
        <v>0</v>
      </c>
      <c r="ML18" s="119">
        <v>0</v>
      </c>
      <c r="MM18" s="121">
        <v>0</v>
      </c>
      <c r="MN18" s="119">
        <v>0</v>
      </c>
      <c r="MO18">
        <v>0</v>
      </c>
      <c r="MP18">
        <v>0</v>
      </c>
      <c r="MQ18">
        <v>0</v>
      </c>
      <c r="MR18">
        <v>0</v>
      </c>
      <c r="MS18" s="119">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s="116">
        <v>0</v>
      </c>
      <c r="NR18" s="116">
        <v>0</v>
      </c>
      <c r="NS18" s="116">
        <v>0</v>
      </c>
      <c r="NT18" s="116">
        <v>0</v>
      </c>
      <c r="NU18" s="116">
        <v>0</v>
      </c>
      <c r="NV18" s="116">
        <v>0</v>
      </c>
      <c r="NW18" s="116">
        <v>0</v>
      </c>
      <c r="NX18" s="116">
        <v>0</v>
      </c>
      <c r="NY18" s="116">
        <v>0</v>
      </c>
      <c r="NZ18" s="128">
        <v>0</v>
      </c>
      <c r="OA18" s="128">
        <v>0</v>
      </c>
      <c r="OB18" s="128">
        <v>0</v>
      </c>
      <c r="OC18" s="128">
        <v>0</v>
      </c>
      <c r="OD18">
        <v>0</v>
      </c>
      <c r="OE18" s="119">
        <v>0</v>
      </c>
      <c r="OF18" s="119">
        <v>0</v>
      </c>
      <c r="OG18" s="119">
        <v>0</v>
      </c>
      <c r="OH18" s="119">
        <v>0</v>
      </c>
      <c r="OI18" s="121">
        <v>0</v>
      </c>
      <c r="OJ18" s="119">
        <v>0</v>
      </c>
      <c r="OK18">
        <v>0</v>
      </c>
      <c r="OL18">
        <v>0</v>
      </c>
      <c r="OM18">
        <v>0</v>
      </c>
      <c r="ON18">
        <v>0</v>
      </c>
      <c r="OO18" s="119">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s="128">
        <v>0</v>
      </c>
      <c r="PW18" s="128">
        <v>0</v>
      </c>
      <c r="PX18" s="128">
        <v>0</v>
      </c>
      <c r="PY18" s="128">
        <v>0</v>
      </c>
      <c r="PZ18">
        <v>0</v>
      </c>
      <c r="QA18" s="119">
        <v>0</v>
      </c>
      <c r="QB18" s="119">
        <v>0</v>
      </c>
      <c r="QC18" s="119">
        <v>0</v>
      </c>
      <c r="QD18" s="119">
        <v>0</v>
      </c>
      <c r="QE18" s="121">
        <v>0</v>
      </c>
      <c r="QF18" s="119">
        <v>0</v>
      </c>
      <c r="QG18">
        <v>0</v>
      </c>
      <c r="QH18">
        <v>0</v>
      </c>
      <c r="QI18">
        <v>0</v>
      </c>
      <c r="QJ18">
        <v>0</v>
      </c>
      <c r="QK18" s="119">
        <v>0</v>
      </c>
      <c r="QL18">
        <v>0</v>
      </c>
      <c r="QM18">
        <v>0</v>
      </c>
      <c r="QN18">
        <v>0</v>
      </c>
      <c r="QO18">
        <v>0</v>
      </c>
      <c r="QP18">
        <v>0</v>
      </c>
      <c r="QQ18">
        <v>0</v>
      </c>
      <c r="QR18">
        <v>0</v>
      </c>
      <c r="QS18">
        <v>0</v>
      </c>
      <c r="QT18">
        <v>0</v>
      </c>
      <c r="QU18">
        <v>0</v>
      </c>
      <c r="QV18">
        <v>0</v>
      </c>
      <c r="QW18">
        <v>0</v>
      </c>
      <c r="QX18">
        <v>0</v>
      </c>
      <c r="QY18">
        <v>0</v>
      </c>
      <c r="QZ18">
        <v>0</v>
      </c>
      <c r="RA18">
        <v>0</v>
      </c>
      <c r="RB18">
        <v>0</v>
      </c>
      <c r="RC18">
        <v>0</v>
      </c>
      <c r="RD18">
        <v>0</v>
      </c>
      <c r="RE18">
        <v>0</v>
      </c>
      <c r="RF18">
        <v>0</v>
      </c>
      <c r="RG18">
        <v>0</v>
      </c>
      <c r="RH18">
        <v>0</v>
      </c>
      <c r="RI18" s="116">
        <v>0</v>
      </c>
      <c r="RJ18" s="116">
        <v>0</v>
      </c>
      <c r="RK18" s="116">
        <v>0</v>
      </c>
      <c r="RL18" s="116">
        <v>0</v>
      </c>
      <c r="RM18" s="116">
        <v>0</v>
      </c>
      <c r="RN18" s="116">
        <v>0</v>
      </c>
      <c r="RO18" s="116">
        <v>0</v>
      </c>
      <c r="RP18" s="116">
        <v>0</v>
      </c>
      <c r="RQ18" s="116">
        <v>0</v>
      </c>
      <c r="RR18" s="128">
        <v>0</v>
      </c>
      <c r="RS18" s="128">
        <v>0</v>
      </c>
      <c r="RT18" s="128">
        <v>0</v>
      </c>
      <c r="RU18" s="128">
        <v>0</v>
      </c>
      <c r="RV18">
        <v>0</v>
      </c>
      <c r="RW18" s="119">
        <v>0</v>
      </c>
      <c r="RX18" s="119">
        <v>0</v>
      </c>
      <c r="RY18" s="119">
        <v>0</v>
      </c>
      <c r="RZ18" s="119">
        <v>0</v>
      </c>
      <c r="SA18" s="121">
        <v>0</v>
      </c>
      <c r="SB18" s="119">
        <v>0</v>
      </c>
      <c r="SC18">
        <v>0</v>
      </c>
      <c r="SD18">
        <v>0</v>
      </c>
      <c r="SE18">
        <v>0</v>
      </c>
      <c r="SF18">
        <v>0</v>
      </c>
      <c r="SG18" s="119">
        <v>0</v>
      </c>
      <c r="SH18">
        <v>0</v>
      </c>
      <c r="SI18">
        <v>0</v>
      </c>
      <c r="SJ18">
        <v>0</v>
      </c>
      <c r="SK18">
        <v>0</v>
      </c>
      <c r="SL18">
        <v>0</v>
      </c>
      <c r="SM18">
        <v>0</v>
      </c>
      <c r="SN18">
        <v>0</v>
      </c>
      <c r="SO18">
        <v>0</v>
      </c>
      <c r="SP18">
        <v>0</v>
      </c>
      <c r="SQ18">
        <v>0</v>
      </c>
      <c r="SR18">
        <v>0</v>
      </c>
      <c r="SS18">
        <v>0</v>
      </c>
      <c r="ST18">
        <v>0</v>
      </c>
      <c r="SU18">
        <v>0</v>
      </c>
      <c r="SV18">
        <v>0</v>
      </c>
      <c r="SW18">
        <v>0</v>
      </c>
      <c r="SX18">
        <v>0</v>
      </c>
      <c r="SY18">
        <v>0</v>
      </c>
      <c r="SZ18">
        <v>0</v>
      </c>
      <c r="TA18">
        <v>0</v>
      </c>
      <c r="TB18">
        <v>0</v>
      </c>
      <c r="TC18">
        <v>0</v>
      </c>
      <c r="TD18">
        <v>0</v>
      </c>
      <c r="TE18" s="116">
        <v>0</v>
      </c>
      <c r="TF18" s="116">
        <v>0</v>
      </c>
      <c r="TG18" s="116">
        <v>0</v>
      </c>
      <c r="TH18" s="116">
        <v>0</v>
      </c>
      <c r="TI18" s="116">
        <v>0</v>
      </c>
      <c r="TJ18" s="116">
        <v>0</v>
      </c>
      <c r="TK18" s="116">
        <v>0</v>
      </c>
      <c r="TL18" s="116">
        <v>0</v>
      </c>
      <c r="TM18" s="116">
        <v>0</v>
      </c>
      <c r="TN18" s="128">
        <v>0</v>
      </c>
      <c r="TO18" s="128">
        <v>0</v>
      </c>
      <c r="TP18" s="128">
        <v>0</v>
      </c>
      <c r="TQ18" s="128">
        <v>0</v>
      </c>
      <c r="TR18">
        <v>0</v>
      </c>
      <c r="TS18" s="119">
        <v>0</v>
      </c>
      <c r="TT18" s="119">
        <v>0</v>
      </c>
      <c r="TU18" s="119">
        <v>0</v>
      </c>
      <c r="TV18" s="119">
        <v>0</v>
      </c>
      <c r="TW18" s="121">
        <v>0</v>
      </c>
      <c r="TX18" s="119">
        <v>0</v>
      </c>
      <c r="TY18">
        <v>0</v>
      </c>
      <c r="TZ18">
        <v>0</v>
      </c>
      <c r="UA18">
        <v>0</v>
      </c>
      <c r="UB18">
        <v>0</v>
      </c>
      <c r="UC18" s="119">
        <v>0</v>
      </c>
      <c r="UD18">
        <v>0</v>
      </c>
      <c r="UE18">
        <v>0</v>
      </c>
      <c r="UF18">
        <v>0</v>
      </c>
      <c r="UG18">
        <v>0</v>
      </c>
      <c r="UH18">
        <v>0</v>
      </c>
      <c r="UI18">
        <v>0</v>
      </c>
      <c r="UJ18">
        <v>0</v>
      </c>
      <c r="UK18">
        <v>0</v>
      </c>
      <c r="UL18">
        <v>0</v>
      </c>
      <c r="UM18">
        <v>0</v>
      </c>
      <c r="UN18">
        <v>0</v>
      </c>
      <c r="UO18">
        <v>0</v>
      </c>
      <c r="UP18">
        <v>0</v>
      </c>
      <c r="UQ18">
        <v>0</v>
      </c>
      <c r="UR18">
        <v>0</v>
      </c>
      <c r="US18">
        <v>0</v>
      </c>
      <c r="UT18">
        <v>0</v>
      </c>
      <c r="UU18">
        <v>0</v>
      </c>
      <c r="UV18">
        <v>0</v>
      </c>
      <c r="UW18">
        <v>0</v>
      </c>
      <c r="UX18">
        <v>0</v>
      </c>
      <c r="UY18">
        <v>0</v>
      </c>
      <c r="UZ18">
        <v>0</v>
      </c>
      <c r="VA18" s="116">
        <v>0</v>
      </c>
      <c r="VB18" s="116">
        <v>0</v>
      </c>
      <c r="VC18" s="116">
        <v>0</v>
      </c>
      <c r="VD18" s="116">
        <v>0</v>
      </c>
      <c r="VE18" s="116">
        <v>0</v>
      </c>
      <c r="VF18" s="116">
        <v>0</v>
      </c>
      <c r="VG18" s="116">
        <v>0</v>
      </c>
      <c r="VH18" s="116">
        <v>0</v>
      </c>
      <c r="VI18" s="116">
        <v>0</v>
      </c>
      <c r="VJ18" s="128">
        <v>0</v>
      </c>
      <c r="VK18" s="128">
        <v>0</v>
      </c>
      <c r="VL18" s="128">
        <v>0</v>
      </c>
      <c r="VM18" s="128">
        <v>0</v>
      </c>
      <c r="VN18">
        <v>0</v>
      </c>
      <c r="VO18" s="119">
        <v>0</v>
      </c>
      <c r="VP18" s="119">
        <v>0</v>
      </c>
      <c r="VQ18" s="119">
        <v>0</v>
      </c>
      <c r="VR18" s="119">
        <v>0</v>
      </c>
      <c r="VS18" s="121">
        <v>0</v>
      </c>
      <c r="VT18" s="119">
        <v>0</v>
      </c>
      <c r="VU18" s="119">
        <v>0</v>
      </c>
      <c r="VV18">
        <v>0</v>
      </c>
      <c r="VW18">
        <v>0</v>
      </c>
      <c r="VX18">
        <v>0</v>
      </c>
      <c r="VY18" s="119">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s="116">
        <v>0</v>
      </c>
      <c r="WX18" s="116">
        <v>0</v>
      </c>
      <c r="WY18" s="116">
        <v>0</v>
      </c>
      <c r="WZ18" s="116">
        <v>0</v>
      </c>
      <c r="XA18" s="116">
        <v>0</v>
      </c>
      <c r="XB18" s="116">
        <v>0</v>
      </c>
      <c r="XC18" s="116">
        <v>0</v>
      </c>
      <c r="XD18" s="116">
        <v>0</v>
      </c>
      <c r="XE18" s="116">
        <v>0</v>
      </c>
      <c r="XF18" s="128">
        <v>0</v>
      </c>
      <c r="XG18" s="128">
        <v>0</v>
      </c>
      <c r="XH18" s="128">
        <v>0</v>
      </c>
      <c r="XI18" s="128">
        <v>0</v>
      </c>
      <c r="XJ18">
        <v>0</v>
      </c>
      <c r="XK18" s="119">
        <v>0</v>
      </c>
      <c r="XL18" s="119">
        <v>0</v>
      </c>
      <c r="XM18" s="119">
        <v>0</v>
      </c>
      <c r="XN18" s="119">
        <v>0</v>
      </c>
      <c r="XO18" s="121">
        <v>0</v>
      </c>
      <c r="XP18" s="119">
        <v>0</v>
      </c>
      <c r="XQ18" s="119">
        <v>0</v>
      </c>
      <c r="XR18">
        <v>0</v>
      </c>
      <c r="XS18">
        <v>0</v>
      </c>
      <c r="XT18">
        <v>0</v>
      </c>
      <c r="XU18" s="119">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S18">
        <v>0</v>
      </c>
      <c r="YT18">
        <v>0</v>
      </c>
      <c r="YU18">
        <v>0</v>
      </c>
      <c r="YV18">
        <v>0</v>
      </c>
      <c r="YW18">
        <v>0</v>
      </c>
      <c r="YX18">
        <v>0</v>
      </c>
      <c r="YY18">
        <v>0</v>
      </c>
      <c r="YZ18">
        <v>0</v>
      </c>
      <c r="ZA18">
        <v>0</v>
      </c>
      <c r="ZB18" s="128">
        <v>0</v>
      </c>
      <c r="ZC18" s="128">
        <v>0</v>
      </c>
      <c r="ZD18" s="128">
        <v>0</v>
      </c>
      <c r="ZE18" s="128">
        <v>0</v>
      </c>
      <c r="ZF18">
        <v>0</v>
      </c>
      <c r="ZG18" s="119">
        <v>0</v>
      </c>
      <c r="ZH18" s="119">
        <v>0</v>
      </c>
      <c r="ZI18" s="119">
        <v>0</v>
      </c>
      <c r="ZJ18" s="119">
        <v>0</v>
      </c>
      <c r="ZK18" s="121">
        <v>0</v>
      </c>
      <c r="ZL18" s="119">
        <v>0</v>
      </c>
      <c r="ZM18" s="119">
        <v>0</v>
      </c>
      <c r="ZN18">
        <v>0</v>
      </c>
      <c r="ZO18">
        <v>0</v>
      </c>
      <c r="ZP18">
        <v>0</v>
      </c>
      <c r="ZQ18" s="119">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s="116">
        <v>0</v>
      </c>
      <c r="AAP18" s="116">
        <v>0</v>
      </c>
      <c r="AAQ18" s="116">
        <v>0</v>
      </c>
      <c r="AAR18" s="116">
        <v>0</v>
      </c>
      <c r="AAS18" s="116">
        <v>0</v>
      </c>
      <c r="AAT18" s="116">
        <v>0</v>
      </c>
      <c r="AAU18" s="116">
        <v>0</v>
      </c>
      <c r="AAV18" s="116">
        <v>0</v>
      </c>
      <c r="AAW18" s="116">
        <v>0</v>
      </c>
      <c r="AAX18" s="128">
        <v>0</v>
      </c>
      <c r="AAY18" s="128">
        <v>0</v>
      </c>
      <c r="AAZ18" s="128">
        <v>0</v>
      </c>
      <c r="ABA18" s="128">
        <v>0</v>
      </c>
      <c r="ABB18">
        <v>0</v>
      </c>
      <c r="ABC18" s="119">
        <v>0</v>
      </c>
      <c r="ABD18" s="119">
        <v>0</v>
      </c>
      <c r="ABE18" s="119">
        <v>0</v>
      </c>
      <c r="ABF18" s="119">
        <v>0</v>
      </c>
      <c r="ABG18" s="121">
        <v>0</v>
      </c>
      <c r="ABH18" s="119">
        <v>0</v>
      </c>
      <c r="ABI18" s="119">
        <v>0</v>
      </c>
      <c r="ABJ18">
        <v>0</v>
      </c>
      <c r="ABK18">
        <v>0</v>
      </c>
      <c r="ABL18">
        <v>0</v>
      </c>
      <c r="ABM18" s="119">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s="116">
        <v>0</v>
      </c>
      <c r="ACL18" s="116">
        <v>0</v>
      </c>
      <c r="ACM18" s="116">
        <v>0</v>
      </c>
      <c r="ACN18" s="116">
        <v>0</v>
      </c>
      <c r="ACO18" s="116">
        <v>0</v>
      </c>
      <c r="ACP18" s="116">
        <v>0</v>
      </c>
      <c r="ACQ18" s="116">
        <v>0</v>
      </c>
      <c r="ACR18" s="116">
        <v>0</v>
      </c>
      <c r="ACS18" s="116">
        <v>0</v>
      </c>
      <c r="ACT18" s="128">
        <v>0</v>
      </c>
      <c r="ACU18" s="128">
        <v>0</v>
      </c>
      <c r="ACV18" s="128">
        <v>0</v>
      </c>
      <c r="ACW18" s="128">
        <v>0</v>
      </c>
      <c r="ACX18">
        <v>0</v>
      </c>
      <c r="ACY18" s="119">
        <v>0</v>
      </c>
      <c r="ACZ18" s="119">
        <v>0</v>
      </c>
      <c r="ADA18" s="119">
        <v>0</v>
      </c>
      <c r="ADB18" s="119">
        <v>0</v>
      </c>
      <c r="ADC18" s="121">
        <v>0</v>
      </c>
      <c r="ADD18" s="119">
        <v>0</v>
      </c>
      <c r="ADE18" s="119">
        <v>0</v>
      </c>
      <c r="ADF18">
        <v>0</v>
      </c>
      <c r="ADG18">
        <v>0</v>
      </c>
      <c r="ADH18">
        <v>0</v>
      </c>
      <c r="ADI18" s="119">
        <v>0</v>
      </c>
      <c r="ADJ18">
        <v>0</v>
      </c>
      <c r="ADK18">
        <v>0</v>
      </c>
      <c r="ADL18">
        <v>0</v>
      </c>
      <c r="ADM18">
        <v>0</v>
      </c>
      <c r="ADN18">
        <v>0</v>
      </c>
      <c r="ADO18">
        <v>0</v>
      </c>
      <c r="ADP18">
        <v>0</v>
      </c>
      <c r="ADQ18">
        <v>0</v>
      </c>
      <c r="ADR18">
        <v>0</v>
      </c>
      <c r="ADS18">
        <v>0</v>
      </c>
      <c r="ADT18">
        <v>0</v>
      </c>
      <c r="ADU18">
        <v>0</v>
      </c>
      <c r="ADV18">
        <v>0</v>
      </c>
      <c r="ADW18">
        <v>0</v>
      </c>
      <c r="ADX18">
        <v>0</v>
      </c>
      <c r="ADY18">
        <v>0</v>
      </c>
      <c r="ADZ18">
        <v>0</v>
      </c>
      <c r="AEA18">
        <v>0</v>
      </c>
      <c r="AEB18">
        <v>0</v>
      </c>
      <c r="AEC18">
        <v>0</v>
      </c>
      <c r="AED18">
        <v>0</v>
      </c>
      <c r="AEE18">
        <v>0</v>
      </c>
      <c r="AEF18">
        <v>0</v>
      </c>
      <c r="AEG18" s="116">
        <v>0</v>
      </c>
      <c r="AEH18" s="116">
        <v>0</v>
      </c>
      <c r="AEI18" s="116">
        <v>0</v>
      </c>
      <c r="AEJ18" s="116">
        <v>0</v>
      </c>
      <c r="AEK18" s="116">
        <v>0</v>
      </c>
      <c r="AEL18" s="116">
        <v>0</v>
      </c>
      <c r="AEM18" s="116">
        <v>0</v>
      </c>
      <c r="AEN18" s="116">
        <v>0</v>
      </c>
      <c r="AEO18" s="116">
        <v>0</v>
      </c>
      <c r="AEP18" s="128">
        <v>0</v>
      </c>
      <c r="AEQ18" s="128">
        <v>0</v>
      </c>
      <c r="AER18" s="128">
        <v>0</v>
      </c>
      <c r="AES18" s="128">
        <v>0</v>
      </c>
      <c r="AET18">
        <v>0</v>
      </c>
      <c r="AEU18" s="119">
        <v>0</v>
      </c>
      <c r="AEV18" s="119">
        <v>0</v>
      </c>
      <c r="AEW18" s="119">
        <v>0</v>
      </c>
      <c r="AEX18" s="119">
        <v>0</v>
      </c>
      <c r="AEY18" s="121">
        <v>0</v>
      </c>
      <c r="AEZ18" s="119">
        <v>0</v>
      </c>
      <c r="AFA18" s="119">
        <v>0</v>
      </c>
      <c r="AFB18">
        <v>0</v>
      </c>
      <c r="AFC18">
        <v>0</v>
      </c>
      <c r="AFD18">
        <v>0</v>
      </c>
      <c r="AFE18" s="119">
        <v>0</v>
      </c>
      <c r="AFF18">
        <v>0</v>
      </c>
      <c r="AFG18">
        <v>0</v>
      </c>
      <c r="AFH18">
        <v>0</v>
      </c>
      <c r="AFI18">
        <v>0</v>
      </c>
      <c r="AFJ18">
        <v>0</v>
      </c>
      <c r="AFK18">
        <v>0</v>
      </c>
      <c r="AFL18">
        <v>0</v>
      </c>
      <c r="AFM18">
        <v>0</v>
      </c>
      <c r="AFN18">
        <v>0</v>
      </c>
      <c r="AFO18">
        <v>0</v>
      </c>
      <c r="AFP18">
        <v>0</v>
      </c>
      <c r="AFQ18">
        <v>0</v>
      </c>
      <c r="AFR18">
        <v>0</v>
      </c>
      <c r="AFS18">
        <v>0</v>
      </c>
      <c r="AFT18">
        <v>0</v>
      </c>
      <c r="AFU18">
        <v>0</v>
      </c>
      <c r="AFV18">
        <v>0</v>
      </c>
      <c r="AFW18">
        <v>0</v>
      </c>
      <c r="AFX18">
        <v>0</v>
      </c>
      <c r="AFY18">
        <v>0</v>
      </c>
      <c r="AFZ18">
        <v>0</v>
      </c>
      <c r="AGA18">
        <v>0</v>
      </c>
      <c r="AGB18">
        <v>0</v>
      </c>
      <c r="AGC18" s="116">
        <v>0</v>
      </c>
      <c r="AGD18" s="116">
        <v>0</v>
      </c>
      <c r="AGE18" s="116">
        <v>0</v>
      </c>
      <c r="AGF18" s="116">
        <v>0</v>
      </c>
      <c r="AGG18" s="116">
        <v>0</v>
      </c>
      <c r="AGH18" s="116">
        <v>0</v>
      </c>
      <c r="AGI18" s="116">
        <v>0</v>
      </c>
      <c r="AGJ18" s="116">
        <v>0</v>
      </c>
      <c r="AGK18" s="116">
        <v>0</v>
      </c>
      <c r="AGL18" s="128">
        <v>0</v>
      </c>
      <c r="AGM18" s="128">
        <v>0</v>
      </c>
      <c r="AGN18" s="128">
        <v>0</v>
      </c>
      <c r="AGO18" s="128">
        <v>0</v>
      </c>
      <c r="AGP18">
        <v>0</v>
      </c>
      <c r="AGQ18" s="119">
        <v>0</v>
      </c>
      <c r="AGR18" s="119">
        <v>0</v>
      </c>
      <c r="AGS18" s="119">
        <v>0</v>
      </c>
      <c r="AGT18" s="119">
        <v>0</v>
      </c>
      <c r="AGU18" s="121">
        <v>0</v>
      </c>
      <c r="AGV18" s="119">
        <v>0</v>
      </c>
      <c r="AGW18" s="119">
        <v>0</v>
      </c>
      <c r="AGX18">
        <v>0</v>
      </c>
      <c r="AGY18">
        <v>0</v>
      </c>
      <c r="AGZ18">
        <v>0</v>
      </c>
      <c r="AHA18" s="119">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A18">
        <v>0</v>
      </c>
      <c r="AIB18">
        <v>0</v>
      </c>
      <c r="AIC18">
        <v>0</v>
      </c>
      <c r="AID18">
        <v>0</v>
      </c>
      <c r="AIE18">
        <v>0</v>
      </c>
      <c r="AIF18">
        <v>0</v>
      </c>
      <c r="AIG18">
        <v>0</v>
      </c>
      <c r="AIH18" s="128">
        <v>0</v>
      </c>
      <c r="AII18" s="128">
        <v>0</v>
      </c>
      <c r="AIJ18" s="128">
        <v>0</v>
      </c>
      <c r="AIK18" s="128">
        <v>0</v>
      </c>
      <c r="AIL18">
        <v>0</v>
      </c>
      <c r="AIM18" s="119">
        <v>0</v>
      </c>
      <c r="AIN18" s="119">
        <v>0</v>
      </c>
      <c r="AIO18" s="119">
        <v>0</v>
      </c>
      <c r="AIP18" s="119">
        <v>0</v>
      </c>
      <c r="AIQ18" s="121">
        <v>0</v>
      </c>
      <c r="AIR18" s="119">
        <v>0</v>
      </c>
      <c r="AIS18" s="119">
        <v>0</v>
      </c>
      <c r="AIT18">
        <v>0</v>
      </c>
      <c r="AIU18">
        <v>0</v>
      </c>
      <c r="AIV18">
        <v>0</v>
      </c>
      <c r="AIW18" s="119">
        <v>0</v>
      </c>
      <c r="AIX18">
        <v>0</v>
      </c>
      <c r="AIY18">
        <v>0</v>
      </c>
      <c r="AIZ18">
        <v>0</v>
      </c>
      <c r="AJA18">
        <v>0</v>
      </c>
      <c r="AJB18">
        <v>0</v>
      </c>
      <c r="AJC18">
        <v>0</v>
      </c>
      <c r="AJD18">
        <v>0</v>
      </c>
      <c r="AJE18">
        <v>0</v>
      </c>
      <c r="AJF18">
        <v>0</v>
      </c>
      <c r="AJG18">
        <v>0</v>
      </c>
      <c r="AJH18">
        <v>0</v>
      </c>
      <c r="AJI18">
        <v>0</v>
      </c>
      <c r="AJJ18">
        <v>0</v>
      </c>
      <c r="AJK18">
        <v>0</v>
      </c>
      <c r="AJL18">
        <v>0</v>
      </c>
      <c r="AJM18">
        <v>0</v>
      </c>
      <c r="AJN18">
        <v>0</v>
      </c>
      <c r="AJO18">
        <v>0</v>
      </c>
      <c r="AJP18">
        <v>0</v>
      </c>
      <c r="AJQ18">
        <v>0</v>
      </c>
      <c r="AJR18">
        <v>0</v>
      </c>
      <c r="AJS18">
        <v>0</v>
      </c>
      <c r="AJT18">
        <v>0</v>
      </c>
      <c r="AJU18" s="116">
        <v>0</v>
      </c>
      <c r="AJV18" s="116">
        <v>0</v>
      </c>
      <c r="AJW18" s="116">
        <v>0</v>
      </c>
      <c r="AJX18" s="116">
        <v>0</v>
      </c>
      <c r="AJY18" s="116">
        <v>0</v>
      </c>
      <c r="AJZ18" s="116">
        <v>0</v>
      </c>
      <c r="AKA18" s="116">
        <v>0</v>
      </c>
      <c r="AKB18" s="116">
        <v>0</v>
      </c>
      <c r="AKC18" s="116">
        <v>0</v>
      </c>
      <c r="AKD18" s="128">
        <v>0</v>
      </c>
      <c r="AKE18" s="128">
        <v>0</v>
      </c>
      <c r="AKF18" s="128">
        <v>0</v>
      </c>
      <c r="AKG18" s="128">
        <v>0</v>
      </c>
      <c r="AKH18">
        <v>0</v>
      </c>
      <c r="AKI18" s="119">
        <v>0</v>
      </c>
      <c r="AKJ18" s="119">
        <v>0</v>
      </c>
      <c r="AKK18" s="119">
        <v>0</v>
      </c>
      <c r="AKL18" s="119">
        <v>0</v>
      </c>
      <c r="AKM18" s="121">
        <v>0</v>
      </c>
      <c r="AKN18" s="119">
        <v>0</v>
      </c>
      <c r="AKO18" s="119">
        <v>0</v>
      </c>
      <c r="AKP18">
        <v>0</v>
      </c>
      <c r="AKQ18">
        <v>0</v>
      </c>
      <c r="AKR18">
        <v>0</v>
      </c>
      <c r="AKS18" s="119">
        <v>0</v>
      </c>
      <c r="AKT18">
        <v>0</v>
      </c>
      <c r="AKU18">
        <v>0</v>
      </c>
      <c r="AKV18">
        <v>0</v>
      </c>
      <c r="AKW18">
        <v>0</v>
      </c>
      <c r="AKX18">
        <v>0</v>
      </c>
      <c r="AKY18">
        <v>0</v>
      </c>
      <c r="AKZ18">
        <v>0</v>
      </c>
      <c r="ALA18">
        <v>0</v>
      </c>
      <c r="ALB18">
        <v>0</v>
      </c>
      <c r="ALC18">
        <v>0</v>
      </c>
      <c r="ALD18">
        <v>0</v>
      </c>
      <c r="ALE18">
        <v>0</v>
      </c>
      <c r="ALF18">
        <v>0</v>
      </c>
      <c r="ALG18">
        <v>0</v>
      </c>
      <c r="ALH18">
        <v>0</v>
      </c>
      <c r="ALI18">
        <v>0</v>
      </c>
      <c r="ALJ18">
        <v>0</v>
      </c>
      <c r="ALK18">
        <v>0</v>
      </c>
      <c r="ALL18">
        <v>0</v>
      </c>
      <c r="ALM18">
        <v>0</v>
      </c>
      <c r="ALN18">
        <v>0</v>
      </c>
      <c r="ALO18">
        <v>0</v>
      </c>
      <c r="ALP18">
        <v>0</v>
      </c>
      <c r="ALQ18" s="116">
        <v>0</v>
      </c>
      <c r="ALR18" s="116">
        <v>0</v>
      </c>
      <c r="ALS18" s="116">
        <v>0</v>
      </c>
      <c r="ALT18" s="116">
        <v>0</v>
      </c>
      <c r="ALU18" s="116">
        <v>0</v>
      </c>
      <c r="ALV18" s="116">
        <v>0</v>
      </c>
      <c r="ALW18" s="116">
        <v>0</v>
      </c>
      <c r="ALX18" s="116">
        <v>0</v>
      </c>
      <c r="ALY18" s="116">
        <v>0</v>
      </c>
      <c r="ALZ18" s="128">
        <v>0</v>
      </c>
      <c r="AMA18" s="128">
        <v>0</v>
      </c>
      <c r="AMB18" s="128">
        <v>0</v>
      </c>
      <c r="AMC18" s="128">
        <v>0</v>
      </c>
      <c r="AMD18">
        <v>0</v>
      </c>
      <c r="AME18" s="119">
        <v>0</v>
      </c>
      <c r="AMF18" s="119">
        <v>0</v>
      </c>
      <c r="AMG18" s="119">
        <v>0</v>
      </c>
      <c r="AMH18" s="119">
        <v>0</v>
      </c>
      <c r="AMI18" s="121">
        <v>0</v>
      </c>
      <c r="AMJ18" s="119">
        <v>0</v>
      </c>
      <c r="AMK18" s="119">
        <v>0</v>
      </c>
      <c r="AML18">
        <v>0</v>
      </c>
      <c r="AMM18">
        <v>0</v>
      </c>
      <c r="AMN18">
        <v>0</v>
      </c>
      <c r="AMO18" s="119">
        <v>0</v>
      </c>
      <c r="AMP18">
        <v>0</v>
      </c>
      <c r="AMQ18">
        <v>0</v>
      </c>
      <c r="AMR18">
        <v>0</v>
      </c>
      <c r="AMS18">
        <v>0</v>
      </c>
      <c r="AMT18">
        <v>0</v>
      </c>
      <c r="AMU18">
        <v>0</v>
      </c>
      <c r="AMV18">
        <v>0</v>
      </c>
      <c r="AMW18">
        <v>0</v>
      </c>
      <c r="AMX18">
        <v>0</v>
      </c>
      <c r="AMY18">
        <v>0</v>
      </c>
      <c r="AMZ18">
        <v>0</v>
      </c>
      <c r="ANA18">
        <v>0</v>
      </c>
      <c r="ANB18">
        <v>0</v>
      </c>
      <c r="ANC18">
        <v>0</v>
      </c>
      <c r="AND18">
        <v>0</v>
      </c>
      <c r="ANE18">
        <v>0</v>
      </c>
      <c r="ANF18">
        <v>0</v>
      </c>
      <c r="ANG18">
        <v>0</v>
      </c>
      <c r="ANH18">
        <v>0</v>
      </c>
      <c r="ANI18">
        <v>0</v>
      </c>
      <c r="ANJ18">
        <v>0</v>
      </c>
      <c r="ANK18">
        <v>0</v>
      </c>
      <c r="ANL18">
        <v>0</v>
      </c>
      <c r="ANM18" s="116">
        <v>0</v>
      </c>
      <c r="ANN18" s="116">
        <v>0</v>
      </c>
      <c r="ANO18" s="116">
        <v>0</v>
      </c>
      <c r="ANP18" s="116">
        <v>0</v>
      </c>
      <c r="ANQ18" s="116">
        <v>0</v>
      </c>
      <c r="ANR18" s="116">
        <v>0</v>
      </c>
      <c r="ANS18" s="116">
        <v>0</v>
      </c>
      <c r="ANT18" s="116">
        <v>0</v>
      </c>
      <c r="ANU18" s="116">
        <v>0</v>
      </c>
      <c r="ANV18" s="128">
        <v>0</v>
      </c>
      <c r="ANW18" s="128">
        <v>0</v>
      </c>
      <c r="ANX18" s="128">
        <v>0</v>
      </c>
      <c r="ANY18" s="128">
        <v>0</v>
      </c>
      <c r="ANZ18">
        <v>0</v>
      </c>
      <c r="AOA18" s="119">
        <v>0</v>
      </c>
      <c r="AOB18" s="119">
        <v>0</v>
      </c>
      <c r="AOC18" s="119">
        <v>0</v>
      </c>
      <c r="AOD18" s="119">
        <v>0</v>
      </c>
      <c r="AOE18" s="121">
        <v>0</v>
      </c>
      <c r="AOF18" s="119">
        <v>0</v>
      </c>
      <c r="AOG18" s="119">
        <v>0</v>
      </c>
      <c r="AOH18">
        <v>0</v>
      </c>
      <c r="AOI18">
        <v>0</v>
      </c>
      <c r="AOJ18">
        <v>0</v>
      </c>
      <c r="AOK18" s="119">
        <v>0</v>
      </c>
      <c r="AOL18">
        <v>0</v>
      </c>
      <c r="AOM18">
        <v>0</v>
      </c>
      <c r="AON18">
        <v>0</v>
      </c>
      <c r="AOO18">
        <v>0</v>
      </c>
      <c r="AOP18">
        <v>0</v>
      </c>
      <c r="AOQ18">
        <v>0</v>
      </c>
      <c r="AOR18">
        <v>0</v>
      </c>
      <c r="AOS18">
        <v>0</v>
      </c>
      <c r="AOT18">
        <v>0</v>
      </c>
      <c r="AOU18">
        <v>0</v>
      </c>
      <c r="AOV18">
        <v>0</v>
      </c>
      <c r="AOW18">
        <v>0</v>
      </c>
      <c r="AOX18">
        <v>0</v>
      </c>
      <c r="AOY18">
        <v>0</v>
      </c>
      <c r="AOZ18">
        <v>0</v>
      </c>
      <c r="APA18">
        <v>0</v>
      </c>
      <c r="APB18">
        <v>0</v>
      </c>
      <c r="APC18">
        <v>0</v>
      </c>
      <c r="APD18">
        <v>0</v>
      </c>
      <c r="APE18">
        <v>0</v>
      </c>
      <c r="APF18">
        <v>0</v>
      </c>
      <c r="APG18">
        <v>0</v>
      </c>
      <c r="APH18">
        <v>0</v>
      </c>
      <c r="API18" s="116">
        <v>0</v>
      </c>
      <c r="APJ18" s="116">
        <v>0</v>
      </c>
      <c r="APK18" s="116">
        <v>0</v>
      </c>
      <c r="APL18" s="116">
        <v>0</v>
      </c>
      <c r="APM18" s="116">
        <v>0</v>
      </c>
      <c r="APN18" s="116">
        <v>0</v>
      </c>
      <c r="APO18" s="116">
        <v>0</v>
      </c>
      <c r="APP18" s="116">
        <v>0</v>
      </c>
      <c r="APQ18" s="116">
        <v>0</v>
      </c>
      <c r="APR18" s="128">
        <v>0</v>
      </c>
      <c r="APS18" s="128">
        <v>0</v>
      </c>
      <c r="APT18" s="128">
        <v>0</v>
      </c>
      <c r="APU18" s="128">
        <v>0</v>
      </c>
      <c r="APV18">
        <v>0</v>
      </c>
      <c r="APW18" s="119">
        <v>0</v>
      </c>
      <c r="APX18" s="119">
        <v>0</v>
      </c>
      <c r="APY18" s="119">
        <v>0</v>
      </c>
      <c r="APZ18" s="119">
        <v>0</v>
      </c>
      <c r="AQA18" s="121">
        <v>0</v>
      </c>
      <c r="AQB18" s="119">
        <v>0</v>
      </c>
      <c r="AQC18" s="119">
        <v>0</v>
      </c>
      <c r="AQD18">
        <v>0</v>
      </c>
      <c r="AQE18">
        <v>0</v>
      </c>
      <c r="AQF18">
        <v>0</v>
      </c>
      <c r="AQG18" s="119">
        <v>0</v>
      </c>
      <c r="AQH18">
        <v>0</v>
      </c>
      <c r="AQI18">
        <v>0</v>
      </c>
      <c r="AQJ18">
        <v>0</v>
      </c>
      <c r="AQK18">
        <v>0</v>
      </c>
      <c r="AQL18">
        <v>0</v>
      </c>
      <c r="AQM18">
        <v>0</v>
      </c>
      <c r="AQN18">
        <v>0</v>
      </c>
      <c r="AQO18">
        <v>0</v>
      </c>
      <c r="AQP18">
        <v>0</v>
      </c>
      <c r="AQQ18">
        <v>0</v>
      </c>
      <c r="AQR18">
        <v>0</v>
      </c>
      <c r="AQS18">
        <v>0</v>
      </c>
      <c r="AQT18">
        <v>0</v>
      </c>
      <c r="AQU18">
        <v>0</v>
      </c>
      <c r="AQV18">
        <v>0</v>
      </c>
      <c r="AQW18">
        <v>0</v>
      </c>
      <c r="AQX18">
        <v>0</v>
      </c>
      <c r="AQY18">
        <v>0</v>
      </c>
      <c r="AQZ18">
        <v>0</v>
      </c>
      <c r="ARA18">
        <v>0</v>
      </c>
      <c r="ARB18">
        <v>0</v>
      </c>
      <c r="ARC18">
        <v>0</v>
      </c>
      <c r="ARD18">
        <v>0</v>
      </c>
      <c r="ARE18">
        <v>0</v>
      </c>
      <c r="ARF18">
        <v>0</v>
      </c>
      <c r="ARG18">
        <v>0</v>
      </c>
      <c r="ARH18">
        <v>0</v>
      </c>
      <c r="ARI18">
        <v>0</v>
      </c>
      <c r="ARJ18">
        <v>0</v>
      </c>
      <c r="ARK18">
        <v>0</v>
      </c>
      <c r="ARL18">
        <v>0</v>
      </c>
      <c r="ARM18">
        <v>0</v>
      </c>
      <c r="ARN18" s="128">
        <v>0</v>
      </c>
      <c r="ARO18" s="128">
        <v>0</v>
      </c>
      <c r="ARP18" s="128">
        <v>0</v>
      </c>
      <c r="ARQ18" s="128">
        <v>0</v>
      </c>
      <c r="ARR18">
        <v>0</v>
      </c>
      <c r="ARS18" s="119">
        <v>0</v>
      </c>
      <c r="ART18" s="119">
        <v>0</v>
      </c>
      <c r="ARU18" s="119">
        <v>0</v>
      </c>
      <c r="ARV18" s="119">
        <v>0</v>
      </c>
      <c r="ARW18" s="121">
        <v>0</v>
      </c>
      <c r="ARX18" s="119">
        <v>0</v>
      </c>
      <c r="ARY18" s="119">
        <v>0</v>
      </c>
      <c r="ARZ18">
        <v>0</v>
      </c>
      <c r="ASA18">
        <v>0</v>
      </c>
      <c r="ASB18">
        <v>0</v>
      </c>
      <c r="ASC18" s="119">
        <v>0</v>
      </c>
      <c r="ASD18">
        <v>0</v>
      </c>
      <c r="ASE18">
        <v>0</v>
      </c>
      <c r="ASF18">
        <v>0</v>
      </c>
      <c r="ASG18">
        <v>0</v>
      </c>
      <c r="ASH18">
        <v>0</v>
      </c>
      <c r="ASI18">
        <v>0</v>
      </c>
      <c r="ASJ18">
        <v>0</v>
      </c>
      <c r="ASK18">
        <v>0</v>
      </c>
      <c r="ASL18">
        <v>0</v>
      </c>
      <c r="ASM18">
        <v>0</v>
      </c>
      <c r="ASN18">
        <v>0</v>
      </c>
      <c r="ASO18">
        <v>0</v>
      </c>
      <c r="ASP18">
        <v>0</v>
      </c>
      <c r="ASQ18">
        <v>0</v>
      </c>
      <c r="ASR18">
        <v>0</v>
      </c>
      <c r="ASS18">
        <v>0</v>
      </c>
      <c r="AST18">
        <v>0</v>
      </c>
      <c r="ASU18">
        <v>0</v>
      </c>
      <c r="ASV18">
        <v>0</v>
      </c>
      <c r="ASW18">
        <v>0</v>
      </c>
      <c r="ASX18">
        <v>0</v>
      </c>
      <c r="ASY18">
        <v>0</v>
      </c>
      <c r="ASZ18">
        <v>0</v>
      </c>
      <c r="ATA18" s="116">
        <v>0</v>
      </c>
      <c r="ATB18" s="116">
        <v>0</v>
      </c>
      <c r="ATC18" s="116">
        <v>0</v>
      </c>
      <c r="ATD18" s="116">
        <v>0</v>
      </c>
      <c r="ATE18" s="116">
        <v>0</v>
      </c>
      <c r="ATF18" s="116">
        <v>0</v>
      </c>
      <c r="ATG18" s="116">
        <v>0</v>
      </c>
      <c r="ATH18" s="116">
        <v>0</v>
      </c>
      <c r="ATI18" s="116">
        <v>0</v>
      </c>
      <c r="ATJ18" s="128">
        <v>0</v>
      </c>
      <c r="ATK18" s="128">
        <v>0</v>
      </c>
      <c r="ATL18" s="128">
        <v>0</v>
      </c>
      <c r="ATM18" s="128">
        <v>0</v>
      </c>
      <c r="ATN18">
        <v>0</v>
      </c>
      <c r="ATO18" s="119">
        <v>0</v>
      </c>
      <c r="ATP18" s="119">
        <v>0</v>
      </c>
      <c r="ATQ18" s="119">
        <v>0</v>
      </c>
      <c r="ATR18" s="119">
        <v>0</v>
      </c>
      <c r="ATS18" s="121">
        <v>0</v>
      </c>
      <c r="ATT18" s="119">
        <v>0</v>
      </c>
      <c r="ATU18" s="119">
        <v>0</v>
      </c>
      <c r="ATV18">
        <v>0</v>
      </c>
      <c r="ATW18">
        <v>0</v>
      </c>
      <c r="ATX18">
        <v>0</v>
      </c>
      <c r="ATY18" s="119">
        <v>0</v>
      </c>
      <c r="ATZ18">
        <v>0</v>
      </c>
      <c r="AUA18">
        <v>0</v>
      </c>
      <c r="AUB18">
        <v>0</v>
      </c>
      <c r="AUC18">
        <v>0</v>
      </c>
      <c r="AUD18">
        <v>0</v>
      </c>
      <c r="AUE18">
        <v>0</v>
      </c>
      <c r="AUF18">
        <v>0</v>
      </c>
      <c r="AUG18">
        <v>0</v>
      </c>
      <c r="AUH18">
        <v>0</v>
      </c>
      <c r="AUI18">
        <v>0</v>
      </c>
      <c r="AUJ18">
        <v>0</v>
      </c>
      <c r="AUK18">
        <v>0</v>
      </c>
      <c r="AUL18">
        <v>0</v>
      </c>
      <c r="AUM18">
        <v>0</v>
      </c>
      <c r="AUN18">
        <v>0</v>
      </c>
      <c r="AUO18">
        <v>0</v>
      </c>
      <c r="AUP18">
        <v>0</v>
      </c>
      <c r="AUQ18">
        <v>0</v>
      </c>
      <c r="AUR18">
        <v>0</v>
      </c>
      <c r="AUS18">
        <v>0</v>
      </c>
      <c r="AUT18">
        <v>0</v>
      </c>
      <c r="AUU18">
        <v>0</v>
      </c>
      <c r="AUV18">
        <v>0</v>
      </c>
      <c r="AUW18" s="116">
        <v>0</v>
      </c>
      <c r="AUX18" s="116">
        <v>0</v>
      </c>
      <c r="AUY18" s="116">
        <v>0</v>
      </c>
      <c r="AUZ18" s="116">
        <v>0</v>
      </c>
      <c r="AVA18" s="116">
        <v>0</v>
      </c>
      <c r="AVB18" s="116">
        <v>0</v>
      </c>
      <c r="AVC18" s="116">
        <v>0</v>
      </c>
      <c r="AVD18" s="116">
        <v>0</v>
      </c>
      <c r="AVE18" s="116">
        <v>0</v>
      </c>
      <c r="AVF18" s="128">
        <v>0</v>
      </c>
      <c r="AVG18" s="128">
        <v>0</v>
      </c>
      <c r="AVH18" s="128">
        <v>0</v>
      </c>
      <c r="AVI18" s="128">
        <v>0</v>
      </c>
      <c r="AVJ18">
        <v>0</v>
      </c>
      <c r="AVK18" s="119">
        <v>0</v>
      </c>
      <c r="AVL18" s="119">
        <v>0</v>
      </c>
      <c r="AVM18" s="119">
        <v>0</v>
      </c>
      <c r="AVN18" s="119">
        <v>0</v>
      </c>
      <c r="AVO18" s="121">
        <v>0</v>
      </c>
      <c r="AVP18" s="119">
        <v>0</v>
      </c>
      <c r="AVQ18" s="119">
        <v>0</v>
      </c>
      <c r="AVR18">
        <v>0</v>
      </c>
      <c r="AVS18">
        <v>0</v>
      </c>
      <c r="AVT18">
        <v>0</v>
      </c>
      <c r="AVU18" s="119">
        <v>0</v>
      </c>
      <c r="AVV18">
        <v>0</v>
      </c>
      <c r="AVW18">
        <v>0</v>
      </c>
      <c r="AVX18">
        <v>0</v>
      </c>
      <c r="AVY18">
        <v>0</v>
      </c>
      <c r="AVZ18">
        <v>0</v>
      </c>
      <c r="AWA18">
        <v>0</v>
      </c>
      <c r="AWB18">
        <v>0</v>
      </c>
      <c r="AWC18">
        <v>0</v>
      </c>
      <c r="AWD18">
        <v>0</v>
      </c>
      <c r="AWE18">
        <v>0</v>
      </c>
      <c r="AWF18">
        <v>0</v>
      </c>
      <c r="AWG18">
        <v>0</v>
      </c>
      <c r="AWH18">
        <v>0</v>
      </c>
      <c r="AWI18">
        <v>0</v>
      </c>
      <c r="AWJ18">
        <v>0</v>
      </c>
      <c r="AWK18">
        <v>0</v>
      </c>
      <c r="AWL18">
        <v>0</v>
      </c>
      <c r="AWM18">
        <v>0</v>
      </c>
      <c r="AWN18">
        <v>0</v>
      </c>
      <c r="AWO18">
        <v>0</v>
      </c>
      <c r="AWP18">
        <v>0</v>
      </c>
      <c r="AWQ18">
        <v>0</v>
      </c>
      <c r="AWR18">
        <v>0</v>
      </c>
      <c r="AWS18" s="116">
        <v>0</v>
      </c>
      <c r="AWT18" s="116">
        <v>0</v>
      </c>
      <c r="AWU18" s="116">
        <v>0</v>
      </c>
      <c r="AWV18" s="116">
        <v>0</v>
      </c>
      <c r="AWW18" s="116">
        <v>0</v>
      </c>
      <c r="AWX18" s="116">
        <v>0</v>
      </c>
      <c r="AWY18" s="116">
        <v>0</v>
      </c>
      <c r="AWZ18" s="116">
        <v>0</v>
      </c>
      <c r="AXA18" s="116">
        <v>0</v>
      </c>
      <c r="AXB18" s="128">
        <v>0</v>
      </c>
      <c r="AXC18" s="128">
        <v>0</v>
      </c>
      <c r="AXD18" s="128">
        <v>0</v>
      </c>
      <c r="AXE18" s="128">
        <v>0</v>
      </c>
      <c r="AXF18">
        <v>0</v>
      </c>
      <c r="AXG18" s="119">
        <v>0</v>
      </c>
      <c r="AXH18" s="119">
        <v>0</v>
      </c>
      <c r="AXI18" s="119">
        <v>0</v>
      </c>
      <c r="AXJ18" s="119">
        <v>0</v>
      </c>
      <c r="AXK18" s="121">
        <v>0</v>
      </c>
      <c r="AXL18" s="119">
        <v>0</v>
      </c>
      <c r="AXM18" s="119">
        <v>0</v>
      </c>
      <c r="AXN18">
        <v>0</v>
      </c>
      <c r="AXO18">
        <v>0</v>
      </c>
      <c r="AXP18">
        <v>0</v>
      </c>
      <c r="AXQ18" s="119">
        <v>0</v>
      </c>
      <c r="AXR18">
        <v>0</v>
      </c>
      <c r="AXS18">
        <v>0</v>
      </c>
      <c r="AXT18">
        <v>0</v>
      </c>
      <c r="AXU18">
        <v>0</v>
      </c>
      <c r="AXV18">
        <v>0</v>
      </c>
      <c r="AXW18">
        <v>0</v>
      </c>
      <c r="AXX18">
        <v>0</v>
      </c>
      <c r="AXY18">
        <v>0</v>
      </c>
      <c r="AXZ18">
        <v>0</v>
      </c>
      <c r="AYA18">
        <v>0</v>
      </c>
      <c r="AYB18">
        <v>0</v>
      </c>
      <c r="AYC18">
        <v>0</v>
      </c>
      <c r="AYD18">
        <v>0</v>
      </c>
      <c r="AYE18">
        <v>0</v>
      </c>
      <c r="AYF18">
        <v>0</v>
      </c>
      <c r="AYG18">
        <v>0</v>
      </c>
      <c r="AYH18">
        <v>0</v>
      </c>
      <c r="AYI18">
        <v>0</v>
      </c>
      <c r="AYJ18">
        <v>0</v>
      </c>
      <c r="AYK18">
        <v>0</v>
      </c>
      <c r="AYL18">
        <v>0</v>
      </c>
      <c r="AYM18">
        <v>0</v>
      </c>
      <c r="AYN18">
        <v>0</v>
      </c>
      <c r="AYO18" s="116">
        <v>0</v>
      </c>
      <c r="AYP18" s="116">
        <v>0</v>
      </c>
      <c r="AYQ18" s="116">
        <v>0</v>
      </c>
      <c r="AYR18" s="116">
        <v>0</v>
      </c>
      <c r="AYS18" s="116">
        <v>0</v>
      </c>
      <c r="AYT18" s="116">
        <v>0</v>
      </c>
      <c r="AYU18" s="116">
        <v>0</v>
      </c>
      <c r="AYV18" s="116">
        <v>0</v>
      </c>
      <c r="AYW18" s="116">
        <v>0</v>
      </c>
      <c r="AYX18" s="128">
        <v>0</v>
      </c>
      <c r="AYY18" s="128">
        <v>0</v>
      </c>
      <c r="AYZ18" s="128">
        <v>0</v>
      </c>
      <c r="AZA18" s="128">
        <v>0</v>
      </c>
      <c r="AZB18">
        <v>0</v>
      </c>
      <c r="AZC18" s="119">
        <v>0</v>
      </c>
      <c r="AZD18" s="119">
        <v>0</v>
      </c>
      <c r="AZE18" s="119">
        <v>0</v>
      </c>
      <c r="AZF18" s="119">
        <v>0</v>
      </c>
      <c r="AZG18" s="121">
        <v>0</v>
      </c>
      <c r="AZH18" s="119">
        <v>0</v>
      </c>
      <c r="AZI18" s="119">
        <v>0</v>
      </c>
      <c r="AZJ18">
        <v>0</v>
      </c>
      <c r="AZK18">
        <v>0</v>
      </c>
      <c r="AZL18">
        <v>0</v>
      </c>
      <c r="AZM18" s="119">
        <v>0</v>
      </c>
      <c r="AZN18">
        <v>0</v>
      </c>
      <c r="AZO18">
        <v>0</v>
      </c>
      <c r="AZP18">
        <v>0</v>
      </c>
      <c r="AZQ18">
        <v>0</v>
      </c>
      <c r="AZR18">
        <v>0</v>
      </c>
      <c r="AZS18">
        <v>0</v>
      </c>
      <c r="AZT18">
        <v>0</v>
      </c>
      <c r="AZU18">
        <v>0</v>
      </c>
      <c r="AZV18">
        <v>0</v>
      </c>
      <c r="AZW18">
        <v>0</v>
      </c>
      <c r="AZX18">
        <v>0</v>
      </c>
      <c r="AZY18">
        <v>0</v>
      </c>
      <c r="AZZ18">
        <v>0</v>
      </c>
      <c r="BAA18">
        <v>0</v>
      </c>
      <c r="BAB18">
        <v>0</v>
      </c>
      <c r="BAC18">
        <v>0</v>
      </c>
      <c r="BAD18">
        <v>0</v>
      </c>
      <c r="BAE18">
        <v>0</v>
      </c>
      <c r="BAF18">
        <v>0</v>
      </c>
      <c r="BAG18">
        <v>0</v>
      </c>
      <c r="BAH18">
        <v>0</v>
      </c>
      <c r="BAI18">
        <v>0</v>
      </c>
      <c r="BAJ18">
        <v>0</v>
      </c>
      <c r="BAK18">
        <v>353857</v>
      </c>
      <c r="BAL18" s="120">
        <v>11043.68</v>
      </c>
      <c r="BAM18" s="120">
        <v>10393.68</v>
      </c>
      <c r="BAN18" s="120">
        <v>764</v>
      </c>
      <c r="BAO18" s="120">
        <v>0</v>
      </c>
      <c r="BAP18" s="120">
        <v>90</v>
      </c>
      <c r="BAQ18" s="120">
        <v>90</v>
      </c>
      <c r="BAR18">
        <v>0</v>
      </c>
      <c r="BAS18">
        <v>0</v>
      </c>
      <c r="BAT18">
        <v>0</v>
      </c>
      <c r="BAU18">
        <v>0</v>
      </c>
      <c r="BAV18">
        <v>0</v>
      </c>
      <c r="BAW18">
        <v>0</v>
      </c>
      <c r="BAX18">
        <v>0</v>
      </c>
      <c r="BAY18">
        <v>0</v>
      </c>
      <c r="BAZ18">
        <v>0</v>
      </c>
      <c r="BBA18">
        <v>0</v>
      </c>
      <c r="BBB18">
        <v>0</v>
      </c>
      <c r="BBC18">
        <v>0</v>
      </c>
      <c r="BBD18">
        <v>0</v>
      </c>
      <c r="BBE18">
        <v>0</v>
      </c>
      <c r="BBF18">
        <v>0</v>
      </c>
      <c r="BBG18">
        <v>0</v>
      </c>
      <c r="BBH18">
        <v>0</v>
      </c>
      <c r="BBI18">
        <v>0</v>
      </c>
      <c r="BBJ18">
        <v>0</v>
      </c>
      <c r="BBK18">
        <v>0</v>
      </c>
      <c r="BBL18">
        <v>0</v>
      </c>
      <c r="BBM18">
        <v>0</v>
      </c>
      <c r="BBN18">
        <v>0</v>
      </c>
      <c r="BBO18">
        <v>0</v>
      </c>
      <c r="BBP18">
        <v>0</v>
      </c>
      <c r="BBQ18">
        <v>0</v>
      </c>
      <c r="BBR18">
        <v>0</v>
      </c>
      <c r="BBS18">
        <v>0</v>
      </c>
      <c r="BBT18">
        <v>0</v>
      </c>
      <c r="BBU18">
        <v>0</v>
      </c>
      <c r="BBV18">
        <v>0</v>
      </c>
      <c r="BBW18">
        <v>0</v>
      </c>
      <c r="BBX18">
        <v>0</v>
      </c>
      <c r="BBY18">
        <v>0</v>
      </c>
      <c r="BBZ18">
        <v>0</v>
      </c>
      <c r="BCA18">
        <v>0</v>
      </c>
      <c r="BCB18">
        <v>0</v>
      </c>
      <c r="BCC18">
        <v>0</v>
      </c>
      <c r="BCD18">
        <v>0</v>
      </c>
      <c r="BCE18">
        <v>0</v>
      </c>
      <c r="BCF18">
        <v>0</v>
      </c>
      <c r="BCG18">
        <v>0</v>
      </c>
      <c r="BCH18">
        <v>0</v>
      </c>
      <c r="BCI18">
        <v>0</v>
      </c>
      <c r="BCJ18">
        <v>0</v>
      </c>
      <c r="BCK18">
        <v>0</v>
      </c>
      <c r="BCL18">
        <v>0</v>
      </c>
      <c r="BCM18">
        <v>0</v>
      </c>
      <c r="BCN18">
        <v>0</v>
      </c>
      <c r="BCO18">
        <v>0</v>
      </c>
      <c r="BCP18">
        <v>0</v>
      </c>
      <c r="BCQ18">
        <v>0</v>
      </c>
      <c r="BCR18">
        <v>0</v>
      </c>
      <c r="BCS18">
        <v>0</v>
      </c>
      <c r="BCT18">
        <v>0</v>
      </c>
      <c r="BCU18">
        <v>0</v>
      </c>
      <c r="BCV18">
        <v>0</v>
      </c>
      <c r="BCW18">
        <v>0</v>
      </c>
      <c r="BCX18">
        <v>0</v>
      </c>
      <c r="BCY18">
        <v>0</v>
      </c>
      <c r="BCZ18">
        <v>0</v>
      </c>
      <c r="BDA18">
        <v>0</v>
      </c>
      <c r="BDB18">
        <v>0</v>
      </c>
      <c r="BDC18">
        <v>0</v>
      </c>
      <c r="BDD18">
        <v>0</v>
      </c>
      <c r="BDE18">
        <v>0</v>
      </c>
      <c r="BDF18">
        <v>0</v>
      </c>
      <c r="BDG18">
        <v>0</v>
      </c>
      <c r="BDH18">
        <v>0</v>
      </c>
      <c r="BDI18">
        <v>0</v>
      </c>
      <c r="BDJ18">
        <v>0</v>
      </c>
      <c r="BDK18">
        <v>0</v>
      </c>
      <c r="BDL18">
        <v>0</v>
      </c>
      <c r="BDM18">
        <v>0</v>
      </c>
      <c r="BDN18">
        <v>0</v>
      </c>
      <c r="BDO18">
        <v>0</v>
      </c>
      <c r="BDP18">
        <v>0</v>
      </c>
      <c r="BDQ18">
        <v>0</v>
      </c>
      <c r="BDR18">
        <v>0</v>
      </c>
      <c r="BDS18">
        <v>0</v>
      </c>
      <c r="BDT18">
        <v>0</v>
      </c>
      <c r="BDU18">
        <v>0</v>
      </c>
      <c r="BDV18">
        <v>0</v>
      </c>
      <c r="BDW18">
        <v>0</v>
      </c>
      <c r="BDX18">
        <v>0</v>
      </c>
      <c r="BDY18">
        <v>0</v>
      </c>
      <c r="BDZ18">
        <v>0</v>
      </c>
      <c r="BEA18">
        <v>0</v>
      </c>
      <c r="BEB18">
        <v>0</v>
      </c>
      <c r="BEC18">
        <v>0</v>
      </c>
      <c r="BED18">
        <v>0</v>
      </c>
      <c r="BEE18">
        <v>0</v>
      </c>
      <c r="BEF18">
        <v>0</v>
      </c>
      <c r="BEG18">
        <v>0</v>
      </c>
      <c r="BEH18">
        <v>0</v>
      </c>
      <c r="BEI18">
        <v>0</v>
      </c>
      <c r="BEJ18">
        <v>0</v>
      </c>
      <c r="BEK18">
        <v>0</v>
      </c>
      <c r="BEL18">
        <v>0</v>
      </c>
      <c r="BEM18">
        <v>0</v>
      </c>
      <c r="BEN18" t="s">
        <v>2403</v>
      </c>
      <c r="BEO18">
        <v>0</v>
      </c>
      <c r="BEP18">
        <v>0</v>
      </c>
      <c r="BEQ18">
        <v>0</v>
      </c>
      <c r="BER18">
        <v>0</v>
      </c>
      <c r="BES18">
        <v>0</v>
      </c>
      <c r="BET18">
        <v>0</v>
      </c>
      <c r="BEU18">
        <v>0</v>
      </c>
      <c r="BEV18">
        <v>0</v>
      </c>
      <c r="BEW18">
        <v>0</v>
      </c>
      <c r="BEX18">
        <v>0</v>
      </c>
      <c r="BEY18">
        <v>0</v>
      </c>
      <c r="BEZ18">
        <v>0</v>
      </c>
      <c r="BFA18">
        <v>0</v>
      </c>
      <c r="BFB18">
        <v>0</v>
      </c>
      <c r="BFC18">
        <v>0</v>
      </c>
      <c r="BFD18" t="b">
        <v>0</v>
      </c>
      <c r="BFE18" t="b">
        <v>0</v>
      </c>
      <c r="BFF18" t="b">
        <v>0</v>
      </c>
      <c r="BFG18" t="b">
        <v>0</v>
      </c>
      <c r="BFH18">
        <v>0</v>
      </c>
      <c r="BFI18">
        <v>0</v>
      </c>
      <c r="BFJ18">
        <v>0</v>
      </c>
      <c r="BFK18">
        <v>0</v>
      </c>
      <c r="BFL18">
        <v>0</v>
      </c>
      <c r="BFM18">
        <v>0</v>
      </c>
      <c r="BFN18">
        <v>0</v>
      </c>
      <c r="BFO18">
        <v>0</v>
      </c>
      <c r="BFP18">
        <v>0</v>
      </c>
      <c r="BFQ18">
        <v>0</v>
      </c>
      <c r="BFR18">
        <v>0</v>
      </c>
      <c r="BFS18">
        <v>0</v>
      </c>
      <c r="BFT18">
        <v>0</v>
      </c>
      <c r="BFU18">
        <v>0</v>
      </c>
      <c r="BFV18">
        <v>0</v>
      </c>
      <c r="BFW18">
        <v>0</v>
      </c>
      <c r="BFX18">
        <v>0</v>
      </c>
      <c r="BFY18">
        <v>0</v>
      </c>
    </row>
    <row r="19" spans="1:1533" ht="18.75" customHeight="1" x14ac:dyDescent="0.25">
      <c r="A19">
        <v>11111</v>
      </c>
      <c r="B19" t="s">
        <v>2913</v>
      </c>
      <c r="C19" s="120">
        <v>130</v>
      </c>
      <c r="D19" s="120">
        <v>45</v>
      </c>
      <c r="E19">
        <v>0</v>
      </c>
      <c r="F19">
        <v>0</v>
      </c>
      <c r="G19">
        <v>0</v>
      </c>
      <c r="H19" t="s">
        <v>2403</v>
      </c>
      <c r="I19" t="s">
        <v>2403</v>
      </c>
      <c r="J19" t="s">
        <v>2403</v>
      </c>
      <c r="K19" t="s">
        <v>2403</v>
      </c>
      <c r="L19" t="s">
        <v>2403</v>
      </c>
      <c r="M19" t="s">
        <v>1883</v>
      </c>
      <c r="N19" t="s">
        <v>2403</v>
      </c>
      <c r="O19" t="s">
        <v>1883</v>
      </c>
      <c r="P19" t="s">
        <v>1883</v>
      </c>
      <c r="Q19" t="s">
        <v>2403</v>
      </c>
      <c r="R19" t="s">
        <v>1883</v>
      </c>
      <c r="S19" t="s">
        <v>2403</v>
      </c>
      <c r="T19" t="s">
        <v>2404</v>
      </c>
      <c r="U19" t="s">
        <v>2424</v>
      </c>
      <c r="V19" t="s">
        <v>2914</v>
      </c>
      <c r="W19">
        <v>0</v>
      </c>
      <c r="X19">
        <v>900</v>
      </c>
      <c r="Y19">
        <v>43564</v>
      </c>
      <c r="Z19">
        <v>0</v>
      </c>
      <c r="AA19">
        <v>0</v>
      </c>
      <c r="AB19" s="120">
        <v>0</v>
      </c>
      <c r="AC19" s="58">
        <v>0</v>
      </c>
      <c r="AD19" s="120">
        <v>25</v>
      </c>
      <c r="AE19" s="120">
        <v>0</v>
      </c>
      <c r="AF19" s="120">
        <v>43590</v>
      </c>
      <c r="AG19">
        <v>45</v>
      </c>
      <c r="AH19" s="120">
        <v>0</v>
      </c>
      <c r="AI19" s="120">
        <v>0</v>
      </c>
      <c r="AJ19" s="58" t="s">
        <v>271</v>
      </c>
      <c r="AK19" s="120">
        <v>0.15</v>
      </c>
      <c r="AL19" s="119">
        <v>0</v>
      </c>
      <c r="AM19">
        <v>50</v>
      </c>
      <c r="AN19">
        <v>47213</v>
      </c>
      <c r="AO19" s="114">
        <v>0.17135918102178493</v>
      </c>
      <c r="AP19" s="120">
        <v>9144</v>
      </c>
      <c r="AQ19" s="120">
        <v>10034.230000000018</v>
      </c>
      <c r="AR19" s="58">
        <v>19178.230000000018</v>
      </c>
      <c r="AS19" s="114">
        <v>159.84</v>
      </c>
      <c r="AT19" s="120">
        <v>157.27000000000001</v>
      </c>
      <c r="AU19" s="120" t="s">
        <v>1909</v>
      </c>
      <c r="AV19" s="120">
        <v>0</v>
      </c>
      <c r="AW19" s="120" t="s">
        <v>271</v>
      </c>
      <c r="AX19" s="120">
        <v>19</v>
      </c>
      <c r="AY19">
        <v>0</v>
      </c>
      <c r="AZ19">
        <v>43556</v>
      </c>
      <c r="BA19">
        <v>100</v>
      </c>
      <c r="BB19" s="120">
        <v>3</v>
      </c>
      <c r="BC19">
        <v>5</v>
      </c>
      <c r="BD19" s="58">
        <v>0</v>
      </c>
      <c r="BE19" s="120">
        <v>436</v>
      </c>
      <c r="BF19">
        <v>0</v>
      </c>
      <c r="BG19">
        <v>43560</v>
      </c>
      <c r="BH19">
        <v>120</v>
      </c>
      <c r="BI19" s="120">
        <v>0</v>
      </c>
      <c r="BJ19" s="120">
        <v>50</v>
      </c>
      <c r="BK19" s="58">
        <v>43480</v>
      </c>
      <c r="BL19">
        <v>0</v>
      </c>
      <c r="BM19" s="120">
        <v>0</v>
      </c>
      <c r="BN19" s="120">
        <v>0</v>
      </c>
      <c r="BO19" t="s">
        <v>2915</v>
      </c>
      <c r="BP19" t="s">
        <v>2403</v>
      </c>
      <c r="BQ19" t="s">
        <v>2403</v>
      </c>
      <c r="BR19" t="s">
        <v>2403</v>
      </c>
      <c r="BS19">
        <v>0</v>
      </c>
      <c r="BT19" s="58">
        <v>0</v>
      </c>
      <c r="BU19">
        <v>0</v>
      </c>
      <c r="BV19">
        <v>0</v>
      </c>
      <c r="BW19">
        <v>0</v>
      </c>
      <c r="BX19">
        <v>0</v>
      </c>
      <c r="BY19">
        <v>0</v>
      </c>
      <c r="BZ19">
        <v>0</v>
      </c>
      <c r="CA19">
        <v>0</v>
      </c>
      <c r="CB19">
        <v>0</v>
      </c>
      <c r="CC19">
        <v>0</v>
      </c>
      <c r="CD19">
        <v>0</v>
      </c>
      <c r="CE19">
        <v>0</v>
      </c>
      <c r="CF19">
        <v>0</v>
      </c>
      <c r="CG19">
        <v>0</v>
      </c>
      <c r="CH19">
        <v>0</v>
      </c>
      <c r="CI19">
        <v>0</v>
      </c>
      <c r="CJ19">
        <v>0</v>
      </c>
      <c r="CK19">
        <v>0</v>
      </c>
      <c r="CL19" s="118">
        <v>0</v>
      </c>
      <c r="CM19" s="118">
        <v>0</v>
      </c>
      <c r="CN19" s="118">
        <v>0</v>
      </c>
      <c r="CO19" t="s">
        <v>2976</v>
      </c>
      <c r="CP19" t="s">
        <v>2403</v>
      </c>
      <c r="CQ19" t="s">
        <v>2403</v>
      </c>
      <c r="CR19" t="s">
        <v>2403</v>
      </c>
      <c r="CS19">
        <v>0</v>
      </c>
      <c r="CT19">
        <v>0</v>
      </c>
      <c r="CU19">
        <v>0</v>
      </c>
      <c r="CV19">
        <v>0</v>
      </c>
      <c r="CW19">
        <v>0</v>
      </c>
      <c r="CX19">
        <v>0</v>
      </c>
      <c r="CY19" s="58">
        <v>0</v>
      </c>
      <c r="CZ19">
        <v>0</v>
      </c>
      <c r="DA19">
        <v>0</v>
      </c>
      <c r="DB19">
        <v>0</v>
      </c>
      <c r="DC19">
        <v>0</v>
      </c>
      <c r="DD19">
        <v>1</v>
      </c>
      <c r="DE19">
        <v>0</v>
      </c>
      <c r="DF19">
        <v>0</v>
      </c>
      <c r="DG19">
        <v>0</v>
      </c>
      <c r="DH19">
        <v>0</v>
      </c>
      <c r="DI19">
        <v>0</v>
      </c>
      <c r="DJ19">
        <v>0</v>
      </c>
      <c r="DK19">
        <v>0</v>
      </c>
      <c r="DL19">
        <v>0</v>
      </c>
      <c r="DM19" s="118">
        <v>0</v>
      </c>
      <c r="DN19" s="118">
        <v>0</v>
      </c>
      <c r="DO19" s="118" t="s">
        <v>836</v>
      </c>
      <c r="DP19" t="s">
        <v>2403</v>
      </c>
      <c r="DQ19" t="s">
        <v>2403</v>
      </c>
      <c r="DR19" t="s">
        <v>2403</v>
      </c>
      <c r="DS19">
        <v>0</v>
      </c>
      <c r="DT19">
        <v>0</v>
      </c>
      <c r="DU19">
        <v>0</v>
      </c>
      <c r="DV19">
        <v>0</v>
      </c>
      <c r="DW19">
        <v>0</v>
      </c>
      <c r="DX19">
        <v>0</v>
      </c>
      <c r="DY19">
        <v>0</v>
      </c>
      <c r="DZ19" s="58">
        <v>0</v>
      </c>
      <c r="EA19">
        <v>0</v>
      </c>
      <c r="EB19">
        <v>0</v>
      </c>
      <c r="EC19">
        <v>0</v>
      </c>
      <c r="ED19">
        <v>0</v>
      </c>
      <c r="EE19">
        <v>0</v>
      </c>
      <c r="EF19">
        <v>0</v>
      </c>
      <c r="EG19">
        <v>0</v>
      </c>
      <c r="EH19">
        <v>0</v>
      </c>
      <c r="EI19">
        <v>0</v>
      </c>
      <c r="EJ19">
        <v>0</v>
      </c>
      <c r="EK19">
        <v>0</v>
      </c>
      <c r="EL19">
        <v>0</v>
      </c>
      <c r="EM19">
        <v>0</v>
      </c>
      <c r="EN19" s="118">
        <v>0</v>
      </c>
      <c r="EO19" s="118">
        <v>900</v>
      </c>
      <c r="EP19" s="118">
        <v>9000</v>
      </c>
      <c r="EQ19">
        <v>20</v>
      </c>
      <c r="ER19">
        <v>20</v>
      </c>
      <c r="ES19" s="119" t="s">
        <v>2488</v>
      </c>
      <c r="ET19" t="s">
        <v>2491</v>
      </c>
      <c r="EU19" t="s">
        <v>2492</v>
      </c>
      <c r="EV19" t="s">
        <v>2977</v>
      </c>
      <c r="EW19" t="s">
        <v>2950</v>
      </c>
      <c r="EX19" t="s">
        <v>2951</v>
      </c>
      <c r="EY19" t="s">
        <v>2952</v>
      </c>
      <c r="EZ19" t="s">
        <v>2953</v>
      </c>
      <c r="FA19" t="s">
        <v>2958</v>
      </c>
      <c r="FB19" t="s">
        <v>2959</v>
      </c>
      <c r="FC19" t="s">
        <v>2960</v>
      </c>
      <c r="FD19" t="s">
        <v>2961</v>
      </c>
      <c r="FE19" t="s">
        <v>2966</v>
      </c>
      <c r="FF19" t="s">
        <v>2970</v>
      </c>
      <c r="FG19" t="s">
        <v>2967</v>
      </c>
      <c r="FH19" t="s">
        <v>2968</v>
      </c>
      <c r="FI19" t="s">
        <v>2971</v>
      </c>
      <c r="FJ19" t="s">
        <v>2972</v>
      </c>
      <c r="FK19" t="s">
        <v>2973</v>
      </c>
      <c r="FL19" t="s">
        <v>2974</v>
      </c>
      <c r="FM19">
        <v>1000</v>
      </c>
      <c r="FN19">
        <v>2000</v>
      </c>
      <c r="FO19">
        <v>3000</v>
      </c>
      <c r="FP19" s="119">
        <v>3000</v>
      </c>
      <c r="FQ19" s="119">
        <v>0</v>
      </c>
      <c r="FR19" s="119">
        <v>0</v>
      </c>
      <c r="FS19" s="119">
        <v>0</v>
      </c>
      <c r="FT19" s="119">
        <v>0</v>
      </c>
      <c r="FU19" s="119">
        <v>0</v>
      </c>
      <c r="FV19" s="119">
        <v>0</v>
      </c>
      <c r="FW19" s="119">
        <v>0</v>
      </c>
      <c r="FX19" s="119">
        <v>0</v>
      </c>
      <c r="FY19" s="119">
        <v>0</v>
      </c>
      <c r="FZ19" s="119">
        <v>0</v>
      </c>
      <c r="GA19" s="119">
        <v>0</v>
      </c>
      <c r="GB19" s="119">
        <v>0</v>
      </c>
      <c r="GC19" s="119">
        <v>0</v>
      </c>
      <c r="GD19" s="119">
        <v>0</v>
      </c>
      <c r="GE19" s="119">
        <v>0</v>
      </c>
      <c r="GF19" s="119">
        <v>0</v>
      </c>
      <c r="GG19" s="119">
        <v>0</v>
      </c>
      <c r="GH19" s="119" t="s">
        <v>2403</v>
      </c>
      <c r="GI19" s="119">
        <v>0</v>
      </c>
      <c r="GJ19">
        <v>0</v>
      </c>
      <c r="GK19">
        <v>0</v>
      </c>
      <c r="GL19" t="s">
        <v>2403</v>
      </c>
      <c r="GM19">
        <v>0</v>
      </c>
      <c r="GN19" t="s">
        <v>2403</v>
      </c>
      <c r="GO19">
        <v>0</v>
      </c>
      <c r="GP19" s="58" t="s">
        <v>2946</v>
      </c>
      <c r="GQ19" t="s">
        <v>2947</v>
      </c>
      <c r="GR19" t="s">
        <v>2948</v>
      </c>
      <c r="GS19" s="128" t="s">
        <v>2949</v>
      </c>
      <c r="GT19" s="128">
        <v>0</v>
      </c>
      <c r="GU19" s="128">
        <v>1000</v>
      </c>
      <c r="GV19" s="128">
        <v>2000</v>
      </c>
      <c r="GW19">
        <v>3000</v>
      </c>
      <c r="GX19" s="119">
        <v>3000</v>
      </c>
      <c r="GY19" s="119">
        <v>0</v>
      </c>
      <c r="GZ19" s="119">
        <v>0</v>
      </c>
      <c r="HA19" s="119">
        <v>0</v>
      </c>
      <c r="HB19">
        <v>0</v>
      </c>
      <c r="HC19">
        <v>9000</v>
      </c>
      <c r="HD19">
        <v>0</v>
      </c>
      <c r="HE19">
        <v>0</v>
      </c>
      <c r="HF19" s="120">
        <v>0</v>
      </c>
      <c r="HG19" s="119">
        <v>0</v>
      </c>
      <c r="HH19" t="s">
        <v>2403</v>
      </c>
      <c r="HI19">
        <v>0</v>
      </c>
      <c r="HJ19" t="s">
        <v>2403</v>
      </c>
      <c r="HK19">
        <v>0</v>
      </c>
      <c r="HL19" s="119">
        <v>0</v>
      </c>
      <c r="HM19">
        <v>0</v>
      </c>
      <c r="HN19">
        <v>0</v>
      </c>
      <c r="HO19" t="s">
        <v>2945</v>
      </c>
      <c r="HP19" t="s">
        <v>2403</v>
      </c>
      <c r="HQ19">
        <v>0</v>
      </c>
      <c r="HR19">
        <v>0</v>
      </c>
      <c r="HS19" t="s">
        <v>2488</v>
      </c>
      <c r="HT19" t="s">
        <v>2491</v>
      </c>
      <c r="HU19" t="s">
        <v>2492</v>
      </c>
      <c r="HV19" t="s">
        <v>2977</v>
      </c>
      <c r="HW19">
        <v>0</v>
      </c>
      <c r="HX19">
        <v>0</v>
      </c>
      <c r="HY19">
        <v>0</v>
      </c>
      <c r="HZ19">
        <v>0</v>
      </c>
      <c r="IA19">
        <v>0</v>
      </c>
      <c r="IB19" t="s">
        <v>2403</v>
      </c>
      <c r="IC19">
        <v>0</v>
      </c>
      <c r="ID19" t="s">
        <v>2403</v>
      </c>
      <c r="IE19">
        <v>0</v>
      </c>
      <c r="IF19">
        <v>0</v>
      </c>
      <c r="IG19">
        <v>0</v>
      </c>
      <c r="IH19" t="s">
        <v>2403</v>
      </c>
      <c r="II19">
        <v>0</v>
      </c>
      <c r="IJ19" t="s">
        <v>2403</v>
      </c>
      <c r="IK19">
        <v>0</v>
      </c>
      <c r="IL19" t="s">
        <v>2954</v>
      </c>
      <c r="IM19" t="s">
        <v>2955</v>
      </c>
      <c r="IN19" t="s">
        <v>2956</v>
      </c>
      <c r="IO19" t="s">
        <v>2957</v>
      </c>
      <c r="IP19" s="128">
        <v>0</v>
      </c>
      <c r="IQ19" s="128">
        <v>0</v>
      </c>
      <c r="IR19" s="128">
        <v>0</v>
      </c>
      <c r="IS19" s="128">
        <v>0</v>
      </c>
      <c r="IT19">
        <v>0</v>
      </c>
      <c r="IU19" s="119">
        <v>0</v>
      </c>
      <c r="IV19" s="119">
        <v>0</v>
      </c>
      <c r="IW19" s="119">
        <v>0</v>
      </c>
      <c r="IX19" s="119">
        <v>0</v>
      </c>
      <c r="IY19" s="119">
        <v>0</v>
      </c>
      <c r="IZ19" t="s">
        <v>2403</v>
      </c>
      <c r="JA19">
        <v>0</v>
      </c>
      <c r="JB19" t="s">
        <v>2403</v>
      </c>
      <c r="JC19">
        <v>0</v>
      </c>
      <c r="JD19" t="s">
        <v>2403</v>
      </c>
      <c r="JE19" s="119">
        <v>0</v>
      </c>
      <c r="JF19">
        <v>0</v>
      </c>
      <c r="JG19" t="s">
        <v>2950</v>
      </c>
      <c r="JH19" t="s">
        <v>2951</v>
      </c>
      <c r="JI19" t="s">
        <v>2952</v>
      </c>
      <c r="JJ19" t="s">
        <v>2953</v>
      </c>
      <c r="JK19">
        <v>0</v>
      </c>
      <c r="JL19">
        <v>0</v>
      </c>
      <c r="JM19">
        <v>0</v>
      </c>
      <c r="JN19">
        <v>0</v>
      </c>
      <c r="JO19">
        <v>0</v>
      </c>
      <c r="JP19">
        <v>0</v>
      </c>
      <c r="JQ19">
        <v>0</v>
      </c>
      <c r="JR19">
        <v>0</v>
      </c>
      <c r="JS19">
        <v>0</v>
      </c>
      <c r="JT19">
        <v>0</v>
      </c>
      <c r="JU19">
        <v>0</v>
      </c>
      <c r="JV19">
        <v>0</v>
      </c>
      <c r="JW19">
        <v>0</v>
      </c>
      <c r="JX19" t="s">
        <v>2403</v>
      </c>
      <c r="JY19">
        <v>0</v>
      </c>
      <c r="JZ19" t="s">
        <v>2403</v>
      </c>
      <c r="KA19">
        <v>0</v>
      </c>
      <c r="KB19">
        <v>0</v>
      </c>
      <c r="KC19">
        <v>0</v>
      </c>
      <c r="KD19" t="s">
        <v>2403</v>
      </c>
      <c r="KE19">
        <v>0</v>
      </c>
      <c r="KF19" t="s">
        <v>2403</v>
      </c>
      <c r="KG19">
        <v>0</v>
      </c>
      <c r="KH19" t="s">
        <v>2962</v>
      </c>
      <c r="KI19" t="s">
        <v>2963</v>
      </c>
      <c r="KJ19" t="s">
        <v>2964</v>
      </c>
      <c r="KK19" t="s">
        <v>2965</v>
      </c>
      <c r="KL19">
        <v>0</v>
      </c>
      <c r="KM19" s="128">
        <v>0</v>
      </c>
      <c r="KN19" s="128">
        <v>0</v>
      </c>
      <c r="KO19" s="128">
        <v>0</v>
      </c>
      <c r="KP19" s="128">
        <v>0</v>
      </c>
      <c r="KQ19">
        <v>0</v>
      </c>
      <c r="KR19" s="119">
        <v>0</v>
      </c>
      <c r="KS19" s="119">
        <v>0</v>
      </c>
      <c r="KT19" s="119">
        <v>0</v>
      </c>
      <c r="KU19" s="119">
        <v>0</v>
      </c>
      <c r="KV19" s="121" t="s">
        <v>2403</v>
      </c>
      <c r="KW19">
        <v>0</v>
      </c>
      <c r="KX19" s="119">
        <v>0</v>
      </c>
      <c r="KY19" t="s">
        <v>2403</v>
      </c>
      <c r="KZ19" t="s">
        <v>2403</v>
      </c>
      <c r="LA19">
        <v>0</v>
      </c>
      <c r="LB19" s="119" t="s">
        <v>2958</v>
      </c>
      <c r="LC19" t="s">
        <v>2959</v>
      </c>
      <c r="LD19" t="s">
        <v>2960</v>
      </c>
      <c r="LE19" t="s">
        <v>2961</v>
      </c>
      <c r="LF19">
        <v>0</v>
      </c>
      <c r="LG19">
        <v>0</v>
      </c>
      <c r="LH19">
        <v>0</v>
      </c>
      <c r="LI19">
        <v>0</v>
      </c>
      <c r="LJ19">
        <v>0</v>
      </c>
      <c r="LK19">
        <v>0</v>
      </c>
      <c r="LL19">
        <v>0</v>
      </c>
      <c r="LM19">
        <v>0</v>
      </c>
      <c r="LN19">
        <v>0</v>
      </c>
      <c r="LO19">
        <v>0</v>
      </c>
      <c r="LP19">
        <v>0</v>
      </c>
      <c r="LQ19">
        <v>0</v>
      </c>
      <c r="LR19">
        <v>0</v>
      </c>
      <c r="LS19">
        <v>0</v>
      </c>
      <c r="LT19" t="s">
        <v>2403</v>
      </c>
      <c r="LU19">
        <v>0</v>
      </c>
      <c r="LV19" t="s">
        <v>2403</v>
      </c>
      <c r="LW19">
        <v>0</v>
      </c>
      <c r="LX19">
        <v>0</v>
      </c>
      <c r="LY19">
        <v>0</v>
      </c>
      <c r="LZ19" t="s">
        <v>2403</v>
      </c>
      <c r="MA19">
        <v>0</v>
      </c>
      <c r="MB19" t="s">
        <v>2403</v>
      </c>
      <c r="MC19">
        <v>0</v>
      </c>
      <c r="MD19">
        <v>41</v>
      </c>
      <c r="ME19">
        <v>42</v>
      </c>
      <c r="MF19">
        <v>43</v>
      </c>
      <c r="MG19" t="s">
        <v>2969</v>
      </c>
      <c r="MH19">
        <v>0</v>
      </c>
      <c r="MI19">
        <v>0</v>
      </c>
      <c r="MJ19" s="128">
        <v>0</v>
      </c>
      <c r="MK19" s="128">
        <v>0</v>
      </c>
      <c r="ML19" s="128">
        <v>0</v>
      </c>
      <c r="MM19" s="128">
        <v>0</v>
      </c>
      <c r="MN19">
        <v>0</v>
      </c>
      <c r="MO19" s="119">
        <v>0</v>
      </c>
      <c r="MP19" s="119">
        <v>0</v>
      </c>
      <c r="MQ19" s="119">
        <v>0</v>
      </c>
      <c r="MR19" s="119" t="s">
        <v>2403</v>
      </c>
      <c r="MS19" s="121">
        <v>0</v>
      </c>
      <c r="MT19" s="119">
        <v>0</v>
      </c>
      <c r="MU19" t="s">
        <v>2403</v>
      </c>
      <c r="MV19" t="s">
        <v>2403</v>
      </c>
      <c r="MW19">
        <v>0</v>
      </c>
      <c r="MX19" t="s">
        <v>2966</v>
      </c>
      <c r="MY19" s="119" t="s">
        <v>2970</v>
      </c>
      <c r="MZ19" t="s">
        <v>2967</v>
      </c>
      <c r="NA19" t="s">
        <v>2968</v>
      </c>
      <c r="NB19">
        <v>0</v>
      </c>
      <c r="NC19">
        <v>0</v>
      </c>
      <c r="ND19">
        <v>0</v>
      </c>
      <c r="NE19">
        <v>0</v>
      </c>
      <c r="NF19">
        <v>0</v>
      </c>
      <c r="NG19">
        <v>0</v>
      </c>
      <c r="NH19">
        <v>0</v>
      </c>
      <c r="NI19">
        <v>0</v>
      </c>
      <c r="NJ19">
        <v>0</v>
      </c>
      <c r="NK19">
        <v>0</v>
      </c>
      <c r="NL19">
        <v>0</v>
      </c>
      <c r="NM19">
        <v>0</v>
      </c>
      <c r="NN19">
        <v>0</v>
      </c>
      <c r="NO19">
        <v>0</v>
      </c>
      <c r="NP19" t="s">
        <v>2403</v>
      </c>
      <c r="NQ19">
        <v>0</v>
      </c>
      <c r="NR19" t="s">
        <v>2403</v>
      </c>
      <c r="NS19">
        <v>0</v>
      </c>
      <c r="NT19">
        <v>0</v>
      </c>
      <c r="NU19">
        <v>0</v>
      </c>
      <c r="NV19" t="s">
        <v>2403</v>
      </c>
      <c r="NW19">
        <v>0</v>
      </c>
      <c r="NX19" s="116" t="s">
        <v>2403</v>
      </c>
      <c r="NY19" s="116">
        <v>0</v>
      </c>
      <c r="NZ19" s="116">
        <v>51</v>
      </c>
      <c r="OA19" s="116">
        <v>52</v>
      </c>
      <c r="OB19" s="116">
        <v>53</v>
      </c>
      <c r="OC19" s="116" t="s">
        <v>2975</v>
      </c>
      <c r="OD19" s="116">
        <v>0</v>
      </c>
      <c r="OE19" s="116">
        <v>0</v>
      </c>
      <c r="OF19" s="116">
        <v>0</v>
      </c>
      <c r="OG19" s="128">
        <v>0</v>
      </c>
      <c r="OH19" s="128">
        <v>0</v>
      </c>
      <c r="OI19" s="128">
        <v>0</v>
      </c>
      <c r="OJ19" s="128">
        <v>0</v>
      </c>
      <c r="OK19">
        <v>0</v>
      </c>
      <c r="OL19" s="119">
        <v>0</v>
      </c>
      <c r="OM19" s="119">
        <v>0</v>
      </c>
      <c r="ON19" s="119" t="s">
        <v>2403</v>
      </c>
      <c r="OO19" s="119">
        <v>0</v>
      </c>
      <c r="OP19" s="121">
        <v>0</v>
      </c>
      <c r="OQ19" s="119" t="s">
        <v>2403</v>
      </c>
      <c r="OR19" t="s">
        <v>2403</v>
      </c>
      <c r="OS19">
        <v>0</v>
      </c>
      <c r="OT19" t="s">
        <v>2971</v>
      </c>
      <c r="OU19" t="s">
        <v>2972</v>
      </c>
      <c r="OV19" s="119" t="s">
        <v>2973</v>
      </c>
      <c r="OW19" t="s">
        <v>2974</v>
      </c>
      <c r="OX19">
        <v>0</v>
      </c>
      <c r="OY19">
        <v>0</v>
      </c>
      <c r="OZ19">
        <v>0</v>
      </c>
      <c r="PA19">
        <v>0</v>
      </c>
      <c r="PB19">
        <v>0</v>
      </c>
      <c r="PC19">
        <v>0</v>
      </c>
      <c r="PD19">
        <v>0</v>
      </c>
      <c r="PE19">
        <v>0</v>
      </c>
      <c r="PF19">
        <v>0</v>
      </c>
      <c r="PG19">
        <v>0</v>
      </c>
      <c r="PH19">
        <v>0</v>
      </c>
      <c r="PI19">
        <v>0</v>
      </c>
      <c r="PJ19">
        <v>0</v>
      </c>
      <c r="PK19">
        <v>0</v>
      </c>
      <c r="PL19" t="s">
        <v>2403</v>
      </c>
      <c r="PM19">
        <v>0</v>
      </c>
      <c r="PN19">
        <v>0</v>
      </c>
      <c r="PO19">
        <v>0</v>
      </c>
      <c r="PP19">
        <v>0</v>
      </c>
      <c r="PQ19">
        <v>0</v>
      </c>
      <c r="PR19">
        <v>0</v>
      </c>
      <c r="PS19">
        <v>0</v>
      </c>
      <c r="PT19">
        <v>0</v>
      </c>
      <c r="PU19">
        <v>0</v>
      </c>
      <c r="PV19">
        <v>0</v>
      </c>
      <c r="PW19">
        <v>0</v>
      </c>
      <c r="PX19">
        <v>0</v>
      </c>
      <c r="PY19">
        <v>0</v>
      </c>
      <c r="PZ19">
        <v>0</v>
      </c>
      <c r="QA19">
        <v>0</v>
      </c>
      <c r="QB19">
        <v>0</v>
      </c>
      <c r="QC19">
        <v>0</v>
      </c>
      <c r="QD19" s="128">
        <v>0</v>
      </c>
      <c r="QE19" s="128">
        <v>0</v>
      </c>
      <c r="QF19" s="128">
        <v>0</v>
      </c>
      <c r="QG19" s="128">
        <v>0</v>
      </c>
      <c r="QH19">
        <v>0</v>
      </c>
      <c r="QI19" s="119">
        <v>0</v>
      </c>
      <c r="QJ19" s="119">
        <v>0</v>
      </c>
      <c r="QK19" s="119">
        <v>0</v>
      </c>
      <c r="QL19" s="119">
        <v>0</v>
      </c>
      <c r="QM19" s="121">
        <v>0</v>
      </c>
      <c r="QN19" s="119">
        <v>0</v>
      </c>
      <c r="QO19">
        <v>0</v>
      </c>
      <c r="QP19">
        <v>0</v>
      </c>
      <c r="QQ19">
        <v>0</v>
      </c>
      <c r="QR19">
        <v>0</v>
      </c>
      <c r="QS19" s="119">
        <v>0</v>
      </c>
      <c r="QT19">
        <v>0</v>
      </c>
      <c r="QU19">
        <v>0</v>
      </c>
      <c r="QV19">
        <v>0</v>
      </c>
      <c r="QW19">
        <v>0</v>
      </c>
      <c r="QX19">
        <v>0</v>
      </c>
      <c r="QY19">
        <v>0</v>
      </c>
      <c r="QZ19">
        <v>0</v>
      </c>
      <c r="RA19">
        <v>0</v>
      </c>
      <c r="RB19">
        <v>0</v>
      </c>
      <c r="RC19">
        <v>0</v>
      </c>
      <c r="RD19">
        <v>0</v>
      </c>
      <c r="RE19">
        <v>0</v>
      </c>
      <c r="RF19">
        <v>0</v>
      </c>
      <c r="RG19">
        <v>0</v>
      </c>
      <c r="RH19">
        <v>0</v>
      </c>
      <c r="RI19">
        <v>0</v>
      </c>
      <c r="RJ19">
        <v>0</v>
      </c>
      <c r="RK19">
        <v>0</v>
      </c>
      <c r="RL19">
        <v>0</v>
      </c>
      <c r="RM19">
        <v>0</v>
      </c>
      <c r="RN19">
        <v>0</v>
      </c>
      <c r="RO19">
        <v>0</v>
      </c>
      <c r="RP19">
        <v>0</v>
      </c>
      <c r="RQ19">
        <v>0</v>
      </c>
      <c r="RR19" s="116">
        <v>0</v>
      </c>
      <c r="RS19" s="116">
        <v>0</v>
      </c>
      <c r="RT19" s="116">
        <v>0</v>
      </c>
      <c r="RU19" s="116">
        <v>0</v>
      </c>
      <c r="RV19" s="116">
        <v>0</v>
      </c>
      <c r="RW19" s="116">
        <v>0</v>
      </c>
      <c r="RX19" s="116">
        <v>0</v>
      </c>
      <c r="RY19" s="116">
        <v>0</v>
      </c>
      <c r="RZ19" s="116">
        <v>0</v>
      </c>
      <c r="SA19" s="128">
        <v>0</v>
      </c>
      <c r="SB19" s="128">
        <v>0</v>
      </c>
      <c r="SC19" s="128">
        <v>0</v>
      </c>
      <c r="SD19" s="128">
        <v>0</v>
      </c>
      <c r="SE19">
        <v>0</v>
      </c>
      <c r="SF19" s="119">
        <v>0</v>
      </c>
      <c r="SG19" s="119">
        <v>0</v>
      </c>
      <c r="SH19" s="119">
        <v>0</v>
      </c>
      <c r="SI19" s="119">
        <v>0</v>
      </c>
      <c r="SJ19" s="121">
        <v>0</v>
      </c>
      <c r="SK19" s="119">
        <v>0</v>
      </c>
      <c r="SL19">
        <v>0</v>
      </c>
      <c r="SM19">
        <v>0</v>
      </c>
      <c r="SN19">
        <v>0</v>
      </c>
      <c r="SO19">
        <v>0</v>
      </c>
      <c r="SP19" s="119">
        <v>0</v>
      </c>
      <c r="SQ19">
        <v>0</v>
      </c>
      <c r="SR19">
        <v>0</v>
      </c>
      <c r="SS19">
        <v>0</v>
      </c>
      <c r="ST19">
        <v>0</v>
      </c>
      <c r="SU19">
        <v>0</v>
      </c>
      <c r="SV19">
        <v>0</v>
      </c>
      <c r="SW19">
        <v>0</v>
      </c>
      <c r="SX19">
        <v>0</v>
      </c>
      <c r="SY19">
        <v>0</v>
      </c>
      <c r="SZ19">
        <v>0</v>
      </c>
      <c r="TA19">
        <v>0</v>
      </c>
      <c r="TB19">
        <v>0</v>
      </c>
      <c r="TC19">
        <v>0</v>
      </c>
      <c r="TD19">
        <v>0</v>
      </c>
      <c r="TE19">
        <v>0</v>
      </c>
      <c r="TF19">
        <v>0</v>
      </c>
      <c r="TG19">
        <v>0</v>
      </c>
      <c r="TH19">
        <v>0</v>
      </c>
      <c r="TI19">
        <v>0</v>
      </c>
      <c r="TJ19">
        <v>0</v>
      </c>
      <c r="TK19">
        <v>0</v>
      </c>
      <c r="TL19">
        <v>0</v>
      </c>
      <c r="TM19">
        <v>0</v>
      </c>
      <c r="TN19">
        <v>0</v>
      </c>
      <c r="TO19" s="116">
        <v>0</v>
      </c>
      <c r="TP19" s="116">
        <v>0</v>
      </c>
      <c r="TQ19" s="116">
        <v>0</v>
      </c>
      <c r="TR19" s="116">
        <v>0</v>
      </c>
      <c r="TS19" s="116">
        <v>0</v>
      </c>
      <c r="TT19" s="116">
        <v>0</v>
      </c>
      <c r="TU19" s="116">
        <v>0</v>
      </c>
      <c r="TV19" s="116">
        <v>0</v>
      </c>
      <c r="TW19" s="116">
        <v>0</v>
      </c>
      <c r="TX19" s="128">
        <v>0</v>
      </c>
      <c r="TY19" s="128">
        <v>0</v>
      </c>
      <c r="TZ19" s="128">
        <v>0</v>
      </c>
      <c r="UA19" s="128">
        <v>0</v>
      </c>
      <c r="UB19">
        <v>0</v>
      </c>
      <c r="UC19" s="119">
        <v>0</v>
      </c>
      <c r="UD19" s="119">
        <v>0</v>
      </c>
      <c r="UE19" s="119">
        <v>0</v>
      </c>
      <c r="UF19" s="119">
        <v>0</v>
      </c>
      <c r="UG19" s="121">
        <v>0</v>
      </c>
      <c r="UH19" s="119">
        <v>0</v>
      </c>
      <c r="UI19">
        <v>0</v>
      </c>
      <c r="UJ19">
        <v>0</v>
      </c>
      <c r="UK19">
        <v>0</v>
      </c>
      <c r="UL19">
        <v>0</v>
      </c>
      <c r="UM19" s="119">
        <v>0</v>
      </c>
      <c r="UN19">
        <v>0</v>
      </c>
      <c r="UO19">
        <v>0</v>
      </c>
      <c r="UP19">
        <v>0</v>
      </c>
      <c r="UQ19">
        <v>0</v>
      </c>
      <c r="UR19">
        <v>0</v>
      </c>
      <c r="US19">
        <v>0</v>
      </c>
      <c r="UT19">
        <v>0</v>
      </c>
      <c r="UU19">
        <v>0</v>
      </c>
      <c r="UV19">
        <v>0</v>
      </c>
      <c r="UW19">
        <v>0</v>
      </c>
      <c r="UX19">
        <v>0</v>
      </c>
      <c r="UY19">
        <v>0</v>
      </c>
      <c r="UZ19">
        <v>0</v>
      </c>
      <c r="VA19">
        <v>0</v>
      </c>
      <c r="VB19">
        <v>0</v>
      </c>
      <c r="VC19">
        <v>0</v>
      </c>
      <c r="VD19">
        <v>0</v>
      </c>
      <c r="VE19">
        <v>0</v>
      </c>
      <c r="VF19">
        <v>0</v>
      </c>
      <c r="VG19">
        <v>0</v>
      </c>
      <c r="VH19">
        <v>0</v>
      </c>
      <c r="VI19">
        <v>0</v>
      </c>
      <c r="VJ19">
        <v>0</v>
      </c>
      <c r="VK19">
        <v>0</v>
      </c>
      <c r="VL19" s="116">
        <v>0</v>
      </c>
      <c r="VM19" s="116">
        <v>0</v>
      </c>
      <c r="VN19" s="116">
        <v>0</v>
      </c>
      <c r="VO19" s="116">
        <v>0</v>
      </c>
      <c r="VP19" s="116">
        <v>0</v>
      </c>
      <c r="VQ19" s="116">
        <v>0</v>
      </c>
      <c r="VR19" s="116">
        <v>0</v>
      </c>
      <c r="VS19" s="116">
        <v>0</v>
      </c>
      <c r="VT19" s="116">
        <v>0</v>
      </c>
      <c r="VU19" s="128">
        <v>0</v>
      </c>
      <c r="VV19" s="128">
        <v>0</v>
      </c>
      <c r="VW19" s="128">
        <v>0</v>
      </c>
      <c r="VX19" s="128">
        <v>0</v>
      </c>
      <c r="VY19">
        <v>0</v>
      </c>
      <c r="VZ19" s="119">
        <v>0</v>
      </c>
      <c r="WA19" s="119">
        <v>0</v>
      </c>
      <c r="WB19" s="119">
        <v>0</v>
      </c>
      <c r="WC19" s="119">
        <v>0</v>
      </c>
      <c r="WD19" s="121">
        <v>0</v>
      </c>
      <c r="WE19" s="119">
        <v>0</v>
      </c>
      <c r="WF19" s="119">
        <v>0</v>
      </c>
      <c r="WG19">
        <v>0</v>
      </c>
      <c r="WH19">
        <v>0</v>
      </c>
      <c r="WI19">
        <v>0</v>
      </c>
      <c r="WJ19" s="1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s="116">
        <v>0</v>
      </c>
      <c r="XJ19" s="116">
        <v>0</v>
      </c>
      <c r="XK19" s="116">
        <v>0</v>
      </c>
      <c r="XL19" s="116">
        <v>0</v>
      </c>
      <c r="XM19" s="116">
        <v>0</v>
      </c>
      <c r="XN19" s="116">
        <v>0</v>
      </c>
      <c r="XO19" s="116">
        <v>0</v>
      </c>
      <c r="XP19" s="116">
        <v>0</v>
      </c>
      <c r="XQ19" s="116">
        <v>0</v>
      </c>
      <c r="XR19" s="128">
        <v>0</v>
      </c>
      <c r="XS19" s="128">
        <v>0</v>
      </c>
      <c r="XT19" s="128">
        <v>0</v>
      </c>
      <c r="XU19" s="128">
        <v>0</v>
      </c>
      <c r="XV19">
        <v>0</v>
      </c>
      <c r="XW19" s="119">
        <v>0</v>
      </c>
      <c r="XX19" s="119">
        <v>0</v>
      </c>
      <c r="XY19" s="119">
        <v>0</v>
      </c>
      <c r="XZ19" s="119">
        <v>0</v>
      </c>
      <c r="YA19" s="121">
        <v>0</v>
      </c>
      <c r="YB19" s="119">
        <v>0</v>
      </c>
      <c r="YC19" s="119">
        <v>0</v>
      </c>
      <c r="YD19">
        <v>0</v>
      </c>
      <c r="YE19">
        <v>0</v>
      </c>
      <c r="YF19">
        <v>0</v>
      </c>
      <c r="YG19" s="119">
        <v>0</v>
      </c>
      <c r="YH19">
        <v>0</v>
      </c>
      <c r="YI19">
        <v>0</v>
      </c>
      <c r="YJ19">
        <v>0</v>
      </c>
      <c r="YK19">
        <v>0</v>
      </c>
      <c r="YL19">
        <v>0</v>
      </c>
      <c r="YM19">
        <v>0</v>
      </c>
      <c r="YN19">
        <v>0</v>
      </c>
      <c r="YO19">
        <v>0</v>
      </c>
      <c r="YP19">
        <v>0</v>
      </c>
      <c r="YQ19">
        <v>0</v>
      </c>
      <c r="YR19">
        <v>0</v>
      </c>
      <c r="YS19">
        <v>0</v>
      </c>
      <c r="YT19">
        <v>0</v>
      </c>
      <c r="YU19">
        <v>0</v>
      </c>
      <c r="YV19">
        <v>0</v>
      </c>
      <c r="YW19">
        <v>0</v>
      </c>
      <c r="YX19">
        <v>0</v>
      </c>
      <c r="YY19">
        <v>0</v>
      </c>
      <c r="YZ19">
        <v>0</v>
      </c>
      <c r="ZA19">
        <v>0</v>
      </c>
      <c r="ZB19">
        <v>0</v>
      </c>
      <c r="ZC19">
        <v>0</v>
      </c>
      <c r="ZD19">
        <v>0</v>
      </c>
      <c r="ZE19">
        <v>0</v>
      </c>
      <c r="ZF19">
        <v>0</v>
      </c>
      <c r="ZG19">
        <v>0</v>
      </c>
      <c r="ZH19">
        <v>0</v>
      </c>
      <c r="ZI19">
        <v>0</v>
      </c>
      <c r="ZJ19">
        <v>0</v>
      </c>
      <c r="ZK19">
        <v>0</v>
      </c>
      <c r="ZL19">
        <v>0</v>
      </c>
      <c r="ZM19">
        <v>0</v>
      </c>
      <c r="ZN19">
        <v>0</v>
      </c>
      <c r="ZO19" s="128">
        <v>0</v>
      </c>
      <c r="ZP19" s="128">
        <v>0</v>
      </c>
      <c r="ZQ19" s="128">
        <v>0</v>
      </c>
      <c r="ZR19" s="128">
        <v>0</v>
      </c>
      <c r="ZS19">
        <v>0</v>
      </c>
      <c r="ZT19" s="119">
        <v>0</v>
      </c>
      <c r="ZU19" s="119">
        <v>0</v>
      </c>
      <c r="ZV19" s="119">
        <v>0</v>
      </c>
      <c r="ZW19" s="119">
        <v>0</v>
      </c>
      <c r="ZX19" s="121">
        <v>0</v>
      </c>
      <c r="ZY19" s="119">
        <v>0</v>
      </c>
      <c r="ZZ19" s="119">
        <v>0</v>
      </c>
      <c r="AAA19">
        <v>0</v>
      </c>
      <c r="AAB19">
        <v>0</v>
      </c>
      <c r="AAC19">
        <v>0</v>
      </c>
      <c r="AAD19" s="1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s="116">
        <v>0</v>
      </c>
      <c r="ABD19" s="116">
        <v>0</v>
      </c>
      <c r="ABE19" s="116">
        <v>0</v>
      </c>
      <c r="ABF19" s="116">
        <v>0</v>
      </c>
      <c r="ABG19" s="116">
        <v>0</v>
      </c>
      <c r="ABH19" s="116">
        <v>0</v>
      </c>
      <c r="ABI19" s="116">
        <v>0</v>
      </c>
      <c r="ABJ19" s="116">
        <v>0</v>
      </c>
      <c r="ABK19" s="116">
        <v>0</v>
      </c>
      <c r="ABL19" s="128">
        <v>0</v>
      </c>
      <c r="ABM19" s="128">
        <v>0</v>
      </c>
      <c r="ABN19" s="128">
        <v>0</v>
      </c>
      <c r="ABO19" s="128">
        <v>0</v>
      </c>
      <c r="ABP19">
        <v>0</v>
      </c>
      <c r="ABQ19" s="119">
        <v>0</v>
      </c>
      <c r="ABR19" s="119">
        <v>0</v>
      </c>
      <c r="ABS19" s="119">
        <v>0</v>
      </c>
      <c r="ABT19" s="119">
        <v>0</v>
      </c>
      <c r="ABU19" s="121">
        <v>0</v>
      </c>
      <c r="ABV19" s="119">
        <v>0</v>
      </c>
      <c r="ABW19" s="119">
        <v>0</v>
      </c>
      <c r="ABX19">
        <v>0</v>
      </c>
      <c r="ABY19">
        <v>0</v>
      </c>
      <c r="ABZ19">
        <v>0</v>
      </c>
      <c r="ACA19" s="119">
        <v>0</v>
      </c>
      <c r="ACB19">
        <v>0</v>
      </c>
      <c r="ACC19">
        <v>0</v>
      </c>
      <c r="ACD19">
        <v>0</v>
      </c>
      <c r="ACE19">
        <v>0</v>
      </c>
      <c r="ACF19">
        <v>0</v>
      </c>
      <c r="ACG19">
        <v>0</v>
      </c>
      <c r="ACH19">
        <v>0</v>
      </c>
      <c r="ACI19">
        <v>0</v>
      </c>
      <c r="ACJ19">
        <v>0</v>
      </c>
      <c r="ACK19">
        <v>0</v>
      </c>
      <c r="ACL19">
        <v>0</v>
      </c>
      <c r="ACM19">
        <v>0</v>
      </c>
      <c r="ACN19">
        <v>0</v>
      </c>
      <c r="ACO19">
        <v>0</v>
      </c>
      <c r="ACP19">
        <v>0</v>
      </c>
      <c r="ACQ19">
        <v>0</v>
      </c>
      <c r="ACR19">
        <v>0</v>
      </c>
      <c r="ACS19">
        <v>0</v>
      </c>
      <c r="ACT19">
        <v>0</v>
      </c>
      <c r="ACU19">
        <v>0</v>
      </c>
      <c r="ACV19">
        <v>0</v>
      </c>
      <c r="ACW19">
        <v>0</v>
      </c>
      <c r="ACX19">
        <v>0</v>
      </c>
      <c r="ACY19">
        <v>0</v>
      </c>
      <c r="ACZ19" s="116">
        <v>0</v>
      </c>
      <c r="ADA19" s="116">
        <v>0</v>
      </c>
      <c r="ADB19" s="116">
        <v>0</v>
      </c>
      <c r="ADC19" s="116">
        <v>0</v>
      </c>
      <c r="ADD19" s="116">
        <v>0</v>
      </c>
      <c r="ADE19" s="116">
        <v>0</v>
      </c>
      <c r="ADF19" s="116">
        <v>0</v>
      </c>
      <c r="ADG19" s="116">
        <v>0</v>
      </c>
      <c r="ADH19" s="116">
        <v>0</v>
      </c>
      <c r="ADI19" s="128">
        <v>0</v>
      </c>
      <c r="ADJ19" s="128">
        <v>0</v>
      </c>
      <c r="ADK19" s="128">
        <v>0</v>
      </c>
      <c r="ADL19" s="128">
        <v>0</v>
      </c>
      <c r="ADM19">
        <v>0</v>
      </c>
      <c r="ADN19" s="119">
        <v>0</v>
      </c>
      <c r="ADO19" s="119">
        <v>0</v>
      </c>
      <c r="ADP19" s="119">
        <v>0</v>
      </c>
      <c r="ADQ19" s="119">
        <v>0</v>
      </c>
      <c r="ADR19" s="121">
        <v>0</v>
      </c>
      <c r="ADS19" s="119">
        <v>0</v>
      </c>
      <c r="ADT19" s="119">
        <v>0</v>
      </c>
      <c r="ADU19">
        <v>0</v>
      </c>
      <c r="ADV19">
        <v>0</v>
      </c>
      <c r="ADW19">
        <v>0</v>
      </c>
      <c r="ADX19" s="119">
        <v>0</v>
      </c>
      <c r="ADY19">
        <v>0</v>
      </c>
      <c r="ADZ19">
        <v>0</v>
      </c>
      <c r="AEA19">
        <v>0</v>
      </c>
      <c r="AEB19">
        <v>0</v>
      </c>
      <c r="AEC19">
        <v>0</v>
      </c>
      <c r="AED19">
        <v>0</v>
      </c>
      <c r="AEE19">
        <v>0</v>
      </c>
      <c r="AEF19">
        <v>0</v>
      </c>
      <c r="AEG19">
        <v>0</v>
      </c>
      <c r="AEH19">
        <v>0</v>
      </c>
      <c r="AEI19">
        <v>0</v>
      </c>
      <c r="AEJ19">
        <v>0</v>
      </c>
      <c r="AEK19">
        <v>0</v>
      </c>
      <c r="AEL19">
        <v>0</v>
      </c>
      <c r="AEM19">
        <v>0</v>
      </c>
      <c r="AEN19">
        <v>0</v>
      </c>
      <c r="AEO19">
        <v>0</v>
      </c>
      <c r="AEP19">
        <v>0</v>
      </c>
      <c r="AEQ19">
        <v>0</v>
      </c>
      <c r="AER19">
        <v>0</v>
      </c>
      <c r="AES19">
        <v>0</v>
      </c>
      <c r="AET19">
        <v>0</v>
      </c>
      <c r="AEU19">
        <v>0</v>
      </c>
      <c r="AEV19">
        <v>0</v>
      </c>
      <c r="AEW19" s="116">
        <v>0</v>
      </c>
      <c r="AEX19" s="116">
        <v>0</v>
      </c>
      <c r="AEY19" s="116">
        <v>0</v>
      </c>
      <c r="AEZ19" s="116">
        <v>0</v>
      </c>
      <c r="AFA19" s="116">
        <v>0</v>
      </c>
      <c r="AFB19" s="116">
        <v>0</v>
      </c>
      <c r="AFC19" s="116">
        <v>0</v>
      </c>
      <c r="AFD19" s="116">
        <v>0</v>
      </c>
      <c r="AFE19" s="116">
        <v>0</v>
      </c>
      <c r="AFF19" s="128">
        <v>0</v>
      </c>
      <c r="AFG19" s="128">
        <v>0</v>
      </c>
      <c r="AFH19" s="128">
        <v>0</v>
      </c>
      <c r="AFI19" s="128">
        <v>0</v>
      </c>
      <c r="AFJ19">
        <v>0</v>
      </c>
      <c r="AFK19" s="119">
        <v>0</v>
      </c>
      <c r="AFL19" s="119">
        <v>0</v>
      </c>
      <c r="AFM19" s="119">
        <v>0</v>
      </c>
      <c r="AFN19" s="119">
        <v>0</v>
      </c>
      <c r="AFO19" s="121">
        <v>0</v>
      </c>
      <c r="AFP19" s="119">
        <v>0</v>
      </c>
      <c r="AFQ19" s="119">
        <v>0</v>
      </c>
      <c r="AFR19">
        <v>0</v>
      </c>
      <c r="AFS19">
        <v>0</v>
      </c>
      <c r="AFT19">
        <v>0</v>
      </c>
      <c r="AFU19" s="119">
        <v>0</v>
      </c>
      <c r="AFV19">
        <v>0</v>
      </c>
      <c r="AFW19">
        <v>0</v>
      </c>
      <c r="AFX19">
        <v>0</v>
      </c>
      <c r="AFY19">
        <v>0</v>
      </c>
      <c r="AFZ19">
        <v>0</v>
      </c>
      <c r="AGA19">
        <v>0</v>
      </c>
      <c r="AGB19">
        <v>0</v>
      </c>
      <c r="AGC19">
        <v>0</v>
      </c>
      <c r="AGD19">
        <v>0</v>
      </c>
      <c r="AGE19">
        <v>0</v>
      </c>
      <c r="AGF19">
        <v>0</v>
      </c>
      <c r="AGG19">
        <v>0</v>
      </c>
      <c r="AGH19">
        <v>0</v>
      </c>
      <c r="AGI19">
        <v>0</v>
      </c>
      <c r="AGJ19">
        <v>0</v>
      </c>
      <c r="AGK19">
        <v>0</v>
      </c>
      <c r="AGL19">
        <v>0</v>
      </c>
      <c r="AGM19">
        <v>0</v>
      </c>
      <c r="AGN19">
        <v>0</v>
      </c>
      <c r="AGO19">
        <v>0</v>
      </c>
      <c r="AGP19">
        <v>0</v>
      </c>
      <c r="AGQ19">
        <v>0</v>
      </c>
      <c r="AGR19">
        <v>0</v>
      </c>
      <c r="AGS19">
        <v>0</v>
      </c>
      <c r="AGT19" s="116">
        <v>0</v>
      </c>
      <c r="AGU19" s="116">
        <v>0</v>
      </c>
      <c r="AGV19" s="116">
        <v>0</v>
      </c>
      <c r="AGW19" s="116">
        <v>0</v>
      </c>
      <c r="AGX19" s="116">
        <v>0</v>
      </c>
      <c r="AGY19" s="116">
        <v>0</v>
      </c>
      <c r="AGZ19" s="116">
        <v>0</v>
      </c>
      <c r="AHA19" s="116">
        <v>0</v>
      </c>
      <c r="AHB19" s="116">
        <v>0</v>
      </c>
      <c r="AHC19" s="128">
        <v>0</v>
      </c>
      <c r="AHD19" s="128">
        <v>0</v>
      </c>
      <c r="AHE19" s="128">
        <v>0</v>
      </c>
      <c r="AHF19" s="128">
        <v>0</v>
      </c>
      <c r="AHG19">
        <v>0</v>
      </c>
      <c r="AHH19" s="119">
        <v>0</v>
      </c>
      <c r="AHI19" s="119">
        <v>0</v>
      </c>
      <c r="AHJ19" s="119">
        <v>0</v>
      </c>
      <c r="AHK19" s="119">
        <v>0</v>
      </c>
      <c r="AHL19" s="121">
        <v>0</v>
      </c>
      <c r="AHM19" s="119">
        <v>0</v>
      </c>
      <c r="AHN19" s="119">
        <v>0</v>
      </c>
      <c r="AHO19">
        <v>0</v>
      </c>
      <c r="AHP19">
        <v>0</v>
      </c>
      <c r="AHQ19">
        <v>0</v>
      </c>
      <c r="AHR19" s="119">
        <v>0</v>
      </c>
      <c r="AHS19">
        <v>0</v>
      </c>
      <c r="AHT19">
        <v>0</v>
      </c>
      <c r="AHU19">
        <v>0</v>
      </c>
      <c r="AHV19">
        <v>0</v>
      </c>
      <c r="AHW19">
        <v>0</v>
      </c>
      <c r="AHX19">
        <v>0</v>
      </c>
      <c r="AHY19">
        <v>0</v>
      </c>
      <c r="AHZ19">
        <v>0</v>
      </c>
      <c r="AIA19">
        <v>0</v>
      </c>
      <c r="AIB19">
        <v>0</v>
      </c>
      <c r="AIC19">
        <v>0</v>
      </c>
      <c r="AID19">
        <v>0</v>
      </c>
      <c r="AIE19">
        <v>0</v>
      </c>
      <c r="AIF19">
        <v>0</v>
      </c>
      <c r="AIG19">
        <v>0</v>
      </c>
      <c r="AIH19">
        <v>0</v>
      </c>
      <c r="AII19">
        <v>0</v>
      </c>
      <c r="AIJ19">
        <v>0</v>
      </c>
      <c r="AIK19">
        <v>0</v>
      </c>
      <c r="AIL19">
        <v>0</v>
      </c>
      <c r="AIM19">
        <v>0</v>
      </c>
      <c r="AIN19">
        <v>0</v>
      </c>
      <c r="AIO19">
        <v>0</v>
      </c>
      <c r="AIP19">
        <v>0</v>
      </c>
      <c r="AIQ19">
        <v>0</v>
      </c>
      <c r="AIR19">
        <v>0</v>
      </c>
      <c r="AIS19">
        <v>0</v>
      </c>
      <c r="AIT19">
        <v>0</v>
      </c>
      <c r="AIU19">
        <v>0</v>
      </c>
      <c r="AIV19">
        <v>0</v>
      </c>
      <c r="AIW19">
        <v>0</v>
      </c>
      <c r="AIX19">
        <v>0</v>
      </c>
      <c r="AIY19">
        <v>0</v>
      </c>
      <c r="AIZ19" s="128">
        <v>0</v>
      </c>
      <c r="AJA19" s="128">
        <v>0</v>
      </c>
      <c r="AJB19" s="128">
        <v>0</v>
      </c>
      <c r="AJC19" s="128">
        <v>0</v>
      </c>
      <c r="AJD19">
        <v>0</v>
      </c>
      <c r="AJE19" s="119">
        <v>0</v>
      </c>
      <c r="AJF19" s="119">
        <v>0</v>
      </c>
      <c r="AJG19" s="119">
        <v>0</v>
      </c>
      <c r="AJH19" s="119">
        <v>0</v>
      </c>
      <c r="AJI19" s="121">
        <v>0</v>
      </c>
      <c r="AJJ19" s="119">
        <v>0</v>
      </c>
      <c r="AJK19" s="119">
        <v>0</v>
      </c>
      <c r="AJL19">
        <v>0</v>
      </c>
      <c r="AJM19">
        <v>0</v>
      </c>
      <c r="AJN19">
        <v>0</v>
      </c>
      <c r="AJO19" s="119">
        <v>0</v>
      </c>
      <c r="AJP19">
        <v>0</v>
      </c>
      <c r="AJQ19">
        <v>0</v>
      </c>
      <c r="AJR19">
        <v>0</v>
      </c>
      <c r="AJS19">
        <v>0</v>
      </c>
      <c r="AJT19">
        <v>0</v>
      </c>
      <c r="AJU19">
        <v>0</v>
      </c>
      <c r="AJV19">
        <v>0</v>
      </c>
      <c r="AJW19">
        <v>0</v>
      </c>
      <c r="AJX19">
        <v>0</v>
      </c>
      <c r="AJY19">
        <v>0</v>
      </c>
      <c r="AJZ19">
        <v>0</v>
      </c>
      <c r="AKA19">
        <v>0</v>
      </c>
      <c r="AKB19">
        <v>0</v>
      </c>
      <c r="AKC19">
        <v>0</v>
      </c>
      <c r="AKD19">
        <v>0</v>
      </c>
      <c r="AKE19">
        <v>0</v>
      </c>
      <c r="AKF19">
        <v>0</v>
      </c>
      <c r="AKG19">
        <v>0</v>
      </c>
      <c r="AKH19">
        <v>0</v>
      </c>
      <c r="AKI19">
        <v>0</v>
      </c>
      <c r="AKJ19">
        <v>0</v>
      </c>
      <c r="AKK19">
        <v>0</v>
      </c>
      <c r="AKL19">
        <v>0</v>
      </c>
      <c r="AKM19">
        <v>0</v>
      </c>
      <c r="AKN19" s="116">
        <v>0</v>
      </c>
      <c r="AKO19" s="116">
        <v>0</v>
      </c>
      <c r="AKP19" s="116">
        <v>0</v>
      </c>
      <c r="AKQ19" s="116">
        <v>0</v>
      </c>
      <c r="AKR19" s="116">
        <v>0</v>
      </c>
      <c r="AKS19" s="116">
        <v>0</v>
      </c>
      <c r="AKT19" s="116">
        <v>0</v>
      </c>
      <c r="AKU19" s="116">
        <v>0</v>
      </c>
      <c r="AKV19" s="116">
        <v>0</v>
      </c>
      <c r="AKW19" s="128">
        <v>0</v>
      </c>
      <c r="AKX19" s="128">
        <v>0</v>
      </c>
      <c r="AKY19" s="128">
        <v>0</v>
      </c>
      <c r="AKZ19" s="128">
        <v>0</v>
      </c>
      <c r="ALA19">
        <v>0</v>
      </c>
      <c r="ALB19" s="119">
        <v>0</v>
      </c>
      <c r="ALC19" s="119">
        <v>0</v>
      </c>
      <c r="ALD19" s="119">
        <v>0</v>
      </c>
      <c r="ALE19" s="119">
        <v>0</v>
      </c>
      <c r="ALF19" s="121">
        <v>0</v>
      </c>
      <c r="ALG19" s="119">
        <v>0</v>
      </c>
      <c r="ALH19" s="119">
        <v>0</v>
      </c>
      <c r="ALI19">
        <v>0</v>
      </c>
      <c r="ALJ19">
        <v>0</v>
      </c>
      <c r="ALK19">
        <v>0</v>
      </c>
      <c r="ALL19" s="119">
        <v>0</v>
      </c>
      <c r="ALM19">
        <v>0</v>
      </c>
      <c r="ALN19">
        <v>0</v>
      </c>
      <c r="ALO19">
        <v>0</v>
      </c>
      <c r="ALP19">
        <v>0</v>
      </c>
      <c r="ALQ19">
        <v>0</v>
      </c>
      <c r="ALR19">
        <v>0</v>
      </c>
      <c r="ALS19">
        <v>0</v>
      </c>
      <c r="ALT19">
        <v>0</v>
      </c>
      <c r="ALU19">
        <v>0</v>
      </c>
      <c r="ALV19">
        <v>0</v>
      </c>
      <c r="ALW19">
        <v>0</v>
      </c>
      <c r="ALX19">
        <v>0</v>
      </c>
      <c r="ALY19">
        <v>0</v>
      </c>
      <c r="ALZ19">
        <v>0</v>
      </c>
      <c r="AMA19">
        <v>0</v>
      </c>
      <c r="AMB19">
        <v>0</v>
      </c>
      <c r="AMC19">
        <v>0</v>
      </c>
      <c r="AMD19">
        <v>0</v>
      </c>
      <c r="AME19">
        <v>0</v>
      </c>
      <c r="AMF19">
        <v>0</v>
      </c>
      <c r="AMG19">
        <v>0</v>
      </c>
      <c r="AMH19">
        <v>0</v>
      </c>
      <c r="AMI19">
        <v>0</v>
      </c>
      <c r="AMJ19">
        <v>0</v>
      </c>
      <c r="AMK19" s="116">
        <v>0</v>
      </c>
      <c r="AML19" s="116">
        <v>0</v>
      </c>
      <c r="AMM19" s="116">
        <v>0</v>
      </c>
      <c r="AMN19" s="116">
        <v>0</v>
      </c>
      <c r="AMO19" s="116">
        <v>0</v>
      </c>
      <c r="AMP19" s="116">
        <v>0</v>
      </c>
      <c r="AMQ19" s="116">
        <v>0</v>
      </c>
      <c r="AMR19" s="116">
        <v>0</v>
      </c>
      <c r="AMS19" s="116">
        <v>0</v>
      </c>
      <c r="AMT19" s="128">
        <v>0</v>
      </c>
      <c r="AMU19" s="128">
        <v>0</v>
      </c>
      <c r="AMV19" s="128">
        <v>0</v>
      </c>
      <c r="AMW19" s="128">
        <v>0</v>
      </c>
      <c r="AMX19">
        <v>0</v>
      </c>
      <c r="AMY19" s="119">
        <v>0</v>
      </c>
      <c r="AMZ19" s="119">
        <v>0</v>
      </c>
      <c r="ANA19" s="119">
        <v>0</v>
      </c>
      <c r="ANB19" s="119">
        <v>0</v>
      </c>
      <c r="ANC19" s="121">
        <v>0</v>
      </c>
      <c r="AND19" s="119">
        <v>0</v>
      </c>
      <c r="ANE19" s="119">
        <v>0</v>
      </c>
      <c r="ANF19">
        <v>0</v>
      </c>
      <c r="ANG19">
        <v>0</v>
      </c>
      <c r="ANH19">
        <v>0</v>
      </c>
      <c r="ANI19" s="119">
        <v>0</v>
      </c>
      <c r="ANJ19">
        <v>0</v>
      </c>
      <c r="ANK19">
        <v>0</v>
      </c>
      <c r="ANL19">
        <v>0</v>
      </c>
      <c r="ANM19">
        <v>0</v>
      </c>
      <c r="ANN19">
        <v>0</v>
      </c>
      <c r="ANO19">
        <v>0</v>
      </c>
      <c r="ANP19">
        <v>0</v>
      </c>
      <c r="ANQ19">
        <v>0</v>
      </c>
      <c r="ANR19">
        <v>0</v>
      </c>
      <c r="ANS19">
        <v>0</v>
      </c>
      <c r="ANT19">
        <v>0</v>
      </c>
      <c r="ANU19">
        <v>0</v>
      </c>
      <c r="ANV19">
        <v>0</v>
      </c>
      <c r="ANW19">
        <v>0</v>
      </c>
      <c r="ANX19">
        <v>0</v>
      </c>
      <c r="ANY19">
        <v>0</v>
      </c>
      <c r="ANZ19">
        <v>0</v>
      </c>
      <c r="AOA19">
        <v>0</v>
      </c>
      <c r="AOB19">
        <v>0</v>
      </c>
      <c r="AOC19">
        <v>0</v>
      </c>
      <c r="AOD19">
        <v>0</v>
      </c>
      <c r="AOE19">
        <v>0</v>
      </c>
      <c r="AOF19">
        <v>0</v>
      </c>
      <c r="AOG19">
        <v>0</v>
      </c>
      <c r="AOH19" s="116">
        <v>0</v>
      </c>
      <c r="AOI19" s="116">
        <v>0</v>
      </c>
      <c r="AOJ19" s="116">
        <v>0</v>
      </c>
      <c r="AOK19" s="116">
        <v>0</v>
      </c>
      <c r="AOL19" s="116">
        <v>0</v>
      </c>
      <c r="AOM19" s="116">
        <v>0</v>
      </c>
      <c r="AON19" s="116">
        <v>0</v>
      </c>
      <c r="AOO19" s="116">
        <v>0</v>
      </c>
      <c r="AOP19" s="116">
        <v>0</v>
      </c>
      <c r="AOQ19" s="128">
        <v>0</v>
      </c>
      <c r="AOR19" s="128">
        <v>0</v>
      </c>
      <c r="AOS19" s="128">
        <v>0</v>
      </c>
      <c r="AOT19" s="128">
        <v>0</v>
      </c>
      <c r="AOU19">
        <v>0</v>
      </c>
      <c r="AOV19" s="119">
        <v>0</v>
      </c>
      <c r="AOW19" s="119">
        <v>0</v>
      </c>
      <c r="AOX19" s="119">
        <v>0</v>
      </c>
      <c r="AOY19" s="119">
        <v>0</v>
      </c>
      <c r="AOZ19" s="121">
        <v>0</v>
      </c>
      <c r="APA19" s="119">
        <v>0</v>
      </c>
      <c r="APB19" s="119">
        <v>0</v>
      </c>
      <c r="APC19">
        <v>0</v>
      </c>
      <c r="APD19">
        <v>0</v>
      </c>
      <c r="APE19">
        <v>0</v>
      </c>
      <c r="APF19" s="119">
        <v>0</v>
      </c>
      <c r="APG19">
        <v>0</v>
      </c>
      <c r="APH19">
        <v>0</v>
      </c>
      <c r="API19">
        <v>0</v>
      </c>
      <c r="APJ19">
        <v>0</v>
      </c>
      <c r="APK19">
        <v>0</v>
      </c>
      <c r="APL19">
        <v>0</v>
      </c>
      <c r="APM19">
        <v>0</v>
      </c>
      <c r="APN19">
        <v>0</v>
      </c>
      <c r="APO19">
        <v>0</v>
      </c>
      <c r="APP19">
        <v>0</v>
      </c>
      <c r="APQ19">
        <v>0</v>
      </c>
      <c r="APR19">
        <v>0</v>
      </c>
      <c r="APS19">
        <v>0</v>
      </c>
      <c r="APT19">
        <v>0</v>
      </c>
      <c r="APU19">
        <v>0</v>
      </c>
      <c r="APV19">
        <v>0</v>
      </c>
      <c r="APW19">
        <v>0</v>
      </c>
      <c r="APX19">
        <v>0</v>
      </c>
      <c r="APY19">
        <v>0</v>
      </c>
      <c r="APZ19">
        <v>0</v>
      </c>
      <c r="AQA19">
        <v>0</v>
      </c>
      <c r="AQB19">
        <v>0</v>
      </c>
      <c r="AQC19">
        <v>0</v>
      </c>
      <c r="AQD19">
        <v>0</v>
      </c>
      <c r="AQE19" s="116">
        <v>0</v>
      </c>
      <c r="AQF19" s="116">
        <v>0</v>
      </c>
      <c r="AQG19" s="116">
        <v>0</v>
      </c>
      <c r="AQH19" s="116">
        <v>0</v>
      </c>
      <c r="AQI19" s="116">
        <v>0</v>
      </c>
      <c r="AQJ19" s="116">
        <v>0</v>
      </c>
      <c r="AQK19" s="116">
        <v>0</v>
      </c>
      <c r="AQL19" s="116">
        <v>0</v>
      </c>
      <c r="AQM19" s="116">
        <v>0</v>
      </c>
      <c r="AQN19" s="128">
        <v>0</v>
      </c>
      <c r="AQO19" s="128">
        <v>0</v>
      </c>
      <c r="AQP19" s="128">
        <v>0</v>
      </c>
      <c r="AQQ19" s="128">
        <v>0</v>
      </c>
      <c r="AQR19">
        <v>0</v>
      </c>
      <c r="AQS19" s="119">
        <v>0</v>
      </c>
      <c r="AQT19" s="119">
        <v>0</v>
      </c>
      <c r="AQU19" s="119">
        <v>0</v>
      </c>
      <c r="AQV19" s="119">
        <v>0</v>
      </c>
      <c r="AQW19" s="121">
        <v>0</v>
      </c>
      <c r="AQX19" s="119">
        <v>0</v>
      </c>
      <c r="AQY19" s="119">
        <v>0</v>
      </c>
      <c r="AQZ19">
        <v>0</v>
      </c>
      <c r="ARA19">
        <v>0</v>
      </c>
      <c r="ARB19">
        <v>0</v>
      </c>
      <c r="ARC19" s="119">
        <v>0</v>
      </c>
      <c r="ARD19">
        <v>0</v>
      </c>
      <c r="ARE19">
        <v>0</v>
      </c>
      <c r="ARF19">
        <v>0</v>
      </c>
      <c r="ARG19">
        <v>0</v>
      </c>
      <c r="ARH19">
        <v>0</v>
      </c>
      <c r="ARI19">
        <v>0</v>
      </c>
      <c r="ARJ19">
        <v>0</v>
      </c>
      <c r="ARK19">
        <v>0</v>
      </c>
      <c r="ARL19">
        <v>0</v>
      </c>
      <c r="ARM19">
        <v>0</v>
      </c>
      <c r="ARN19">
        <v>0</v>
      </c>
      <c r="ARO19">
        <v>0</v>
      </c>
      <c r="ARP19">
        <v>0</v>
      </c>
      <c r="ARQ19">
        <v>0</v>
      </c>
      <c r="ARR19">
        <v>0</v>
      </c>
      <c r="ARS19">
        <v>0</v>
      </c>
      <c r="ART19">
        <v>0</v>
      </c>
      <c r="ARU19">
        <v>0</v>
      </c>
      <c r="ARV19">
        <v>0</v>
      </c>
      <c r="ARW19">
        <v>0</v>
      </c>
      <c r="ARX19">
        <v>0</v>
      </c>
      <c r="ARY19">
        <v>0</v>
      </c>
      <c r="ARZ19">
        <v>0</v>
      </c>
      <c r="ASA19">
        <v>0</v>
      </c>
      <c r="ASB19">
        <v>0</v>
      </c>
      <c r="ASC19">
        <v>0</v>
      </c>
      <c r="ASD19">
        <v>0</v>
      </c>
      <c r="ASE19">
        <v>0</v>
      </c>
      <c r="ASF19">
        <v>0</v>
      </c>
      <c r="ASG19">
        <v>0</v>
      </c>
      <c r="ASH19">
        <v>0</v>
      </c>
      <c r="ASI19">
        <v>0</v>
      </c>
      <c r="ASJ19">
        <v>0</v>
      </c>
      <c r="ASK19" s="128">
        <v>0</v>
      </c>
      <c r="ASL19" s="128">
        <v>0</v>
      </c>
      <c r="ASM19" s="128">
        <v>0</v>
      </c>
      <c r="ASN19" s="128">
        <v>0</v>
      </c>
      <c r="ASO19">
        <v>0</v>
      </c>
      <c r="ASP19" s="119">
        <v>0</v>
      </c>
      <c r="ASQ19" s="119">
        <v>0</v>
      </c>
      <c r="ASR19" s="119">
        <v>0</v>
      </c>
      <c r="ASS19" s="119">
        <v>0</v>
      </c>
      <c r="AST19" s="121">
        <v>0</v>
      </c>
      <c r="ASU19" s="119">
        <v>0</v>
      </c>
      <c r="ASV19" s="119">
        <v>0</v>
      </c>
      <c r="ASW19">
        <v>0</v>
      </c>
      <c r="ASX19">
        <v>0</v>
      </c>
      <c r="ASY19">
        <v>0</v>
      </c>
      <c r="ASZ19" s="119">
        <v>0</v>
      </c>
      <c r="ATA19">
        <v>0</v>
      </c>
      <c r="ATB19">
        <v>0</v>
      </c>
      <c r="ATC19">
        <v>0</v>
      </c>
      <c r="ATD19">
        <v>0</v>
      </c>
      <c r="ATE19">
        <v>0</v>
      </c>
      <c r="ATF19">
        <v>0</v>
      </c>
      <c r="ATG19">
        <v>0</v>
      </c>
      <c r="ATH19">
        <v>0</v>
      </c>
      <c r="ATI19">
        <v>0</v>
      </c>
      <c r="ATJ19">
        <v>0</v>
      </c>
      <c r="ATK19">
        <v>0</v>
      </c>
      <c r="ATL19">
        <v>0</v>
      </c>
      <c r="ATM19">
        <v>0</v>
      </c>
      <c r="ATN19">
        <v>0</v>
      </c>
      <c r="ATO19">
        <v>0</v>
      </c>
      <c r="ATP19">
        <v>0</v>
      </c>
      <c r="ATQ19">
        <v>0</v>
      </c>
      <c r="ATR19">
        <v>0</v>
      </c>
      <c r="ATS19">
        <v>0</v>
      </c>
      <c r="ATT19">
        <v>0</v>
      </c>
      <c r="ATU19">
        <v>0</v>
      </c>
      <c r="ATV19">
        <v>0</v>
      </c>
      <c r="ATW19">
        <v>0</v>
      </c>
      <c r="ATX19">
        <v>0</v>
      </c>
      <c r="ATY19" s="116">
        <v>0</v>
      </c>
      <c r="ATZ19" s="116">
        <v>0</v>
      </c>
      <c r="AUA19" s="116">
        <v>0</v>
      </c>
      <c r="AUB19" s="116">
        <v>0</v>
      </c>
      <c r="AUC19" s="116">
        <v>0</v>
      </c>
      <c r="AUD19" s="116">
        <v>0</v>
      </c>
      <c r="AUE19" s="116">
        <v>0</v>
      </c>
      <c r="AUF19" s="116">
        <v>0</v>
      </c>
      <c r="AUG19" s="116">
        <v>0</v>
      </c>
      <c r="AUH19" s="128">
        <v>0</v>
      </c>
      <c r="AUI19" s="128">
        <v>0</v>
      </c>
      <c r="AUJ19" s="128">
        <v>0</v>
      </c>
      <c r="AUK19" s="128">
        <v>0</v>
      </c>
      <c r="AUL19">
        <v>0</v>
      </c>
      <c r="AUM19" s="119">
        <v>0</v>
      </c>
      <c r="AUN19" s="119">
        <v>0</v>
      </c>
      <c r="AUO19" s="119">
        <v>0</v>
      </c>
      <c r="AUP19" s="119">
        <v>0</v>
      </c>
      <c r="AUQ19" s="121">
        <v>0</v>
      </c>
      <c r="AUR19" s="119">
        <v>0</v>
      </c>
      <c r="AUS19" s="119">
        <v>0</v>
      </c>
      <c r="AUT19">
        <v>0</v>
      </c>
      <c r="AUU19">
        <v>0</v>
      </c>
      <c r="AUV19">
        <v>0</v>
      </c>
      <c r="AUW19" s="119">
        <v>0</v>
      </c>
      <c r="AUX19">
        <v>0</v>
      </c>
      <c r="AUY19">
        <v>0</v>
      </c>
      <c r="AUZ19">
        <v>0</v>
      </c>
      <c r="AVA19">
        <v>0</v>
      </c>
      <c r="AVB19">
        <v>0</v>
      </c>
      <c r="AVC19">
        <v>0</v>
      </c>
      <c r="AVD19">
        <v>0</v>
      </c>
      <c r="AVE19">
        <v>0</v>
      </c>
      <c r="AVF19">
        <v>0</v>
      </c>
      <c r="AVG19">
        <v>0</v>
      </c>
      <c r="AVH19">
        <v>0</v>
      </c>
      <c r="AVI19">
        <v>0</v>
      </c>
      <c r="AVJ19">
        <v>0</v>
      </c>
      <c r="AVK19">
        <v>0</v>
      </c>
      <c r="AVL19">
        <v>0</v>
      </c>
      <c r="AVM19">
        <v>0</v>
      </c>
      <c r="AVN19">
        <v>0</v>
      </c>
      <c r="AVO19">
        <v>0</v>
      </c>
      <c r="AVP19">
        <v>0</v>
      </c>
      <c r="AVQ19">
        <v>0</v>
      </c>
      <c r="AVR19">
        <v>0</v>
      </c>
      <c r="AVS19">
        <v>0</v>
      </c>
      <c r="AVT19">
        <v>0</v>
      </c>
      <c r="AVU19">
        <v>0</v>
      </c>
      <c r="AVV19" s="116">
        <v>0</v>
      </c>
      <c r="AVW19" s="116">
        <v>0</v>
      </c>
      <c r="AVX19" s="116">
        <v>0</v>
      </c>
      <c r="AVY19" s="116">
        <v>0</v>
      </c>
      <c r="AVZ19" s="116">
        <v>0</v>
      </c>
      <c r="AWA19" s="116">
        <v>0</v>
      </c>
      <c r="AWB19" s="116">
        <v>0</v>
      </c>
      <c r="AWC19" s="116">
        <v>0</v>
      </c>
      <c r="AWD19" s="116">
        <v>0</v>
      </c>
      <c r="AWE19" s="128">
        <v>0</v>
      </c>
      <c r="AWF19" s="128">
        <v>0</v>
      </c>
      <c r="AWG19" s="128">
        <v>0</v>
      </c>
      <c r="AWH19" s="128">
        <v>0</v>
      </c>
      <c r="AWI19">
        <v>0</v>
      </c>
      <c r="AWJ19" s="119">
        <v>0</v>
      </c>
      <c r="AWK19" s="119">
        <v>0</v>
      </c>
      <c r="AWL19" s="119">
        <v>0</v>
      </c>
      <c r="AWM19" s="119">
        <v>0</v>
      </c>
      <c r="AWN19" s="121">
        <v>0</v>
      </c>
      <c r="AWO19" s="119">
        <v>0</v>
      </c>
      <c r="AWP19" s="119">
        <v>0</v>
      </c>
      <c r="AWQ19">
        <v>0</v>
      </c>
      <c r="AWR19">
        <v>0</v>
      </c>
      <c r="AWS19">
        <v>0</v>
      </c>
      <c r="AWT19" s="119">
        <v>0</v>
      </c>
      <c r="AWU19">
        <v>0</v>
      </c>
      <c r="AWV19">
        <v>0</v>
      </c>
      <c r="AWW19">
        <v>0</v>
      </c>
      <c r="AWX19">
        <v>0</v>
      </c>
      <c r="AWY19">
        <v>0</v>
      </c>
      <c r="AWZ19">
        <v>0</v>
      </c>
      <c r="AXA19">
        <v>0</v>
      </c>
      <c r="AXB19">
        <v>0</v>
      </c>
      <c r="AXC19">
        <v>0</v>
      </c>
      <c r="AXD19">
        <v>0</v>
      </c>
      <c r="AXE19">
        <v>0</v>
      </c>
      <c r="AXF19">
        <v>0</v>
      </c>
      <c r="AXG19">
        <v>0</v>
      </c>
      <c r="AXH19">
        <v>0</v>
      </c>
      <c r="AXI19">
        <v>0</v>
      </c>
      <c r="AXJ19">
        <v>0</v>
      </c>
      <c r="AXK19">
        <v>0</v>
      </c>
      <c r="AXL19">
        <v>0</v>
      </c>
      <c r="AXM19">
        <v>0</v>
      </c>
      <c r="AXN19">
        <v>0</v>
      </c>
      <c r="AXO19">
        <v>0</v>
      </c>
      <c r="AXP19">
        <v>0</v>
      </c>
      <c r="AXQ19">
        <v>0</v>
      </c>
      <c r="AXR19">
        <v>0</v>
      </c>
      <c r="AXS19" s="116">
        <v>0</v>
      </c>
      <c r="AXT19" s="116">
        <v>0</v>
      </c>
      <c r="AXU19" s="116">
        <v>0</v>
      </c>
      <c r="AXV19" s="116">
        <v>0</v>
      </c>
      <c r="AXW19" s="116">
        <v>0</v>
      </c>
      <c r="AXX19" s="116">
        <v>0</v>
      </c>
      <c r="AXY19" s="116">
        <v>0</v>
      </c>
      <c r="AXZ19" s="116">
        <v>0</v>
      </c>
      <c r="AYA19" s="116">
        <v>0</v>
      </c>
      <c r="AYB19" s="128">
        <v>0</v>
      </c>
      <c r="AYC19" s="128">
        <v>0</v>
      </c>
      <c r="AYD19" s="128">
        <v>0</v>
      </c>
      <c r="AYE19" s="128">
        <v>0</v>
      </c>
      <c r="AYF19">
        <v>0</v>
      </c>
      <c r="AYG19" s="119">
        <v>0</v>
      </c>
      <c r="AYH19" s="119">
        <v>0</v>
      </c>
      <c r="AYI19" s="119">
        <v>0</v>
      </c>
      <c r="AYJ19" s="119">
        <v>0</v>
      </c>
      <c r="AYK19" s="121">
        <v>0</v>
      </c>
      <c r="AYL19" s="119">
        <v>0</v>
      </c>
      <c r="AYM19" s="119">
        <v>0</v>
      </c>
      <c r="AYN19">
        <v>0</v>
      </c>
      <c r="AYO19">
        <v>0</v>
      </c>
      <c r="AYP19">
        <v>0</v>
      </c>
      <c r="AYQ19" s="119">
        <v>0</v>
      </c>
      <c r="AYR19">
        <v>0</v>
      </c>
      <c r="AYS19">
        <v>0</v>
      </c>
      <c r="AYT19">
        <v>0</v>
      </c>
      <c r="AYU19">
        <v>0</v>
      </c>
      <c r="AYV19">
        <v>0</v>
      </c>
      <c r="AYW19">
        <v>0</v>
      </c>
      <c r="AYX19">
        <v>0</v>
      </c>
      <c r="AYY19">
        <v>0</v>
      </c>
      <c r="AYZ19">
        <v>0</v>
      </c>
      <c r="AZA19">
        <v>0</v>
      </c>
      <c r="AZB19">
        <v>0</v>
      </c>
      <c r="AZC19">
        <v>0</v>
      </c>
      <c r="AZD19">
        <v>0</v>
      </c>
      <c r="AZE19">
        <v>0</v>
      </c>
      <c r="AZF19">
        <v>0</v>
      </c>
      <c r="AZG19">
        <v>0</v>
      </c>
      <c r="AZH19">
        <v>0</v>
      </c>
      <c r="AZI19">
        <v>0</v>
      </c>
      <c r="AZJ19">
        <v>0</v>
      </c>
      <c r="AZK19">
        <v>0</v>
      </c>
      <c r="AZL19">
        <v>0</v>
      </c>
      <c r="AZM19">
        <v>0</v>
      </c>
      <c r="AZN19">
        <v>0</v>
      </c>
      <c r="AZO19">
        <v>0</v>
      </c>
      <c r="AZP19" s="116">
        <v>0</v>
      </c>
      <c r="AZQ19" s="116">
        <v>0</v>
      </c>
      <c r="AZR19" s="116">
        <v>0</v>
      </c>
      <c r="AZS19" s="116">
        <v>0</v>
      </c>
      <c r="AZT19" s="116">
        <v>0</v>
      </c>
      <c r="AZU19" s="116">
        <v>0</v>
      </c>
      <c r="AZV19" s="116">
        <v>0</v>
      </c>
      <c r="AZW19" s="116">
        <v>0</v>
      </c>
      <c r="AZX19" s="116">
        <v>0</v>
      </c>
      <c r="AZY19" s="128">
        <v>0</v>
      </c>
      <c r="AZZ19" s="128">
        <v>0</v>
      </c>
      <c r="BAA19" s="128">
        <v>0</v>
      </c>
      <c r="BAB19" s="128">
        <v>0</v>
      </c>
      <c r="BAC19">
        <v>0</v>
      </c>
      <c r="BAD19" s="119">
        <v>0</v>
      </c>
      <c r="BAE19" s="119">
        <v>0</v>
      </c>
      <c r="BAF19" s="119">
        <v>0</v>
      </c>
      <c r="BAG19" s="119">
        <v>0</v>
      </c>
      <c r="BAH19" s="121">
        <v>0</v>
      </c>
      <c r="BAI19" s="119">
        <v>0</v>
      </c>
      <c r="BAJ19" s="119">
        <v>0</v>
      </c>
      <c r="BAK19">
        <v>353915</v>
      </c>
      <c r="BAL19">
        <v>9900</v>
      </c>
      <c r="BAM19">
        <v>9000</v>
      </c>
      <c r="BAN19" s="119">
        <v>900</v>
      </c>
      <c r="BAO19">
        <v>0</v>
      </c>
      <c r="BAP19">
        <v>0</v>
      </c>
      <c r="BAQ19">
        <v>0</v>
      </c>
      <c r="BAR19">
        <v>0</v>
      </c>
      <c r="BAS19">
        <v>0</v>
      </c>
      <c r="BAT19">
        <v>0</v>
      </c>
      <c r="BAU19">
        <v>0</v>
      </c>
      <c r="BAV19">
        <v>0</v>
      </c>
      <c r="BAW19">
        <v>0</v>
      </c>
      <c r="BAX19">
        <v>0</v>
      </c>
      <c r="BAY19">
        <v>0</v>
      </c>
      <c r="BAZ19">
        <v>0</v>
      </c>
      <c r="BBA19">
        <v>0</v>
      </c>
      <c r="BBB19">
        <v>0</v>
      </c>
      <c r="BBC19">
        <v>0</v>
      </c>
      <c r="BBD19">
        <v>0</v>
      </c>
      <c r="BBE19">
        <v>0</v>
      </c>
      <c r="BBF19">
        <v>0</v>
      </c>
      <c r="BBG19">
        <v>0</v>
      </c>
      <c r="BBH19">
        <v>0</v>
      </c>
      <c r="BBI19">
        <v>0</v>
      </c>
      <c r="BBJ19">
        <v>0</v>
      </c>
      <c r="BBK19">
        <v>0</v>
      </c>
      <c r="BBL19">
        <v>0</v>
      </c>
      <c r="BBM19">
        <v>0</v>
      </c>
      <c r="BBN19" s="120">
        <v>0</v>
      </c>
      <c r="BBO19" s="120">
        <v>0</v>
      </c>
      <c r="BBP19" s="120">
        <v>0</v>
      </c>
      <c r="BBQ19" s="120">
        <v>0</v>
      </c>
      <c r="BBR19" s="120">
        <v>0</v>
      </c>
      <c r="BBS19" s="120">
        <v>0</v>
      </c>
      <c r="BBT19">
        <v>0</v>
      </c>
      <c r="BBU19">
        <v>0</v>
      </c>
      <c r="BBV19">
        <v>0</v>
      </c>
      <c r="BBW19">
        <v>0</v>
      </c>
      <c r="BBX19">
        <v>0</v>
      </c>
      <c r="BBY19">
        <v>0</v>
      </c>
      <c r="BBZ19">
        <v>0</v>
      </c>
      <c r="BCA19">
        <v>0</v>
      </c>
      <c r="BCB19">
        <v>0</v>
      </c>
      <c r="BCC19">
        <v>0</v>
      </c>
      <c r="BCD19">
        <v>0</v>
      </c>
      <c r="BCE19">
        <v>0</v>
      </c>
      <c r="BCF19">
        <v>0</v>
      </c>
      <c r="BCG19">
        <v>0</v>
      </c>
      <c r="BCH19">
        <v>0</v>
      </c>
      <c r="BCI19">
        <v>0</v>
      </c>
      <c r="BCJ19">
        <v>0</v>
      </c>
      <c r="BCK19">
        <v>0</v>
      </c>
      <c r="BCL19">
        <v>0</v>
      </c>
      <c r="BCM19">
        <v>0</v>
      </c>
      <c r="BCN19">
        <v>0</v>
      </c>
      <c r="BCO19">
        <v>0</v>
      </c>
      <c r="BCP19">
        <v>0</v>
      </c>
      <c r="BCQ19">
        <v>0</v>
      </c>
      <c r="BCR19">
        <v>0</v>
      </c>
      <c r="BCS19">
        <v>0</v>
      </c>
      <c r="BCT19">
        <v>0</v>
      </c>
      <c r="BCU19">
        <v>0</v>
      </c>
      <c r="BCV19">
        <v>0</v>
      </c>
      <c r="BCW19">
        <v>0</v>
      </c>
      <c r="BCX19">
        <v>0</v>
      </c>
      <c r="BCY19">
        <v>0</v>
      </c>
      <c r="BCZ19">
        <v>0</v>
      </c>
      <c r="BDA19">
        <v>0</v>
      </c>
      <c r="BDB19">
        <v>0</v>
      </c>
      <c r="BDC19">
        <v>0</v>
      </c>
      <c r="BDD19">
        <v>0</v>
      </c>
      <c r="BDE19">
        <v>0</v>
      </c>
      <c r="BDF19">
        <v>0</v>
      </c>
      <c r="BDG19">
        <v>0</v>
      </c>
      <c r="BDH19">
        <v>0</v>
      </c>
      <c r="BDI19">
        <v>0</v>
      </c>
      <c r="BDJ19">
        <v>0</v>
      </c>
      <c r="BDK19">
        <v>0</v>
      </c>
      <c r="BDL19">
        <v>0</v>
      </c>
      <c r="BDM19">
        <v>0</v>
      </c>
      <c r="BDN19">
        <v>0</v>
      </c>
      <c r="BDO19">
        <v>0</v>
      </c>
      <c r="BDP19">
        <v>0</v>
      </c>
      <c r="BDQ19">
        <v>0</v>
      </c>
      <c r="BDR19" t="s">
        <v>2404</v>
      </c>
      <c r="BDS19">
        <v>0</v>
      </c>
      <c r="BDT19">
        <v>0</v>
      </c>
      <c r="BDU19">
        <v>0</v>
      </c>
      <c r="BDV19">
        <v>0</v>
      </c>
      <c r="BDW19">
        <v>0</v>
      </c>
      <c r="BDX19">
        <v>0</v>
      </c>
      <c r="BDY19">
        <v>0</v>
      </c>
      <c r="BDZ19">
        <v>0</v>
      </c>
      <c r="BEA19">
        <v>0</v>
      </c>
      <c r="BEB19">
        <v>0</v>
      </c>
      <c r="BEC19">
        <v>0</v>
      </c>
      <c r="BED19">
        <v>0</v>
      </c>
      <c r="BEE19">
        <v>0</v>
      </c>
      <c r="BEF19">
        <v>0</v>
      </c>
      <c r="BEG19">
        <v>0</v>
      </c>
      <c r="BEH19">
        <v>0</v>
      </c>
      <c r="BEI19">
        <v>0</v>
      </c>
      <c r="BEJ19">
        <v>0</v>
      </c>
      <c r="BEK19">
        <v>0</v>
      </c>
      <c r="BEL19">
        <v>0</v>
      </c>
      <c r="BEM19">
        <v>0</v>
      </c>
      <c r="BEN19">
        <v>0</v>
      </c>
      <c r="BEO19">
        <v>0</v>
      </c>
      <c r="BEP19">
        <v>0</v>
      </c>
      <c r="BEQ19">
        <v>0</v>
      </c>
      <c r="BER19">
        <v>0</v>
      </c>
      <c r="BES19">
        <v>0</v>
      </c>
      <c r="BET19">
        <v>0</v>
      </c>
      <c r="BEU19">
        <v>0</v>
      </c>
      <c r="BEV19">
        <v>0</v>
      </c>
      <c r="BEW19">
        <v>0</v>
      </c>
      <c r="BEX19">
        <v>0</v>
      </c>
      <c r="BEY19">
        <v>0</v>
      </c>
      <c r="BEZ19">
        <v>0</v>
      </c>
      <c r="BFA19">
        <v>0</v>
      </c>
      <c r="BFB19">
        <v>0</v>
      </c>
      <c r="BFC19">
        <v>0</v>
      </c>
      <c r="BFD19" t="b">
        <v>0</v>
      </c>
      <c r="BFE19" t="b">
        <v>0</v>
      </c>
      <c r="BFF19" t="b">
        <v>0</v>
      </c>
      <c r="BFG19" t="b">
        <v>0</v>
      </c>
      <c r="BFH19">
        <v>0</v>
      </c>
      <c r="BFI19">
        <v>0</v>
      </c>
      <c r="BFJ19">
        <v>0</v>
      </c>
      <c r="BFK19">
        <v>0</v>
      </c>
      <c r="BFL19">
        <v>0</v>
      </c>
      <c r="BFM19">
        <v>0</v>
      </c>
      <c r="BFN19">
        <v>0</v>
      </c>
      <c r="BFO19">
        <v>0</v>
      </c>
      <c r="BFP19">
        <v>0</v>
      </c>
      <c r="BFQ19">
        <v>0</v>
      </c>
      <c r="BFR19">
        <v>0</v>
      </c>
      <c r="BFS19">
        <v>0</v>
      </c>
      <c r="BFT19">
        <v>0</v>
      </c>
      <c r="BFU19">
        <v>0</v>
      </c>
      <c r="BFV19">
        <v>0</v>
      </c>
      <c r="BFW19">
        <v>0</v>
      </c>
      <c r="BFX19">
        <v>0</v>
      </c>
      <c r="BFY19">
        <v>0</v>
      </c>
    </row>
    <row r="20" spans="1:1533" ht="18.75" customHeight="1" x14ac:dyDescent="0.25">
      <c r="A20" t="s">
        <v>2920</v>
      </c>
      <c r="B20" t="s">
        <v>2934</v>
      </c>
      <c r="C20" s="120">
        <v>130</v>
      </c>
      <c r="D20" s="120">
        <v>45</v>
      </c>
      <c r="E20" t="s">
        <v>2922</v>
      </c>
      <c r="F20">
        <v>10100012345</v>
      </c>
      <c r="G20">
        <v>123456789</v>
      </c>
      <c r="H20" t="s">
        <v>2403</v>
      </c>
      <c r="I20" t="s">
        <v>2403</v>
      </c>
      <c r="J20" t="s">
        <v>2403</v>
      </c>
      <c r="K20" t="s">
        <v>2404</v>
      </c>
      <c r="L20" t="s">
        <v>2404</v>
      </c>
      <c r="M20" t="s">
        <v>2923</v>
      </c>
      <c r="N20" t="s">
        <v>2403</v>
      </c>
      <c r="O20" t="s">
        <v>1883</v>
      </c>
      <c r="P20" t="s">
        <v>1883</v>
      </c>
      <c r="Q20" t="s">
        <v>2404</v>
      </c>
      <c r="R20" t="s">
        <v>232</v>
      </c>
      <c r="S20" t="s">
        <v>2404</v>
      </c>
      <c r="T20" t="s">
        <v>2404</v>
      </c>
      <c r="U20" t="s">
        <v>2424</v>
      </c>
      <c r="V20" t="s">
        <v>2862</v>
      </c>
      <c r="W20" t="s">
        <v>309</v>
      </c>
      <c r="X20">
        <v>1100</v>
      </c>
      <c r="Y20">
        <v>43564</v>
      </c>
      <c r="Z20">
        <v>0</v>
      </c>
      <c r="AA20">
        <v>0</v>
      </c>
      <c r="AB20" s="120">
        <v>0</v>
      </c>
      <c r="AC20" s="58" t="s">
        <v>409</v>
      </c>
      <c r="AD20" s="120">
        <v>75</v>
      </c>
      <c r="AE20" s="120">
        <v>0</v>
      </c>
      <c r="AF20" s="120">
        <v>43590</v>
      </c>
      <c r="AG20">
        <v>45</v>
      </c>
      <c r="AH20" s="120">
        <v>70000</v>
      </c>
      <c r="AI20" s="120" t="s">
        <v>2921</v>
      </c>
      <c r="AJ20" s="58" t="s">
        <v>271</v>
      </c>
      <c r="AK20" s="120">
        <v>0.15</v>
      </c>
      <c r="AL20" s="119">
        <v>0</v>
      </c>
      <c r="AM20">
        <v>50</v>
      </c>
      <c r="AN20">
        <v>47213</v>
      </c>
      <c r="AO20" s="114">
        <v>0.2328930197646919</v>
      </c>
      <c r="AP20" s="120">
        <v>2694</v>
      </c>
      <c r="AQ20" s="120">
        <v>4275.7599999999929</v>
      </c>
      <c r="AR20" s="58">
        <v>6969.7599999999929</v>
      </c>
      <c r="AS20" s="114">
        <v>58.08</v>
      </c>
      <c r="AT20" s="120">
        <v>58.24</v>
      </c>
      <c r="AU20" s="120" t="s">
        <v>1910</v>
      </c>
      <c r="AV20" s="120" t="s">
        <v>2119</v>
      </c>
      <c r="AW20" s="120" t="s">
        <v>2738</v>
      </c>
      <c r="AX20" s="120">
        <v>19</v>
      </c>
      <c r="AY20">
        <v>0</v>
      </c>
      <c r="AZ20">
        <v>43559</v>
      </c>
      <c r="BA20">
        <v>100</v>
      </c>
      <c r="BB20" s="120">
        <v>2</v>
      </c>
      <c r="BC20">
        <v>1</v>
      </c>
      <c r="BD20" s="58" t="s">
        <v>410</v>
      </c>
      <c r="BE20" s="120">
        <v>586</v>
      </c>
      <c r="BF20">
        <v>0</v>
      </c>
      <c r="BG20">
        <v>43560</v>
      </c>
      <c r="BH20">
        <v>120</v>
      </c>
      <c r="BI20" s="120">
        <v>0</v>
      </c>
      <c r="BJ20" s="120">
        <v>50</v>
      </c>
      <c r="BK20" s="58">
        <v>43481</v>
      </c>
      <c r="BL20">
        <v>0</v>
      </c>
      <c r="BM20" s="120">
        <v>0</v>
      </c>
      <c r="BN20" s="120">
        <v>0</v>
      </c>
      <c r="BO20" t="s">
        <v>2924</v>
      </c>
      <c r="BP20" t="s">
        <v>2403</v>
      </c>
      <c r="BQ20" t="s">
        <v>2403</v>
      </c>
      <c r="BR20" t="s">
        <v>2403</v>
      </c>
      <c r="BS20">
        <v>123456789</v>
      </c>
      <c r="BT20" s="58">
        <v>31107</v>
      </c>
      <c r="BU20" t="s">
        <v>2926</v>
      </c>
      <c r="BV20" t="s">
        <v>2628</v>
      </c>
      <c r="BW20" t="s">
        <v>1633</v>
      </c>
      <c r="BX20">
        <v>53511</v>
      </c>
      <c r="BY20" t="s">
        <v>2926</v>
      </c>
      <c r="BZ20" t="s">
        <v>2628</v>
      </c>
      <c r="CA20">
        <v>53511</v>
      </c>
      <c r="CB20" t="s">
        <v>1633</v>
      </c>
      <c r="CC20" t="s">
        <v>316</v>
      </c>
      <c r="CD20">
        <v>0</v>
      </c>
      <c r="CE20">
        <v>0</v>
      </c>
      <c r="CF20">
        <v>0</v>
      </c>
      <c r="CG20">
        <v>0</v>
      </c>
      <c r="CH20">
        <v>0</v>
      </c>
      <c r="CI20">
        <v>0</v>
      </c>
      <c r="CJ20">
        <v>0</v>
      </c>
      <c r="CK20">
        <v>5551234567</v>
      </c>
      <c r="CL20" s="118">
        <v>5551234567</v>
      </c>
      <c r="CM20" s="118">
        <v>5551234567</v>
      </c>
      <c r="CN20" s="118" t="s">
        <v>2869</v>
      </c>
      <c r="CO20" t="s">
        <v>2925</v>
      </c>
      <c r="CP20" t="s">
        <v>2403</v>
      </c>
      <c r="CQ20" t="s">
        <v>2403</v>
      </c>
      <c r="CR20" t="s">
        <v>2403</v>
      </c>
      <c r="CS20" t="s">
        <v>2926</v>
      </c>
      <c r="CT20" t="s">
        <v>2628</v>
      </c>
      <c r="CU20" t="s">
        <v>1633</v>
      </c>
      <c r="CV20">
        <v>53511</v>
      </c>
      <c r="CW20">
        <v>234567899</v>
      </c>
      <c r="CX20">
        <v>31809</v>
      </c>
      <c r="CY20" s="58" t="s">
        <v>2926</v>
      </c>
      <c r="CZ20" t="s">
        <v>2628</v>
      </c>
      <c r="DA20">
        <v>53511</v>
      </c>
      <c r="DB20" t="s">
        <v>1633</v>
      </c>
      <c r="DC20" t="s">
        <v>316</v>
      </c>
      <c r="DD20">
        <v>0</v>
      </c>
      <c r="DE20">
        <v>0</v>
      </c>
      <c r="DF20">
        <v>0</v>
      </c>
      <c r="DG20">
        <v>0</v>
      </c>
      <c r="DH20">
        <v>0</v>
      </c>
      <c r="DI20">
        <v>0</v>
      </c>
      <c r="DJ20">
        <v>0</v>
      </c>
      <c r="DK20">
        <v>5551234567</v>
      </c>
      <c r="DL20">
        <v>5551234567</v>
      </c>
      <c r="DM20" s="118">
        <v>5551234567</v>
      </c>
      <c r="DN20" s="118" t="s">
        <v>2869</v>
      </c>
      <c r="DO20" s="118">
        <v>0</v>
      </c>
      <c r="DP20">
        <v>0</v>
      </c>
      <c r="DQ20">
        <v>0</v>
      </c>
      <c r="DR20">
        <v>0</v>
      </c>
      <c r="DS20">
        <v>0</v>
      </c>
      <c r="DT20">
        <v>0</v>
      </c>
      <c r="DU20">
        <v>0</v>
      </c>
      <c r="DV20">
        <v>0</v>
      </c>
      <c r="DW20">
        <v>0</v>
      </c>
      <c r="DX20">
        <v>0</v>
      </c>
      <c r="DY20">
        <v>0</v>
      </c>
      <c r="DZ20" s="58">
        <v>0</v>
      </c>
      <c r="EA20">
        <v>0</v>
      </c>
      <c r="EB20">
        <v>0</v>
      </c>
      <c r="EC20">
        <v>0</v>
      </c>
      <c r="ED20">
        <v>0</v>
      </c>
      <c r="EE20">
        <v>0</v>
      </c>
      <c r="EF20">
        <v>0</v>
      </c>
      <c r="EG20">
        <v>0</v>
      </c>
      <c r="EH20">
        <v>0</v>
      </c>
      <c r="EI20">
        <v>0</v>
      </c>
      <c r="EJ20">
        <v>0</v>
      </c>
      <c r="EK20">
        <v>0</v>
      </c>
      <c r="EL20">
        <v>0</v>
      </c>
      <c r="EM20">
        <v>0</v>
      </c>
      <c r="EN20" s="118">
        <v>0</v>
      </c>
      <c r="EO20" s="118">
        <v>1100</v>
      </c>
      <c r="EP20" s="118">
        <v>2500</v>
      </c>
      <c r="EQ20">
        <v>2</v>
      </c>
      <c r="ER20">
        <v>2</v>
      </c>
      <c r="ES20" s="119" t="s">
        <v>2928</v>
      </c>
      <c r="ET20" t="s">
        <v>2929</v>
      </c>
      <c r="EU20">
        <v>0</v>
      </c>
      <c r="EV20">
        <v>0</v>
      </c>
      <c r="EW20">
        <v>0</v>
      </c>
      <c r="EX20">
        <v>0</v>
      </c>
      <c r="EY20">
        <v>0</v>
      </c>
      <c r="EZ20">
        <v>0</v>
      </c>
      <c r="FA20">
        <v>0</v>
      </c>
      <c r="FB20">
        <v>0</v>
      </c>
      <c r="FC20">
        <v>0</v>
      </c>
      <c r="FD20">
        <v>0</v>
      </c>
      <c r="FE20">
        <v>0</v>
      </c>
      <c r="FF20">
        <v>0</v>
      </c>
      <c r="FG20">
        <v>0</v>
      </c>
      <c r="FH20">
        <v>0</v>
      </c>
      <c r="FI20">
        <v>0</v>
      </c>
      <c r="FJ20">
        <v>0</v>
      </c>
      <c r="FK20">
        <v>0</v>
      </c>
      <c r="FL20">
        <v>0</v>
      </c>
      <c r="FM20">
        <v>1500</v>
      </c>
      <c r="FN20">
        <v>1000</v>
      </c>
      <c r="FO20">
        <v>0</v>
      </c>
      <c r="FP20" s="119">
        <v>0</v>
      </c>
      <c r="FQ20" s="119">
        <v>0</v>
      </c>
      <c r="FR20" s="119">
        <v>0</v>
      </c>
      <c r="FS20" s="119">
        <v>0</v>
      </c>
      <c r="FT20" s="119">
        <v>0</v>
      </c>
      <c r="FU20" s="119">
        <v>0</v>
      </c>
      <c r="FV20" s="119">
        <v>0</v>
      </c>
      <c r="FW20" s="119">
        <v>0</v>
      </c>
      <c r="FX20" s="119">
        <v>0</v>
      </c>
      <c r="FY20" s="119">
        <v>0</v>
      </c>
      <c r="FZ20" s="119">
        <v>0</v>
      </c>
      <c r="GA20" s="119">
        <v>0</v>
      </c>
      <c r="GB20" s="119">
        <v>0</v>
      </c>
      <c r="GC20" s="119">
        <v>0</v>
      </c>
      <c r="GD20" s="119">
        <v>0</v>
      </c>
      <c r="GE20" s="119">
        <v>0</v>
      </c>
      <c r="GF20" s="119">
        <v>0</v>
      </c>
      <c r="GG20" s="119">
        <v>0</v>
      </c>
      <c r="GH20" s="119" t="s">
        <v>2403</v>
      </c>
      <c r="GI20" s="119">
        <v>0</v>
      </c>
      <c r="GJ20">
        <v>0</v>
      </c>
      <c r="GK20">
        <v>0</v>
      </c>
      <c r="GL20" t="s">
        <v>2403</v>
      </c>
      <c r="GM20">
        <v>0</v>
      </c>
      <c r="GN20" t="s">
        <v>2403</v>
      </c>
      <c r="GO20">
        <v>0</v>
      </c>
      <c r="GP20" s="58" t="s">
        <v>2931</v>
      </c>
      <c r="GQ20" t="s">
        <v>2930</v>
      </c>
      <c r="GR20">
        <v>0</v>
      </c>
      <c r="GS20" s="128">
        <v>0</v>
      </c>
      <c r="GT20" s="128" t="s">
        <v>2926</v>
      </c>
      <c r="GU20" s="128">
        <v>1500</v>
      </c>
      <c r="GV20" s="128">
        <v>1000</v>
      </c>
      <c r="GW20">
        <v>0</v>
      </c>
      <c r="GX20" s="119">
        <v>0</v>
      </c>
      <c r="GY20" s="119" t="s">
        <v>2509</v>
      </c>
      <c r="GZ20" s="119" t="s">
        <v>2509</v>
      </c>
      <c r="HA20" s="119">
        <v>0</v>
      </c>
      <c r="HB20">
        <v>0</v>
      </c>
      <c r="HC20">
        <v>2500</v>
      </c>
      <c r="HD20">
        <v>45000</v>
      </c>
      <c r="HE20">
        <v>15000</v>
      </c>
      <c r="HF20" s="120" t="s">
        <v>2628</v>
      </c>
      <c r="HG20" s="119" t="s">
        <v>2927</v>
      </c>
      <c r="HH20" t="s">
        <v>2403</v>
      </c>
      <c r="HI20">
        <v>45000</v>
      </c>
      <c r="HJ20" t="s">
        <v>2403</v>
      </c>
      <c r="HK20" t="s">
        <v>2932</v>
      </c>
      <c r="HL20" s="119" t="s">
        <v>2932</v>
      </c>
      <c r="HM20">
        <v>0</v>
      </c>
      <c r="HN20">
        <v>0</v>
      </c>
      <c r="HO20" t="s">
        <v>3123</v>
      </c>
      <c r="HP20" t="s">
        <v>2403</v>
      </c>
      <c r="HQ20">
        <v>0</v>
      </c>
      <c r="HR20" t="s">
        <v>1633</v>
      </c>
      <c r="HS20" t="s">
        <v>2928</v>
      </c>
      <c r="HT20" t="s">
        <v>2929</v>
      </c>
      <c r="HU20">
        <v>0</v>
      </c>
      <c r="HV20">
        <v>0</v>
      </c>
      <c r="HW20" t="s">
        <v>2933</v>
      </c>
      <c r="HX20" t="s">
        <v>2933</v>
      </c>
      <c r="HY20">
        <v>0</v>
      </c>
      <c r="HZ20">
        <v>0</v>
      </c>
      <c r="IA20">
        <v>53511</v>
      </c>
      <c r="IB20" t="s">
        <v>2403</v>
      </c>
      <c r="IC20">
        <v>0</v>
      </c>
      <c r="ID20">
        <v>0</v>
      </c>
      <c r="IE20">
        <v>0</v>
      </c>
      <c r="IF20">
        <v>0</v>
      </c>
      <c r="IG20">
        <v>0</v>
      </c>
      <c r="IH20">
        <v>0</v>
      </c>
      <c r="II20">
        <v>0</v>
      </c>
      <c r="IJ20">
        <v>0</v>
      </c>
      <c r="IK20">
        <v>0</v>
      </c>
      <c r="IL20">
        <v>0</v>
      </c>
      <c r="IM20">
        <v>0</v>
      </c>
      <c r="IN20">
        <v>0</v>
      </c>
      <c r="IO20" s="128">
        <v>0</v>
      </c>
      <c r="IP20" s="128">
        <v>0</v>
      </c>
      <c r="IQ20" s="128">
        <v>0</v>
      </c>
      <c r="IR20" s="128">
        <v>0</v>
      </c>
      <c r="IS20">
        <v>0</v>
      </c>
      <c r="IT20" s="119">
        <v>0</v>
      </c>
      <c r="IU20" s="119">
        <v>0</v>
      </c>
      <c r="IV20" s="119">
        <v>0</v>
      </c>
      <c r="IW20" s="119">
        <v>0</v>
      </c>
      <c r="IX20" s="119">
        <v>0</v>
      </c>
      <c r="IY20">
        <v>0</v>
      </c>
      <c r="IZ20">
        <v>0</v>
      </c>
      <c r="JA20">
        <v>0</v>
      </c>
      <c r="JB20">
        <v>0</v>
      </c>
      <c r="JC20">
        <v>0</v>
      </c>
      <c r="JD20" s="119">
        <v>0</v>
      </c>
      <c r="JE20">
        <v>0</v>
      </c>
      <c r="JF20">
        <v>0</v>
      </c>
      <c r="JG20">
        <v>0</v>
      </c>
      <c r="JH20">
        <v>0</v>
      </c>
      <c r="JI20">
        <v>0</v>
      </c>
      <c r="JJ20">
        <v>0</v>
      </c>
      <c r="JK20">
        <v>0</v>
      </c>
      <c r="JL20">
        <v>0</v>
      </c>
      <c r="JM20">
        <v>0</v>
      </c>
      <c r="JN20">
        <v>0</v>
      </c>
      <c r="JO20">
        <v>0</v>
      </c>
      <c r="JP20">
        <v>0</v>
      </c>
      <c r="JQ20">
        <v>0</v>
      </c>
      <c r="JR20">
        <v>0</v>
      </c>
      <c r="JS20">
        <v>0</v>
      </c>
      <c r="JT20">
        <v>0</v>
      </c>
      <c r="JU20">
        <v>0</v>
      </c>
      <c r="JV20">
        <v>0</v>
      </c>
      <c r="JW20">
        <v>0</v>
      </c>
      <c r="JX20">
        <v>0</v>
      </c>
      <c r="JY20">
        <v>0</v>
      </c>
      <c r="JZ20">
        <v>0</v>
      </c>
      <c r="KA20">
        <v>0</v>
      </c>
      <c r="KB20">
        <v>0</v>
      </c>
      <c r="KC20">
        <v>0</v>
      </c>
      <c r="KD20">
        <v>0</v>
      </c>
      <c r="KE20">
        <v>0</v>
      </c>
      <c r="KF20">
        <v>0</v>
      </c>
      <c r="KG20">
        <v>0</v>
      </c>
      <c r="KH20">
        <v>0</v>
      </c>
      <c r="KI20">
        <v>0</v>
      </c>
      <c r="KJ20">
        <v>0</v>
      </c>
      <c r="KK20" s="128">
        <v>0</v>
      </c>
      <c r="KL20" s="128">
        <v>0</v>
      </c>
      <c r="KM20" s="128">
        <v>0</v>
      </c>
      <c r="KN20" s="128">
        <v>0</v>
      </c>
      <c r="KO20">
        <v>0</v>
      </c>
      <c r="KP20" s="119">
        <v>0</v>
      </c>
      <c r="KQ20" s="119">
        <v>0</v>
      </c>
      <c r="KR20" s="119">
        <v>0</v>
      </c>
      <c r="KS20" s="119">
        <v>0</v>
      </c>
      <c r="KT20" s="121">
        <v>0</v>
      </c>
      <c r="KU20">
        <v>0</v>
      </c>
      <c r="KV20" s="119">
        <v>0</v>
      </c>
      <c r="KW20">
        <v>0</v>
      </c>
      <c r="KX20">
        <v>0</v>
      </c>
      <c r="KY20">
        <v>0</v>
      </c>
      <c r="KZ20" s="119">
        <v>0</v>
      </c>
      <c r="LA20">
        <v>0</v>
      </c>
      <c r="LB20">
        <v>0</v>
      </c>
      <c r="LC20">
        <v>0</v>
      </c>
      <c r="LD20">
        <v>0</v>
      </c>
      <c r="LE20">
        <v>0</v>
      </c>
      <c r="LF20">
        <v>0</v>
      </c>
      <c r="LG20">
        <v>0</v>
      </c>
      <c r="LH20">
        <v>0</v>
      </c>
      <c r="LI20">
        <v>0</v>
      </c>
      <c r="LJ20">
        <v>0</v>
      </c>
      <c r="LK20">
        <v>0</v>
      </c>
      <c r="LL20">
        <v>0</v>
      </c>
      <c r="LM20">
        <v>0</v>
      </c>
      <c r="LN20">
        <v>0</v>
      </c>
      <c r="LO20">
        <v>0</v>
      </c>
      <c r="LP20">
        <v>0</v>
      </c>
      <c r="LQ20">
        <v>0</v>
      </c>
      <c r="LR20">
        <v>0</v>
      </c>
      <c r="LS20">
        <v>0</v>
      </c>
      <c r="LT20">
        <v>0</v>
      </c>
      <c r="LU20">
        <v>0</v>
      </c>
      <c r="LV20">
        <v>0</v>
      </c>
      <c r="LW20">
        <v>0</v>
      </c>
      <c r="LX20">
        <v>0</v>
      </c>
      <c r="LY20">
        <v>0</v>
      </c>
      <c r="LZ20">
        <v>0</v>
      </c>
      <c r="MA20">
        <v>0</v>
      </c>
      <c r="MB20">
        <v>0</v>
      </c>
      <c r="MC20">
        <v>0</v>
      </c>
      <c r="MD20">
        <v>0</v>
      </c>
      <c r="ME20">
        <v>0</v>
      </c>
      <c r="MF20">
        <v>0</v>
      </c>
      <c r="MG20" s="128">
        <v>0</v>
      </c>
      <c r="MH20" s="128">
        <v>0</v>
      </c>
      <c r="MI20" s="128">
        <v>0</v>
      </c>
      <c r="MJ20" s="128">
        <v>0</v>
      </c>
      <c r="MK20">
        <v>0</v>
      </c>
      <c r="ML20" s="119">
        <v>0</v>
      </c>
      <c r="MM20" s="119">
        <v>0</v>
      </c>
      <c r="MN20" s="119">
        <v>0</v>
      </c>
      <c r="MO20" s="119">
        <v>0</v>
      </c>
      <c r="MP20" s="121">
        <v>0</v>
      </c>
      <c r="MQ20" s="119">
        <v>0</v>
      </c>
      <c r="MR20">
        <v>0</v>
      </c>
      <c r="MS20">
        <v>0</v>
      </c>
      <c r="MT20">
        <v>0</v>
      </c>
      <c r="MU20">
        <v>0</v>
      </c>
      <c r="MV20" s="119">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s="116">
        <v>0</v>
      </c>
      <c r="NU20" s="116">
        <v>0</v>
      </c>
      <c r="NV20" s="116">
        <v>0</v>
      </c>
      <c r="NW20" s="116">
        <v>0</v>
      </c>
      <c r="NX20" s="116">
        <v>0</v>
      </c>
      <c r="NY20" s="116">
        <v>0</v>
      </c>
      <c r="NZ20" s="116">
        <v>0</v>
      </c>
      <c r="OA20" s="116">
        <v>0</v>
      </c>
      <c r="OB20" s="116">
        <v>0</v>
      </c>
      <c r="OC20" s="128">
        <v>0</v>
      </c>
      <c r="OD20" s="128">
        <v>0</v>
      </c>
      <c r="OE20" s="128">
        <v>0</v>
      </c>
      <c r="OF20" s="128">
        <v>0</v>
      </c>
      <c r="OG20">
        <v>0</v>
      </c>
      <c r="OH20" s="119">
        <v>0</v>
      </c>
      <c r="OI20" s="119">
        <v>0</v>
      </c>
      <c r="OJ20" s="119">
        <v>0</v>
      </c>
      <c r="OK20" s="119">
        <v>0</v>
      </c>
      <c r="OL20" s="121">
        <v>0</v>
      </c>
      <c r="OM20" s="119">
        <v>0</v>
      </c>
      <c r="ON20">
        <v>0</v>
      </c>
      <c r="OO20">
        <v>0</v>
      </c>
      <c r="OP20">
        <v>0</v>
      </c>
      <c r="OQ20">
        <v>0</v>
      </c>
      <c r="OR20" s="119">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s="128">
        <v>0</v>
      </c>
      <c r="PZ20" s="128">
        <v>0</v>
      </c>
      <c r="QA20" s="128">
        <v>0</v>
      </c>
      <c r="QB20" s="128">
        <v>0</v>
      </c>
      <c r="QC20">
        <v>0</v>
      </c>
      <c r="QD20" s="119">
        <v>0</v>
      </c>
      <c r="QE20" s="119">
        <v>0</v>
      </c>
      <c r="QF20" s="119">
        <v>0</v>
      </c>
      <c r="QG20" s="119">
        <v>0</v>
      </c>
      <c r="QH20" s="121">
        <v>0</v>
      </c>
      <c r="QI20" s="119">
        <v>0</v>
      </c>
      <c r="QJ20">
        <v>0</v>
      </c>
      <c r="QK20">
        <v>0</v>
      </c>
      <c r="QL20">
        <v>0</v>
      </c>
      <c r="QM20">
        <v>0</v>
      </c>
      <c r="QN20" s="119">
        <v>0</v>
      </c>
      <c r="QO20">
        <v>0</v>
      </c>
      <c r="QP20">
        <v>0</v>
      </c>
      <c r="QQ20">
        <v>0</v>
      </c>
      <c r="QR20">
        <v>0</v>
      </c>
      <c r="QS20">
        <v>0</v>
      </c>
      <c r="QT20">
        <v>0</v>
      </c>
      <c r="QU20">
        <v>0</v>
      </c>
      <c r="QV20">
        <v>0</v>
      </c>
      <c r="QW20">
        <v>0</v>
      </c>
      <c r="QX20">
        <v>0</v>
      </c>
      <c r="QY20">
        <v>0</v>
      </c>
      <c r="QZ20">
        <v>0</v>
      </c>
      <c r="RA20">
        <v>0</v>
      </c>
      <c r="RB20">
        <v>0</v>
      </c>
      <c r="RC20">
        <v>0</v>
      </c>
      <c r="RD20">
        <v>0</v>
      </c>
      <c r="RE20">
        <v>0</v>
      </c>
      <c r="RF20">
        <v>0</v>
      </c>
      <c r="RG20">
        <v>0</v>
      </c>
      <c r="RH20">
        <v>0</v>
      </c>
      <c r="RI20">
        <v>0</v>
      </c>
      <c r="RJ20">
        <v>0</v>
      </c>
      <c r="RK20">
        <v>0</v>
      </c>
      <c r="RL20" s="116">
        <v>0</v>
      </c>
      <c r="RM20" s="116">
        <v>0</v>
      </c>
      <c r="RN20" s="116">
        <v>0</v>
      </c>
      <c r="RO20" s="116">
        <v>0</v>
      </c>
      <c r="RP20" s="116">
        <v>0</v>
      </c>
      <c r="RQ20" s="116">
        <v>0</v>
      </c>
      <c r="RR20" s="116">
        <v>0</v>
      </c>
      <c r="RS20" s="116">
        <v>0</v>
      </c>
      <c r="RT20" s="116">
        <v>0</v>
      </c>
      <c r="RU20" s="128">
        <v>0</v>
      </c>
      <c r="RV20" s="128">
        <v>0</v>
      </c>
      <c r="RW20" s="128">
        <v>0</v>
      </c>
      <c r="RX20" s="128">
        <v>0</v>
      </c>
      <c r="RY20">
        <v>0</v>
      </c>
      <c r="RZ20" s="119">
        <v>0</v>
      </c>
      <c r="SA20" s="119">
        <v>0</v>
      </c>
      <c r="SB20" s="119">
        <v>0</v>
      </c>
      <c r="SC20" s="119">
        <v>0</v>
      </c>
      <c r="SD20" s="121">
        <v>0</v>
      </c>
      <c r="SE20" s="119">
        <v>0</v>
      </c>
      <c r="SF20">
        <v>0</v>
      </c>
      <c r="SG20">
        <v>0</v>
      </c>
      <c r="SH20">
        <v>0</v>
      </c>
      <c r="SI20">
        <v>0</v>
      </c>
      <c r="SJ20" s="119">
        <v>0</v>
      </c>
      <c r="SK20">
        <v>0</v>
      </c>
      <c r="SL20">
        <v>0</v>
      </c>
      <c r="SM20">
        <v>0</v>
      </c>
      <c r="SN20">
        <v>0</v>
      </c>
      <c r="SO20">
        <v>0</v>
      </c>
      <c r="SP20">
        <v>0</v>
      </c>
      <c r="SQ20">
        <v>0</v>
      </c>
      <c r="SR20">
        <v>0</v>
      </c>
      <c r="SS20">
        <v>0</v>
      </c>
      <c r="ST20">
        <v>0</v>
      </c>
      <c r="SU20">
        <v>0</v>
      </c>
      <c r="SV20">
        <v>0</v>
      </c>
      <c r="SW20">
        <v>0</v>
      </c>
      <c r="SX20">
        <v>0</v>
      </c>
      <c r="SY20">
        <v>0</v>
      </c>
      <c r="SZ20">
        <v>0</v>
      </c>
      <c r="TA20">
        <v>0</v>
      </c>
      <c r="TB20">
        <v>0</v>
      </c>
      <c r="TC20">
        <v>0</v>
      </c>
      <c r="TD20">
        <v>0</v>
      </c>
      <c r="TE20">
        <v>0</v>
      </c>
      <c r="TF20">
        <v>0</v>
      </c>
      <c r="TG20">
        <v>0</v>
      </c>
      <c r="TH20" s="116">
        <v>0</v>
      </c>
      <c r="TI20" s="116">
        <v>0</v>
      </c>
      <c r="TJ20" s="116">
        <v>0</v>
      </c>
      <c r="TK20" s="116">
        <v>0</v>
      </c>
      <c r="TL20" s="116">
        <v>0</v>
      </c>
      <c r="TM20" s="116">
        <v>0</v>
      </c>
      <c r="TN20" s="116">
        <v>0</v>
      </c>
      <c r="TO20" s="116">
        <v>0</v>
      </c>
      <c r="TP20" s="116">
        <v>0</v>
      </c>
      <c r="TQ20" s="128">
        <v>0</v>
      </c>
      <c r="TR20" s="128">
        <v>0</v>
      </c>
      <c r="TS20" s="128">
        <v>0</v>
      </c>
      <c r="TT20" s="128">
        <v>0</v>
      </c>
      <c r="TU20">
        <v>0</v>
      </c>
      <c r="TV20" s="119">
        <v>0</v>
      </c>
      <c r="TW20" s="119">
        <v>0</v>
      </c>
      <c r="TX20" s="119">
        <v>0</v>
      </c>
      <c r="TY20" s="119">
        <v>0</v>
      </c>
      <c r="TZ20" s="121">
        <v>0</v>
      </c>
      <c r="UA20" s="119">
        <v>0</v>
      </c>
      <c r="UB20">
        <v>0</v>
      </c>
      <c r="UC20">
        <v>0</v>
      </c>
      <c r="UD20">
        <v>0</v>
      </c>
      <c r="UE20">
        <v>0</v>
      </c>
      <c r="UF20" s="119">
        <v>0</v>
      </c>
      <c r="UG20">
        <v>0</v>
      </c>
      <c r="UH20">
        <v>0</v>
      </c>
      <c r="UI20">
        <v>0</v>
      </c>
      <c r="UJ20">
        <v>0</v>
      </c>
      <c r="UK20">
        <v>0</v>
      </c>
      <c r="UL20">
        <v>0</v>
      </c>
      <c r="UM20">
        <v>0</v>
      </c>
      <c r="UN20">
        <v>0</v>
      </c>
      <c r="UO20">
        <v>0</v>
      </c>
      <c r="UP20">
        <v>0</v>
      </c>
      <c r="UQ20">
        <v>0</v>
      </c>
      <c r="UR20">
        <v>0</v>
      </c>
      <c r="US20">
        <v>0</v>
      </c>
      <c r="UT20">
        <v>0</v>
      </c>
      <c r="UU20">
        <v>0</v>
      </c>
      <c r="UV20">
        <v>0</v>
      </c>
      <c r="UW20">
        <v>0</v>
      </c>
      <c r="UX20">
        <v>0</v>
      </c>
      <c r="UY20">
        <v>0</v>
      </c>
      <c r="UZ20">
        <v>0</v>
      </c>
      <c r="VA20">
        <v>0</v>
      </c>
      <c r="VB20">
        <v>0</v>
      </c>
      <c r="VC20">
        <v>0</v>
      </c>
      <c r="VD20" s="116">
        <v>0</v>
      </c>
      <c r="VE20" s="116">
        <v>0</v>
      </c>
      <c r="VF20" s="116">
        <v>0</v>
      </c>
      <c r="VG20" s="116">
        <v>0</v>
      </c>
      <c r="VH20" s="116">
        <v>0</v>
      </c>
      <c r="VI20" s="116">
        <v>0</v>
      </c>
      <c r="VJ20" s="116">
        <v>0</v>
      </c>
      <c r="VK20" s="116">
        <v>0</v>
      </c>
      <c r="VL20" s="116">
        <v>0</v>
      </c>
      <c r="VM20" s="128">
        <v>0</v>
      </c>
      <c r="VN20" s="128">
        <v>0</v>
      </c>
      <c r="VO20" s="128">
        <v>0</v>
      </c>
      <c r="VP20" s="128">
        <v>0</v>
      </c>
      <c r="VQ20">
        <v>0</v>
      </c>
      <c r="VR20" s="119">
        <v>0</v>
      </c>
      <c r="VS20" s="119">
        <v>0</v>
      </c>
      <c r="VT20" s="119">
        <v>0</v>
      </c>
      <c r="VU20" s="119">
        <v>0</v>
      </c>
      <c r="VV20" s="121">
        <v>0</v>
      </c>
      <c r="VW20" s="119">
        <v>0</v>
      </c>
      <c r="VX20" s="119">
        <v>0</v>
      </c>
      <c r="VY20">
        <v>0</v>
      </c>
      <c r="VZ20">
        <v>0</v>
      </c>
      <c r="WA20">
        <v>0</v>
      </c>
      <c r="WB20" s="119">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s="116">
        <v>0</v>
      </c>
      <c r="XA20" s="116">
        <v>0</v>
      </c>
      <c r="XB20" s="116">
        <v>0</v>
      </c>
      <c r="XC20" s="116">
        <v>0</v>
      </c>
      <c r="XD20" s="116">
        <v>0</v>
      </c>
      <c r="XE20" s="116">
        <v>0</v>
      </c>
      <c r="XF20" s="116">
        <v>0</v>
      </c>
      <c r="XG20" s="116">
        <v>0</v>
      </c>
      <c r="XH20" s="116">
        <v>0</v>
      </c>
      <c r="XI20" s="128">
        <v>0</v>
      </c>
      <c r="XJ20" s="128">
        <v>0</v>
      </c>
      <c r="XK20" s="128">
        <v>0</v>
      </c>
      <c r="XL20" s="128">
        <v>0</v>
      </c>
      <c r="XM20">
        <v>0</v>
      </c>
      <c r="XN20" s="119">
        <v>0</v>
      </c>
      <c r="XO20" s="119">
        <v>0</v>
      </c>
      <c r="XP20" s="119">
        <v>0</v>
      </c>
      <c r="XQ20" s="119">
        <v>0</v>
      </c>
      <c r="XR20" s="121">
        <v>0</v>
      </c>
      <c r="XS20" s="119">
        <v>0</v>
      </c>
      <c r="XT20" s="119">
        <v>0</v>
      </c>
      <c r="XU20">
        <v>0</v>
      </c>
      <c r="XV20">
        <v>0</v>
      </c>
      <c r="XW20">
        <v>0</v>
      </c>
      <c r="XX20" s="119">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S20">
        <v>0</v>
      </c>
      <c r="YT20">
        <v>0</v>
      </c>
      <c r="YU20">
        <v>0</v>
      </c>
      <c r="YV20">
        <v>0</v>
      </c>
      <c r="YW20">
        <v>0</v>
      </c>
      <c r="YX20">
        <v>0</v>
      </c>
      <c r="YY20">
        <v>0</v>
      </c>
      <c r="YZ20">
        <v>0</v>
      </c>
      <c r="ZA20">
        <v>0</v>
      </c>
      <c r="ZB20">
        <v>0</v>
      </c>
      <c r="ZC20">
        <v>0</v>
      </c>
      <c r="ZD20">
        <v>0</v>
      </c>
      <c r="ZE20" s="128">
        <v>0</v>
      </c>
      <c r="ZF20" s="128">
        <v>0</v>
      </c>
      <c r="ZG20" s="128">
        <v>0</v>
      </c>
      <c r="ZH20" s="128">
        <v>0</v>
      </c>
      <c r="ZI20">
        <v>0</v>
      </c>
      <c r="ZJ20" s="119">
        <v>0</v>
      </c>
      <c r="ZK20" s="119">
        <v>0</v>
      </c>
      <c r="ZL20" s="119">
        <v>0</v>
      </c>
      <c r="ZM20" s="119">
        <v>0</v>
      </c>
      <c r="ZN20" s="121">
        <v>0</v>
      </c>
      <c r="ZO20" s="119">
        <v>0</v>
      </c>
      <c r="ZP20" s="119">
        <v>0</v>
      </c>
      <c r="ZQ20">
        <v>0</v>
      </c>
      <c r="ZR20">
        <v>0</v>
      </c>
      <c r="ZS20">
        <v>0</v>
      </c>
      <c r="ZT20" s="119">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s="116">
        <v>0</v>
      </c>
      <c r="AAS20" s="116">
        <v>0</v>
      </c>
      <c r="AAT20" s="116">
        <v>0</v>
      </c>
      <c r="AAU20" s="116">
        <v>0</v>
      </c>
      <c r="AAV20" s="116">
        <v>0</v>
      </c>
      <c r="AAW20" s="116">
        <v>0</v>
      </c>
      <c r="AAX20" s="116">
        <v>0</v>
      </c>
      <c r="AAY20" s="116">
        <v>0</v>
      </c>
      <c r="AAZ20" s="116">
        <v>0</v>
      </c>
      <c r="ABA20" s="128">
        <v>0</v>
      </c>
      <c r="ABB20" s="128">
        <v>0</v>
      </c>
      <c r="ABC20" s="128">
        <v>0</v>
      </c>
      <c r="ABD20" s="128">
        <v>0</v>
      </c>
      <c r="ABE20">
        <v>0</v>
      </c>
      <c r="ABF20" s="119">
        <v>0</v>
      </c>
      <c r="ABG20" s="119">
        <v>0</v>
      </c>
      <c r="ABH20" s="119">
        <v>0</v>
      </c>
      <c r="ABI20" s="119">
        <v>0</v>
      </c>
      <c r="ABJ20" s="121">
        <v>0</v>
      </c>
      <c r="ABK20" s="119">
        <v>0</v>
      </c>
      <c r="ABL20" s="119">
        <v>0</v>
      </c>
      <c r="ABM20">
        <v>0</v>
      </c>
      <c r="ABN20">
        <v>0</v>
      </c>
      <c r="ABO20">
        <v>0</v>
      </c>
      <c r="ABP20" s="119">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s="116">
        <v>0</v>
      </c>
      <c r="ACO20" s="116">
        <v>0</v>
      </c>
      <c r="ACP20" s="116">
        <v>0</v>
      </c>
      <c r="ACQ20" s="116">
        <v>0</v>
      </c>
      <c r="ACR20" s="116">
        <v>0</v>
      </c>
      <c r="ACS20" s="116">
        <v>0</v>
      </c>
      <c r="ACT20" s="116">
        <v>0</v>
      </c>
      <c r="ACU20" s="116">
        <v>0</v>
      </c>
      <c r="ACV20" s="116">
        <v>0</v>
      </c>
      <c r="ACW20" s="128">
        <v>0</v>
      </c>
      <c r="ACX20" s="128">
        <v>0</v>
      </c>
      <c r="ACY20" s="128">
        <v>0</v>
      </c>
      <c r="ACZ20" s="128">
        <v>0</v>
      </c>
      <c r="ADA20">
        <v>0</v>
      </c>
      <c r="ADB20" s="119">
        <v>0</v>
      </c>
      <c r="ADC20" s="119">
        <v>0</v>
      </c>
      <c r="ADD20" s="119">
        <v>0</v>
      </c>
      <c r="ADE20" s="119">
        <v>0</v>
      </c>
      <c r="ADF20" s="121">
        <v>0</v>
      </c>
      <c r="ADG20" s="119">
        <v>0</v>
      </c>
      <c r="ADH20" s="119">
        <v>0</v>
      </c>
      <c r="ADI20">
        <v>0</v>
      </c>
      <c r="ADJ20">
        <v>0</v>
      </c>
      <c r="ADK20">
        <v>0</v>
      </c>
      <c r="ADL20" s="119">
        <v>0</v>
      </c>
      <c r="ADM20">
        <v>0</v>
      </c>
      <c r="ADN20">
        <v>0</v>
      </c>
      <c r="ADO20">
        <v>0</v>
      </c>
      <c r="ADP20">
        <v>0</v>
      </c>
      <c r="ADQ20">
        <v>0</v>
      </c>
      <c r="ADR20">
        <v>0</v>
      </c>
      <c r="ADS20">
        <v>0</v>
      </c>
      <c r="ADT20">
        <v>0</v>
      </c>
      <c r="ADU20">
        <v>0</v>
      </c>
      <c r="ADV20">
        <v>0</v>
      </c>
      <c r="ADW20">
        <v>0</v>
      </c>
      <c r="ADX20">
        <v>0</v>
      </c>
      <c r="ADY20">
        <v>0</v>
      </c>
      <c r="ADZ20">
        <v>0</v>
      </c>
      <c r="AEA20">
        <v>0</v>
      </c>
      <c r="AEB20">
        <v>0</v>
      </c>
      <c r="AEC20">
        <v>0</v>
      </c>
      <c r="AED20">
        <v>0</v>
      </c>
      <c r="AEE20">
        <v>0</v>
      </c>
      <c r="AEF20">
        <v>0</v>
      </c>
      <c r="AEG20">
        <v>0</v>
      </c>
      <c r="AEH20">
        <v>0</v>
      </c>
      <c r="AEI20">
        <v>0</v>
      </c>
      <c r="AEJ20" s="116">
        <v>0</v>
      </c>
      <c r="AEK20" s="116">
        <v>0</v>
      </c>
      <c r="AEL20" s="116">
        <v>0</v>
      </c>
      <c r="AEM20" s="116">
        <v>0</v>
      </c>
      <c r="AEN20" s="116">
        <v>0</v>
      </c>
      <c r="AEO20" s="116">
        <v>0</v>
      </c>
      <c r="AEP20" s="116">
        <v>0</v>
      </c>
      <c r="AEQ20" s="116">
        <v>0</v>
      </c>
      <c r="AER20" s="116">
        <v>0</v>
      </c>
      <c r="AES20" s="128">
        <v>0</v>
      </c>
      <c r="AET20" s="128">
        <v>0</v>
      </c>
      <c r="AEU20" s="128">
        <v>0</v>
      </c>
      <c r="AEV20" s="128">
        <v>0</v>
      </c>
      <c r="AEW20">
        <v>0</v>
      </c>
      <c r="AEX20" s="119">
        <v>0</v>
      </c>
      <c r="AEY20" s="119">
        <v>0</v>
      </c>
      <c r="AEZ20" s="119">
        <v>0</v>
      </c>
      <c r="AFA20" s="119">
        <v>0</v>
      </c>
      <c r="AFB20" s="121">
        <v>0</v>
      </c>
      <c r="AFC20" s="119">
        <v>0</v>
      </c>
      <c r="AFD20" s="119">
        <v>0</v>
      </c>
      <c r="AFE20">
        <v>0</v>
      </c>
      <c r="AFF20">
        <v>0</v>
      </c>
      <c r="AFG20">
        <v>0</v>
      </c>
      <c r="AFH20" s="119">
        <v>0</v>
      </c>
      <c r="AFI20">
        <v>0</v>
      </c>
      <c r="AFJ20">
        <v>0</v>
      </c>
      <c r="AFK20">
        <v>0</v>
      </c>
      <c r="AFL20">
        <v>0</v>
      </c>
      <c r="AFM20">
        <v>0</v>
      </c>
      <c r="AFN20">
        <v>0</v>
      </c>
      <c r="AFO20">
        <v>0</v>
      </c>
      <c r="AFP20">
        <v>0</v>
      </c>
      <c r="AFQ20">
        <v>0</v>
      </c>
      <c r="AFR20">
        <v>0</v>
      </c>
      <c r="AFS20">
        <v>0</v>
      </c>
      <c r="AFT20">
        <v>0</v>
      </c>
      <c r="AFU20">
        <v>0</v>
      </c>
      <c r="AFV20">
        <v>0</v>
      </c>
      <c r="AFW20">
        <v>0</v>
      </c>
      <c r="AFX20">
        <v>0</v>
      </c>
      <c r="AFY20">
        <v>0</v>
      </c>
      <c r="AFZ20">
        <v>0</v>
      </c>
      <c r="AGA20">
        <v>0</v>
      </c>
      <c r="AGB20">
        <v>0</v>
      </c>
      <c r="AGC20">
        <v>0</v>
      </c>
      <c r="AGD20">
        <v>0</v>
      </c>
      <c r="AGE20">
        <v>0</v>
      </c>
      <c r="AGF20" s="116">
        <v>0</v>
      </c>
      <c r="AGG20" s="116">
        <v>0</v>
      </c>
      <c r="AGH20" s="116">
        <v>0</v>
      </c>
      <c r="AGI20" s="116">
        <v>0</v>
      </c>
      <c r="AGJ20" s="116">
        <v>0</v>
      </c>
      <c r="AGK20" s="116">
        <v>0</v>
      </c>
      <c r="AGL20" s="116">
        <v>0</v>
      </c>
      <c r="AGM20" s="116">
        <v>0</v>
      </c>
      <c r="AGN20" s="116">
        <v>0</v>
      </c>
      <c r="AGO20" s="128">
        <v>0</v>
      </c>
      <c r="AGP20" s="128">
        <v>0</v>
      </c>
      <c r="AGQ20" s="128">
        <v>0</v>
      </c>
      <c r="AGR20" s="128">
        <v>0</v>
      </c>
      <c r="AGS20">
        <v>0</v>
      </c>
      <c r="AGT20" s="119">
        <v>0</v>
      </c>
      <c r="AGU20" s="119">
        <v>0</v>
      </c>
      <c r="AGV20" s="119">
        <v>0</v>
      </c>
      <c r="AGW20" s="119">
        <v>0</v>
      </c>
      <c r="AGX20" s="121">
        <v>0</v>
      </c>
      <c r="AGY20" s="119">
        <v>0</v>
      </c>
      <c r="AGZ20" s="119">
        <v>0</v>
      </c>
      <c r="AHA20">
        <v>0</v>
      </c>
      <c r="AHB20">
        <v>0</v>
      </c>
      <c r="AHC20">
        <v>0</v>
      </c>
      <c r="AHD20" s="119">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A20">
        <v>0</v>
      </c>
      <c r="AIB20">
        <v>0</v>
      </c>
      <c r="AIC20">
        <v>0</v>
      </c>
      <c r="AID20">
        <v>0</v>
      </c>
      <c r="AIE20">
        <v>0</v>
      </c>
      <c r="AIF20">
        <v>0</v>
      </c>
      <c r="AIG20">
        <v>0</v>
      </c>
      <c r="AIH20">
        <v>0</v>
      </c>
      <c r="AII20">
        <v>0</v>
      </c>
      <c r="AIJ20">
        <v>0</v>
      </c>
      <c r="AIK20" s="128">
        <v>0</v>
      </c>
      <c r="AIL20" s="128">
        <v>0</v>
      </c>
      <c r="AIM20" s="128">
        <v>0</v>
      </c>
      <c r="AIN20" s="128">
        <v>0</v>
      </c>
      <c r="AIO20">
        <v>0</v>
      </c>
      <c r="AIP20" s="119">
        <v>0</v>
      </c>
      <c r="AIQ20" s="119">
        <v>0</v>
      </c>
      <c r="AIR20" s="119">
        <v>0</v>
      </c>
      <c r="AIS20" s="119">
        <v>0</v>
      </c>
      <c r="AIT20" s="121">
        <v>0</v>
      </c>
      <c r="AIU20" s="119">
        <v>0</v>
      </c>
      <c r="AIV20" s="119">
        <v>0</v>
      </c>
      <c r="AIW20">
        <v>0</v>
      </c>
      <c r="AIX20">
        <v>0</v>
      </c>
      <c r="AIY20">
        <v>0</v>
      </c>
      <c r="AIZ20" s="119">
        <v>0</v>
      </c>
      <c r="AJA20">
        <v>0</v>
      </c>
      <c r="AJB20">
        <v>0</v>
      </c>
      <c r="AJC20">
        <v>0</v>
      </c>
      <c r="AJD20">
        <v>0</v>
      </c>
      <c r="AJE20">
        <v>0</v>
      </c>
      <c r="AJF20">
        <v>0</v>
      </c>
      <c r="AJG20">
        <v>0</v>
      </c>
      <c r="AJH20">
        <v>0</v>
      </c>
      <c r="AJI20">
        <v>0</v>
      </c>
      <c r="AJJ20">
        <v>0</v>
      </c>
      <c r="AJK20">
        <v>0</v>
      </c>
      <c r="AJL20">
        <v>0</v>
      </c>
      <c r="AJM20">
        <v>0</v>
      </c>
      <c r="AJN20">
        <v>0</v>
      </c>
      <c r="AJO20">
        <v>0</v>
      </c>
      <c r="AJP20">
        <v>0</v>
      </c>
      <c r="AJQ20">
        <v>0</v>
      </c>
      <c r="AJR20">
        <v>0</v>
      </c>
      <c r="AJS20">
        <v>0</v>
      </c>
      <c r="AJT20">
        <v>0</v>
      </c>
      <c r="AJU20">
        <v>0</v>
      </c>
      <c r="AJV20">
        <v>0</v>
      </c>
      <c r="AJW20">
        <v>0</v>
      </c>
      <c r="AJX20" s="116">
        <v>0</v>
      </c>
      <c r="AJY20" s="116">
        <v>0</v>
      </c>
      <c r="AJZ20" s="116">
        <v>0</v>
      </c>
      <c r="AKA20" s="116">
        <v>0</v>
      </c>
      <c r="AKB20" s="116">
        <v>0</v>
      </c>
      <c r="AKC20" s="116">
        <v>0</v>
      </c>
      <c r="AKD20" s="116">
        <v>0</v>
      </c>
      <c r="AKE20" s="116">
        <v>0</v>
      </c>
      <c r="AKF20" s="116">
        <v>0</v>
      </c>
      <c r="AKG20" s="128">
        <v>0</v>
      </c>
      <c r="AKH20" s="128">
        <v>0</v>
      </c>
      <c r="AKI20" s="128">
        <v>0</v>
      </c>
      <c r="AKJ20" s="128">
        <v>0</v>
      </c>
      <c r="AKK20">
        <v>0</v>
      </c>
      <c r="AKL20" s="119">
        <v>0</v>
      </c>
      <c r="AKM20" s="119">
        <v>0</v>
      </c>
      <c r="AKN20" s="119">
        <v>0</v>
      </c>
      <c r="AKO20" s="119">
        <v>0</v>
      </c>
      <c r="AKP20" s="121">
        <v>0</v>
      </c>
      <c r="AKQ20" s="119">
        <v>0</v>
      </c>
      <c r="AKR20" s="119">
        <v>0</v>
      </c>
      <c r="AKS20">
        <v>0</v>
      </c>
      <c r="AKT20">
        <v>0</v>
      </c>
      <c r="AKU20">
        <v>0</v>
      </c>
      <c r="AKV20" s="119">
        <v>0</v>
      </c>
      <c r="AKW20">
        <v>0</v>
      </c>
      <c r="AKX20">
        <v>0</v>
      </c>
      <c r="AKY20">
        <v>0</v>
      </c>
      <c r="AKZ20">
        <v>0</v>
      </c>
      <c r="ALA20">
        <v>0</v>
      </c>
      <c r="ALB20">
        <v>0</v>
      </c>
      <c r="ALC20">
        <v>0</v>
      </c>
      <c r="ALD20">
        <v>0</v>
      </c>
      <c r="ALE20">
        <v>0</v>
      </c>
      <c r="ALF20">
        <v>0</v>
      </c>
      <c r="ALG20">
        <v>0</v>
      </c>
      <c r="ALH20">
        <v>0</v>
      </c>
      <c r="ALI20">
        <v>0</v>
      </c>
      <c r="ALJ20">
        <v>0</v>
      </c>
      <c r="ALK20">
        <v>0</v>
      </c>
      <c r="ALL20">
        <v>0</v>
      </c>
      <c r="ALM20">
        <v>0</v>
      </c>
      <c r="ALN20">
        <v>0</v>
      </c>
      <c r="ALO20">
        <v>0</v>
      </c>
      <c r="ALP20">
        <v>0</v>
      </c>
      <c r="ALQ20">
        <v>0</v>
      </c>
      <c r="ALR20">
        <v>0</v>
      </c>
      <c r="ALS20">
        <v>0</v>
      </c>
      <c r="ALT20" s="116">
        <v>0</v>
      </c>
      <c r="ALU20" s="116">
        <v>0</v>
      </c>
      <c r="ALV20" s="116">
        <v>0</v>
      </c>
      <c r="ALW20" s="116">
        <v>0</v>
      </c>
      <c r="ALX20" s="116">
        <v>0</v>
      </c>
      <c r="ALY20" s="116">
        <v>0</v>
      </c>
      <c r="ALZ20" s="116">
        <v>0</v>
      </c>
      <c r="AMA20" s="116">
        <v>0</v>
      </c>
      <c r="AMB20" s="116">
        <v>0</v>
      </c>
      <c r="AMC20" s="128">
        <v>0</v>
      </c>
      <c r="AMD20" s="128">
        <v>0</v>
      </c>
      <c r="AME20" s="128">
        <v>0</v>
      </c>
      <c r="AMF20" s="128">
        <v>0</v>
      </c>
      <c r="AMG20">
        <v>0</v>
      </c>
      <c r="AMH20" s="119">
        <v>0</v>
      </c>
      <c r="AMI20" s="119">
        <v>0</v>
      </c>
      <c r="AMJ20" s="119">
        <v>0</v>
      </c>
      <c r="AMK20" s="119">
        <v>0</v>
      </c>
      <c r="AML20" s="121">
        <v>0</v>
      </c>
      <c r="AMM20" s="119">
        <v>0</v>
      </c>
      <c r="AMN20" s="119">
        <v>0</v>
      </c>
      <c r="AMO20">
        <v>0</v>
      </c>
      <c r="AMP20">
        <v>0</v>
      </c>
      <c r="AMQ20">
        <v>0</v>
      </c>
      <c r="AMR20" s="119">
        <v>0</v>
      </c>
      <c r="AMS20">
        <v>0</v>
      </c>
      <c r="AMT20">
        <v>0</v>
      </c>
      <c r="AMU20">
        <v>0</v>
      </c>
      <c r="AMV20">
        <v>0</v>
      </c>
      <c r="AMW20">
        <v>0</v>
      </c>
      <c r="AMX20">
        <v>0</v>
      </c>
      <c r="AMY20">
        <v>0</v>
      </c>
      <c r="AMZ20">
        <v>0</v>
      </c>
      <c r="ANA20">
        <v>0</v>
      </c>
      <c r="ANB20">
        <v>0</v>
      </c>
      <c r="ANC20">
        <v>0</v>
      </c>
      <c r="AND20">
        <v>0</v>
      </c>
      <c r="ANE20">
        <v>0</v>
      </c>
      <c r="ANF20">
        <v>0</v>
      </c>
      <c r="ANG20">
        <v>0</v>
      </c>
      <c r="ANH20">
        <v>0</v>
      </c>
      <c r="ANI20">
        <v>0</v>
      </c>
      <c r="ANJ20">
        <v>0</v>
      </c>
      <c r="ANK20">
        <v>0</v>
      </c>
      <c r="ANL20">
        <v>0</v>
      </c>
      <c r="ANM20">
        <v>0</v>
      </c>
      <c r="ANN20">
        <v>0</v>
      </c>
      <c r="ANO20">
        <v>0</v>
      </c>
      <c r="ANP20" s="116">
        <v>0</v>
      </c>
      <c r="ANQ20" s="116">
        <v>0</v>
      </c>
      <c r="ANR20" s="116">
        <v>0</v>
      </c>
      <c r="ANS20" s="116">
        <v>0</v>
      </c>
      <c r="ANT20" s="116">
        <v>0</v>
      </c>
      <c r="ANU20" s="116">
        <v>0</v>
      </c>
      <c r="ANV20" s="116">
        <v>0</v>
      </c>
      <c r="ANW20" s="116">
        <v>0</v>
      </c>
      <c r="ANX20" s="116">
        <v>0</v>
      </c>
      <c r="ANY20" s="128">
        <v>0</v>
      </c>
      <c r="ANZ20" s="128">
        <v>0</v>
      </c>
      <c r="AOA20" s="128">
        <v>0</v>
      </c>
      <c r="AOB20" s="128">
        <v>0</v>
      </c>
      <c r="AOC20">
        <v>0</v>
      </c>
      <c r="AOD20" s="119">
        <v>0</v>
      </c>
      <c r="AOE20" s="119">
        <v>0</v>
      </c>
      <c r="AOF20" s="119">
        <v>0</v>
      </c>
      <c r="AOG20" s="119">
        <v>0</v>
      </c>
      <c r="AOH20" s="121">
        <v>0</v>
      </c>
      <c r="AOI20" s="119">
        <v>0</v>
      </c>
      <c r="AOJ20" s="119">
        <v>0</v>
      </c>
      <c r="AOK20">
        <v>0</v>
      </c>
      <c r="AOL20">
        <v>0</v>
      </c>
      <c r="AOM20">
        <v>0</v>
      </c>
      <c r="AON20" s="119">
        <v>0</v>
      </c>
      <c r="AOO20">
        <v>0</v>
      </c>
      <c r="AOP20">
        <v>0</v>
      </c>
      <c r="AOQ20">
        <v>0</v>
      </c>
      <c r="AOR20">
        <v>0</v>
      </c>
      <c r="AOS20">
        <v>0</v>
      </c>
      <c r="AOT20">
        <v>0</v>
      </c>
      <c r="AOU20">
        <v>0</v>
      </c>
      <c r="AOV20">
        <v>0</v>
      </c>
      <c r="AOW20">
        <v>0</v>
      </c>
      <c r="AOX20">
        <v>0</v>
      </c>
      <c r="AOY20">
        <v>0</v>
      </c>
      <c r="AOZ20">
        <v>0</v>
      </c>
      <c r="APA20">
        <v>0</v>
      </c>
      <c r="APB20">
        <v>0</v>
      </c>
      <c r="APC20">
        <v>0</v>
      </c>
      <c r="APD20">
        <v>0</v>
      </c>
      <c r="APE20">
        <v>0</v>
      </c>
      <c r="APF20">
        <v>0</v>
      </c>
      <c r="APG20">
        <v>0</v>
      </c>
      <c r="APH20">
        <v>0</v>
      </c>
      <c r="API20">
        <v>0</v>
      </c>
      <c r="APJ20">
        <v>0</v>
      </c>
      <c r="APK20">
        <v>0</v>
      </c>
      <c r="APL20" s="116">
        <v>0</v>
      </c>
      <c r="APM20" s="116">
        <v>0</v>
      </c>
      <c r="APN20" s="116">
        <v>0</v>
      </c>
      <c r="APO20" s="116">
        <v>0</v>
      </c>
      <c r="APP20" s="116">
        <v>0</v>
      </c>
      <c r="APQ20" s="116">
        <v>0</v>
      </c>
      <c r="APR20" s="116">
        <v>0</v>
      </c>
      <c r="APS20" s="116">
        <v>0</v>
      </c>
      <c r="APT20" s="116">
        <v>0</v>
      </c>
      <c r="APU20" s="128">
        <v>0</v>
      </c>
      <c r="APV20" s="128">
        <v>0</v>
      </c>
      <c r="APW20" s="128">
        <v>0</v>
      </c>
      <c r="APX20" s="128">
        <v>0</v>
      </c>
      <c r="APY20">
        <v>0</v>
      </c>
      <c r="APZ20" s="119">
        <v>0</v>
      </c>
      <c r="AQA20" s="119">
        <v>0</v>
      </c>
      <c r="AQB20" s="119">
        <v>0</v>
      </c>
      <c r="AQC20" s="119">
        <v>0</v>
      </c>
      <c r="AQD20" s="121">
        <v>0</v>
      </c>
      <c r="AQE20" s="119">
        <v>0</v>
      </c>
      <c r="AQF20" s="119">
        <v>0</v>
      </c>
      <c r="AQG20">
        <v>0</v>
      </c>
      <c r="AQH20">
        <v>0</v>
      </c>
      <c r="AQI20">
        <v>0</v>
      </c>
      <c r="AQJ20" s="119">
        <v>0</v>
      </c>
      <c r="AQK20">
        <v>0</v>
      </c>
      <c r="AQL20">
        <v>0</v>
      </c>
      <c r="AQM20">
        <v>0</v>
      </c>
      <c r="AQN20">
        <v>0</v>
      </c>
      <c r="AQO20">
        <v>0</v>
      </c>
      <c r="AQP20">
        <v>0</v>
      </c>
      <c r="AQQ20">
        <v>0</v>
      </c>
      <c r="AQR20">
        <v>0</v>
      </c>
      <c r="AQS20">
        <v>0</v>
      </c>
      <c r="AQT20">
        <v>0</v>
      </c>
      <c r="AQU20">
        <v>0</v>
      </c>
      <c r="AQV20">
        <v>0</v>
      </c>
      <c r="AQW20">
        <v>0</v>
      </c>
      <c r="AQX20">
        <v>0</v>
      </c>
      <c r="AQY20">
        <v>0</v>
      </c>
      <c r="AQZ20">
        <v>0</v>
      </c>
      <c r="ARA20">
        <v>0</v>
      </c>
      <c r="ARB20">
        <v>0</v>
      </c>
      <c r="ARC20">
        <v>0</v>
      </c>
      <c r="ARD20">
        <v>0</v>
      </c>
      <c r="ARE20">
        <v>0</v>
      </c>
      <c r="ARF20">
        <v>0</v>
      </c>
      <c r="ARG20">
        <v>0</v>
      </c>
      <c r="ARH20">
        <v>0</v>
      </c>
      <c r="ARI20">
        <v>0</v>
      </c>
      <c r="ARJ20">
        <v>0</v>
      </c>
      <c r="ARK20">
        <v>0</v>
      </c>
      <c r="ARL20">
        <v>0</v>
      </c>
      <c r="ARM20">
        <v>0</v>
      </c>
      <c r="ARN20">
        <v>0</v>
      </c>
      <c r="ARO20">
        <v>0</v>
      </c>
      <c r="ARP20">
        <v>0</v>
      </c>
      <c r="ARQ20" s="128">
        <v>0</v>
      </c>
      <c r="ARR20" s="128">
        <v>0</v>
      </c>
      <c r="ARS20" s="128">
        <v>0</v>
      </c>
      <c r="ART20" s="128">
        <v>0</v>
      </c>
      <c r="ARU20">
        <v>0</v>
      </c>
      <c r="ARV20" s="119">
        <v>0</v>
      </c>
      <c r="ARW20" s="119">
        <v>0</v>
      </c>
      <c r="ARX20" s="119">
        <v>0</v>
      </c>
      <c r="ARY20" s="119">
        <v>0</v>
      </c>
      <c r="ARZ20" s="121">
        <v>0</v>
      </c>
      <c r="ASA20" s="119">
        <v>0</v>
      </c>
      <c r="ASB20" s="119">
        <v>0</v>
      </c>
      <c r="ASC20">
        <v>0</v>
      </c>
      <c r="ASD20">
        <v>0</v>
      </c>
      <c r="ASE20">
        <v>0</v>
      </c>
      <c r="ASF20" s="119">
        <v>0</v>
      </c>
      <c r="ASG20">
        <v>0</v>
      </c>
      <c r="ASH20">
        <v>0</v>
      </c>
      <c r="ASI20">
        <v>0</v>
      </c>
      <c r="ASJ20">
        <v>0</v>
      </c>
      <c r="ASK20">
        <v>0</v>
      </c>
      <c r="ASL20">
        <v>0</v>
      </c>
      <c r="ASM20">
        <v>0</v>
      </c>
      <c r="ASN20">
        <v>0</v>
      </c>
      <c r="ASO20">
        <v>0</v>
      </c>
      <c r="ASP20">
        <v>0</v>
      </c>
      <c r="ASQ20">
        <v>0</v>
      </c>
      <c r="ASR20">
        <v>0</v>
      </c>
      <c r="ASS20">
        <v>0</v>
      </c>
      <c r="AST20">
        <v>0</v>
      </c>
      <c r="ASU20">
        <v>0</v>
      </c>
      <c r="ASV20">
        <v>0</v>
      </c>
      <c r="ASW20">
        <v>0</v>
      </c>
      <c r="ASX20">
        <v>0</v>
      </c>
      <c r="ASY20">
        <v>0</v>
      </c>
      <c r="ASZ20">
        <v>0</v>
      </c>
      <c r="ATA20">
        <v>0</v>
      </c>
      <c r="ATB20">
        <v>0</v>
      </c>
      <c r="ATC20">
        <v>0</v>
      </c>
      <c r="ATD20" s="116">
        <v>0</v>
      </c>
      <c r="ATE20" s="116">
        <v>0</v>
      </c>
      <c r="ATF20" s="116">
        <v>0</v>
      </c>
      <c r="ATG20" s="116">
        <v>0</v>
      </c>
      <c r="ATH20" s="116">
        <v>0</v>
      </c>
      <c r="ATI20" s="116">
        <v>0</v>
      </c>
      <c r="ATJ20" s="116">
        <v>0</v>
      </c>
      <c r="ATK20" s="116">
        <v>0</v>
      </c>
      <c r="ATL20" s="116">
        <v>0</v>
      </c>
      <c r="ATM20" s="128">
        <v>0</v>
      </c>
      <c r="ATN20" s="128">
        <v>0</v>
      </c>
      <c r="ATO20" s="128">
        <v>0</v>
      </c>
      <c r="ATP20" s="128">
        <v>0</v>
      </c>
      <c r="ATQ20">
        <v>0</v>
      </c>
      <c r="ATR20" s="119">
        <v>0</v>
      </c>
      <c r="ATS20" s="119">
        <v>0</v>
      </c>
      <c r="ATT20" s="119">
        <v>0</v>
      </c>
      <c r="ATU20" s="119">
        <v>0</v>
      </c>
      <c r="ATV20" s="121">
        <v>0</v>
      </c>
      <c r="ATW20" s="119">
        <v>0</v>
      </c>
      <c r="ATX20" s="119">
        <v>0</v>
      </c>
      <c r="ATY20">
        <v>0</v>
      </c>
      <c r="ATZ20">
        <v>0</v>
      </c>
      <c r="AUA20">
        <v>0</v>
      </c>
      <c r="AUB20" s="119">
        <v>0</v>
      </c>
      <c r="AUC20">
        <v>0</v>
      </c>
      <c r="AUD20">
        <v>0</v>
      </c>
      <c r="AUE20">
        <v>0</v>
      </c>
      <c r="AUF20">
        <v>0</v>
      </c>
      <c r="AUG20">
        <v>0</v>
      </c>
      <c r="AUH20">
        <v>0</v>
      </c>
      <c r="AUI20">
        <v>0</v>
      </c>
      <c r="AUJ20">
        <v>0</v>
      </c>
      <c r="AUK20">
        <v>0</v>
      </c>
      <c r="AUL20">
        <v>0</v>
      </c>
      <c r="AUM20">
        <v>0</v>
      </c>
      <c r="AUN20">
        <v>0</v>
      </c>
      <c r="AUO20">
        <v>0</v>
      </c>
      <c r="AUP20">
        <v>0</v>
      </c>
      <c r="AUQ20">
        <v>0</v>
      </c>
      <c r="AUR20">
        <v>0</v>
      </c>
      <c r="AUS20">
        <v>0</v>
      </c>
      <c r="AUT20">
        <v>0</v>
      </c>
      <c r="AUU20">
        <v>0</v>
      </c>
      <c r="AUV20">
        <v>0</v>
      </c>
      <c r="AUW20">
        <v>0</v>
      </c>
      <c r="AUX20">
        <v>0</v>
      </c>
      <c r="AUY20">
        <v>0</v>
      </c>
      <c r="AUZ20" s="116">
        <v>0</v>
      </c>
      <c r="AVA20" s="116">
        <v>0</v>
      </c>
      <c r="AVB20" s="116">
        <v>0</v>
      </c>
      <c r="AVC20" s="116">
        <v>0</v>
      </c>
      <c r="AVD20" s="116">
        <v>0</v>
      </c>
      <c r="AVE20" s="116">
        <v>0</v>
      </c>
      <c r="AVF20" s="116">
        <v>0</v>
      </c>
      <c r="AVG20" s="116">
        <v>0</v>
      </c>
      <c r="AVH20" s="116">
        <v>0</v>
      </c>
      <c r="AVI20" s="128">
        <v>0</v>
      </c>
      <c r="AVJ20" s="128">
        <v>0</v>
      </c>
      <c r="AVK20" s="128">
        <v>0</v>
      </c>
      <c r="AVL20" s="128">
        <v>0</v>
      </c>
      <c r="AVM20">
        <v>0</v>
      </c>
      <c r="AVN20" s="119">
        <v>0</v>
      </c>
      <c r="AVO20" s="119">
        <v>0</v>
      </c>
      <c r="AVP20" s="119">
        <v>0</v>
      </c>
      <c r="AVQ20" s="119">
        <v>0</v>
      </c>
      <c r="AVR20" s="121">
        <v>0</v>
      </c>
      <c r="AVS20" s="119">
        <v>0</v>
      </c>
      <c r="AVT20" s="119">
        <v>0</v>
      </c>
      <c r="AVU20">
        <v>0</v>
      </c>
      <c r="AVV20">
        <v>0</v>
      </c>
      <c r="AVW20">
        <v>0</v>
      </c>
      <c r="AVX20" s="119">
        <v>0</v>
      </c>
      <c r="AVY20">
        <v>0</v>
      </c>
      <c r="AVZ20">
        <v>0</v>
      </c>
      <c r="AWA20">
        <v>0</v>
      </c>
      <c r="AWB20">
        <v>0</v>
      </c>
      <c r="AWC20">
        <v>0</v>
      </c>
      <c r="AWD20">
        <v>0</v>
      </c>
      <c r="AWE20">
        <v>0</v>
      </c>
      <c r="AWF20">
        <v>0</v>
      </c>
      <c r="AWG20">
        <v>0</v>
      </c>
      <c r="AWH20">
        <v>0</v>
      </c>
      <c r="AWI20">
        <v>0</v>
      </c>
      <c r="AWJ20">
        <v>0</v>
      </c>
      <c r="AWK20">
        <v>0</v>
      </c>
      <c r="AWL20">
        <v>0</v>
      </c>
      <c r="AWM20">
        <v>0</v>
      </c>
      <c r="AWN20">
        <v>0</v>
      </c>
      <c r="AWO20">
        <v>0</v>
      </c>
      <c r="AWP20">
        <v>0</v>
      </c>
      <c r="AWQ20">
        <v>0</v>
      </c>
      <c r="AWR20">
        <v>0</v>
      </c>
      <c r="AWS20">
        <v>0</v>
      </c>
      <c r="AWT20">
        <v>0</v>
      </c>
      <c r="AWU20">
        <v>0</v>
      </c>
      <c r="AWV20" s="116">
        <v>0</v>
      </c>
      <c r="AWW20" s="116">
        <v>0</v>
      </c>
      <c r="AWX20" s="116">
        <v>0</v>
      </c>
      <c r="AWY20" s="116">
        <v>0</v>
      </c>
      <c r="AWZ20" s="116">
        <v>0</v>
      </c>
      <c r="AXA20" s="116">
        <v>0</v>
      </c>
      <c r="AXB20" s="116">
        <v>0</v>
      </c>
      <c r="AXC20" s="116">
        <v>0</v>
      </c>
      <c r="AXD20" s="116">
        <v>0</v>
      </c>
      <c r="AXE20" s="128">
        <v>0</v>
      </c>
      <c r="AXF20" s="128">
        <v>0</v>
      </c>
      <c r="AXG20" s="128">
        <v>0</v>
      </c>
      <c r="AXH20" s="128">
        <v>0</v>
      </c>
      <c r="AXI20">
        <v>0</v>
      </c>
      <c r="AXJ20" s="119">
        <v>0</v>
      </c>
      <c r="AXK20" s="119">
        <v>0</v>
      </c>
      <c r="AXL20" s="119">
        <v>0</v>
      </c>
      <c r="AXM20" s="119">
        <v>0</v>
      </c>
      <c r="AXN20" s="121">
        <v>0</v>
      </c>
      <c r="AXO20" s="119">
        <v>0</v>
      </c>
      <c r="AXP20" s="119">
        <v>0</v>
      </c>
      <c r="AXQ20">
        <v>0</v>
      </c>
      <c r="AXR20">
        <v>0</v>
      </c>
      <c r="AXS20">
        <v>0</v>
      </c>
      <c r="AXT20" s="119">
        <v>0</v>
      </c>
      <c r="AXU20">
        <v>0</v>
      </c>
      <c r="AXV20">
        <v>0</v>
      </c>
      <c r="AXW20">
        <v>0</v>
      </c>
      <c r="AXX20">
        <v>0</v>
      </c>
      <c r="AXY20">
        <v>0</v>
      </c>
      <c r="AXZ20">
        <v>0</v>
      </c>
      <c r="AYA20">
        <v>0</v>
      </c>
      <c r="AYB20">
        <v>0</v>
      </c>
      <c r="AYC20">
        <v>0</v>
      </c>
      <c r="AYD20">
        <v>0</v>
      </c>
      <c r="AYE20">
        <v>0</v>
      </c>
      <c r="AYF20">
        <v>0</v>
      </c>
      <c r="AYG20">
        <v>0</v>
      </c>
      <c r="AYH20">
        <v>0</v>
      </c>
      <c r="AYI20">
        <v>0</v>
      </c>
      <c r="AYJ20">
        <v>0</v>
      </c>
      <c r="AYK20">
        <v>0</v>
      </c>
      <c r="AYL20">
        <v>0</v>
      </c>
      <c r="AYM20">
        <v>0</v>
      </c>
      <c r="AYN20">
        <v>0</v>
      </c>
      <c r="AYO20">
        <v>0</v>
      </c>
      <c r="AYP20">
        <v>0</v>
      </c>
      <c r="AYQ20">
        <v>0</v>
      </c>
      <c r="AYR20" s="116">
        <v>0</v>
      </c>
      <c r="AYS20" s="116">
        <v>0</v>
      </c>
      <c r="AYT20" s="116">
        <v>0</v>
      </c>
      <c r="AYU20" s="116">
        <v>0</v>
      </c>
      <c r="AYV20" s="116">
        <v>0</v>
      </c>
      <c r="AYW20" s="116">
        <v>0</v>
      </c>
      <c r="AYX20" s="116">
        <v>0</v>
      </c>
      <c r="AYY20" s="116">
        <v>0</v>
      </c>
      <c r="AYZ20" s="116">
        <v>0</v>
      </c>
      <c r="AZA20" s="128">
        <v>0</v>
      </c>
      <c r="AZB20" s="128">
        <v>0</v>
      </c>
      <c r="AZC20" s="128">
        <v>0</v>
      </c>
      <c r="AZD20" s="128">
        <v>0</v>
      </c>
      <c r="AZE20">
        <v>0</v>
      </c>
      <c r="AZF20" s="119">
        <v>0</v>
      </c>
      <c r="AZG20" s="119">
        <v>0</v>
      </c>
      <c r="AZH20" s="119">
        <v>0</v>
      </c>
      <c r="AZI20" s="119">
        <v>0</v>
      </c>
      <c r="AZJ20" s="121">
        <v>0</v>
      </c>
      <c r="AZK20" s="119">
        <v>0</v>
      </c>
      <c r="AZL20" s="119">
        <v>0</v>
      </c>
      <c r="AZM20">
        <v>0</v>
      </c>
      <c r="AZN20">
        <v>0</v>
      </c>
      <c r="AZO20">
        <v>0</v>
      </c>
      <c r="AZP20" s="119">
        <v>0</v>
      </c>
      <c r="AZQ20">
        <v>0</v>
      </c>
      <c r="AZR20">
        <v>0</v>
      </c>
      <c r="AZS20">
        <v>0</v>
      </c>
      <c r="AZT20">
        <v>0</v>
      </c>
      <c r="AZU20">
        <v>0</v>
      </c>
      <c r="AZV20">
        <v>0</v>
      </c>
      <c r="AZW20">
        <v>0</v>
      </c>
      <c r="AZX20">
        <v>0</v>
      </c>
      <c r="AZY20">
        <v>0</v>
      </c>
      <c r="AZZ20">
        <v>0</v>
      </c>
      <c r="BAA20">
        <v>0</v>
      </c>
      <c r="BAB20">
        <v>0</v>
      </c>
      <c r="BAC20">
        <v>0</v>
      </c>
      <c r="BAD20">
        <v>0</v>
      </c>
      <c r="BAE20">
        <v>0</v>
      </c>
      <c r="BAF20">
        <v>0</v>
      </c>
      <c r="BAG20">
        <v>0</v>
      </c>
      <c r="BAH20">
        <v>0</v>
      </c>
      <c r="BAI20">
        <v>0</v>
      </c>
      <c r="BAJ20">
        <v>0</v>
      </c>
      <c r="BAK20">
        <v>833650</v>
      </c>
      <c r="BAL20">
        <v>3600</v>
      </c>
      <c r="BAM20">
        <v>2500</v>
      </c>
      <c r="BAN20">
        <v>1100</v>
      </c>
      <c r="BAO20" s="120">
        <v>0</v>
      </c>
      <c r="BAP20" s="120">
        <v>0</v>
      </c>
      <c r="BAQ20" s="120">
        <v>0</v>
      </c>
      <c r="BAR20" s="120" t="s">
        <v>3073</v>
      </c>
      <c r="BAS20" s="120" t="s">
        <v>3182</v>
      </c>
      <c r="BAT20" s="120">
        <v>0</v>
      </c>
      <c r="BAU20" s="116">
        <v>0</v>
      </c>
      <c r="BAV20" s="116">
        <v>0</v>
      </c>
      <c r="BAW20" s="116">
        <v>0</v>
      </c>
      <c r="BAX20" s="116">
        <v>0</v>
      </c>
      <c r="BAY20" s="116">
        <v>0</v>
      </c>
      <c r="BAZ20" s="116">
        <v>0</v>
      </c>
      <c r="BBA20" s="116">
        <v>0</v>
      </c>
      <c r="BBB20" s="116">
        <v>0</v>
      </c>
      <c r="BBC20" s="116">
        <v>0</v>
      </c>
      <c r="BBD20" s="116">
        <v>0</v>
      </c>
      <c r="BBE20" s="116">
        <v>0</v>
      </c>
      <c r="BBF20" s="116">
        <v>0</v>
      </c>
      <c r="BBG20" s="116">
        <v>0</v>
      </c>
      <c r="BBH20" s="116">
        <v>0</v>
      </c>
      <c r="BBI20" s="116">
        <v>0</v>
      </c>
      <c r="BBJ20" s="116">
        <v>0</v>
      </c>
      <c r="BBK20" s="116">
        <v>0</v>
      </c>
      <c r="BBL20" s="116">
        <v>0</v>
      </c>
      <c r="BBM20" s="116">
        <v>0</v>
      </c>
      <c r="BBN20" s="116">
        <v>0</v>
      </c>
      <c r="BBO20" s="116">
        <v>0</v>
      </c>
      <c r="BBP20" s="116">
        <v>0</v>
      </c>
      <c r="BBQ20" s="116" t="s">
        <v>3123</v>
      </c>
      <c r="BBR20" s="116">
        <v>0</v>
      </c>
      <c r="BBS20" s="116">
        <v>0</v>
      </c>
      <c r="BBT20" s="116">
        <v>0</v>
      </c>
      <c r="BBU20" s="116">
        <v>0</v>
      </c>
      <c r="BBV20" s="116">
        <v>0</v>
      </c>
      <c r="BBW20" s="116">
        <v>0</v>
      </c>
      <c r="BBX20" s="116">
        <v>0</v>
      </c>
      <c r="BBY20" s="116">
        <v>0</v>
      </c>
      <c r="BBZ20" s="116">
        <v>0</v>
      </c>
      <c r="BCA20" s="116">
        <v>0</v>
      </c>
      <c r="BCB20" s="116">
        <v>0</v>
      </c>
      <c r="BCC20" s="116">
        <v>0</v>
      </c>
      <c r="BCD20" s="116">
        <v>0</v>
      </c>
      <c r="BCE20" s="116">
        <v>0</v>
      </c>
      <c r="BCF20" s="116">
        <v>0</v>
      </c>
      <c r="BCG20" s="116">
        <v>0</v>
      </c>
      <c r="BCH20" s="116">
        <v>0</v>
      </c>
      <c r="BCI20" s="116">
        <v>0</v>
      </c>
      <c r="BCJ20" s="116">
        <v>0</v>
      </c>
      <c r="BCK20" s="116">
        <v>0</v>
      </c>
      <c r="BCL20" s="116">
        <v>0</v>
      </c>
      <c r="BCM20" s="116">
        <v>0</v>
      </c>
      <c r="BCN20" s="116">
        <v>0</v>
      </c>
      <c r="BCO20" s="116">
        <v>0</v>
      </c>
      <c r="BCP20" s="116">
        <v>1</v>
      </c>
      <c r="BCQ20" s="116">
        <v>2</v>
      </c>
      <c r="BCR20" s="116">
        <v>3</v>
      </c>
      <c r="BCS20" s="304">
        <v>4</v>
      </c>
      <c r="BCT20" s="304">
        <v>5</v>
      </c>
      <c r="BCU20" s="304">
        <v>6</v>
      </c>
      <c r="BCV20" s="304">
        <v>7</v>
      </c>
      <c r="BCW20" s="304">
        <v>8</v>
      </c>
      <c r="BCX20" s="304">
        <v>9</v>
      </c>
      <c r="BCY20" s="304">
        <v>2</v>
      </c>
      <c r="BCZ20" s="304">
        <v>3</v>
      </c>
      <c r="BDA20" s="304">
        <v>4</v>
      </c>
      <c r="BDB20" s="304">
        <v>5</v>
      </c>
      <c r="BDC20" s="304">
        <v>6</v>
      </c>
      <c r="BDD20" s="304">
        <v>7</v>
      </c>
      <c r="BDE20" s="304">
        <v>8</v>
      </c>
      <c r="BDF20" s="304">
        <v>9</v>
      </c>
      <c r="BDG20" s="304">
        <v>9</v>
      </c>
      <c r="BDH20" s="304">
        <v>0</v>
      </c>
      <c r="BDI20" s="304">
        <v>0</v>
      </c>
      <c r="BDJ20" s="304">
        <v>0</v>
      </c>
      <c r="BDK20" s="304">
        <v>0</v>
      </c>
      <c r="BDL20" s="304">
        <v>0</v>
      </c>
      <c r="BDM20" s="304">
        <v>0</v>
      </c>
      <c r="BDN20" s="304">
        <v>0</v>
      </c>
      <c r="BDO20" s="304">
        <v>0</v>
      </c>
      <c r="BDP20" s="304">
        <v>0</v>
      </c>
      <c r="BDQ20" s="304">
        <v>0</v>
      </c>
      <c r="BDR20" s="304">
        <v>0</v>
      </c>
      <c r="BDS20" s="304">
        <v>0</v>
      </c>
      <c r="BDT20">
        <v>0</v>
      </c>
      <c r="BDU20">
        <v>0</v>
      </c>
      <c r="BDV20">
        <v>0</v>
      </c>
      <c r="BDW20">
        <v>0</v>
      </c>
      <c r="BDX20">
        <v>0</v>
      </c>
      <c r="BDY20">
        <v>0</v>
      </c>
      <c r="BDZ20">
        <v>0</v>
      </c>
      <c r="BEA20">
        <v>0</v>
      </c>
      <c r="BEB20">
        <v>0</v>
      </c>
      <c r="BEC20">
        <v>0</v>
      </c>
      <c r="BED20">
        <v>0</v>
      </c>
      <c r="BEE20">
        <v>0</v>
      </c>
      <c r="BEF20">
        <v>0</v>
      </c>
      <c r="BEG20">
        <v>0</v>
      </c>
      <c r="BEH20">
        <v>0</v>
      </c>
      <c r="BEI20">
        <v>0</v>
      </c>
      <c r="BEJ20">
        <v>0</v>
      </c>
      <c r="BEK20">
        <v>0</v>
      </c>
      <c r="BEL20">
        <v>0</v>
      </c>
      <c r="BEM20">
        <v>0</v>
      </c>
      <c r="BEN20">
        <v>0</v>
      </c>
      <c r="BEO20">
        <v>0</v>
      </c>
      <c r="BEP20">
        <v>0</v>
      </c>
      <c r="BEQ20">
        <v>0</v>
      </c>
      <c r="BER20">
        <v>0</v>
      </c>
      <c r="BES20">
        <v>0</v>
      </c>
      <c r="BET20">
        <v>0</v>
      </c>
      <c r="BEU20">
        <v>0</v>
      </c>
      <c r="BEV20">
        <v>0</v>
      </c>
      <c r="BEW20">
        <v>0</v>
      </c>
      <c r="BEX20">
        <v>0</v>
      </c>
      <c r="BEY20">
        <v>0</v>
      </c>
      <c r="BEZ20">
        <v>0</v>
      </c>
      <c r="BFA20">
        <v>0</v>
      </c>
      <c r="BFB20">
        <v>0</v>
      </c>
      <c r="BFC20">
        <v>0</v>
      </c>
      <c r="BFD20" t="b">
        <v>0</v>
      </c>
      <c r="BFE20" t="b">
        <v>0</v>
      </c>
      <c r="BFF20" t="b">
        <v>0</v>
      </c>
      <c r="BFG20" t="b">
        <v>0</v>
      </c>
      <c r="BFH20">
        <v>0</v>
      </c>
      <c r="BFI20">
        <v>0</v>
      </c>
      <c r="BFJ20">
        <v>0</v>
      </c>
      <c r="BFK20">
        <v>0</v>
      </c>
      <c r="BFL20">
        <v>0</v>
      </c>
      <c r="BFM20">
        <v>0</v>
      </c>
      <c r="BFN20">
        <v>0</v>
      </c>
      <c r="BFO20">
        <v>0</v>
      </c>
      <c r="BFP20">
        <v>0</v>
      </c>
      <c r="BFQ20">
        <v>0</v>
      </c>
      <c r="BFR20">
        <v>0</v>
      </c>
      <c r="BFS20">
        <v>0</v>
      </c>
      <c r="BFT20">
        <v>0</v>
      </c>
      <c r="BFU20">
        <v>0</v>
      </c>
      <c r="BFV20">
        <v>0</v>
      </c>
      <c r="BFW20">
        <v>0</v>
      </c>
      <c r="BFX20">
        <v>0</v>
      </c>
      <c r="BFY20">
        <v>0</v>
      </c>
    </row>
    <row r="21" spans="1:1533" ht="18.75" customHeight="1" x14ac:dyDescent="0.25">
      <c r="A21" t="s">
        <v>3069</v>
      </c>
      <c r="B21" t="s">
        <v>3072</v>
      </c>
      <c r="C21" s="120">
        <v>130</v>
      </c>
      <c r="D21" s="120">
        <v>45</v>
      </c>
      <c r="E21">
        <v>0</v>
      </c>
      <c r="F21">
        <v>0</v>
      </c>
      <c r="G21">
        <v>0</v>
      </c>
      <c r="H21" t="s">
        <v>2403</v>
      </c>
      <c r="I21" t="s">
        <v>2403</v>
      </c>
      <c r="J21" t="s">
        <v>2403</v>
      </c>
      <c r="K21" t="s">
        <v>2403</v>
      </c>
      <c r="L21" t="s">
        <v>2403</v>
      </c>
      <c r="M21" t="s">
        <v>1883</v>
      </c>
      <c r="N21" t="s">
        <v>2403</v>
      </c>
      <c r="O21" t="s">
        <v>1883</v>
      </c>
      <c r="P21" t="s">
        <v>1883</v>
      </c>
      <c r="Q21" t="s">
        <v>2403</v>
      </c>
      <c r="R21" t="s">
        <v>1883</v>
      </c>
      <c r="S21" t="s">
        <v>2403</v>
      </c>
      <c r="T21" t="s">
        <v>2404</v>
      </c>
      <c r="U21" t="s">
        <v>2424</v>
      </c>
      <c r="V21" t="s">
        <v>2827</v>
      </c>
      <c r="W21" t="s">
        <v>309</v>
      </c>
      <c r="X21">
        <v>900</v>
      </c>
      <c r="Y21">
        <v>43592</v>
      </c>
      <c r="Z21">
        <v>0</v>
      </c>
      <c r="AA21">
        <v>0</v>
      </c>
      <c r="AB21" s="120">
        <v>100</v>
      </c>
      <c r="AC21" s="58" t="s">
        <v>272</v>
      </c>
      <c r="AD21" s="120">
        <v>25</v>
      </c>
      <c r="AE21" s="120">
        <v>0</v>
      </c>
      <c r="AF21" s="120">
        <v>43619</v>
      </c>
      <c r="AG21">
        <v>45</v>
      </c>
      <c r="AH21" s="120">
        <v>0</v>
      </c>
      <c r="AI21" s="120">
        <v>0</v>
      </c>
      <c r="AJ21" s="58" t="s">
        <v>271</v>
      </c>
      <c r="AK21" s="120">
        <v>0.159</v>
      </c>
      <c r="AL21" s="119">
        <v>0</v>
      </c>
      <c r="AM21">
        <v>50</v>
      </c>
      <c r="AN21">
        <v>47241</v>
      </c>
      <c r="AO21" s="114">
        <v>0.1750596063862675</v>
      </c>
      <c r="AP21" s="120">
        <v>10794.94</v>
      </c>
      <c r="AQ21" s="120">
        <v>12136.770000000039</v>
      </c>
      <c r="AR21" s="58">
        <v>22931.710000000039</v>
      </c>
      <c r="AS21" s="114">
        <v>191.11</v>
      </c>
      <c r="AT21" s="120">
        <v>189.62</v>
      </c>
      <c r="AU21" s="120" t="s">
        <v>1910</v>
      </c>
      <c r="AV21" s="120" t="s">
        <v>2119</v>
      </c>
      <c r="AW21" s="120" t="s">
        <v>2738</v>
      </c>
      <c r="AX21" s="120">
        <v>19</v>
      </c>
      <c r="AY21">
        <v>0</v>
      </c>
      <c r="AZ21">
        <v>43586</v>
      </c>
      <c r="BA21">
        <v>100</v>
      </c>
      <c r="BB21" s="120">
        <v>2</v>
      </c>
      <c r="BC21">
        <v>1</v>
      </c>
      <c r="BD21" s="58" t="s">
        <v>415</v>
      </c>
      <c r="BE21" s="120">
        <v>336</v>
      </c>
      <c r="BF21">
        <v>52</v>
      </c>
      <c r="BG21">
        <v>43588</v>
      </c>
      <c r="BH21">
        <v>120</v>
      </c>
      <c r="BI21" s="120">
        <v>0</v>
      </c>
      <c r="BJ21" s="120">
        <v>50</v>
      </c>
      <c r="BK21" s="58">
        <v>43482</v>
      </c>
      <c r="BL21">
        <v>0</v>
      </c>
      <c r="BM21" s="120">
        <v>0</v>
      </c>
      <c r="BN21" s="120">
        <v>0</v>
      </c>
      <c r="BO21" t="s">
        <v>3065</v>
      </c>
      <c r="BP21" t="s">
        <v>2403</v>
      </c>
      <c r="BQ21" t="s">
        <v>2403</v>
      </c>
      <c r="BR21" t="s">
        <v>2403</v>
      </c>
      <c r="BS21">
        <v>0</v>
      </c>
      <c r="BT21" s="58">
        <v>0</v>
      </c>
      <c r="BU21">
        <v>0</v>
      </c>
      <c r="BV21">
        <v>0</v>
      </c>
      <c r="BW21">
        <v>0</v>
      </c>
      <c r="BX21">
        <v>0</v>
      </c>
      <c r="BY21" t="s">
        <v>3066</v>
      </c>
      <c r="BZ21" t="s">
        <v>3067</v>
      </c>
      <c r="CA21">
        <v>76182</v>
      </c>
      <c r="CB21" t="s">
        <v>1633</v>
      </c>
      <c r="CC21">
        <v>0</v>
      </c>
      <c r="CD21">
        <v>0</v>
      </c>
      <c r="CE21">
        <v>0</v>
      </c>
      <c r="CF21">
        <v>0</v>
      </c>
      <c r="CG21">
        <v>0</v>
      </c>
      <c r="CH21">
        <v>0</v>
      </c>
      <c r="CI21">
        <v>0</v>
      </c>
      <c r="CJ21">
        <v>0</v>
      </c>
      <c r="CK21">
        <v>0</v>
      </c>
      <c r="CL21" s="118">
        <v>0</v>
      </c>
      <c r="CM21" s="118">
        <v>0</v>
      </c>
      <c r="CN21" s="118">
        <v>0</v>
      </c>
      <c r="CO21" t="s">
        <v>3068</v>
      </c>
      <c r="CP21" t="s">
        <v>2403</v>
      </c>
      <c r="CQ21" t="s">
        <v>2403</v>
      </c>
      <c r="CR21" t="s">
        <v>2403</v>
      </c>
      <c r="CS21">
        <v>0</v>
      </c>
      <c r="CT21">
        <v>0</v>
      </c>
      <c r="CU21">
        <v>0</v>
      </c>
      <c r="CV21">
        <v>0</v>
      </c>
      <c r="CW21">
        <v>0</v>
      </c>
      <c r="CX21">
        <v>0</v>
      </c>
      <c r="CY21" s="58" t="s">
        <v>3066</v>
      </c>
      <c r="CZ21" t="s">
        <v>3067</v>
      </c>
      <c r="DA21">
        <v>76182</v>
      </c>
      <c r="DB21" t="s">
        <v>1633</v>
      </c>
      <c r="DC21">
        <v>0</v>
      </c>
      <c r="DD21">
        <v>0</v>
      </c>
      <c r="DE21">
        <v>0</v>
      </c>
      <c r="DF21">
        <v>0</v>
      </c>
      <c r="DG21">
        <v>0</v>
      </c>
      <c r="DH21">
        <v>0</v>
      </c>
      <c r="DI21">
        <v>0</v>
      </c>
      <c r="DJ21">
        <v>0</v>
      </c>
      <c r="DK21">
        <v>0</v>
      </c>
      <c r="DL21">
        <v>0</v>
      </c>
      <c r="DM21" s="118">
        <v>0</v>
      </c>
      <c r="DN21" s="118">
        <v>0</v>
      </c>
      <c r="DO21" s="118">
        <v>0</v>
      </c>
      <c r="DP21">
        <v>0</v>
      </c>
      <c r="DQ21">
        <v>0</v>
      </c>
      <c r="DR21">
        <v>0</v>
      </c>
      <c r="DS21">
        <v>0</v>
      </c>
      <c r="DT21">
        <v>0</v>
      </c>
      <c r="DU21">
        <v>0</v>
      </c>
      <c r="DV21">
        <v>0</v>
      </c>
      <c r="DW21">
        <v>0</v>
      </c>
      <c r="DX21">
        <v>0</v>
      </c>
      <c r="DY21">
        <v>0</v>
      </c>
      <c r="DZ21" s="58">
        <v>0</v>
      </c>
      <c r="EA21">
        <v>0</v>
      </c>
      <c r="EB21">
        <v>0</v>
      </c>
      <c r="EC21">
        <v>0</v>
      </c>
      <c r="ED21">
        <v>0</v>
      </c>
      <c r="EE21">
        <v>0</v>
      </c>
      <c r="EF21">
        <v>0</v>
      </c>
      <c r="EG21">
        <v>0</v>
      </c>
      <c r="EH21">
        <v>0</v>
      </c>
      <c r="EI21">
        <v>0</v>
      </c>
      <c r="EJ21">
        <v>0</v>
      </c>
      <c r="EK21">
        <v>0</v>
      </c>
      <c r="EL21">
        <v>0</v>
      </c>
      <c r="EM21">
        <v>0</v>
      </c>
      <c r="EN21" s="118">
        <v>0</v>
      </c>
      <c r="EO21" s="118">
        <v>900</v>
      </c>
      <c r="EP21" s="118">
        <v>10498.9404296875</v>
      </c>
      <c r="EQ21">
        <v>1</v>
      </c>
      <c r="ER21">
        <v>1</v>
      </c>
      <c r="ES21" s="119" t="s">
        <v>3070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10498.94</v>
      </c>
      <c r="FN21">
        <v>0</v>
      </c>
      <c r="FO21">
        <v>0</v>
      </c>
      <c r="FP21" s="119">
        <v>0</v>
      </c>
      <c r="FQ21" s="119">
        <v>0</v>
      </c>
      <c r="FR21" s="119">
        <v>0</v>
      </c>
      <c r="FS21" s="119">
        <v>0</v>
      </c>
      <c r="FT21" s="119">
        <v>0</v>
      </c>
      <c r="FU21" s="119">
        <v>0</v>
      </c>
      <c r="FV21" s="119">
        <v>0</v>
      </c>
      <c r="FW21" s="119">
        <v>0</v>
      </c>
      <c r="FX21" s="119">
        <v>0</v>
      </c>
      <c r="FY21" s="119">
        <v>0</v>
      </c>
      <c r="FZ21" s="119">
        <v>0</v>
      </c>
      <c r="GA21" s="119">
        <v>0</v>
      </c>
      <c r="GB21" s="119">
        <v>0</v>
      </c>
      <c r="GC21" s="119">
        <v>0</v>
      </c>
      <c r="GD21" s="119">
        <v>0</v>
      </c>
      <c r="GE21" s="119">
        <v>0</v>
      </c>
      <c r="GF21" s="119">
        <v>0</v>
      </c>
      <c r="GG21" s="119">
        <v>0</v>
      </c>
      <c r="GH21" s="119" t="s">
        <v>2403</v>
      </c>
      <c r="GI21" s="119">
        <v>0</v>
      </c>
      <c r="GJ21">
        <v>0</v>
      </c>
      <c r="GK21">
        <v>0</v>
      </c>
      <c r="GL21" t="s">
        <v>2403</v>
      </c>
      <c r="GM21">
        <v>0</v>
      </c>
      <c r="GN21" t="s">
        <v>2403</v>
      </c>
      <c r="GO21">
        <v>0</v>
      </c>
      <c r="GP21" s="58" t="s">
        <v>3071</v>
      </c>
      <c r="GQ21">
        <v>0</v>
      </c>
      <c r="GR21">
        <v>0</v>
      </c>
      <c r="GS21" s="128">
        <v>0</v>
      </c>
      <c r="GT21" s="128" t="s">
        <v>3066</v>
      </c>
      <c r="GU21" s="128">
        <v>10498.94</v>
      </c>
      <c r="GV21" s="128">
        <v>0</v>
      </c>
      <c r="GW21">
        <v>0</v>
      </c>
      <c r="GX21" s="119">
        <v>0</v>
      </c>
      <c r="GY21" s="119">
        <v>0</v>
      </c>
      <c r="GZ21" s="119">
        <v>0</v>
      </c>
      <c r="HA21" s="119">
        <v>0</v>
      </c>
      <c r="HB21">
        <v>0</v>
      </c>
      <c r="HC21">
        <v>10498.9404296875</v>
      </c>
      <c r="HD21">
        <v>0</v>
      </c>
      <c r="HE21">
        <v>0</v>
      </c>
      <c r="HF21" s="120" t="s">
        <v>3067</v>
      </c>
      <c r="HG21" s="119" t="s">
        <v>225</v>
      </c>
      <c r="HH21" t="s">
        <v>2403</v>
      </c>
      <c r="HI21">
        <v>0</v>
      </c>
      <c r="HJ21" t="s">
        <v>2403</v>
      </c>
      <c r="HK21">
        <v>0</v>
      </c>
      <c r="HL21" s="119">
        <v>0</v>
      </c>
      <c r="HM21">
        <v>0</v>
      </c>
      <c r="HN21">
        <v>0</v>
      </c>
      <c r="HO21" t="s">
        <v>3183</v>
      </c>
      <c r="HP21" t="s">
        <v>2403</v>
      </c>
      <c r="HQ21">
        <v>0</v>
      </c>
      <c r="HR21" t="s">
        <v>1633</v>
      </c>
      <c r="HS21" t="s">
        <v>3070</v>
      </c>
      <c r="HT21">
        <v>0</v>
      </c>
      <c r="HU21">
        <v>0</v>
      </c>
      <c r="HV21">
        <v>0</v>
      </c>
      <c r="HW21">
        <v>2018</v>
      </c>
      <c r="HX21">
        <v>0</v>
      </c>
      <c r="HY21">
        <v>0</v>
      </c>
      <c r="HZ21">
        <v>0</v>
      </c>
      <c r="IA21">
        <v>76182</v>
      </c>
      <c r="IB21" t="s">
        <v>2403</v>
      </c>
      <c r="IC21">
        <v>0</v>
      </c>
      <c r="ID21">
        <v>0</v>
      </c>
      <c r="IE21">
        <v>0</v>
      </c>
      <c r="IF21">
        <v>0</v>
      </c>
      <c r="IG21">
        <v>0</v>
      </c>
      <c r="IH21">
        <v>0</v>
      </c>
      <c r="II21">
        <v>0</v>
      </c>
      <c r="IJ21">
        <v>0</v>
      </c>
      <c r="IK21">
        <v>0</v>
      </c>
      <c r="IL21">
        <v>0</v>
      </c>
      <c r="IM21">
        <v>0</v>
      </c>
      <c r="IN21">
        <v>0</v>
      </c>
      <c r="IO21" s="128">
        <v>0</v>
      </c>
      <c r="IP21" s="128">
        <v>0</v>
      </c>
      <c r="IQ21" s="128">
        <v>0</v>
      </c>
      <c r="IR21" s="128">
        <v>0</v>
      </c>
      <c r="IS21">
        <v>0</v>
      </c>
      <c r="IT21" s="119">
        <v>0</v>
      </c>
      <c r="IU21" s="119">
        <v>0</v>
      </c>
      <c r="IV21" s="119">
        <v>0</v>
      </c>
      <c r="IW21" s="119">
        <v>0</v>
      </c>
      <c r="IX21" s="119">
        <v>0</v>
      </c>
      <c r="IY21">
        <v>0</v>
      </c>
      <c r="IZ21">
        <v>0</v>
      </c>
      <c r="JA21">
        <v>0</v>
      </c>
      <c r="JB21">
        <v>0</v>
      </c>
      <c r="JC21">
        <v>0</v>
      </c>
      <c r="JD21" s="119">
        <v>0</v>
      </c>
      <c r="JE21">
        <v>0</v>
      </c>
      <c r="JF21">
        <v>0</v>
      </c>
      <c r="JG21">
        <v>0</v>
      </c>
      <c r="JH21">
        <v>0</v>
      </c>
      <c r="JI21">
        <v>0</v>
      </c>
      <c r="JJ21">
        <v>0</v>
      </c>
      <c r="JK21">
        <v>0</v>
      </c>
      <c r="JL21">
        <v>0</v>
      </c>
      <c r="JM21">
        <v>0</v>
      </c>
      <c r="JN21">
        <v>0</v>
      </c>
      <c r="JO21">
        <v>0</v>
      </c>
      <c r="JP21">
        <v>0</v>
      </c>
      <c r="JQ21">
        <v>0</v>
      </c>
      <c r="JR21">
        <v>0</v>
      </c>
      <c r="JS21">
        <v>0</v>
      </c>
      <c r="JT21">
        <v>0</v>
      </c>
      <c r="JU21">
        <v>0</v>
      </c>
      <c r="JV21">
        <v>0</v>
      </c>
      <c r="JW21">
        <v>0</v>
      </c>
      <c r="JX21">
        <v>0</v>
      </c>
      <c r="JY21">
        <v>0</v>
      </c>
      <c r="JZ21">
        <v>0</v>
      </c>
      <c r="KA21">
        <v>0</v>
      </c>
      <c r="KB21">
        <v>0</v>
      </c>
      <c r="KC21">
        <v>0</v>
      </c>
      <c r="KD21">
        <v>0</v>
      </c>
      <c r="KE21">
        <v>0</v>
      </c>
      <c r="KF21">
        <v>0</v>
      </c>
      <c r="KG21">
        <v>0</v>
      </c>
      <c r="KH21">
        <v>0</v>
      </c>
      <c r="KI21">
        <v>0</v>
      </c>
      <c r="KJ21">
        <v>0</v>
      </c>
      <c r="KK21" s="128">
        <v>0</v>
      </c>
      <c r="KL21" s="128">
        <v>0</v>
      </c>
      <c r="KM21" s="128">
        <v>0</v>
      </c>
      <c r="KN21" s="128">
        <v>0</v>
      </c>
      <c r="KO21">
        <v>0</v>
      </c>
      <c r="KP21" s="119">
        <v>0</v>
      </c>
      <c r="KQ21" s="119">
        <v>0</v>
      </c>
      <c r="KR21" s="119">
        <v>0</v>
      </c>
      <c r="KS21" s="119">
        <v>0</v>
      </c>
      <c r="KT21" s="121">
        <v>0</v>
      </c>
      <c r="KU21">
        <v>0</v>
      </c>
      <c r="KV21" s="119">
        <v>0</v>
      </c>
      <c r="KW21">
        <v>0</v>
      </c>
      <c r="KX21">
        <v>0</v>
      </c>
      <c r="KY21">
        <v>0</v>
      </c>
      <c r="KZ21" s="119">
        <v>0</v>
      </c>
      <c r="LA21">
        <v>0</v>
      </c>
      <c r="LB21">
        <v>0</v>
      </c>
      <c r="LC21">
        <v>0</v>
      </c>
      <c r="LD21">
        <v>0</v>
      </c>
      <c r="LE21">
        <v>0</v>
      </c>
      <c r="LF21">
        <v>0</v>
      </c>
      <c r="LG21">
        <v>0</v>
      </c>
      <c r="LH21">
        <v>0</v>
      </c>
      <c r="LI21">
        <v>0</v>
      </c>
      <c r="LJ21">
        <v>0</v>
      </c>
      <c r="LK21">
        <v>0</v>
      </c>
      <c r="LL21">
        <v>0</v>
      </c>
      <c r="LM21">
        <v>0</v>
      </c>
      <c r="LN21">
        <v>0</v>
      </c>
      <c r="LO21">
        <v>0</v>
      </c>
      <c r="LP21">
        <v>0</v>
      </c>
      <c r="LQ21">
        <v>0</v>
      </c>
      <c r="LR21">
        <v>0</v>
      </c>
      <c r="LS21">
        <v>0</v>
      </c>
      <c r="LT21">
        <v>0</v>
      </c>
      <c r="LU21">
        <v>0</v>
      </c>
      <c r="LV21">
        <v>0</v>
      </c>
      <c r="LW21">
        <v>0</v>
      </c>
      <c r="LX21">
        <v>0</v>
      </c>
      <c r="LY21">
        <v>0</v>
      </c>
      <c r="LZ21">
        <v>0</v>
      </c>
      <c r="MA21">
        <v>0</v>
      </c>
      <c r="MB21">
        <v>0</v>
      </c>
      <c r="MC21">
        <v>0</v>
      </c>
      <c r="MD21">
        <v>0</v>
      </c>
      <c r="ME21">
        <v>0</v>
      </c>
      <c r="MF21">
        <v>0</v>
      </c>
      <c r="MG21" s="128">
        <v>0</v>
      </c>
      <c r="MH21" s="128">
        <v>0</v>
      </c>
      <c r="MI21" s="128">
        <v>0</v>
      </c>
      <c r="MJ21" s="128">
        <v>0</v>
      </c>
      <c r="MK21">
        <v>0</v>
      </c>
      <c r="ML21" s="119">
        <v>0</v>
      </c>
      <c r="MM21" s="119">
        <v>0</v>
      </c>
      <c r="MN21" s="119">
        <v>0</v>
      </c>
      <c r="MO21" s="119">
        <v>0</v>
      </c>
      <c r="MP21" s="121">
        <v>0</v>
      </c>
      <c r="MQ21" s="119">
        <v>0</v>
      </c>
      <c r="MR21">
        <v>0</v>
      </c>
      <c r="MS21">
        <v>0</v>
      </c>
      <c r="MT21">
        <v>0</v>
      </c>
      <c r="MU21">
        <v>0</v>
      </c>
      <c r="MV21" s="119">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s="116">
        <v>0</v>
      </c>
      <c r="NU21" s="116">
        <v>0</v>
      </c>
      <c r="NV21" s="116">
        <v>0</v>
      </c>
      <c r="NW21" s="116">
        <v>0</v>
      </c>
      <c r="NX21" s="116">
        <v>0</v>
      </c>
      <c r="NY21" s="116">
        <v>0</v>
      </c>
      <c r="NZ21" s="116">
        <v>0</v>
      </c>
      <c r="OA21" s="116">
        <v>0</v>
      </c>
      <c r="OB21" s="116">
        <v>0</v>
      </c>
      <c r="OC21" s="128">
        <v>0</v>
      </c>
      <c r="OD21" s="128">
        <v>0</v>
      </c>
      <c r="OE21" s="128">
        <v>0</v>
      </c>
      <c r="OF21" s="128">
        <v>0</v>
      </c>
      <c r="OG21">
        <v>0</v>
      </c>
      <c r="OH21" s="119">
        <v>0</v>
      </c>
      <c r="OI21" s="119">
        <v>0</v>
      </c>
      <c r="OJ21" s="119">
        <v>0</v>
      </c>
      <c r="OK21" s="119">
        <v>0</v>
      </c>
      <c r="OL21" s="121">
        <v>0</v>
      </c>
      <c r="OM21" s="119">
        <v>0</v>
      </c>
      <c r="ON21">
        <v>0</v>
      </c>
      <c r="OO21">
        <v>0</v>
      </c>
      <c r="OP21">
        <v>0</v>
      </c>
      <c r="OQ21">
        <v>0</v>
      </c>
      <c r="OR21" s="119">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s="128">
        <v>0</v>
      </c>
      <c r="PZ21" s="128">
        <v>0</v>
      </c>
      <c r="QA21" s="128">
        <v>0</v>
      </c>
      <c r="QB21" s="128">
        <v>0</v>
      </c>
      <c r="QC21">
        <v>0</v>
      </c>
      <c r="QD21" s="119">
        <v>0</v>
      </c>
      <c r="QE21" s="119">
        <v>0</v>
      </c>
      <c r="QF21" s="119">
        <v>0</v>
      </c>
      <c r="QG21" s="119">
        <v>0</v>
      </c>
      <c r="QH21" s="121">
        <v>0</v>
      </c>
      <c r="QI21" s="119">
        <v>0</v>
      </c>
      <c r="QJ21">
        <v>0</v>
      </c>
      <c r="QK21">
        <v>0</v>
      </c>
      <c r="QL21">
        <v>0</v>
      </c>
      <c r="QM21">
        <v>0</v>
      </c>
      <c r="QN21" s="119">
        <v>0</v>
      </c>
      <c r="QO21">
        <v>0</v>
      </c>
      <c r="QP21">
        <v>0</v>
      </c>
      <c r="QQ21">
        <v>0</v>
      </c>
      <c r="QR21">
        <v>0</v>
      </c>
      <c r="QS21">
        <v>0</v>
      </c>
      <c r="QT21">
        <v>0</v>
      </c>
      <c r="QU21">
        <v>0</v>
      </c>
      <c r="QV21">
        <v>0</v>
      </c>
      <c r="QW21">
        <v>0</v>
      </c>
      <c r="QX21">
        <v>0</v>
      </c>
      <c r="QY21">
        <v>0</v>
      </c>
      <c r="QZ21">
        <v>0</v>
      </c>
      <c r="RA21">
        <v>0</v>
      </c>
      <c r="RB21">
        <v>0</v>
      </c>
      <c r="RC21">
        <v>0</v>
      </c>
      <c r="RD21">
        <v>0</v>
      </c>
      <c r="RE21">
        <v>0</v>
      </c>
      <c r="RF21">
        <v>0</v>
      </c>
      <c r="RG21">
        <v>0</v>
      </c>
      <c r="RH21">
        <v>0</v>
      </c>
      <c r="RI21">
        <v>0</v>
      </c>
      <c r="RJ21">
        <v>0</v>
      </c>
      <c r="RK21">
        <v>0</v>
      </c>
      <c r="RL21" s="116">
        <v>0</v>
      </c>
      <c r="RM21" s="116">
        <v>0</v>
      </c>
      <c r="RN21" s="116">
        <v>0</v>
      </c>
      <c r="RO21" s="116">
        <v>0</v>
      </c>
      <c r="RP21" s="116">
        <v>0</v>
      </c>
      <c r="RQ21" s="116">
        <v>0</v>
      </c>
      <c r="RR21" s="116">
        <v>0</v>
      </c>
      <c r="RS21" s="116">
        <v>0</v>
      </c>
      <c r="RT21" s="116">
        <v>0</v>
      </c>
      <c r="RU21" s="128">
        <v>0</v>
      </c>
      <c r="RV21" s="128">
        <v>0</v>
      </c>
      <c r="RW21" s="128">
        <v>0</v>
      </c>
      <c r="RX21" s="128">
        <v>0</v>
      </c>
      <c r="RY21">
        <v>0</v>
      </c>
      <c r="RZ21" s="119">
        <v>0</v>
      </c>
      <c r="SA21" s="119">
        <v>0</v>
      </c>
      <c r="SB21" s="119">
        <v>0</v>
      </c>
      <c r="SC21" s="119">
        <v>0</v>
      </c>
      <c r="SD21" s="121">
        <v>0</v>
      </c>
      <c r="SE21" s="119">
        <v>0</v>
      </c>
      <c r="SF21">
        <v>0</v>
      </c>
      <c r="SG21">
        <v>0</v>
      </c>
      <c r="SH21">
        <v>0</v>
      </c>
      <c r="SI21">
        <v>0</v>
      </c>
      <c r="SJ21" s="119">
        <v>0</v>
      </c>
      <c r="SK21">
        <v>0</v>
      </c>
      <c r="SL21">
        <v>0</v>
      </c>
      <c r="SM21">
        <v>0</v>
      </c>
      <c r="SN21">
        <v>0</v>
      </c>
      <c r="SO21">
        <v>0</v>
      </c>
      <c r="SP21">
        <v>0</v>
      </c>
      <c r="SQ21">
        <v>0</v>
      </c>
      <c r="SR21">
        <v>0</v>
      </c>
      <c r="SS21">
        <v>0</v>
      </c>
      <c r="ST21">
        <v>0</v>
      </c>
      <c r="SU21">
        <v>0</v>
      </c>
      <c r="SV21">
        <v>0</v>
      </c>
      <c r="SW21">
        <v>0</v>
      </c>
      <c r="SX21">
        <v>0</v>
      </c>
      <c r="SY21">
        <v>0</v>
      </c>
      <c r="SZ21">
        <v>0</v>
      </c>
      <c r="TA21">
        <v>0</v>
      </c>
      <c r="TB21">
        <v>0</v>
      </c>
      <c r="TC21">
        <v>0</v>
      </c>
      <c r="TD21">
        <v>0</v>
      </c>
      <c r="TE21">
        <v>0</v>
      </c>
      <c r="TF21">
        <v>0</v>
      </c>
      <c r="TG21">
        <v>0</v>
      </c>
      <c r="TH21" s="116">
        <v>0</v>
      </c>
      <c r="TI21" s="116">
        <v>0</v>
      </c>
      <c r="TJ21" s="116">
        <v>0</v>
      </c>
      <c r="TK21" s="116">
        <v>0</v>
      </c>
      <c r="TL21" s="116">
        <v>0</v>
      </c>
      <c r="TM21" s="116">
        <v>0</v>
      </c>
      <c r="TN21" s="116">
        <v>0</v>
      </c>
      <c r="TO21" s="116">
        <v>0</v>
      </c>
      <c r="TP21" s="116">
        <v>0</v>
      </c>
      <c r="TQ21" s="128">
        <v>0</v>
      </c>
      <c r="TR21" s="128">
        <v>0</v>
      </c>
      <c r="TS21" s="128">
        <v>0</v>
      </c>
      <c r="TT21" s="128">
        <v>0</v>
      </c>
      <c r="TU21">
        <v>0</v>
      </c>
      <c r="TV21" s="119">
        <v>0</v>
      </c>
      <c r="TW21" s="119">
        <v>0</v>
      </c>
      <c r="TX21" s="119">
        <v>0</v>
      </c>
      <c r="TY21" s="119">
        <v>0</v>
      </c>
      <c r="TZ21" s="121">
        <v>0</v>
      </c>
      <c r="UA21" s="119">
        <v>0</v>
      </c>
      <c r="UB21">
        <v>0</v>
      </c>
      <c r="UC21">
        <v>0</v>
      </c>
      <c r="UD21">
        <v>0</v>
      </c>
      <c r="UE21">
        <v>0</v>
      </c>
      <c r="UF21" s="119">
        <v>0</v>
      </c>
      <c r="UG21">
        <v>0</v>
      </c>
      <c r="UH21">
        <v>0</v>
      </c>
      <c r="UI21">
        <v>0</v>
      </c>
      <c r="UJ21">
        <v>0</v>
      </c>
      <c r="UK21">
        <v>0</v>
      </c>
      <c r="UL21">
        <v>0</v>
      </c>
      <c r="UM21">
        <v>0</v>
      </c>
      <c r="UN21">
        <v>0</v>
      </c>
      <c r="UO21">
        <v>0</v>
      </c>
      <c r="UP21">
        <v>0</v>
      </c>
      <c r="UQ21">
        <v>0</v>
      </c>
      <c r="UR21">
        <v>0</v>
      </c>
      <c r="US21">
        <v>0</v>
      </c>
      <c r="UT21">
        <v>0</v>
      </c>
      <c r="UU21">
        <v>0</v>
      </c>
      <c r="UV21">
        <v>0</v>
      </c>
      <c r="UW21">
        <v>0</v>
      </c>
      <c r="UX21">
        <v>0</v>
      </c>
      <c r="UY21">
        <v>0</v>
      </c>
      <c r="UZ21">
        <v>0</v>
      </c>
      <c r="VA21">
        <v>0</v>
      </c>
      <c r="VB21">
        <v>0</v>
      </c>
      <c r="VC21">
        <v>0</v>
      </c>
      <c r="VD21" s="116">
        <v>0</v>
      </c>
      <c r="VE21" s="116">
        <v>0</v>
      </c>
      <c r="VF21" s="116">
        <v>0</v>
      </c>
      <c r="VG21" s="116">
        <v>0</v>
      </c>
      <c r="VH21" s="116">
        <v>0</v>
      </c>
      <c r="VI21" s="116">
        <v>0</v>
      </c>
      <c r="VJ21" s="116">
        <v>0</v>
      </c>
      <c r="VK21" s="116">
        <v>0</v>
      </c>
      <c r="VL21" s="116">
        <v>0</v>
      </c>
      <c r="VM21" s="128">
        <v>0</v>
      </c>
      <c r="VN21" s="128">
        <v>0</v>
      </c>
      <c r="VO21" s="128">
        <v>0</v>
      </c>
      <c r="VP21" s="128">
        <v>0</v>
      </c>
      <c r="VQ21">
        <v>0</v>
      </c>
      <c r="VR21" s="119">
        <v>0</v>
      </c>
      <c r="VS21" s="119">
        <v>0</v>
      </c>
      <c r="VT21" s="119">
        <v>0</v>
      </c>
      <c r="VU21" s="119">
        <v>0</v>
      </c>
      <c r="VV21" s="121">
        <v>0</v>
      </c>
      <c r="VW21" s="119">
        <v>0</v>
      </c>
      <c r="VX21" s="119">
        <v>0</v>
      </c>
      <c r="VY21">
        <v>0</v>
      </c>
      <c r="VZ21">
        <v>0</v>
      </c>
      <c r="WA21">
        <v>0</v>
      </c>
      <c r="WB21" s="119">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s="116">
        <v>0</v>
      </c>
      <c r="XA21" s="116">
        <v>0</v>
      </c>
      <c r="XB21" s="116">
        <v>0</v>
      </c>
      <c r="XC21" s="116">
        <v>0</v>
      </c>
      <c r="XD21" s="116">
        <v>0</v>
      </c>
      <c r="XE21" s="116">
        <v>0</v>
      </c>
      <c r="XF21" s="116">
        <v>0</v>
      </c>
      <c r="XG21" s="116">
        <v>0</v>
      </c>
      <c r="XH21" s="116">
        <v>0</v>
      </c>
      <c r="XI21" s="128">
        <v>0</v>
      </c>
      <c r="XJ21" s="128">
        <v>0</v>
      </c>
      <c r="XK21" s="128">
        <v>0</v>
      </c>
      <c r="XL21" s="128">
        <v>0</v>
      </c>
      <c r="XM21">
        <v>0</v>
      </c>
      <c r="XN21" s="119">
        <v>0</v>
      </c>
      <c r="XO21" s="119">
        <v>0</v>
      </c>
      <c r="XP21" s="119">
        <v>0</v>
      </c>
      <c r="XQ21" s="119">
        <v>0</v>
      </c>
      <c r="XR21" s="121">
        <v>0</v>
      </c>
      <c r="XS21" s="119">
        <v>0</v>
      </c>
      <c r="XT21" s="119">
        <v>0</v>
      </c>
      <c r="XU21">
        <v>0</v>
      </c>
      <c r="XV21">
        <v>0</v>
      </c>
      <c r="XW21">
        <v>0</v>
      </c>
      <c r="XX21" s="119">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S21">
        <v>0</v>
      </c>
      <c r="YT21">
        <v>0</v>
      </c>
      <c r="YU21">
        <v>0</v>
      </c>
      <c r="YV21">
        <v>0</v>
      </c>
      <c r="YW21">
        <v>0</v>
      </c>
      <c r="YX21">
        <v>0</v>
      </c>
      <c r="YY21">
        <v>0</v>
      </c>
      <c r="YZ21">
        <v>0</v>
      </c>
      <c r="ZA21">
        <v>0</v>
      </c>
      <c r="ZB21">
        <v>0</v>
      </c>
      <c r="ZC21">
        <v>0</v>
      </c>
      <c r="ZD21">
        <v>0</v>
      </c>
      <c r="ZE21" s="128">
        <v>0</v>
      </c>
      <c r="ZF21" s="128">
        <v>0</v>
      </c>
      <c r="ZG21" s="128">
        <v>0</v>
      </c>
      <c r="ZH21" s="128">
        <v>0</v>
      </c>
      <c r="ZI21">
        <v>0</v>
      </c>
      <c r="ZJ21" s="119">
        <v>0</v>
      </c>
      <c r="ZK21" s="119">
        <v>0</v>
      </c>
      <c r="ZL21" s="119">
        <v>0</v>
      </c>
      <c r="ZM21" s="119">
        <v>0</v>
      </c>
      <c r="ZN21" s="121">
        <v>0</v>
      </c>
      <c r="ZO21" s="119">
        <v>0</v>
      </c>
      <c r="ZP21" s="119">
        <v>0</v>
      </c>
      <c r="ZQ21">
        <v>0</v>
      </c>
      <c r="ZR21">
        <v>0</v>
      </c>
      <c r="ZS21">
        <v>0</v>
      </c>
      <c r="ZT21" s="119">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s="116">
        <v>0</v>
      </c>
      <c r="AAS21" s="116">
        <v>0</v>
      </c>
      <c r="AAT21" s="116">
        <v>0</v>
      </c>
      <c r="AAU21" s="116">
        <v>0</v>
      </c>
      <c r="AAV21" s="116">
        <v>0</v>
      </c>
      <c r="AAW21" s="116">
        <v>0</v>
      </c>
      <c r="AAX21" s="116">
        <v>0</v>
      </c>
      <c r="AAY21" s="116">
        <v>0</v>
      </c>
      <c r="AAZ21" s="116">
        <v>0</v>
      </c>
      <c r="ABA21" s="128">
        <v>0</v>
      </c>
      <c r="ABB21" s="128">
        <v>0</v>
      </c>
      <c r="ABC21" s="128">
        <v>0</v>
      </c>
      <c r="ABD21" s="128">
        <v>0</v>
      </c>
      <c r="ABE21">
        <v>0</v>
      </c>
      <c r="ABF21" s="119">
        <v>0</v>
      </c>
      <c r="ABG21" s="119">
        <v>0</v>
      </c>
      <c r="ABH21" s="119">
        <v>0</v>
      </c>
      <c r="ABI21" s="119">
        <v>0</v>
      </c>
      <c r="ABJ21" s="121">
        <v>0</v>
      </c>
      <c r="ABK21" s="119">
        <v>0</v>
      </c>
      <c r="ABL21" s="119">
        <v>0</v>
      </c>
      <c r="ABM21">
        <v>0</v>
      </c>
      <c r="ABN21">
        <v>0</v>
      </c>
      <c r="ABO21">
        <v>0</v>
      </c>
      <c r="ABP21" s="119">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s="116">
        <v>0</v>
      </c>
      <c r="ACO21" s="116">
        <v>0</v>
      </c>
      <c r="ACP21" s="116">
        <v>0</v>
      </c>
      <c r="ACQ21" s="116">
        <v>0</v>
      </c>
      <c r="ACR21" s="116">
        <v>0</v>
      </c>
      <c r="ACS21" s="116">
        <v>0</v>
      </c>
      <c r="ACT21" s="116">
        <v>0</v>
      </c>
      <c r="ACU21" s="116">
        <v>0</v>
      </c>
      <c r="ACV21" s="116">
        <v>0</v>
      </c>
      <c r="ACW21" s="128">
        <v>0</v>
      </c>
      <c r="ACX21" s="128">
        <v>0</v>
      </c>
      <c r="ACY21" s="128">
        <v>0</v>
      </c>
      <c r="ACZ21" s="128">
        <v>0</v>
      </c>
      <c r="ADA21">
        <v>0</v>
      </c>
      <c r="ADB21" s="119">
        <v>0</v>
      </c>
      <c r="ADC21" s="119">
        <v>0</v>
      </c>
      <c r="ADD21" s="119">
        <v>0</v>
      </c>
      <c r="ADE21" s="119">
        <v>0</v>
      </c>
      <c r="ADF21" s="121">
        <v>0</v>
      </c>
      <c r="ADG21" s="119">
        <v>0</v>
      </c>
      <c r="ADH21" s="119">
        <v>0</v>
      </c>
      <c r="ADI21">
        <v>0</v>
      </c>
      <c r="ADJ21">
        <v>0</v>
      </c>
      <c r="ADK21">
        <v>0</v>
      </c>
      <c r="ADL21" s="119">
        <v>0</v>
      </c>
      <c r="ADM21">
        <v>0</v>
      </c>
      <c r="ADN21">
        <v>0</v>
      </c>
      <c r="ADO21">
        <v>0</v>
      </c>
      <c r="ADP21">
        <v>0</v>
      </c>
      <c r="ADQ21">
        <v>0</v>
      </c>
      <c r="ADR21">
        <v>0</v>
      </c>
      <c r="ADS21">
        <v>0</v>
      </c>
      <c r="ADT21">
        <v>0</v>
      </c>
      <c r="ADU21">
        <v>0</v>
      </c>
      <c r="ADV21">
        <v>0</v>
      </c>
      <c r="ADW21">
        <v>0</v>
      </c>
      <c r="ADX21">
        <v>0</v>
      </c>
      <c r="ADY21">
        <v>0</v>
      </c>
      <c r="ADZ21">
        <v>0</v>
      </c>
      <c r="AEA21">
        <v>0</v>
      </c>
      <c r="AEB21">
        <v>0</v>
      </c>
      <c r="AEC21">
        <v>0</v>
      </c>
      <c r="AED21">
        <v>0</v>
      </c>
      <c r="AEE21">
        <v>0</v>
      </c>
      <c r="AEF21">
        <v>0</v>
      </c>
      <c r="AEG21">
        <v>0</v>
      </c>
      <c r="AEH21">
        <v>0</v>
      </c>
      <c r="AEI21">
        <v>0</v>
      </c>
      <c r="AEJ21" s="116">
        <v>0</v>
      </c>
      <c r="AEK21" s="116">
        <v>0</v>
      </c>
      <c r="AEL21" s="116">
        <v>0</v>
      </c>
      <c r="AEM21" s="116">
        <v>0</v>
      </c>
      <c r="AEN21" s="116">
        <v>0</v>
      </c>
      <c r="AEO21" s="116">
        <v>0</v>
      </c>
      <c r="AEP21" s="116">
        <v>0</v>
      </c>
      <c r="AEQ21" s="116">
        <v>0</v>
      </c>
      <c r="AER21" s="116">
        <v>0</v>
      </c>
      <c r="AES21" s="128">
        <v>0</v>
      </c>
      <c r="AET21" s="128">
        <v>0</v>
      </c>
      <c r="AEU21" s="128">
        <v>0</v>
      </c>
      <c r="AEV21" s="128">
        <v>0</v>
      </c>
      <c r="AEW21">
        <v>0</v>
      </c>
      <c r="AEX21" s="119">
        <v>0</v>
      </c>
      <c r="AEY21" s="119">
        <v>0</v>
      </c>
      <c r="AEZ21" s="119">
        <v>0</v>
      </c>
      <c r="AFA21" s="119">
        <v>0</v>
      </c>
      <c r="AFB21" s="121">
        <v>0</v>
      </c>
      <c r="AFC21" s="119">
        <v>0</v>
      </c>
      <c r="AFD21" s="119">
        <v>0</v>
      </c>
      <c r="AFE21">
        <v>0</v>
      </c>
      <c r="AFF21">
        <v>0</v>
      </c>
      <c r="AFG21">
        <v>0</v>
      </c>
      <c r="AFH21" s="119">
        <v>0</v>
      </c>
      <c r="AFI21">
        <v>0</v>
      </c>
      <c r="AFJ21">
        <v>0</v>
      </c>
      <c r="AFK21">
        <v>0</v>
      </c>
      <c r="AFL21">
        <v>0</v>
      </c>
      <c r="AFM21">
        <v>0</v>
      </c>
      <c r="AFN21">
        <v>0</v>
      </c>
      <c r="AFO21">
        <v>0</v>
      </c>
      <c r="AFP21">
        <v>0</v>
      </c>
      <c r="AFQ21">
        <v>0</v>
      </c>
      <c r="AFR21">
        <v>0</v>
      </c>
      <c r="AFS21">
        <v>0</v>
      </c>
      <c r="AFT21">
        <v>0</v>
      </c>
      <c r="AFU21">
        <v>0</v>
      </c>
      <c r="AFV21">
        <v>0</v>
      </c>
      <c r="AFW21">
        <v>0</v>
      </c>
      <c r="AFX21">
        <v>0</v>
      </c>
      <c r="AFY21">
        <v>0</v>
      </c>
      <c r="AFZ21">
        <v>0</v>
      </c>
      <c r="AGA21">
        <v>0</v>
      </c>
      <c r="AGB21">
        <v>0</v>
      </c>
      <c r="AGC21">
        <v>0</v>
      </c>
      <c r="AGD21">
        <v>0</v>
      </c>
      <c r="AGE21">
        <v>0</v>
      </c>
      <c r="AGF21" s="116">
        <v>0</v>
      </c>
      <c r="AGG21" s="116">
        <v>0</v>
      </c>
      <c r="AGH21" s="116">
        <v>0</v>
      </c>
      <c r="AGI21" s="116">
        <v>0</v>
      </c>
      <c r="AGJ21" s="116">
        <v>0</v>
      </c>
      <c r="AGK21" s="116">
        <v>0</v>
      </c>
      <c r="AGL21" s="116">
        <v>0</v>
      </c>
      <c r="AGM21" s="116">
        <v>0</v>
      </c>
      <c r="AGN21" s="116">
        <v>0</v>
      </c>
      <c r="AGO21" s="128">
        <v>0</v>
      </c>
      <c r="AGP21" s="128">
        <v>0</v>
      </c>
      <c r="AGQ21" s="128">
        <v>0</v>
      </c>
      <c r="AGR21" s="128">
        <v>0</v>
      </c>
      <c r="AGS21">
        <v>0</v>
      </c>
      <c r="AGT21" s="119">
        <v>0</v>
      </c>
      <c r="AGU21" s="119">
        <v>0</v>
      </c>
      <c r="AGV21" s="119">
        <v>0</v>
      </c>
      <c r="AGW21" s="119">
        <v>0</v>
      </c>
      <c r="AGX21" s="121">
        <v>0</v>
      </c>
      <c r="AGY21" s="119">
        <v>0</v>
      </c>
      <c r="AGZ21" s="119">
        <v>0</v>
      </c>
      <c r="AHA21">
        <v>0</v>
      </c>
      <c r="AHB21">
        <v>0</v>
      </c>
      <c r="AHC21">
        <v>0</v>
      </c>
      <c r="AHD21" s="119">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A21">
        <v>0</v>
      </c>
      <c r="AIB21">
        <v>0</v>
      </c>
      <c r="AIC21">
        <v>0</v>
      </c>
      <c r="AID21">
        <v>0</v>
      </c>
      <c r="AIE21">
        <v>0</v>
      </c>
      <c r="AIF21">
        <v>0</v>
      </c>
      <c r="AIG21">
        <v>0</v>
      </c>
      <c r="AIH21">
        <v>0</v>
      </c>
      <c r="AII21">
        <v>0</v>
      </c>
      <c r="AIJ21">
        <v>0</v>
      </c>
      <c r="AIK21" s="128">
        <v>0</v>
      </c>
      <c r="AIL21" s="128">
        <v>0</v>
      </c>
      <c r="AIM21" s="128">
        <v>0</v>
      </c>
      <c r="AIN21" s="128">
        <v>0</v>
      </c>
      <c r="AIO21">
        <v>0</v>
      </c>
      <c r="AIP21" s="119">
        <v>0</v>
      </c>
      <c r="AIQ21" s="119">
        <v>0</v>
      </c>
      <c r="AIR21" s="119">
        <v>0</v>
      </c>
      <c r="AIS21" s="119">
        <v>0</v>
      </c>
      <c r="AIT21" s="121">
        <v>0</v>
      </c>
      <c r="AIU21" s="119">
        <v>0</v>
      </c>
      <c r="AIV21" s="119">
        <v>0</v>
      </c>
      <c r="AIW21">
        <v>0</v>
      </c>
      <c r="AIX21">
        <v>0</v>
      </c>
      <c r="AIY21">
        <v>0</v>
      </c>
      <c r="AIZ21" s="119">
        <v>0</v>
      </c>
      <c r="AJA21">
        <v>0</v>
      </c>
      <c r="AJB21">
        <v>0</v>
      </c>
      <c r="AJC21">
        <v>0</v>
      </c>
      <c r="AJD21">
        <v>0</v>
      </c>
      <c r="AJE21">
        <v>0</v>
      </c>
      <c r="AJF21">
        <v>0</v>
      </c>
      <c r="AJG21">
        <v>0</v>
      </c>
      <c r="AJH21">
        <v>0</v>
      </c>
      <c r="AJI21">
        <v>0</v>
      </c>
      <c r="AJJ21">
        <v>0</v>
      </c>
      <c r="AJK21">
        <v>0</v>
      </c>
      <c r="AJL21">
        <v>0</v>
      </c>
      <c r="AJM21">
        <v>0</v>
      </c>
      <c r="AJN21">
        <v>0</v>
      </c>
      <c r="AJO21">
        <v>0</v>
      </c>
      <c r="AJP21">
        <v>0</v>
      </c>
      <c r="AJQ21">
        <v>0</v>
      </c>
      <c r="AJR21">
        <v>0</v>
      </c>
      <c r="AJS21">
        <v>0</v>
      </c>
      <c r="AJT21">
        <v>0</v>
      </c>
      <c r="AJU21">
        <v>0</v>
      </c>
      <c r="AJV21">
        <v>0</v>
      </c>
      <c r="AJW21">
        <v>0</v>
      </c>
      <c r="AJX21" s="116">
        <v>0</v>
      </c>
      <c r="AJY21" s="116">
        <v>0</v>
      </c>
      <c r="AJZ21" s="116">
        <v>0</v>
      </c>
      <c r="AKA21" s="116">
        <v>0</v>
      </c>
      <c r="AKB21" s="116">
        <v>0</v>
      </c>
      <c r="AKC21" s="116">
        <v>0</v>
      </c>
      <c r="AKD21" s="116">
        <v>0</v>
      </c>
      <c r="AKE21" s="116">
        <v>0</v>
      </c>
      <c r="AKF21" s="116">
        <v>0</v>
      </c>
      <c r="AKG21" s="128">
        <v>0</v>
      </c>
      <c r="AKH21" s="128">
        <v>0</v>
      </c>
      <c r="AKI21" s="128">
        <v>0</v>
      </c>
      <c r="AKJ21" s="128">
        <v>0</v>
      </c>
      <c r="AKK21">
        <v>0</v>
      </c>
      <c r="AKL21" s="119">
        <v>0</v>
      </c>
      <c r="AKM21" s="119">
        <v>0</v>
      </c>
      <c r="AKN21" s="119">
        <v>0</v>
      </c>
      <c r="AKO21" s="119">
        <v>0</v>
      </c>
      <c r="AKP21" s="121">
        <v>0</v>
      </c>
      <c r="AKQ21" s="119">
        <v>0</v>
      </c>
      <c r="AKR21" s="119">
        <v>0</v>
      </c>
      <c r="AKS21">
        <v>0</v>
      </c>
      <c r="AKT21">
        <v>0</v>
      </c>
      <c r="AKU21">
        <v>0</v>
      </c>
      <c r="AKV21" s="119">
        <v>0</v>
      </c>
      <c r="AKW21">
        <v>0</v>
      </c>
      <c r="AKX21">
        <v>0</v>
      </c>
      <c r="AKY21">
        <v>0</v>
      </c>
      <c r="AKZ21">
        <v>0</v>
      </c>
      <c r="ALA21">
        <v>0</v>
      </c>
      <c r="ALB21">
        <v>0</v>
      </c>
      <c r="ALC21">
        <v>0</v>
      </c>
      <c r="ALD21">
        <v>0</v>
      </c>
      <c r="ALE21">
        <v>0</v>
      </c>
      <c r="ALF21">
        <v>0</v>
      </c>
      <c r="ALG21">
        <v>0</v>
      </c>
      <c r="ALH21">
        <v>0</v>
      </c>
      <c r="ALI21">
        <v>0</v>
      </c>
      <c r="ALJ21">
        <v>0</v>
      </c>
      <c r="ALK21">
        <v>0</v>
      </c>
      <c r="ALL21">
        <v>0</v>
      </c>
      <c r="ALM21">
        <v>0</v>
      </c>
      <c r="ALN21">
        <v>0</v>
      </c>
      <c r="ALO21">
        <v>0</v>
      </c>
      <c r="ALP21">
        <v>0</v>
      </c>
      <c r="ALQ21">
        <v>0</v>
      </c>
      <c r="ALR21">
        <v>0</v>
      </c>
      <c r="ALS21">
        <v>0</v>
      </c>
      <c r="ALT21" s="116">
        <v>0</v>
      </c>
      <c r="ALU21" s="116">
        <v>0</v>
      </c>
      <c r="ALV21" s="116">
        <v>0</v>
      </c>
      <c r="ALW21" s="116">
        <v>0</v>
      </c>
      <c r="ALX21" s="116">
        <v>0</v>
      </c>
      <c r="ALY21" s="116">
        <v>0</v>
      </c>
      <c r="ALZ21" s="116">
        <v>0</v>
      </c>
      <c r="AMA21" s="116">
        <v>0</v>
      </c>
      <c r="AMB21" s="116">
        <v>0</v>
      </c>
      <c r="AMC21" s="128">
        <v>0</v>
      </c>
      <c r="AMD21" s="128">
        <v>0</v>
      </c>
      <c r="AME21" s="128">
        <v>0</v>
      </c>
      <c r="AMF21" s="128">
        <v>0</v>
      </c>
      <c r="AMG21">
        <v>0</v>
      </c>
      <c r="AMH21" s="119">
        <v>0</v>
      </c>
      <c r="AMI21" s="119">
        <v>0</v>
      </c>
      <c r="AMJ21" s="119">
        <v>0</v>
      </c>
      <c r="AMK21" s="119">
        <v>0</v>
      </c>
      <c r="AML21" s="121">
        <v>0</v>
      </c>
      <c r="AMM21" s="119">
        <v>0</v>
      </c>
      <c r="AMN21" s="119">
        <v>0</v>
      </c>
      <c r="AMO21">
        <v>0</v>
      </c>
      <c r="AMP21">
        <v>0</v>
      </c>
      <c r="AMQ21">
        <v>0</v>
      </c>
      <c r="AMR21" s="119">
        <v>0</v>
      </c>
      <c r="AMS21">
        <v>0</v>
      </c>
      <c r="AMT21">
        <v>0</v>
      </c>
      <c r="AMU21">
        <v>0</v>
      </c>
      <c r="AMV21">
        <v>0</v>
      </c>
      <c r="AMW21">
        <v>0</v>
      </c>
      <c r="AMX21">
        <v>0</v>
      </c>
      <c r="AMY21">
        <v>0</v>
      </c>
      <c r="AMZ21">
        <v>0</v>
      </c>
      <c r="ANA21">
        <v>0</v>
      </c>
      <c r="ANB21">
        <v>0</v>
      </c>
      <c r="ANC21">
        <v>0</v>
      </c>
      <c r="AND21">
        <v>0</v>
      </c>
      <c r="ANE21">
        <v>0</v>
      </c>
      <c r="ANF21">
        <v>0</v>
      </c>
      <c r="ANG21">
        <v>0</v>
      </c>
      <c r="ANH21">
        <v>0</v>
      </c>
      <c r="ANI21">
        <v>0</v>
      </c>
      <c r="ANJ21">
        <v>0</v>
      </c>
      <c r="ANK21">
        <v>0</v>
      </c>
      <c r="ANL21">
        <v>0</v>
      </c>
      <c r="ANM21">
        <v>0</v>
      </c>
      <c r="ANN21">
        <v>0</v>
      </c>
      <c r="ANO21">
        <v>0</v>
      </c>
      <c r="ANP21" s="116">
        <v>0</v>
      </c>
      <c r="ANQ21" s="116">
        <v>0</v>
      </c>
      <c r="ANR21" s="116">
        <v>0</v>
      </c>
      <c r="ANS21" s="116">
        <v>0</v>
      </c>
      <c r="ANT21" s="116">
        <v>0</v>
      </c>
      <c r="ANU21" s="116">
        <v>0</v>
      </c>
      <c r="ANV21" s="116">
        <v>0</v>
      </c>
      <c r="ANW21" s="116">
        <v>0</v>
      </c>
      <c r="ANX21" s="116">
        <v>0</v>
      </c>
      <c r="ANY21" s="128">
        <v>0</v>
      </c>
      <c r="ANZ21" s="128">
        <v>0</v>
      </c>
      <c r="AOA21" s="128">
        <v>0</v>
      </c>
      <c r="AOB21" s="128">
        <v>0</v>
      </c>
      <c r="AOC21">
        <v>0</v>
      </c>
      <c r="AOD21" s="119">
        <v>0</v>
      </c>
      <c r="AOE21" s="119">
        <v>0</v>
      </c>
      <c r="AOF21" s="119">
        <v>0</v>
      </c>
      <c r="AOG21" s="119">
        <v>0</v>
      </c>
      <c r="AOH21" s="121">
        <v>0</v>
      </c>
      <c r="AOI21" s="119">
        <v>0</v>
      </c>
      <c r="AOJ21" s="119">
        <v>0</v>
      </c>
      <c r="AOK21">
        <v>0</v>
      </c>
      <c r="AOL21">
        <v>0</v>
      </c>
      <c r="AOM21">
        <v>0</v>
      </c>
      <c r="AON21" s="119">
        <v>0</v>
      </c>
      <c r="AOO21">
        <v>0</v>
      </c>
      <c r="AOP21">
        <v>0</v>
      </c>
      <c r="AOQ21">
        <v>0</v>
      </c>
      <c r="AOR21">
        <v>0</v>
      </c>
      <c r="AOS21">
        <v>0</v>
      </c>
      <c r="AOT21">
        <v>0</v>
      </c>
      <c r="AOU21">
        <v>0</v>
      </c>
      <c r="AOV21">
        <v>0</v>
      </c>
      <c r="AOW21">
        <v>0</v>
      </c>
      <c r="AOX21">
        <v>0</v>
      </c>
      <c r="AOY21">
        <v>0</v>
      </c>
      <c r="AOZ21">
        <v>0</v>
      </c>
      <c r="APA21">
        <v>0</v>
      </c>
      <c r="APB21">
        <v>0</v>
      </c>
      <c r="APC21">
        <v>0</v>
      </c>
      <c r="APD21">
        <v>0</v>
      </c>
      <c r="APE21">
        <v>0</v>
      </c>
      <c r="APF21">
        <v>0</v>
      </c>
      <c r="APG21">
        <v>0</v>
      </c>
      <c r="APH21">
        <v>0</v>
      </c>
      <c r="API21">
        <v>0</v>
      </c>
      <c r="APJ21">
        <v>0</v>
      </c>
      <c r="APK21">
        <v>0</v>
      </c>
      <c r="APL21" s="116">
        <v>0</v>
      </c>
      <c r="APM21" s="116">
        <v>0</v>
      </c>
      <c r="APN21" s="116">
        <v>0</v>
      </c>
      <c r="APO21" s="116">
        <v>0</v>
      </c>
      <c r="APP21" s="116">
        <v>0</v>
      </c>
      <c r="APQ21" s="116">
        <v>0</v>
      </c>
      <c r="APR21" s="116">
        <v>0</v>
      </c>
      <c r="APS21" s="116">
        <v>0</v>
      </c>
      <c r="APT21" s="116">
        <v>0</v>
      </c>
      <c r="APU21" s="128">
        <v>0</v>
      </c>
      <c r="APV21" s="128">
        <v>0</v>
      </c>
      <c r="APW21" s="128">
        <v>0</v>
      </c>
      <c r="APX21" s="128">
        <v>0</v>
      </c>
      <c r="APY21">
        <v>0</v>
      </c>
      <c r="APZ21" s="119">
        <v>0</v>
      </c>
      <c r="AQA21" s="119">
        <v>0</v>
      </c>
      <c r="AQB21" s="119">
        <v>0</v>
      </c>
      <c r="AQC21" s="119">
        <v>0</v>
      </c>
      <c r="AQD21" s="121">
        <v>0</v>
      </c>
      <c r="AQE21" s="119">
        <v>0</v>
      </c>
      <c r="AQF21" s="119">
        <v>0</v>
      </c>
      <c r="AQG21">
        <v>0</v>
      </c>
      <c r="AQH21">
        <v>0</v>
      </c>
      <c r="AQI21">
        <v>0</v>
      </c>
      <c r="AQJ21" s="119">
        <v>0</v>
      </c>
      <c r="AQK21">
        <v>0</v>
      </c>
      <c r="AQL21">
        <v>0</v>
      </c>
      <c r="AQM21">
        <v>0</v>
      </c>
      <c r="AQN21">
        <v>0</v>
      </c>
      <c r="AQO21">
        <v>0</v>
      </c>
      <c r="AQP21">
        <v>0</v>
      </c>
      <c r="AQQ21">
        <v>0</v>
      </c>
      <c r="AQR21">
        <v>0</v>
      </c>
      <c r="AQS21">
        <v>0</v>
      </c>
      <c r="AQT21">
        <v>0</v>
      </c>
      <c r="AQU21">
        <v>0</v>
      </c>
      <c r="AQV21">
        <v>0</v>
      </c>
      <c r="AQW21">
        <v>0</v>
      </c>
      <c r="AQX21">
        <v>0</v>
      </c>
      <c r="AQY21">
        <v>0</v>
      </c>
      <c r="AQZ21">
        <v>0</v>
      </c>
      <c r="ARA21">
        <v>0</v>
      </c>
      <c r="ARB21">
        <v>0</v>
      </c>
      <c r="ARC21">
        <v>0</v>
      </c>
      <c r="ARD21">
        <v>0</v>
      </c>
      <c r="ARE21">
        <v>0</v>
      </c>
      <c r="ARF21">
        <v>0</v>
      </c>
      <c r="ARG21">
        <v>0</v>
      </c>
      <c r="ARH21">
        <v>0</v>
      </c>
      <c r="ARI21">
        <v>0</v>
      </c>
      <c r="ARJ21">
        <v>0</v>
      </c>
      <c r="ARK21">
        <v>0</v>
      </c>
      <c r="ARL21">
        <v>0</v>
      </c>
      <c r="ARM21">
        <v>0</v>
      </c>
      <c r="ARN21">
        <v>0</v>
      </c>
      <c r="ARO21">
        <v>0</v>
      </c>
      <c r="ARP21">
        <v>0</v>
      </c>
      <c r="ARQ21" s="128">
        <v>0</v>
      </c>
      <c r="ARR21" s="128">
        <v>0</v>
      </c>
      <c r="ARS21" s="128">
        <v>0</v>
      </c>
      <c r="ART21" s="128">
        <v>0</v>
      </c>
      <c r="ARU21">
        <v>0</v>
      </c>
      <c r="ARV21" s="119">
        <v>0</v>
      </c>
      <c r="ARW21" s="119">
        <v>0</v>
      </c>
      <c r="ARX21" s="119">
        <v>0</v>
      </c>
      <c r="ARY21" s="119">
        <v>0</v>
      </c>
      <c r="ARZ21" s="121">
        <v>0</v>
      </c>
      <c r="ASA21" s="119">
        <v>0</v>
      </c>
      <c r="ASB21" s="119">
        <v>0</v>
      </c>
      <c r="ASC21">
        <v>0</v>
      </c>
      <c r="ASD21">
        <v>0</v>
      </c>
      <c r="ASE21">
        <v>0</v>
      </c>
      <c r="ASF21" s="119">
        <v>0</v>
      </c>
      <c r="ASG21">
        <v>0</v>
      </c>
      <c r="ASH21">
        <v>0</v>
      </c>
      <c r="ASI21">
        <v>0</v>
      </c>
      <c r="ASJ21">
        <v>0</v>
      </c>
      <c r="ASK21">
        <v>0</v>
      </c>
      <c r="ASL21">
        <v>0</v>
      </c>
      <c r="ASM21">
        <v>0</v>
      </c>
      <c r="ASN21">
        <v>0</v>
      </c>
      <c r="ASO21">
        <v>0</v>
      </c>
      <c r="ASP21">
        <v>0</v>
      </c>
      <c r="ASQ21">
        <v>0</v>
      </c>
      <c r="ASR21">
        <v>0</v>
      </c>
      <c r="ASS21">
        <v>0</v>
      </c>
      <c r="AST21">
        <v>0</v>
      </c>
      <c r="ASU21">
        <v>0</v>
      </c>
      <c r="ASV21">
        <v>0</v>
      </c>
      <c r="ASW21">
        <v>0</v>
      </c>
      <c r="ASX21">
        <v>0</v>
      </c>
      <c r="ASY21">
        <v>0</v>
      </c>
      <c r="ASZ21">
        <v>0</v>
      </c>
      <c r="ATA21">
        <v>0</v>
      </c>
      <c r="ATB21">
        <v>0</v>
      </c>
      <c r="ATC21">
        <v>0</v>
      </c>
      <c r="ATD21" s="116">
        <v>0</v>
      </c>
      <c r="ATE21" s="116">
        <v>0</v>
      </c>
      <c r="ATF21" s="116">
        <v>0</v>
      </c>
      <c r="ATG21" s="116">
        <v>0</v>
      </c>
      <c r="ATH21" s="116">
        <v>0</v>
      </c>
      <c r="ATI21" s="116">
        <v>0</v>
      </c>
      <c r="ATJ21" s="116">
        <v>0</v>
      </c>
      <c r="ATK21" s="116">
        <v>0</v>
      </c>
      <c r="ATL21" s="116">
        <v>0</v>
      </c>
      <c r="ATM21" s="128">
        <v>0</v>
      </c>
      <c r="ATN21" s="128">
        <v>0</v>
      </c>
      <c r="ATO21" s="128">
        <v>0</v>
      </c>
      <c r="ATP21" s="128">
        <v>0</v>
      </c>
      <c r="ATQ21">
        <v>0</v>
      </c>
      <c r="ATR21" s="119">
        <v>0</v>
      </c>
      <c r="ATS21" s="119">
        <v>0</v>
      </c>
      <c r="ATT21" s="119">
        <v>0</v>
      </c>
      <c r="ATU21" s="119">
        <v>0</v>
      </c>
      <c r="ATV21" s="121">
        <v>0</v>
      </c>
      <c r="ATW21" s="119">
        <v>0</v>
      </c>
      <c r="ATX21" s="119">
        <v>0</v>
      </c>
      <c r="ATY21">
        <v>0</v>
      </c>
      <c r="ATZ21">
        <v>0</v>
      </c>
      <c r="AUA21">
        <v>0</v>
      </c>
      <c r="AUB21" s="119">
        <v>0</v>
      </c>
      <c r="AUC21">
        <v>0</v>
      </c>
      <c r="AUD21">
        <v>0</v>
      </c>
      <c r="AUE21">
        <v>0</v>
      </c>
      <c r="AUF21">
        <v>0</v>
      </c>
      <c r="AUG21">
        <v>0</v>
      </c>
      <c r="AUH21">
        <v>0</v>
      </c>
      <c r="AUI21">
        <v>0</v>
      </c>
      <c r="AUJ21">
        <v>0</v>
      </c>
      <c r="AUK21">
        <v>0</v>
      </c>
      <c r="AUL21">
        <v>0</v>
      </c>
      <c r="AUM21">
        <v>0</v>
      </c>
      <c r="AUN21">
        <v>0</v>
      </c>
      <c r="AUO21">
        <v>0</v>
      </c>
      <c r="AUP21">
        <v>0</v>
      </c>
      <c r="AUQ21">
        <v>0</v>
      </c>
      <c r="AUR21">
        <v>0</v>
      </c>
      <c r="AUS21">
        <v>0</v>
      </c>
      <c r="AUT21">
        <v>0</v>
      </c>
      <c r="AUU21">
        <v>0</v>
      </c>
      <c r="AUV21">
        <v>0</v>
      </c>
      <c r="AUW21">
        <v>0</v>
      </c>
      <c r="AUX21">
        <v>0</v>
      </c>
      <c r="AUY21">
        <v>0</v>
      </c>
      <c r="AUZ21" s="116">
        <v>0</v>
      </c>
      <c r="AVA21" s="116">
        <v>0</v>
      </c>
      <c r="AVB21" s="116">
        <v>0</v>
      </c>
      <c r="AVC21" s="116">
        <v>0</v>
      </c>
      <c r="AVD21" s="116">
        <v>0</v>
      </c>
      <c r="AVE21" s="116">
        <v>0</v>
      </c>
      <c r="AVF21" s="116">
        <v>0</v>
      </c>
      <c r="AVG21" s="116">
        <v>0</v>
      </c>
      <c r="AVH21" s="116">
        <v>0</v>
      </c>
      <c r="AVI21" s="128">
        <v>0</v>
      </c>
      <c r="AVJ21" s="128">
        <v>0</v>
      </c>
      <c r="AVK21" s="128">
        <v>0</v>
      </c>
      <c r="AVL21" s="128">
        <v>0</v>
      </c>
      <c r="AVM21">
        <v>0</v>
      </c>
      <c r="AVN21" s="119">
        <v>0</v>
      </c>
      <c r="AVO21" s="119">
        <v>0</v>
      </c>
      <c r="AVP21" s="119">
        <v>0</v>
      </c>
      <c r="AVQ21" s="119">
        <v>0</v>
      </c>
      <c r="AVR21" s="121">
        <v>0</v>
      </c>
      <c r="AVS21" s="119">
        <v>0</v>
      </c>
      <c r="AVT21" s="119">
        <v>0</v>
      </c>
      <c r="AVU21">
        <v>0</v>
      </c>
      <c r="AVV21">
        <v>0</v>
      </c>
      <c r="AVW21">
        <v>0</v>
      </c>
      <c r="AVX21" s="119">
        <v>0</v>
      </c>
      <c r="AVY21">
        <v>0</v>
      </c>
      <c r="AVZ21">
        <v>0</v>
      </c>
      <c r="AWA21">
        <v>0</v>
      </c>
      <c r="AWB21">
        <v>0</v>
      </c>
      <c r="AWC21">
        <v>0</v>
      </c>
      <c r="AWD21">
        <v>0</v>
      </c>
      <c r="AWE21">
        <v>0</v>
      </c>
      <c r="AWF21">
        <v>0</v>
      </c>
      <c r="AWG21">
        <v>0</v>
      </c>
      <c r="AWH21">
        <v>0</v>
      </c>
      <c r="AWI21">
        <v>0</v>
      </c>
      <c r="AWJ21">
        <v>0</v>
      </c>
      <c r="AWK21">
        <v>0</v>
      </c>
      <c r="AWL21">
        <v>0</v>
      </c>
      <c r="AWM21">
        <v>0</v>
      </c>
      <c r="AWN21">
        <v>0</v>
      </c>
      <c r="AWO21">
        <v>0</v>
      </c>
      <c r="AWP21">
        <v>0</v>
      </c>
      <c r="AWQ21">
        <v>0</v>
      </c>
      <c r="AWR21">
        <v>0</v>
      </c>
      <c r="AWS21">
        <v>0</v>
      </c>
      <c r="AWT21">
        <v>0</v>
      </c>
      <c r="AWU21">
        <v>0</v>
      </c>
      <c r="AWV21" s="116">
        <v>0</v>
      </c>
      <c r="AWW21" s="116">
        <v>0</v>
      </c>
      <c r="AWX21" s="116">
        <v>0</v>
      </c>
      <c r="AWY21" s="116">
        <v>0</v>
      </c>
      <c r="AWZ21" s="116">
        <v>0</v>
      </c>
      <c r="AXA21" s="116">
        <v>0</v>
      </c>
      <c r="AXB21" s="116">
        <v>0</v>
      </c>
      <c r="AXC21" s="116">
        <v>0</v>
      </c>
      <c r="AXD21" s="116">
        <v>0</v>
      </c>
      <c r="AXE21" s="128">
        <v>0</v>
      </c>
      <c r="AXF21" s="128">
        <v>0</v>
      </c>
      <c r="AXG21" s="128">
        <v>0</v>
      </c>
      <c r="AXH21" s="128">
        <v>0</v>
      </c>
      <c r="AXI21">
        <v>0</v>
      </c>
      <c r="AXJ21" s="119">
        <v>0</v>
      </c>
      <c r="AXK21" s="119">
        <v>0</v>
      </c>
      <c r="AXL21" s="119">
        <v>0</v>
      </c>
      <c r="AXM21" s="119">
        <v>0</v>
      </c>
      <c r="AXN21" s="121">
        <v>0</v>
      </c>
      <c r="AXO21" s="119">
        <v>0</v>
      </c>
      <c r="AXP21" s="119">
        <v>0</v>
      </c>
      <c r="AXQ21">
        <v>0</v>
      </c>
      <c r="AXR21">
        <v>0</v>
      </c>
      <c r="AXS21">
        <v>0</v>
      </c>
      <c r="AXT21" s="119">
        <v>0</v>
      </c>
      <c r="AXU21">
        <v>0</v>
      </c>
      <c r="AXV21">
        <v>0</v>
      </c>
      <c r="AXW21">
        <v>0</v>
      </c>
      <c r="AXX21">
        <v>0</v>
      </c>
      <c r="AXY21">
        <v>0</v>
      </c>
      <c r="AXZ21">
        <v>0</v>
      </c>
      <c r="AYA21">
        <v>0</v>
      </c>
      <c r="AYB21">
        <v>0</v>
      </c>
      <c r="AYC21">
        <v>0</v>
      </c>
      <c r="AYD21">
        <v>0</v>
      </c>
      <c r="AYE21">
        <v>0</v>
      </c>
      <c r="AYF21">
        <v>0</v>
      </c>
      <c r="AYG21">
        <v>0</v>
      </c>
      <c r="AYH21">
        <v>0</v>
      </c>
      <c r="AYI21">
        <v>0</v>
      </c>
      <c r="AYJ21">
        <v>0</v>
      </c>
      <c r="AYK21">
        <v>0</v>
      </c>
      <c r="AYL21">
        <v>0</v>
      </c>
      <c r="AYM21">
        <v>0</v>
      </c>
      <c r="AYN21">
        <v>0</v>
      </c>
      <c r="AYO21">
        <v>0</v>
      </c>
      <c r="AYP21">
        <v>0</v>
      </c>
      <c r="AYQ21">
        <v>0</v>
      </c>
      <c r="AYR21" s="116">
        <v>0</v>
      </c>
      <c r="AYS21" s="116">
        <v>0</v>
      </c>
      <c r="AYT21" s="116">
        <v>0</v>
      </c>
      <c r="AYU21" s="116">
        <v>0</v>
      </c>
      <c r="AYV21" s="116">
        <v>0</v>
      </c>
      <c r="AYW21" s="116">
        <v>0</v>
      </c>
      <c r="AYX21" s="116">
        <v>0</v>
      </c>
      <c r="AYY21" s="116">
        <v>0</v>
      </c>
      <c r="AYZ21" s="116">
        <v>0</v>
      </c>
      <c r="AZA21" s="128">
        <v>0</v>
      </c>
      <c r="AZB21" s="128">
        <v>0</v>
      </c>
      <c r="AZC21" s="128">
        <v>0</v>
      </c>
      <c r="AZD21" s="128">
        <v>0</v>
      </c>
      <c r="AZE21">
        <v>0</v>
      </c>
      <c r="AZF21" s="119">
        <v>0</v>
      </c>
      <c r="AZG21" s="119">
        <v>0</v>
      </c>
      <c r="AZH21" s="119">
        <v>0</v>
      </c>
      <c r="AZI21" s="119">
        <v>0</v>
      </c>
      <c r="AZJ21" s="121">
        <v>0</v>
      </c>
      <c r="AZK21" s="119">
        <v>0</v>
      </c>
      <c r="AZL21" s="119">
        <v>0</v>
      </c>
      <c r="AZM21">
        <v>0</v>
      </c>
      <c r="AZN21">
        <v>0</v>
      </c>
      <c r="AZO21">
        <v>0</v>
      </c>
      <c r="AZP21" s="119">
        <v>0</v>
      </c>
      <c r="AZQ21">
        <v>0</v>
      </c>
      <c r="AZR21">
        <v>0</v>
      </c>
      <c r="AZS21">
        <v>0</v>
      </c>
      <c r="AZT21">
        <v>0</v>
      </c>
      <c r="AZU21">
        <v>0</v>
      </c>
      <c r="AZV21">
        <v>0</v>
      </c>
      <c r="AZW21">
        <v>0</v>
      </c>
      <c r="AZX21">
        <v>0</v>
      </c>
      <c r="AZY21">
        <v>0</v>
      </c>
      <c r="AZZ21">
        <v>0</v>
      </c>
      <c r="BAA21">
        <v>0</v>
      </c>
      <c r="BAB21">
        <v>0</v>
      </c>
      <c r="BAC21">
        <v>0</v>
      </c>
      <c r="BAD21">
        <v>0</v>
      </c>
      <c r="BAE21">
        <v>0</v>
      </c>
      <c r="BAF21">
        <v>0</v>
      </c>
      <c r="BAG21">
        <v>0</v>
      </c>
      <c r="BAH21">
        <v>0</v>
      </c>
      <c r="BAI21">
        <v>0</v>
      </c>
      <c r="BAJ21">
        <v>0</v>
      </c>
      <c r="BAK21">
        <v>833650</v>
      </c>
      <c r="BAL21">
        <v>11450.94</v>
      </c>
      <c r="BAM21">
        <v>10498.94</v>
      </c>
      <c r="BAN21">
        <v>952</v>
      </c>
      <c r="BAO21" s="120">
        <v>0</v>
      </c>
      <c r="BAP21" s="120">
        <v>0</v>
      </c>
      <c r="BAQ21" s="120">
        <v>0</v>
      </c>
      <c r="BAR21" s="120" t="s">
        <v>3183</v>
      </c>
      <c r="BAS21" s="120">
        <v>0</v>
      </c>
      <c r="BAT21" s="120">
        <v>0</v>
      </c>
      <c r="BAU21" s="116">
        <v>0</v>
      </c>
      <c r="BAV21" s="116">
        <v>0</v>
      </c>
      <c r="BAW21" s="116">
        <v>0</v>
      </c>
      <c r="BAX21" s="116">
        <v>0</v>
      </c>
      <c r="BAY21" s="116">
        <v>0</v>
      </c>
      <c r="BAZ21" s="116">
        <v>0</v>
      </c>
      <c r="BBA21" s="116">
        <v>0</v>
      </c>
      <c r="BBB21" s="116">
        <v>0</v>
      </c>
      <c r="BBC21" s="116">
        <v>0</v>
      </c>
      <c r="BBD21" s="116">
        <v>0</v>
      </c>
      <c r="BBE21" s="116">
        <v>0</v>
      </c>
      <c r="BBF21" s="116">
        <v>0</v>
      </c>
      <c r="BBG21" s="116">
        <v>0</v>
      </c>
      <c r="BBH21" s="116">
        <v>0</v>
      </c>
      <c r="BBI21" s="116">
        <v>0</v>
      </c>
      <c r="BBJ21" s="116">
        <v>0</v>
      </c>
      <c r="BBK21" s="116">
        <v>0</v>
      </c>
      <c r="BBL21" s="116">
        <v>0</v>
      </c>
      <c r="BBM21" s="116">
        <v>0</v>
      </c>
      <c r="BBN21" s="116">
        <v>0</v>
      </c>
      <c r="BBO21" s="116">
        <v>0</v>
      </c>
      <c r="BBP21" s="116">
        <v>0</v>
      </c>
      <c r="BBQ21" s="116">
        <v>0</v>
      </c>
      <c r="BBR21" s="116">
        <v>0</v>
      </c>
      <c r="BBS21" s="116">
        <v>0</v>
      </c>
      <c r="BBT21" s="116">
        <v>0</v>
      </c>
      <c r="BBU21" s="116">
        <v>0</v>
      </c>
      <c r="BBV21" s="116">
        <v>0</v>
      </c>
      <c r="BBW21" s="116">
        <v>0</v>
      </c>
      <c r="BBX21" s="116">
        <v>0</v>
      </c>
      <c r="BBY21" s="116">
        <v>0</v>
      </c>
      <c r="BBZ21" s="116">
        <v>0</v>
      </c>
      <c r="BCA21" s="116">
        <v>0</v>
      </c>
      <c r="BCB21" s="116">
        <v>0</v>
      </c>
      <c r="BCC21" s="116">
        <v>0</v>
      </c>
      <c r="BCD21" s="116">
        <v>0</v>
      </c>
      <c r="BCE21" s="116">
        <v>0</v>
      </c>
      <c r="BCF21" s="116">
        <v>0</v>
      </c>
      <c r="BCG21" s="116">
        <v>0</v>
      </c>
      <c r="BCH21" s="116">
        <v>0</v>
      </c>
      <c r="BCI21" s="116">
        <v>0</v>
      </c>
      <c r="BCJ21" s="116">
        <v>0</v>
      </c>
      <c r="BCK21" s="116">
        <v>0</v>
      </c>
      <c r="BCL21" s="116">
        <v>0</v>
      </c>
      <c r="BCM21" s="116">
        <v>0</v>
      </c>
      <c r="BCN21" s="116">
        <v>0</v>
      </c>
      <c r="BCO21" s="116">
        <v>0</v>
      </c>
      <c r="BCP21" s="116">
        <v>0</v>
      </c>
      <c r="BCQ21" s="116">
        <v>0</v>
      </c>
      <c r="BCR21" s="116">
        <v>0</v>
      </c>
      <c r="BCS21" s="304">
        <v>0</v>
      </c>
      <c r="BCT21" s="304">
        <v>0</v>
      </c>
      <c r="BCU21" s="304">
        <v>0</v>
      </c>
      <c r="BCV21" s="304">
        <v>0</v>
      </c>
      <c r="BCW21" s="304">
        <v>0</v>
      </c>
      <c r="BCX21" s="304">
        <v>0</v>
      </c>
      <c r="BCY21" s="304">
        <v>0</v>
      </c>
      <c r="BCZ21" s="304">
        <v>0</v>
      </c>
      <c r="BDA21" s="304">
        <v>0</v>
      </c>
      <c r="BDB21" s="304">
        <v>0</v>
      </c>
      <c r="BDC21" s="304">
        <v>0</v>
      </c>
      <c r="BDD21" s="304">
        <v>0</v>
      </c>
      <c r="BDE21" s="304">
        <v>0</v>
      </c>
      <c r="BDF21" s="304">
        <v>0</v>
      </c>
      <c r="BDG21" s="304">
        <v>0</v>
      </c>
      <c r="BDH21" s="304">
        <v>0</v>
      </c>
      <c r="BDI21" s="304">
        <v>0</v>
      </c>
      <c r="BDJ21" s="304">
        <v>0</v>
      </c>
      <c r="BDK21" s="304">
        <v>0</v>
      </c>
      <c r="BDL21" s="304">
        <v>0</v>
      </c>
      <c r="BDM21" s="304">
        <v>0</v>
      </c>
      <c r="BDN21" s="304">
        <v>0</v>
      </c>
      <c r="BDO21" s="304">
        <v>0</v>
      </c>
      <c r="BDP21" s="304">
        <v>0</v>
      </c>
      <c r="BDQ21" s="304">
        <v>0</v>
      </c>
      <c r="BDR21" s="304">
        <v>0</v>
      </c>
      <c r="BDS21" s="304">
        <v>0</v>
      </c>
      <c r="BDT21">
        <v>0</v>
      </c>
      <c r="BDU21">
        <v>0</v>
      </c>
      <c r="BDV21">
        <v>0</v>
      </c>
      <c r="BDW21">
        <v>0</v>
      </c>
      <c r="BDX21">
        <v>0</v>
      </c>
      <c r="BDY21">
        <v>0</v>
      </c>
      <c r="BDZ21">
        <v>0</v>
      </c>
      <c r="BEA21">
        <v>0</v>
      </c>
      <c r="BEB21">
        <v>0</v>
      </c>
      <c r="BEC21">
        <v>0</v>
      </c>
      <c r="BED21">
        <v>0</v>
      </c>
      <c r="BEE21">
        <v>0</v>
      </c>
      <c r="BEF21">
        <v>0</v>
      </c>
      <c r="BEG21">
        <v>0</v>
      </c>
      <c r="BEH21">
        <v>0</v>
      </c>
      <c r="BEI21">
        <v>0</v>
      </c>
      <c r="BEJ21">
        <v>0</v>
      </c>
      <c r="BEK21">
        <v>0</v>
      </c>
      <c r="BEL21">
        <v>0</v>
      </c>
      <c r="BEM21">
        <v>0</v>
      </c>
      <c r="BEN21">
        <v>0</v>
      </c>
      <c r="BEO21">
        <v>0</v>
      </c>
      <c r="BEP21">
        <v>0</v>
      </c>
      <c r="BEQ21">
        <v>0</v>
      </c>
      <c r="BER21">
        <v>0</v>
      </c>
      <c r="BES21">
        <v>0</v>
      </c>
      <c r="BET21">
        <v>0</v>
      </c>
      <c r="BEU21">
        <v>0</v>
      </c>
      <c r="BEV21">
        <v>0</v>
      </c>
      <c r="BEW21">
        <v>0</v>
      </c>
      <c r="BEX21">
        <v>0</v>
      </c>
      <c r="BEY21">
        <v>0</v>
      </c>
      <c r="BEZ21">
        <v>0</v>
      </c>
      <c r="BFA21">
        <v>0</v>
      </c>
      <c r="BFB21">
        <v>0</v>
      </c>
      <c r="BFC21">
        <v>0</v>
      </c>
      <c r="BFD21" t="b">
        <v>0</v>
      </c>
      <c r="BFE21" t="b">
        <v>0</v>
      </c>
      <c r="BFF21" t="b">
        <v>0</v>
      </c>
      <c r="BFG21" t="b">
        <v>0</v>
      </c>
      <c r="BFH21">
        <v>0</v>
      </c>
      <c r="BFI21">
        <v>0</v>
      </c>
      <c r="BFJ21">
        <v>0</v>
      </c>
      <c r="BFK21">
        <v>0</v>
      </c>
      <c r="BFL21">
        <v>0</v>
      </c>
      <c r="BFM21">
        <v>0</v>
      </c>
      <c r="BFN21">
        <v>0</v>
      </c>
      <c r="BFO21">
        <v>0</v>
      </c>
      <c r="BFP21">
        <v>0</v>
      </c>
      <c r="BFQ21">
        <v>0</v>
      </c>
      <c r="BFR21">
        <v>0</v>
      </c>
      <c r="BFS21">
        <v>0</v>
      </c>
      <c r="BFT21">
        <v>0</v>
      </c>
      <c r="BFU21">
        <v>0</v>
      </c>
      <c r="BFV21">
        <v>0</v>
      </c>
      <c r="BFW21">
        <v>0</v>
      </c>
      <c r="BFX21">
        <v>0</v>
      </c>
      <c r="BFY21">
        <v>0</v>
      </c>
    </row>
    <row r="22" spans="1:1533" ht="18.75" customHeight="1" x14ac:dyDescent="0.25">
      <c r="A22" t="s">
        <v>3110</v>
      </c>
      <c r="B22" t="s">
        <v>3122</v>
      </c>
      <c r="C22" s="120">
        <v>130</v>
      </c>
      <c r="D22" s="120">
        <v>45</v>
      </c>
      <c r="E22">
        <v>0</v>
      </c>
      <c r="F22">
        <v>0</v>
      </c>
      <c r="G22">
        <v>0</v>
      </c>
      <c r="H22" t="s">
        <v>2403</v>
      </c>
      <c r="I22" t="s">
        <v>2403</v>
      </c>
      <c r="J22" t="s">
        <v>2403</v>
      </c>
      <c r="K22" t="s">
        <v>2403</v>
      </c>
      <c r="L22" t="s">
        <v>2403</v>
      </c>
      <c r="M22" t="s">
        <v>1883</v>
      </c>
      <c r="N22" t="s">
        <v>2403</v>
      </c>
      <c r="O22" t="s">
        <v>1883</v>
      </c>
      <c r="P22" t="s">
        <v>1883</v>
      </c>
      <c r="Q22" t="s">
        <v>2403</v>
      </c>
      <c r="R22" t="s">
        <v>1883</v>
      </c>
      <c r="S22" t="s">
        <v>2403</v>
      </c>
      <c r="T22" t="s">
        <v>2404</v>
      </c>
      <c r="U22" t="s">
        <v>2424</v>
      </c>
      <c r="V22" t="s">
        <v>2889</v>
      </c>
      <c r="W22" t="s">
        <v>309</v>
      </c>
      <c r="X22">
        <v>900</v>
      </c>
      <c r="Y22">
        <v>43561</v>
      </c>
      <c r="Z22">
        <v>255.49</v>
      </c>
      <c r="AA22">
        <v>0</v>
      </c>
      <c r="AB22" s="120">
        <v>100</v>
      </c>
      <c r="AC22" s="58" t="s">
        <v>272</v>
      </c>
      <c r="AD22" s="120">
        <v>25</v>
      </c>
      <c r="AE22" s="120">
        <v>0</v>
      </c>
      <c r="AF22" s="120">
        <v>43588</v>
      </c>
      <c r="AG22">
        <v>45</v>
      </c>
      <c r="AH22" s="120">
        <v>0</v>
      </c>
      <c r="AI22" s="120">
        <v>0</v>
      </c>
      <c r="AJ22" s="58" t="s">
        <v>271</v>
      </c>
      <c r="AK22" s="120">
        <v>0.17</v>
      </c>
      <c r="AL22" s="119">
        <v>0</v>
      </c>
      <c r="AM22">
        <v>50</v>
      </c>
      <c r="AN22">
        <v>47211</v>
      </c>
      <c r="AO22" s="114">
        <v>0.19300634589909027</v>
      </c>
      <c r="AP22" s="120">
        <v>7672.83</v>
      </c>
      <c r="AQ22" s="120">
        <v>9709.2900000000354</v>
      </c>
      <c r="AR22" s="58">
        <v>17382.120000000035</v>
      </c>
      <c r="AS22" s="114">
        <v>144.87</v>
      </c>
      <c r="AT22" s="120">
        <v>142.59</v>
      </c>
      <c r="AU22" s="120" t="s">
        <v>1915</v>
      </c>
      <c r="AV22" s="120" t="s">
        <v>2119</v>
      </c>
      <c r="AW22" s="120" t="s">
        <v>2738</v>
      </c>
      <c r="AX22" s="120">
        <v>19</v>
      </c>
      <c r="AY22">
        <v>0</v>
      </c>
      <c r="AZ22">
        <v>43552</v>
      </c>
      <c r="BA22">
        <v>150</v>
      </c>
      <c r="BB22" s="120">
        <v>2</v>
      </c>
      <c r="BC22">
        <v>1</v>
      </c>
      <c r="BD22" s="58" t="s">
        <v>415</v>
      </c>
      <c r="BE22" s="120">
        <v>336</v>
      </c>
      <c r="BF22">
        <v>124</v>
      </c>
      <c r="BG22">
        <v>43558</v>
      </c>
      <c r="BH22">
        <v>120</v>
      </c>
      <c r="BI22" s="120">
        <v>250</v>
      </c>
      <c r="BJ22" s="120">
        <v>50</v>
      </c>
      <c r="BK22" s="58">
        <v>43483</v>
      </c>
      <c r="BL22">
        <v>0</v>
      </c>
      <c r="BM22" s="120">
        <v>0</v>
      </c>
      <c r="BN22" s="120">
        <v>0</v>
      </c>
      <c r="BO22" t="s">
        <v>3104</v>
      </c>
      <c r="BP22" t="s">
        <v>2403</v>
      </c>
      <c r="BQ22" t="s">
        <v>2403</v>
      </c>
      <c r="BR22" t="s">
        <v>2403</v>
      </c>
      <c r="BS22">
        <v>457634238</v>
      </c>
      <c r="BT22" s="58">
        <v>27918</v>
      </c>
      <c r="BU22" t="s">
        <v>3106</v>
      </c>
      <c r="BV22" t="s">
        <v>3107</v>
      </c>
      <c r="BW22" t="s">
        <v>1633</v>
      </c>
      <c r="BX22">
        <v>77627</v>
      </c>
      <c r="BY22" t="s">
        <v>3106</v>
      </c>
      <c r="BZ22" t="s">
        <v>3107</v>
      </c>
      <c r="CA22">
        <v>77627</v>
      </c>
      <c r="CB22" t="s">
        <v>1633</v>
      </c>
      <c r="CC22" t="s">
        <v>316</v>
      </c>
      <c r="CD22" t="s">
        <v>3109</v>
      </c>
      <c r="CE22" t="s">
        <v>3119</v>
      </c>
      <c r="CF22" t="s">
        <v>3120</v>
      </c>
      <c r="CG22" t="s">
        <v>3121</v>
      </c>
      <c r="CH22">
        <v>0</v>
      </c>
      <c r="CI22">
        <v>0</v>
      </c>
      <c r="CJ22">
        <v>0</v>
      </c>
      <c r="CK22">
        <v>0</v>
      </c>
      <c r="CL22" s="118">
        <v>0</v>
      </c>
      <c r="CM22" s="118">
        <v>4099898786</v>
      </c>
      <c r="CN22" s="118" t="s">
        <v>3108</v>
      </c>
      <c r="CO22" t="s">
        <v>3105</v>
      </c>
      <c r="CP22" t="s">
        <v>2403</v>
      </c>
      <c r="CQ22" t="s">
        <v>2403</v>
      </c>
      <c r="CR22" t="s">
        <v>2403</v>
      </c>
      <c r="CS22" t="s">
        <v>3106</v>
      </c>
      <c r="CT22" t="s">
        <v>3107</v>
      </c>
      <c r="CU22" t="s">
        <v>1633</v>
      </c>
      <c r="CV22">
        <v>77627</v>
      </c>
      <c r="CW22">
        <v>6101</v>
      </c>
      <c r="CX22">
        <v>28688</v>
      </c>
      <c r="CY22" s="58" t="s">
        <v>3106</v>
      </c>
      <c r="CZ22" t="s">
        <v>3107</v>
      </c>
      <c r="DA22">
        <v>77627</v>
      </c>
      <c r="DB22" t="s">
        <v>1633</v>
      </c>
      <c r="DC22" t="s">
        <v>316</v>
      </c>
      <c r="DD22">
        <v>0</v>
      </c>
      <c r="DE22">
        <v>0</v>
      </c>
      <c r="DF22">
        <v>0</v>
      </c>
      <c r="DG22">
        <v>0</v>
      </c>
      <c r="DH22">
        <v>0</v>
      </c>
      <c r="DI22">
        <v>0</v>
      </c>
      <c r="DJ22">
        <v>0</v>
      </c>
      <c r="DK22">
        <v>0</v>
      </c>
      <c r="DL22">
        <v>0</v>
      </c>
      <c r="DM22" s="118">
        <v>2815153633</v>
      </c>
      <c r="DN22" s="118" t="s">
        <v>3108</v>
      </c>
      <c r="DO22" s="118">
        <v>0</v>
      </c>
      <c r="DP22">
        <v>0</v>
      </c>
      <c r="DQ22">
        <v>0</v>
      </c>
      <c r="DR22">
        <v>0</v>
      </c>
      <c r="DS22">
        <v>0</v>
      </c>
      <c r="DT22">
        <v>0</v>
      </c>
      <c r="DU22">
        <v>0</v>
      </c>
      <c r="DV22">
        <v>0</v>
      </c>
      <c r="DW22">
        <v>0</v>
      </c>
      <c r="DX22">
        <v>0</v>
      </c>
      <c r="DY22">
        <v>0</v>
      </c>
      <c r="DZ22" s="58">
        <v>0</v>
      </c>
      <c r="EA22">
        <v>0</v>
      </c>
      <c r="EB22">
        <v>0</v>
      </c>
      <c r="EC22">
        <v>0</v>
      </c>
      <c r="ED22">
        <v>0</v>
      </c>
      <c r="EE22">
        <v>0</v>
      </c>
      <c r="EF22">
        <v>0</v>
      </c>
      <c r="EG22">
        <v>0</v>
      </c>
      <c r="EH22">
        <v>0</v>
      </c>
      <c r="EI22">
        <v>0</v>
      </c>
      <c r="EJ22">
        <v>0</v>
      </c>
      <c r="EK22">
        <v>0</v>
      </c>
      <c r="EL22">
        <v>0</v>
      </c>
      <c r="EM22">
        <v>0</v>
      </c>
      <c r="EN22" s="118">
        <v>0</v>
      </c>
      <c r="EO22" s="118">
        <v>1155.49</v>
      </c>
      <c r="EP22" s="118">
        <v>6749.33984375</v>
      </c>
      <c r="EQ22">
        <v>2</v>
      </c>
      <c r="ER22">
        <v>2</v>
      </c>
      <c r="ES22" s="119" t="s">
        <v>2508</v>
      </c>
      <c r="ET22" t="s">
        <v>3115</v>
      </c>
      <c r="EU22">
        <v>0</v>
      </c>
      <c r="EV22">
        <v>0</v>
      </c>
      <c r="EW22">
        <v>0</v>
      </c>
      <c r="EX22">
        <v>0</v>
      </c>
      <c r="EY22">
        <v>0</v>
      </c>
      <c r="EZ22">
        <v>0</v>
      </c>
      <c r="FA22">
        <v>0</v>
      </c>
      <c r="FB22">
        <v>0</v>
      </c>
      <c r="FC22">
        <v>0</v>
      </c>
      <c r="FD22">
        <v>0</v>
      </c>
      <c r="FE22">
        <v>0</v>
      </c>
      <c r="FF22">
        <v>0</v>
      </c>
      <c r="FG22">
        <v>0</v>
      </c>
      <c r="FH22">
        <v>0</v>
      </c>
      <c r="FI22">
        <v>0</v>
      </c>
      <c r="FJ22">
        <v>0</v>
      </c>
      <c r="FK22">
        <v>0</v>
      </c>
      <c r="FL22">
        <v>0</v>
      </c>
      <c r="FM22">
        <v>1337.13</v>
      </c>
      <c r="FN22">
        <v>5412.21</v>
      </c>
      <c r="FO22">
        <v>0</v>
      </c>
      <c r="FP22" s="119">
        <v>0</v>
      </c>
      <c r="FQ22" s="119">
        <v>0</v>
      </c>
      <c r="FR22" s="119">
        <v>0</v>
      </c>
      <c r="FS22" s="119">
        <v>0</v>
      </c>
      <c r="FT22" s="119">
        <v>0</v>
      </c>
      <c r="FU22" s="119">
        <v>0</v>
      </c>
      <c r="FV22" s="119">
        <v>0</v>
      </c>
      <c r="FW22" s="119">
        <v>0</v>
      </c>
      <c r="FX22" s="119">
        <v>0</v>
      </c>
      <c r="FY22" s="119">
        <v>0</v>
      </c>
      <c r="FZ22" s="119">
        <v>0</v>
      </c>
      <c r="GA22" s="119">
        <v>0</v>
      </c>
      <c r="GB22" s="119">
        <v>0</v>
      </c>
      <c r="GC22" s="119">
        <v>0</v>
      </c>
      <c r="GD22" s="119">
        <v>0</v>
      </c>
      <c r="GE22" s="119">
        <v>0</v>
      </c>
      <c r="GF22" s="119">
        <v>0</v>
      </c>
      <c r="GG22" s="119">
        <v>0</v>
      </c>
      <c r="GH22" s="119" t="s">
        <v>2403</v>
      </c>
      <c r="GI22" s="119">
        <v>0</v>
      </c>
      <c r="GJ22">
        <v>0</v>
      </c>
      <c r="GK22">
        <v>0</v>
      </c>
      <c r="GL22" t="s">
        <v>2403</v>
      </c>
      <c r="GM22">
        <v>0</v>
      </c>
      <c r="GN22" t="s">
        <v>2404</v>
      </c>
      <c r="GO22" t="s">
        <v>3113</v>
      </c>
      <c r="GP22" s="58" t="s">
        <v>3114</v>
      </c>
      <c r="GQ22" t="s">
        <v>3116</v>
      </c>
      <c r="GR22">
        <v>0</v>
      </c>
      <c r="GS22" s="128">
        <v>0</v>
      </c>
      <c r="GT22" s="128" t="s">
        <v>3111</v>
      </c>
      <c r="GU22" s="128">
        <v>1337.13</v>
      </c>
      <c r="GV22" s="128">
        <v>5412.21</v>
      </c>
      <c r="GW22">
        <v>0</v>
      </c>
      <c r="GX22" s="119">
        <v>0</v>
      </c>
      <c r="GY22" s="119" t="s">
        <v>2821</v>
      </c>
      <c r="GZ22" s="119" t="s">
        <v>2821</v>
      </c>
      <c r="HA22" s="119">
        <v>0</v>
      </c>
      <c r="HB22">
        <v>0</v>
      </c>
      <c r="HC22">
        <v>6749.33984375</v>
      </c>
      <c r="HD22">
        <v>69003</v>
      </c>
      <c r="HE22">
        <v>23958</v>
      </c>
      <c r="HF22" s="120" t="s">
        <v>3112</v>
      </c>
      <c r="HG22" s="119" t="s">
        <v>106</v>
      </c>
      <c r="HH22" t="s">
        <v>2403</v>
      </c>
      <c r="HI22">
        <v>69003</v>
      </c>
      <c r="HJ22" t="s">
        <v>2403</v>
      </c>
      <c r="HK22" t="s">
        <v>3117</v>
      </c>
      <c r="HL22" s="119" t="s">
        <v>3117</v>
      </c>
      <c r="HM22">
        <v>0</v>
      </c>
      <c r="HN22">
        <v>0</v>
      </c>
      <c r="HO22" t="s">
        <v>3073</v>
      </c>
      <c r="HP22" t="s">
        <v>2403</v>
      </c>
      <c r="HQ22">
        <v>0</v>
      </c>
      <c r="HR22" t="s">
        <v>1633</v>
      </c>
      <c r="HS22" t="s">
        <v>2508</v>
      </c>
      <c r="HT22" t="s">
        <v>3115</v>
      </c>
      <c r="HU22">
        <v>0</v>
      </c>
      <c r="HV22">
        <v>0</v>
      </c>
      <c r="HW22" t="s">
        <v>2780</v>
      </c>
      <c r="HX22" t="s">
        <v>3118</v>
      </c>
      <c r="HY22">
        <v>0</v>
      </c>
      <c r="HZ22">
        <v>0</v>
      </c>
      <c r="IA22">
        <v>77520</v>
      </c>
      <c r="IB22" t="s">
        <v>2403</v>
      </c>
      <c r="IC22">
        <v>0</v>
      </c>
      <c r="ID22">
        <v>0</v>
      </c>
      <c r="IE22">
        <v>0</v>
      </c>
      <c r="IF22">
        <v>0</v>
      </c>
      <c r="IG22">
        <v>0</v>
      </c>
      <c r="IH22">
        <v>0</v>
      </c>
      <c r="II22">
        <v>0</v>
      </c>
      <c r="IJ22">
        <v>0</v>
      </c>
      <c r="IK22">
        <v>0</v>
      </c>
      <c r="IL22">
        <v>0</v>
      </c>
      <c r="IM22">
        <v>0</v>
      </c>
      <c r="IN22">
        <v>0</v>
      </c>
      <c r="IO22">
        <v>0</v>
      </c>
      <c r="IP22" s="128">
        <v>0</v>
      </c>
      <c r="IQ22" s="128">
        <v>0</v>
      </c>
      <c r="IR22" s="128">
        <v>0</v>
      </c>
      <c r="IS22" s="128">
        <v>0</v>
      </c>
      <c r="IT22">
        <v>0</v>
      </c>
      <c r="IU22" s="119">
        <v>0</v>
      </c>
      <c r="IV22" s="119">
        <v>0</v>
      </c>
      <c r="IW22" s="119">
        <v>0</v>
      </c>
      <c r="IX22" s="119">
        <v>0</v>
      </c>
      <c r="IY22" s="119">
        <v>0</v>
      </c>
      <c r="IZ22">
        <v>0</v>
      </c>
      <c r="JA22">
        <v>0</v>
      </c>
      <c r="JB22">
        <v>0</v>
      </c>
      <c r="JC22">
        <v>0</v>
      </c>
      <c r="JD22">
        <v>0</v>
      </c>
      <c r="JE22" s="119">
        <v>0</v>
      </c>
      <c r="JF22">
        <v>0</v>
      </c>
      <c r="JG22">
        <v>0</v>
      </c>
      <c r="JH22">
        <v>0</v>
      </c>
      <c r="JI22">
        <v>0</v>
      </c>
      <c r="JJ22">
        <v>0</v>
      </c>
      <c r="JK22">
        <v>0</v>
      </c>
      <c r="JL22">
        <v>0</v>
      </c>
      <c r="JM22">
        <v>0</v>
      </c>
      <c r="JN22">
        <v>0</v>
      </c>
      <c r="JO22">
        <v>0</v>
      </c>
      <c r="JP22">
        <v>0</v>
      </c>
      <c r="JQ22">
        <v>0</v>
      </c>
      <c r="JR22">
        <v>0</v>
      </c>
      <c r="JS22">
        <v>0</v>
      </c>
      <c r="JT22">
        <v>0</v>
      </c>
      <c r="JU22">
        <v>0</v>
      </c>
      <c r="JV22">
        <v>0</v>
      </c>
      <c r="JW22">
        <v>0</v>
      </c>
      <c r="JX22">
        <v>0</v>
      </c>
      <c r="JY22">
        <v>0</v>
      </c>
      <c r="JZ22">
        <v>0</v>
      </c>
      <c r="KA22">
        <v>0</v>
      </c>
      <c r="KB22">
        <v>0</v>
      </c>
      <c r="KC22">
        <v>0</v>
      </c>
      <c r="KD22">
        <v>0</v>
      </c>
      <c r="KE22">
        <v>0</v>
      </c>
      <c r="KF22">
        <v>0</v>
      </c>
      <c r="KG22">
        <v>0</v>
      </c>
      <c r="KH22">
        <v>0</v>
      </c>
      <c r="KI22">
        <v>0</v>
      </c>
      <c r="KJ22">
        <v>0</v>
      </c>
      <c r="KK22">
        <v>0</v>
      </c>
      <c r="KL22">
        <v>0</v>
      </c>
      <c r="KM22" s="128">
        <v>0</v>
      </c>
      <c r="KN22" s="128">
        <v>0</v>
      </c>
      <c r="KO22" s="128">
        <v>0</v>
      </c>
      <c r="KP22" s="128">
        <v>0</v>
      </c>
      <c r="KQ22">
        <v>0</v>
      </c>
      <c r="KR22" s="119">
        <v>0</v>
      </c>
      <c r="KS22" s="119">
        <v>0</v>
      </c>
      <c r="KT22" s="119">
        <v>0</v>
      </c>
      <c r="KU22" s="119">
        <v>0</v>
      </c>
      <c r="KV22" s="121">
        <v>0</v>
      </c>
      <c r="KW22">
        <v>0</v>
      </c>
      <c r="KX22" s="119">
        <v>0</v>
      </c>
      <c r="KY22">
        <v>0</v>
      </c>
      <c r="KZ22">
        <v>0</v>
      </c>
      <c r="LA22">
        <v>0</v>
      </c>
      <c r="LB22" s="119">
        <v>0</v>
      </c>
      <c r="LC22">
        <v>0</v>
      </c>
      <c r="LD22">
        <v>0</v>
      </c>
      <c r="LE22">
        <v>0</v>
      </c>
      <c r="LF22">
        <v>0</v>
      </c>
      <c r="LG22">
        <v>0</v>
      </c>
      <c r="LH22">
        <v>0</v>
      </c>
      <c r="LI22">
        <v>0</v>
      </c>
      <c r="LJ22">
        <v>0</v>
      </c>
      <c r="LK22">
        <v>0</v>
      </c>
      <c r="LL22">
        <v>0</v>
      </c>
      <c r="LM22">
        <v>0</v>
      </c>
      <c r="LN22">
        <v>0</v>
      </c>
      <c r="LO22">
        <v>0</v>
      </c>
      <c r="LP22">
        <v>0</v>
      </c>
      <c r="LQ22">
        <v>0</v>
      </c>
      <c r="LR22">
        <v>0</v>
      </c>
      <c r="LS22">
        <v>0</v>
      </c>
      <c r="LT22">
        <v>0</v>
      </c>
      <c r="LU22">
        <v>0</v>
      </c>
      <c r="LV22">
        <v>0</v>
      </c>
      <c r="LW22">
        <v>0</v>
      </c>
      <c r="LX22">
        <v>0</v>
      </c>
      <c r="LY22">
        <v>0</v>
      </c>
      <c r="LZ22">
        <v>0</v>
      </c>
      <c r="MA22">
        <v>0</v>
      </c>
      <c r="MB22">
        <v>0</v>
      </c>
      <c r="MC22">
        <v>0</v>
      </c>
      <c r="MD22">
        <v>0</v>
      </c>
      <c r="ME22">
        <v>0</v>
      </c>
      <c r="MF22">
        <v>0</v>
      </c>
      <c r="MG22">
        <v>0</v>
      </c>
      <c r="MH22">
        <v>0</v>
      </c>
      <c r="MI22">
        <v>0</v>
      </c>
      <c r="MJ22" s="128">
        <v>0</v>
      </c>
      <c r="MK22" s="128">
        <v>0</v>
      </c>
      <c r="ML22" s="128">
        <v>0</v>
      </c>
      <c r="MM22" s="128">
        <v>0</v>
      </c>
      <c r="MN22">
        <v>0</v>
      </c>
      <c r="MO22" s="119">
        <v>0</v>
      </c>
      <c r="MP22" s="119">
        <v>0</v>
      </c>
      <c r="MQ22" s="119">
        <v>0</v>
      </c>
      <c r="MR22" s="119">
        <v>0</v>
      </c>
      <c r="MS22" s="121">
        <v>0</v>
      </c>
      <c r="MT22" s="119">
        <v>0</v>
      </c>
      <c r="MU22">
        <v>0</v>
      </c>
      <c r="MV22">
        <v>0</v>
      </c>
      <c r="MW22">
        <v>0</v>
      </c>
      <c r="MX22">
        <v>0</v>
      </c>
      <c r="MY22" s="119">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s="116">
        <v>0</v>
      </c>
      <c r="NY22" s="116">
        <v>0</v>
      </c>
      <c r="NZ22" s="116">
        <v>0</v>
      </c>
      <c r="OA22" s="116">
        <v>0</v>
      </c>
      <c r="OB22" s="116">
        <v>0</v>
      </c>
      <c r="OC22" s="116">
        <v>0</v>
      </c>
      <c r="OD22" s="116">
        <v>0</v>
      </c>
      <c r="OE22" s="116">
        <v>0</v>
      </c>
      <c r="OF22" s="116">
        <v>0</v>
      </c>
      <c r="OG22" s="128">
        <v>0</v>
      </c>
      <c r="OH22" s="128">
        <v>0</v>
      </c>
      <c r="OI22" s="128">
        <v>0</v>
      </c>
      <c r="OJ22" s="128">
        <v>0</v>
      </c>
      <c r="OK22">
        <v>0</v>
      </c>
      <c r="OL22" s="119">
        <v>0</v>
      </c>
      <c r="OM22" s="119">
        <v>0</v>
      </c>
      <c r="ON22" s="119">
        <v>0</v>
      </c>
      <c r="OO22" s="119">
        <v>0</v>
      </c>
      <c r="OP22" s="121">
        <v>0</v>
      </c>
      <c r="OQ22" s="119">
        <v>0</v>
      </c>
      <c r="OR22">
        <v>0</v>
      </c>
      <c r="OS22">
        <v>0</v>
      </c>
      <c r="OT22">
        <v>0</v>
      </c>
      <c r="OU22">
        <v>0</v>
      </c>
      <c r="OV22" s="119">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s="128">
        <v>0</v>
      </c>
      <c r="QE22" s="128">
        <v>0</v>
      </c>
      <c r="QF22" s="128">
        <v>0</v>
      </c>
      <c r="QG22" s="128">
        <v>0</v>
      </c>
      <c r="QH22">
        <v>0</v>
      </c>
      <c r="QI22" s="119">
        <v>0</v>
      </c>
      <c r="QJ22" s="119">
        <v>0</v>
      </c>
      <c r="QK22" s="119">
        <v>0</v>
      </c>
      <c r="QL22" s="119">
        <v>0</v>
      </c>
      <c r="QM22" s="121">
        <v>0</v>
      </c>
      <c r="QN22" s="119">
        <v>0</v>
      </c>
      <c r="QO22">
        <v>0</v>
      </c>
      <c r="QP22">
        <v>0</v>
      </c>
      <c r="QQ22">
        <v>0</v>
      </c>
      <c r="QR22">
        <v>0</v>
      </c>
      <c r="QS22" s="119">
        <v>0</v>
      </c>
      <c r="QT22">
        <v>0</v>
      </c>
      <c r="QU22">
        <v>0</v>
      </c>
      <c r="QV22">
        <v>0</v>
      </c>
      <c r="QW22">
        <v>0</v>
      </c>
      <c r="QX22">
        <v>0</v>
      </c>
      <c r="QY22">
        <v>0</v>
      </c>
      <c r="QZ22">
        <v>0</v>
      </c>
      <c r="RA22">
        <v>0</v>
      </c>
      <c r="RB22">
        <v>0</v>
      </c>
      <c r="RC22">
        <v>0</v>
      </c>
      <c r="RD22">
        <v>0</v>
      </c>
      <c r="RE22">
        <v>0</v>
      </c>
      <c r="RF22">
        <v>0</v>
      </c>
      <c r="RG22">
        <v>0</v>
      </c>
      <c r="RH22">
        <v>0</v>
      </c>
      <c r="RI22">
        <v>0</v>
      </c>
      <c r="RJ22">
        <v>0</v>
      </c>
      <c r="RK22">
        <v>0</v>
      </c>
      <c r="RL22">
        <v>0</v>
      </c>
      <c r="RM22">
        <v>0</v>
      </c>
      <c r="RN22">
        <v>0</v>
      </c>
      <c r="RO22">
        <v>0</v>
      </c>
      <c r="RP22">
        <v>0</v>
      </c>
      <c r="RQ22">
        <v>0</v>
      </c>
      <c r="RR22" s="116">
        <v>0</v>
      </c>
      <c r="RS22" s="116">
        <v>0</v>
      </c>
      <c r="RT22" s="116">
        <v>0</v>
      </c>
      <c r="RU22" s="116">
        <v>0</v>
      </c>
      <c r="RV22" s="116">
        <v>0</v>
      </c>
      <c r="RW22" s="116">
        <v>0</v>
      </c>
      <c r="RX22" s="116">
        <v>0</v>
      </c>
      <c r="RY22" s="116">
        <v>0</v>
      </c>
      <c r="RZ22" s="116">
        <v>0</v>
      </c>
      <c r="SA22" s="128">
        <v>0</v>
      </c>
      <c r="SB22" s="128">
        <v>0</v>
      </c>
      <c r="SC22" s="128">
        <v>0</v>
      </c>
      <c r="SD22" s="128">
        <v>0</v>
      </c>
      <c r="SE22">
        <v>0</v>
      </c>
      <c r="SF22" s="119">
        <v>0</v>
      </c>
      <c r="SG22" s="119">
        <v>0</v>
      </c>
      <c r="SH22" s="119">
        <v>0</v>
      </c>
      <c r="SI22" s="119">
        <v>0</v>
      </c>
      <c r="SJ22" s="121">
        <v>0</v>
      </c>
      <c r="SK22" s="119">
        <v>0</v>
      </c>
      <c r="SL22">
        <v>0</v>
      </c>
      <c r="SM22">
        <v>0</v>
      </c>
      <c r="SN22">
        <v>0</v>
      </c>
      <c r="SO22">
        <v>0</v>
      </c>
      <c r="SP22" s="119">
        <v>0</v>
      </c>
      <c r="SQ22">
        <v>0</v>
      </c>
      <c r="SR22">
        <v>0</v>
      </c>
      <c r="SS22">
        <v>0</v>
      </c>
      <c r="ST22">
        <v>0</v>
      </c>
      <c r="SU22">
        <v>0</v>
      </c>
      <c r="SV22">
        <v>0</v>
      </c>
      <c r="SW22">
        <v>0</v>
      </c>
      <c r="SX22">
        <v>0</v>
      </c>
      <c r="SY22">
        <v>0</v>
      </c>
      <c r="SZ22">
        <v>0</v>
      </c>
      <c r="TA22">
        <v>0</v>
      </c>
      <c r="TB22">
        <v>0</v>
      </c>
      <c r="TC22">
        <v>0</v>
      </c>
      <c r="TD22">
        <v>0</v>
      </c>
      <c r="TE22">
        <v>0</v>
      </c>
      <c r="TF22">
        <v>0</v>
      </c>
      <c r="TG22">
        <v>0</v>
      </c>
      <c r="TH22">
        <v>0</v>
      </c>
      <c r="TI22">
        <v>0</v>
      </c>
      <c r="TJ22">
        <v>0</v>
      </c>
      <c r="TK22">
        <v>0</v>
      </c>
      <c r="TL22">
        <v>0</v>
      </c>
      <c r="TM22">
        <v>0</v>
      </c>
      <c r="TN22">
        <v>0</v>
      </c>
      <c r="TO22" s="116">
        <v>0</v>
      </c>
      <c r="TP22" s="116">
        <v>0</v>
      </c>
      <c r="TQ22" s="116">
        <v>0</v>
      </c>
      <c r="TR22" s="116">
        <v>0</v>
      </c>
      <c r="TS22" s="116">
        <v>0</v>
      </c>
      <c r="TT22" s="116">
        <v>0</v>
      </c>
      <c r="TU22" s="116">
        <v>0</v>
      </c>
      <c r="TV22" s="116">
        <v>0</v>
      </c>
      <c r="TW22" s="116">
        <v>0</v>
      </c>
      <c r="TX22" s="128">
        <v>0</v>
      </c>
      <c r="TY22" s="128">
        <v>0</v>
      </c>
      <c r="TZ22" s="128">
        <v>0</v>
      </c>
      <c r="UA22" s="128">
        <v>0</v>
      </c>
      <c r="UB22">
        <v>0</v>
      </c>
      <c r="UC22" s="119">
        <v>0</v>
      </c>
      <c r="UD22" s="119">
        <v>0</v>
      </c>
      <c r="UE22" s="119">
        <v>0</v>
      </c>
      <c r="UF22" s="119">
        <v>0</v>
      </c>
      <c r="UG22" s="121">
        <v>0</v>
      </c>
      <c r="UH22" s="119">
        <v>0</v>
      </c>
      <c r="UI22">
        <v>0</v>
      </c>
      <c r="UJ22">
        <v>0</v>
      </c>
      <c r="UK22">
        <v>0</v>
      </c>
      <c r="UL22">
        <v>0</v>
      </c>
      <c r="UM22" s="119">
        <v>0</v>
      </c>
      <c r="UN22">
        <v>0</v>
      </c>
      <c r="UO22">
        <v>0</v>
      </c>
      <c r="UP22">
        <v>0</v>
      </c>
      <c r="UQ22">
        <v>0</v>
      </c>
      <c r="UR22">
        <v>0</v>
      </c>
      <c r="US22">
        <v>0</v>
      </c>
      <c r="UT22">
        <v>0</v>
      </c>
      <c r="UU22">
        <v>0</v>
      </c>
      <c r="UV22">
        <v>0</v>
      </c>
      <c r="UW22">
        <v>0</v>
      </c>
      <c r="UX22">
        <v>0</v>
      </c>
      <c r="UY22">
        <v>0</v>
      </c>
      <c r="UZ22">
        <v>0</v>
      </c>
      <c r="VA22">
        <v>0</v>
      </c>
      <c r="VB22">
        <v>0</v>
      </c>
      <c r="VC22">
        <v>0</v>
      </c>
      <c r="VD22">
        <v>0</v>
      </c>
      <c r="VE22">
        <v>0</v>
      </c>
      <c r="VF22">
        <v>0</v>
      </c>
      <c r="VG22">
        <v>0</v>
      </c>
      <c r="VH22">
        <v>0</v>
      </c>
      <c r="VI22">
        <v>0</v>
      </c>
      <c r="VJ22">
        <v>0</v>
      </c>
      <c r="VK22">
        <v>0</v>
      </c>
      <c r="VL22" s="116">
        <v>0</v>
      </c>
      <c r="VM22" s="116">
        <v>0</v>
      </c>
      <c r="VN22" s="116">
        <v>0</v>
      </c>
      <c r="VO22" s="116">
        <v>0</v>
      </c>
      <c r="VP22" s="116">
        <v>0</v>
      </c>
      <c r="VQ22" s="116">
        <v>0</v>
      </c>
      <c r="VR22" s="116">
        <v>0</v>
      </c>
      <c r="VS22" s="116">
        <v>0</v>
      </c>
      <c r="VT22" s="116">
        <v>0</v>
      </c>
      <c r="VU22" s="128">
        <v>0</v>
      </c>
      <c r="VV22" s="128">
        <v>0</v>
      </c>
      <c r="VW22" s="128">
        <v>0</v>
      </c>
      <c r="VX22" s="128">
        <v>0</v>
      </c>
      <c r="VY22">
        <v>0</v>
      </c>
      <c r="VZ22" s="119">
        <v>0</v>
      </c>
      <c r="WA22" s="119">
        <v>0</v>
      </c>
      <c r="WB22" s="119">
        <v>0</v>
      </c>
      <c r="WC22" s="119">
        <v>0</v>
      </c>
      <c r="WD22" s="121">
        <v>0</v>
      </c>
      <c r="WE22" s="119">
        <v>0</v>
      </c>
      <c r="WF22" s="119">
        <v>0</v>
      </c>
      <c r="WG22">
        <v>0</v>
      </c>
      <c r="WH22">
        <v>0</v>
      </c>
      <c r="WI22">
        <v>0</v>
      </c>
      <c r="WJ22" s="119">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s="116">
        <v>0</v>
      </c>
      <c r="XJ22" s="116">
        <v>0</v>
      </c>
      <c r="XK22" s="116">
        <v>0</v>
      </c>
      <c r="XL22" s="116">
        <v>0</v>
      </c>
      <c r="XM22" s="116">
        <v>0</v>
      </c>
      <c r="XN22" s="116">
        <v>0</v>
      </c>
      <c r="XO22" s="116">
        <v>0</v>
      </c>
      <c r="XP22" s="116">
        <v>0</v>
      </c>
      <c r="XQ22" s="116">
        <v>0</v>
      </c>
      <c r="XR22" s="128">
        <v>0</v>
      </c>
      <c r="XS22" s="128">
        <v>0</v>
      </c>
      <c r="XT22" s="128">
        <v>0</v>
      </c>
      <c r="XU22" s="128">
        <v>0</v>
      </c>
      <c r="XV22">
        <v>0</v>
      </c>
      <c r="XW22" s="119">
        <v>0</v>
      </c>
      <c r="XX22" s="119">
        <v>0</v>
      </c>
      <c r="XY22" s="119">
        <v>0</v>
      </c>
      <c r="XZ22" s="119">
        <v>0</v>
      </c>
      <c r="YA22" s="121">
        <v>0</v>
      </c>
      <c r="YB22" s="119">
        <v>0</v>
      </c>
      <c r="YC22" s="119">
        <v>0</v>
      </c>
      <c r="YD22">
        <v>0</v>
      </c>
      <c r="YE22">
        <v>0</v>
      </c>
      <c r="YF22">
        <v>0</v>
      </c>
      <c r="YG22" s="119">
        <v>0</v>
      </c>
      <c r="YH22">
        <v>0</v>
      </c>
      <c r="YI22">
        <v>0</v>
      </c>
      <c r="YJ22">
        <v>0</v>
      </c>
      <c r="YK22">
        <v>0</v>
      </c>
      <c r="YL22">
        <v>0</v>
      </c>
      <c r="YM22">
        <v>0</v>
      </c>
      <c r="YN22">
        <v>0</v>
      </c>
      <c r="YO22">
        <v>0</v>
      </c>
      <c r="YP22">
        <v>0</v>
      </c>
      <c r="YQ22">
        <v>0</v>
      </c>
      <c r="YR22">
        <v>0</v>
      </c>
      <c r="YS22">
        <v>0</v>
      </c>
      <c r="YT22">
        <v>0</v>
      </c>
      <c r="YU22">
        <v>0</v>
      </c>
      <c r="YV22">
        <v>0</v>
      </c>
      <c r="YW22">
        <v>0</v>
      </c>
      <c r="YX22">
        <v>0</v>
      </c>
      <c r="YY22">
        <v>0</v>
      </c>
      <c r="YZ22">
        <v>0</v>
      </c>
      <c r="ZA22">
        <v>0</v>
      </c>
      <c r="ZB22">
        <v>0</v>
      </c>
      <c r="ZC22">
        <v>0</v>
      </c>
      <c r="ZD22">
        <v>0</v>
      </c>
      <c r="ZE22">
        <v>0</v>
      </c>
      <c r="ZF22">
        <v>0</v>
      </c>
      <c r="ZG22">
        <v>0</v>
      </c>
      <c r="ZH22">
        <v>0</v>
      </c>
      <c r="ZI22">
        <v>0</v>
      </c>
      <c r="ZJ22">
        <v>0</v>
      </c>
      <c r="ZK22">
        <v>0</v>
      </c>
      <c r="ZL22">
        <v>0</v>
      </c>
      <c r="ZM22">
        <v>0</v>
      </c>
      <c r="ZN22">
        <v>0</v>
      </c>
      <c r="ZO22" s="128">
        <v>0</v>
      </c>
      <c r="ZP22" s="128">
        <v>0</v>
      </c>
      <c r="ZQ22" s="128">
        <v>0</v>
      </c>
      <c r="ZR22" s="128">
        <v>0</v>
      </c>
      <c r="ZS22">
        <v>0</v>
      </c>
      <c r="ZT22" s="119">
        <v>0</v>
      </c>
      <c r="ZU22" s="119">
        <v>0</v>
      </c>
      <c r="ZV22" s="119">
        <v>0</v>
      </c>
      <c r="ZW22" s="119">
        <v>0</v>
      </c>
      <c r="ZX22" s="121">
        <v>0</v>
      </c>
      <c r="ZY22" s="119">
        <v>0</v>
      </c>
      <c r="ZZ22" s="119">
        <v>0</v>
      </c>
      <c r="AAA22">
        <v>0</v>
      </c>
      <c r="AAB22">
        <v>0</v>
      </c>
      <c r="AAC22">
        <v>0</v>
      </c>
      <c r="AAD22" s="119">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s="116">
        <v>0</v>
      </c>
      <c r="ABD22" s="116">
        <v>0</v>
      </c>
      <c r="ABE22" s="116">
        <v>0</v>
      </c>
      <c r="ABF22" s="116">
        <v>0</v>
      </c>
      <c r="ABG22" s="116">
        <v>0</v>
      </c>
      <c r="ABH22" s="116">
        <v>0</v>
      </c>
      <c r="ABI22" s="116">
        <v>0</v>
      </c>
      <c r="ABJ22" s="116">
        <v>0</v>
      </c>
      <c r="ABK22" s="116">
        <v>0</v>
      </c>
      <c r="ABL22" s="128">
        <v>0</v>
      </c>
      <c r="ABM22" s="128">
        <v>0</v>
      </c>
      <c r="ABN22" s="128">
        <v>0</v>
      </c>
      <c r="ABO22" s="128">
        <v>0</v>
      </c>
      <c r="ABP22">
        <v>0</v>
      </c>
      <c r="ABQ22" s="119">
        <v>0</v>
      </c>
      <c r="ABR22" s="119">
        <v>0</v>
      </c>
      <c r="ABS22" s="119">
        <v>0</v>
      </c>
      <c r="ABT22" s="119">
        <v>0</v>
      </c>
      <c r="ABU22" s="121">
        <v>0</v>
      </c>
      <c r="ABV22" s="119">
        <v>0</v>
      </c>
      <c r="ABW22" s="119">
        <v>0</v>
      </c>
      <c r="ABX22">
        <v>0</v>
      </c>
      <c r="ABY22">
        <v>0</v>
      </c>
      <c r="ABZ22">
        <v>0</v>
      </c>
      <c r="ACA22" s="119">
        <v>0</v>
      </c>
      <c r="ACB22">
        <v>0</v>
      </c>
      <c r="ACC22">
        <v>0</v>
      </c>
      <c r="ACD22">
        <v>0</v>
      </c>
      <c r="ACE22">
        <v>0</v>
      </c>
      <c r="ACF22">
        <v>0</v>
      </c>
      <c r="ACG22">
        <v>0</v>
      </c>
      <c r="ACH22">
        <v>0</v>
      </c>
      <c r="ACI22">
        <v>0</v>
      </c>
      <c r="ACJ22">
        <v>0</v>
      </c>
      <c r="ACK22">
        <v>0</v>
      </c>
      <c r="ACL22">
        <v>0</v>
      </c>
      <c r="ACM22">
        <v>0</v>
      </c>
      <c r="ACN22">
        <v>0</v>
      </c>
      <c r="ACO22">
        <v>0</v>
      </c>
      <c r="ACP22">
        <v>0</v>
      </c>
      <c r="ACQ22">
        <v>0</v>
      </c>
      <c r="ACR22">
        <v>0</v>
      </c>
      <c r="ACS22">
        <v>0</v>
      </c>
      <c r="ACT22">
        <v>0</v>
      </c>
      <c r="ACU22">
        <v>0</v>
      </c>
      <c r="ACV22">
        <v>0</v>
      </c>
      <c r="ACW22">
        <v>0</v>
      </c>
      <c r="ACX22">
        <v>0</v>
      </c>
      <c r="ACY22">
        <v>0</v>
      </c>
      <c r="ACZ22" s="116">
        <v>0</v>
      </c>
      <c r="ADA22" s="116">
        <v>0</v>
      </c>
      <c r="ADB22" s="116">
        <v>0</v>
      </c>
      <c r="ADC22" s="116">
        <v>0</v>
      </c>
      <c r="ADD22" s="116">
        <v>0</v>
      </c>
      <c r="ADE22" s="116">
        <v>0</v>
      </c>
      <c r="ADF22" s="116">
        <v>0</v>
      </c>
      <c r="ADG22" s="116">
        <v>0</v>
      </c>
      <c r="ADH22" s="116">
        <v>0</v>
      </c>
      <c r="ADI22" s="128">
        <v>0</v>
      </c>
      <c r="ADJ22" s="128">
        <v>0</v>
      </c>
      <c r="ADK22" s="128">
        <v>0</v>
      </c>
      <c r="ADL22" s="128">
        <v>0</v>
      </c>
      <c r="ADM22">
        <v>0</v>
      </c>
      <c r="ADN22" s="119">
        <v>0</v>
      </c>
      <c r="ADO22" s="119">
        <v>0</v>
      </c>
      <c r="ADP22" s="119">
        <v>0</v>
      </c>
      <c r="ADQ22" s="119">
        <v>0</v>
      </c>
      <c r="ADR22" s="121">
        <v>0</v>
      </c>
      <c r="ADS22" s="119">
        <v>0</v>
      </c>
      <c r="ADT22" s="119">
        <v>0</v>
      </c>
      <c r="ADU22">
        <v>0</v>
      </c>
      <c r="ADV22">
        <v>0</v>
      </c>
      <c r="ADW22">
        <v>0</v>
      </c>
      <c r="ADX22" s="119">
        <v>0</v>
      </c>
      <c r="ADY22">
        <v>0</v>
      </c>
      <c r="ADZ22">
        <v>0</v>
      </c>
      <c r="AEA22">
        <v>0</v>
      </c>
      <c r="AEB22">
        <v>0</v>
      </c>
      <c r="AEC22">
        <v>0</v>
      </c>
      <c r="AED22">
        <v>0</v>
      </c>
      <c r="AEE22">
        <v>0</v>
      </c>
      <c r="AEF22">
        <v>0</v>
      </c>
      <c r="AEG22">
        <v>0</v>
      </c>
      <c r="AEH22">
        <v>0</v>
      </c>
      <c r="AEI22">
        <v>0</v>
      </c>
      <c r="AEJ22">
        <v>0</v>
      </c>
      <c r="AEK22">
        <v>0</v>
      </c>
      <c r="AEL22">
        <v>0</v>
      </c>
      <c r="AEM22">
        <v>0</v>
      </c>
      <c r="AEN22">
        <v>0</v>
      </c>
      <c r="AEO22">
        <v>0</v>
      </c>
      <c r="AEP22">
        <v>0</v>
      </c>
      <c r="AEQ22">
        <v>0</v>
      </c>
      <c r="AER22">
        <v>0</v>
      </c>
      <c r="AES22">
        <v>0</v>
      </c>
      <c r="AET22">
        <v>0</v>
      </c>
      <c r="AEU22">
        <v>0</v>
      </c>
      <c r="AEV22">
        <v>0</v>
      </c>
      <c r="AEW22" s="116">
        <v>0</v>
      </c>
      <c r="AEX22" s="116">
        <v>0</v>
      </c>
      <c r="AEY22" s="116">
        <v>0</v>
      </c>
      <c r="AEZ22" s="116">
        <v>0</v>
      </c>
      <c r="AFA22" s="116">
        <v>0</v>
      </c>
      <c r="AFB22" s="116">
        <v>0</v>
      </c>
      <c r="AFC22" s="116">
        <v>0</v>
      </c>
      <c r="AFD22" s="116">
        <v>0</v>
      </c>
      <c r="AFE22" s="116">
        <v>0</v>
      </c>
      <c r="AFF22" s="128">
        <v>0</v>
      </c>
      <c r="AFG22" s="128">
        <v>0</v>
      </c>
      <c r="AFH22" s="128">
        <v>0</v>
      </c>
      <c r="AFI22" s="128">
        <v>0</v>
      </c>
      <c r="AFJ22">
        <v>0</v>
      </c>
      <c r="AFK22" s="119">
        <v>0</v>
      </c>
      <c r="AFL22" s="119">
        <v>0</v>
      </c>
      <c r="AFM22" s="119">
        <v>0</v>
      </c>
      <c r="AFN22" s="119">
        <v>0</v>
      </c>
      <c r="AFO22" s="121">
        <v>0</v>
      </c>
      <c r="AFP22" s="119">
        <v>0</v>
      </c>
      <c r="AFQ22" s="119">
        <v>0</v>
      </c>
      <c r="AFR22">
        <v>0</v>
      </c>
      <c r="AFS22">
        <v>0</v>
      </c>
      <c r="AFT22">
        <v>0</v>
      </c>
      <c r="AFU22" s="119">
        <v>0</v>
      </c>
      <c r="AFV22">
        <v>0</v>
      </c>
      <c r="AFW22">
        <v>0</v>
      </c>
      <c r="AFX22">
        <v>0</v>
      </c>
      <c r="AFY22">
        <v>0</v>
      </c>
      <c r="AFZ22">
        <v>0</v>
      </c>
      <c r="AGA22">
        <v>0</v>
      </c>
      <c r="AGB22">
        <v>0</v>
      </c>
      <c r="AGC22">
        <v>0</v>
      </c>
      <c r="AGD22">
        <v>0</v>
      </c>
      <c r="AGE22">
        <v>0</v>
      </c>
      <c r="AGF22">
        <v>0</v>
      </c>
      <c r="AGG22">
        <v>0</v>
      </c>
      <c r="AGH22">
        <v>0</v>
      </c>
      <c r="AGI22">
        <v>0</v>
      </c>
      <c r="AGJ22">
        <v>0</v>
      </c>
      <c r="AGK22">
        <v>0</v>
      </c>
      <c r="AGL22">
        <v>0</v>
      </c>
      <c r="AGM22">
        <v>0</v>
      </c>
      <c r="AGN22">
        <v>0</v>
      </c>
      <c r="AGO22">
        <v>0</v>
      </c>
      <c r="AGP22">
        <v>0</v>
      </c>
      <c r="AGQ22">
        <v>0</v>
      </c>
      <c r="AGR22">
        <v>0</v>
      </c>
      <c r="AGS22">
        <v>0</v>
      </c>
      <c r="AGT22" s="116">
        <v>0</v>
      </c>
      <c r="AGU22" s="116">
        <v>0</v>
      </c>
      <c r="AGV22" s="116">
        <v>0</v>
      </c>
      <c r="AGW22" s="116">
        <v>0</v>
      </c>
      <c r="AGX22" s="116">
        <v>0</v>
      </c>
      <c r="AGY22" s="116">
        <v>0</v>
      </c>
      <c r="AGZ22" s="116">
        <v>0</v>
      </c>
      <c r="AHA22" s="116">
        <v>0</v>
      </c>
      <c r="AHB22" s="116">
        <v>0</v>
      </c>
      <c r="AHC22" s="128">
        <v>0</v>
      </c>
      <c r="AHD22" s="128">
        <v>0</v>
      </c>
      <c r="AHE22" s="128">
        <v>0</v>
      </c>
      <c r="AHF22" s="128">
        <v>0</v>
      </c>
      <c r="AHG22">
        <v>0</v>
      </c>
      <c r="AHH22" s="119">
        <v>0</v>
      </c>
      <c r="AHI22" s="119">
        <v>0</v>
      </c>
      <c r="AHJ22" s="119">
        <v>0</v>
      </c>
      <c r="AHK22" s="119">
        <v>0</v>
      </c>
      <c r="AHL22" s="121">
        <v>0</v>
      </c>
      <c r="AHM22" s="119">
        <v>0</v>
      </c>
      <c r="AHN22" s="119">
        <v>0</v>
      </c>
      <c r="AHO22">
        <v>0</v>
      </c>
      <c r="AHP22">
        <v>0</v>
      </c>
      <c r="AHQ22">
        <v>0</v>
      </c>
      <c r="AHR22" s="119">
        <v>0</v>
      </c>
      <c r="AHS22">
        <v>0</v>
      </c>
      <c r="AHT22">
        <v>0</v>
      </c>
      <c r="AHU22">
        <v>0</v>
      </c>
      <c r="AHV22">
        <v>0</v>
      </c>
      <c r="AHW22">
        <v>0</v>
      </c>
      <c r="AHX22">
        <v>0</v>
      </c>
      <c r="AHY22">
        <v>0</v>
      </c>
      <c r="AHZ22">
        <v>0</v>
      </c>
      <c r="AIA22">
        <v>0</v>
      </c>
      <c r="AIB22">
        <v>0</v>
      </c>
      <c r="AIC22">
        <v>0</v>
      </c>
      <c r="AID22">
        <v>0</v>
      </c>
      <c r="AIE22">
        <v>0</v>
      </c>
      <c r="AIF22">
        <v>0</v>
      </c>
      <c r="AIG22">
        <v>0</v>
      </c>
      <c r="AIH22">
        <v>0</v>
      </c>
      <c r="AII22">
        <v>0</v>
      </c>
      <c r="AIJ22">
        <v>0</v>
      </c>
      <c r="AIK22">
        <v>0</v>
      </c>
      <c r="AIL22">
        <v>0</v>
      </c>
      <c r="AIM22">
        <v>0</v>
      </c>
      <c r="AIN22">
        <v>0</v>
      </c>
      <c r="AIO22">
        <v>0</v>
      </c>
      <c r="AIP22">
        <v>0</v>
      </c>
      <c r="AIQ22">
        <v>0</v>
      </c>
      <c r="AIR22">
        <v>0</v>
      </c>
      <c r="AIS22">
        <v>0</v>
      </c>
      <c r="AIT22">
        <v>0</v>
      </c>
      <c r="AIU22">
        <v>0</v>
      </c>
      <c r="AIV22">
        <v>0</v>
      </c>
      <c r="AIW22">
        <v>0</v>
      </c>
      <c r="AIX22">
        <v>0</v>
      </c>
      <c r="AIY22">
        <v>0</v>
      </c>
      <c r="AIZ22" s="128">
        <v>0</v>
      </c>
      <c r="AJA22" s="128">
        <v>0</v>
      </c>
      <c r="AJB22" s="128">
        <v>0</v>
      </c>
      <c r="AJC22" s="128">
        <v>0</v>
      </c>
      <c r="AJD22">
        <v>0</v>
      </c>
      <c r="AJE22" s="119">
        <v>0</v>
      </c>
      <c r="AJF22" s="119">
        <v>0</v>
      </c>
      <c r="AJG22" s="119">
        <v>0</v>
      </c>
      <c r="AJH22" s="119">
        <v>0</v>
      </c>
      <c r="AJI22" s="121">
        <v>0</v>
      </c>
      <c r="AJJ22" s="119">
        <v>0</v>
      </c>
      <c r="AJK22" s="119">
        <v>0</v>
      </c>
      <c r="AJL22">
        <v>0</v>
      </c>
      <c r="AJM22">
        <v>0</v>
      </c>
      <c r="AJN22">
        <v>0</v>
      </c>
      <c r="AJO22" s="119">
        <v>0</v>
      </c>
      <c r="AJP22">
        <v>0</v>
      </c>
      <c r="AJQ22">
        <v>0</v>
      </c>
      <c r="AJR22">
        <v>0</v>
      </c>
      <c r="AJS22">
        <v>0</v>
      </c>
      <c r="AJT22">
        <v>0</v>
      </c>
      <c r="AJU22">
        <v>0</v>
      </c>
      <c r="AJV22">
        <v>0</v>
      </c>
      <c r="AJW22">
        <v>0</v>
      </c>
      <c r="AJX22">
        <v>0</v>
      </c>
      <c r="AJY22">
        <v>0</v>
      </c>
      <c r="AJZ22">
        <v>0</v>
      </c>
      <c r="AKA22">
        <v>0</v>
      </c>
      <c r="AKB22">
        <v>0</v>
      </c>
      <c r="AKC22">
        <v>0</v>
      </c>
      <c r="AKD22">
        <v>0</v>
      </c>
      <c r="AKE22">
        <v>0</v>
      </c>
      <c r="AKF22">
        <v>0</v>
      </c>
      <c r="AKG22">
        <v>0</v>
      </c>
      <c r="AKH22">
        <v>0</v>
      </c>
      <c r="AKI22">
        <v>0</v>
      </c>
      <c r="AKJ22">
        <v>0</v>
      </c>
      <c r="AKK22">
        <v>0</v>
      </c>
      <c r="AKL22">
        <v>0</v>
      </c>
      <c r="AKM22">
        <v>0</v>
      </c>
      <c r="AKN22" s="116">
        <v>0</v>
      </c>
      <c r="AKO22" s="116">
        <v>0</v>
      </c>
      <c r="AKP22" s="116">
        <v>0</v>
      </c>
      <c r="AKQ22" s="116">
        <v>0</v>
      </c>
      <c r="AKR22" s="116">
        <v>0</v>
      </c>
      <c r="AKS22" s="116">
        <v>0</v>
      </c>
      <c r="AKT22" s="116">
        <v>0</v>
      </c>
      <c r="AKU22" s="116">
        <v>0</v>
      </c>
      <c r="AKV22" s="116">
        <v>0</v>
      </c>
      <c r="AKW22" s="128">
        <v>0</v>
      </c>
      <c r="AKX22" s="128">
        <v>0</v>
      </c>
      <c r="AKY22" s="128">
        <v>0</v>
      </c>
      <c r="AKZ22" s="128">
        <v>0</v>
      </c>
      <c r="ALA22">
        <v>0</v>
      </c>
      <c r="ALB22" s="119">
        <v>0</v>
      </c>
      <c r="ALC22" s="119">
        <v>0</v>
      </c>
      <c r="ALD22" s="119">
        <v>0</v>
      </c>
      <c r="ALE22" s="119">
        <v>0</v>
      </c>
      <c r="ALF22" s="121">
        <v>0</v>
      </c>
      <c r="ALG22" s="119">
        <v>0</v>
      </c>
      <c r="ALH22" s="119">
        <v>0</v>
      </c>
      <c r="ALI22">
        <v>0</v>
      </c>
      <c r="ALJ22">
        <v>0</v>
      </c>
      <c r="ALK22">
        <v>0</v>
      </c>
      <c r="ALL22" s="119">
        <v>0</v>
      </c>
      <c r="ALM22">
        <v>0</v>
      </c>
      <c r="ALN22">
        <v>0</v>
      </c>
      <c r="ALO22">
        <v>0</v>
      </c>
      <c r="ALP22">
        <v>0</v>
      </c>
      <c r="ALQ22">
        <v>0</v>
      </c>
      <c r="ALR22">
        <v>0</v>
      </c>
      <c r="ALS22">
        <v>0</v>
      </c>
      <c r="ALT22">
        <v>0</v>
      </c>
      <c r="ALU22">
        <v>0</v>
      </c>
      <c r="ALV22">
        <v>0</v>
      </c>
      <c r="ALW22">
        <v>0</v>
      </c>
      <c r="ALX22">
        <v>0</v>
      </c>
      <c r="ALY22">
        <v>0</v>
      </c>
      <c r="ALZ22">
        <v>0</v>
      </c>
      <c r="AMA22">
        <v>0</v>
      </c>
      <c r="AMB22">
        <v>0</v>
      </c>
      <c r="AMC22">
        <v>0</v>
      </c>
      <c r="AMD22">
        <v>0</v>
      </c>
      <c r="AME22">
        <v>0</v>
      </c>
      <c r="AMF22">
        <v>0</v>
      </c>
      <c r="AMG22">
        <v>0</v>
      </c>
      <c r="AMH22">
        <v>0</v>
      </c>
      <c r="AMI22">
        <v>0</v>
      </c>
      <c r="AMJ22">
        <v>0</v>
      </c>
      <c r="AMK22" s="116">
        <v>0</v>
      </c>
      <c r="AML22" s="116">
        <v>0</v>
      </c>
      <c r="AMM22" s="116">
        <v>0</v>
      </c>
      <c r="AMN22" s="116">
        <v>0</v>
      </c>
      <c r="AMO22" s="116">
        <v>0</v>
      </c>
      <c r="AMP22" s="116">
        <v>0</v>
      </c>
      <c r="AMQ22" s="116">
        <v>0</v>
      </c>
      <c r="AMR22" s="116">
        <v>0</v>
      </c>
      <c r="AMS22" s="116">
        <v>0</v>
      </c>
      <c r="AMT22" s="128">
        <v>0</v>
      </c>
      <c r="AMU22" s="128">
        <v>0</v>
      </c>
      <c r="AMV22" s="128">
        <v>0</v>
      </c>
      <c r="AMW22" s="128">
        <v>0</v>
      </c>
      <c r="AMX22">
        <v>0</v>
      </c>
      <c r="AMY22" s="119">
        <v>0</v>
      </c>
      <c r="AMZ22" s="119">
        <v>0</v>
      </c>
      <c r="ANA22" s="119">
        <v>0</v>
      </c>
      <c r="ANB22" s="119">
        <v>0</v>
      </c>
      <c r="ANC22" s="121">
        <v>0</v>
      </c>
      <c r="AND22" s="119">
        <v>0</v>
      </c>
      <c r="ANE22" s="119">
        <v>0</v>
      </c>
      <c r="ANF22">
        <v>0</v>
      </c>
      <c r="ANG22">
        <v>0</v>
      </c>
      <c r="ANH22">
        <v>0</v>
      </c>
      <c r="ANI22" s="119">
        <v>0</v>
      </c>
      <c r="ANJ22">
        <v>0</v>
      </c>
      <c r="ANK22">
        <v>0</v>
      </c>
      <c r="ANL22">
        <v>0</v>
      </c>
      <c r="ANM22">
        <v>0</v>
      </c>
      <c r="ANN22">
        <v>0</v>
      </c>
      <c r="ANO22">
        <v>0</v>
      </c>
      <c r="ANP22">
        <v>0</v>
      </c>
      <c r="ANQ22">
        <v>0</v>
      </c>
      <c r="ANR22">
        <v>0</v>
      </c>
      <c r="ANS22">
        <v>0</v>
      </c>
      <c r="ANT22">
        <v>0</v>
      </c>
      <c r="ANU22">
        <v>0</v>
      </c>
      <c r="ANV22">
        <v>0</v>
      </c>
      <c r="ANW22">
        <v>0</v>
      </c>
      <c r="ANX22">
        <v>0</v>
      </c>
      <c r="ANY22">
        <v>0</v>
      </c>
      <c r="ANZ22">
        <v>0</v>
      </c>
      <c r="AOA22">
        <v>0</v>
      </c>
      <c r="AOB22">
        <v>0</v>
      </c>
      <c r="AOC22">
        <v>0</v>
      </c>
      <c r="AOD22">
        <v>0</v>
      </c>
      <c r="AOE22">
        <v>0</v>
      </c>
      <c r="AOF22">
        <v>0</v>
      </c>
      <c r="AOG22">
        <v>0</v>
      </c>
      <c r="AOH22" s="116">
        <v>0</v>
      </c>
      <c r="AOI22" s="116">
        <v>0</v>
      </c>
      <c r="AOJ22" s="116">
        <v>0</v>
      </c>
      <c r="AOK22" s="116">
        <v>0</v>
      </c>
      <c r="AOL22" s="116">
        <v>0</v>
      </c>
      <c r="AOM22" s="116">
        <v>0</v>
      </c>
      <c r="AON22" s="116">
        <v>0</v>
      </c>
      <c r="AOO22" s="116">
        <v>0</v>
      </c>
      <c r="AOP22" s="116">
        <v>0</v>
      </c>
      <c r="AOQ22" s="128">
        <v>0</v>
      </c>
      <c r="AOR22" s="128">
        <v>0</v>
      </c>
      <c r="AOS22" s="128">
        <v>0</v>
      </c>
      <c r="AOT22" s="128">
        <v>0</v>
      </c>
      <c r="AOU22">
        <v>0</v>
      </c>
      <c r="AOV22" s="119">
        <v>0</v>
      </c>
      <c r="AOW22" s="119">
        <v>0</v>
      </c>
      <c r="AOX22" s="119">
        <v>0</v>
      </c>
      <c r="AOY22" s="119">
        <v>0</v>
      </c>
      <c r="AOZ22" s="121">
        <v>0</v>
      </c>
      <c r="APA22" s="119">
        <v>0</v>
      </c>
      <c r="APB22" s="119">
        <v>0</v>
      </c>
      <c r="APC22">
        <v>0</v>
      </c>
      <c r="APD22">
        <v>0</v>
      </c>
      <c r="APE22">
        <v>0</v>
      </c>
      <c r="APF22" s="119">
        <v>0</v>
      </c>
      <c r="APG22">
        <v>0</v>
      </c>
      <c r="APH22">
        <v>0</v>
      </c>
      <c r="API22">
        <v>0</v>
      </c>
      <c r="APJ22">
        <v>0</v>
      </c>
      <c r="APK22">
        <v>0</v>
      </c>
      <c r="APL22">
        <v>0</v>
      </c>
      <c r="APM22">
        <v>0</v>
      </c>
      <c r="APN22">
        <v>0</v>
      </c>
      <c r="APO22">
        <v>0</v>
      </c>
      <c r="APP22">
        <v>0</v>
      </c>
      <c r="APQ22">
        <v>0</v>
      </c>
      <c r="APR22">
        <v>0</v>
      </c>
      <c r="APS22">
        <v>0</v>
      </c>
      <c r="APT22">
        <v>0</v>
      </c>
      <c r="APU22">
        <v>0</v>
      </c>
      <c r="APV22">
        <v>0</v>
      </c>
      <c r="APW22">
        <v>0</v>
      </c>
      <c r="APX22">
        <v>0</v>
      </c>
      <c r="APY22">
        <v>0</v>
      </c>
      <c r="APZ22">
        <v>0</v>
      </c>
      <c r="AQA22">
        <v>0</v>
      </c>
      <c r="AQB22">
        <v>0</v>
      </c>
      <c r="AQC22">
        <v>0</v>
      </c>
      <c r="AQD22">
        <v>0</v>
      </c>
      <c r="AQE22" s="116">
        <v>0</v>
      </c>
      <c r="AQF22" s="116">
        <v>0</v>
      </c>
      <c r="AQG22" s="116">
        <v>0</v>
      </c>
      <c r="AQH22" s="116">
        <v>0</v>
      </c>
      <c r="AQI22" s="116">
        <v>0</v>
      </c>
      <c r="AQJ22" s="116">
        <v>0</v>
      </c>
      <c r="AQK22" s="116">
        <v>0</v>
      </c>
      <c r="AQL22" s="116">
        <v>0</v>
      </c>
      <c r="AQM22" s="116">
        <v>0</v>
      </c>
      <c r="AQN22" s="128">
        <v>0</v>
      </c>
      <c r="AQO22" s="128">
        <v>0</v>
      </c>
      <c r="AQP22" s="128">
        <v>0</v>
      </c>
      <c r="AQQ22" s="128">
        <v>0</v>
      </c>
      <c r="AQR22">
        <v>0</v>
      </c>
      <c r="AQS22" s="119">
        <v>0</v>
      </c>
      <c r="AQT22" s="119">
        <v>0</v>
      </c>
      <c r="AQU22" s="119">
        <v>0</v>
      </c>
      <c r="AQV22" s="119">
        <v>0</v>
      </c>
      <c r="AQW22" s="121">
        <v>0</v>
      </c>
      <c r="AQX22" s="119">
        <v>0</v>
      </c>
      <c r="AQY22" s="119">
        <v>0</v>
      </c>
      <c r="AQZ22">
        <v>0</v>
      </c>
      <c r="ARA22">
        <v>0</v>
      </c>
      <c r="ARB22">
        <v>0</v>
      </c>
      <c r="ARC22" s="119">
        <v>0</v>
      </c>
      <c r="ARD22">
        <v>0</v>
      </c>
      <c r="ARE22">
        <v>0</v>
      </c>
      <c r="ARF22">
        <v>0</v>
      </c>
      <c r="ARG22">
        <v>0</v>
      </c>
      <c r="ARH22">
        <v>0</v>
      </c>
      <c r="ARI22">
        <v>0</v>
      </c>
      <c r="ARJ22">
        <v>0</v>
      </c>
      <c r="ARK22">
        <v>0</v>
      </c>
      <c r="ARL22">
        <v>0</v>
      </c>
      <c r="ARM22">
        <v>0</v>
      </c>
      <c r="ARN22">
        <v>0</v>
      </c>
      <c r="ARO22">
        <v>0</v>
      </c>
      <c r="ARP22">
        <v>0</v>
      </c>
      <c r="ARQ22">
        <v>0</v>
      </c>
      <c r="ARR22">
        <v>0</v>
      </c>
      <c r="ARS22">
        <v>0</v>
      </c>
      <c r="ART22">
        <v>0</v>
      </c>
      <c r="ARU22">
        <v>0</v>
      </c>
      <c r="ARV22">
        <v>0</v>
      </c>
      <c r="ARW22">
        <v>0</v>
      </c>
      <c r="ARX22">
        <v>0</v>
      </c>
      <c r="ARY22">
        <v>0</v>
      </c>
      <c r="ARZ22">
        <v>0</v>
      </c>
      <c r="ASA22">
        <v>0</v>
      </c>
      <c r="ASB22">
        <v>0</v>
      </c>
      <c r="ASC22">
        <v>0</v>
      </c>
      <c r="ASD22">
        <v>0</v>
      </c>
      <c r="ASE22">
        <v>0</v>
      </c>
      <c r="ASF22">
        <v>0</v>
      </c>
      <c r="ASG22">
        <v>0</v>
      </c>
      <c r="ASH22">
        <v>0</v>
      </c>
      <c r="ASI22">
        <v>0</v>
      </c>
      <c r="ASJ22">
        <v>0</v>
      </c>
      <c r="ASK22" s="128">
        <v>0</v>
      </c>
      <c r="ASL22" s="128">
        <v>0</v>
      </c>
      <c r="ASM22" s="128">
        <v>0</v>
      </c>
      <c r="ASN22" s="128">
        <v>0</v>
      </c>
      <c r="ASO22">
        <v>0</v>
      </c>
      <c r="ASP22" s="119">
        <v>0</v>
      </c>
      <c r="ASQ22" s="119">
        <v>0</v>
      </c>
      <c r="ASR22" s="119">
        <v>0</v>
      </c>
      <c r="ASS22" s="119">
        <v>0</v>
      </c>
      <c r="AST22" s="121">
        <v>0</v>
      </c>
      <c r="ASU22" s="119">
        <v>0</v>
      </c>
      <c r="ASV22" s="119">
        <v>0</v>
      </c>
      <c r="ASW22">
        <v>0</v>
      </c>
      <c r="ASX22">
        <v>0</v>
      </c>
      <c r="ASY22">
        <v>0</v>
      </c>
      <c r="ASZ22" s="119">
        <v>0</v>
      </c>
      <c r="ATA22">
        <v>0</v>
      </c>
      <c r="ATB22">
        <v>0</v>
      </c>
      <c r="ATC22">
        <v>0</v>
      </c>
      <c r="ATD22">
        <v>0</v>
      </c>
      <c r="ATE22">
        <v>0</v>
      </c>
      <c r="ATF22">
        <v>0</v>
      </c>
      <c r="ATG22">
        <v>0</v>
      </c>
      <c r="ATH22">
        <v>0</v>
      </c>
      <c r="ATI22">
        <v>0</v>
      </c>
      <c r="ATJ22">
        <v>0</v>
      </c>
      <c r="ATK22">
        <v>0</v>
      </c>
      <c r="ATL22">
        <v>0</v>
      </c>
      <c r="ATM22">
        <v>0</v>
      </c>
      <c r="ATN22">
        <v>0</v>
      </c>
      <c r="ATO22">
        <v>0</v>
      </c>
      <c r="ATP22">
        <v>0</v>
      </c>
      <c r="ATQ22">
        <v>0</v>
      </c>
      <c r="ATR22">
        <v>0</v>
      </c>
      <c r="ATS22">
        <v>0</v>
      </c>
      <c r="ATT22">
        <v>0</v>
      </c>
      <c r="ATU22">
        <v>0</v>
      </c>
      <c r="ATV22">
        <v>0</v>
      </c>
      <c r="ATW22">
        <v>0</v>
      </c>
      <c r="ATX22">
        <v>0</v>
      </c>
      <c r="ATY22" s="116">
        <v>0</v>
      </c>
      <c r="ATZ22" s="116">
        <v>0</v>
      </c>
      <c r="AUA22" s="116">
        <v>0</v>
      </c>
      <c r="AUB22" s="116">
        <v>0</v>
      </c>
      <c r="AUC22" s="116">
        <v>0</v>
      </c>
      <c r="AUD22" s="116">
        <v>0</v>
      </c>
      <c r="AUE22" s="116">
        <v>0</v>
      </c>
      <c r="AUF22" s="116">
        <v>0</v>
      </c>
      <c r="AUG22" s="116">
        <v>0</v>
      </c>
      <c r="AUH22" s="128">
        <v>0</v>
      </c>
      <c r="AUI22" s="128">
        <v>0</v>
      </c>
      <c r="AUJ22" s="128">
        <v>0</v>
      </c>
      <c r="AUK22" s="128">
        <v>0</v>
      </c>
      <c r="AUL22">
        <v>0</v>
      </c>
      <c r="AUM22" s="119">
        <v>0</v>
      </c>
      <c r="AUN22" s="119">
        <v>0</v>
      </c>
      <c r="AUO22" s="119">
        <v>0</v>
      </c>
      <c r="AUP22" s="119">
        <v>0</v>
      </c>
      <c r="AUQ22" s="121">
        <v>0</v>
      </c>
      <c r="AUR22" s="119">
        <v>0</v>
      </c>
      <c r="AUS22" s="119">
        <v>0</v>
      </c>
      <c r="AUT22">
        <v>0</v>
      </c>
      <c r="AUU22">
        <v>0</v>
      </c>
      <c r="AUV22">
        <v>0</v>
      </c>
      <c r="AUW22" s="119">
        <v>0</v>
      </c>
      <c r="AUX22">
        <v>0</v>
      </c>
      <c r="AUY22">
        <v>0</v>
      </c>
      <c r="AUZ22">
        <v>0</v>
      </c>
      <c r="AVA22">
        <v>0</v>
      </c>
      <c r="AVB22">
        <v>0</v>
      </c>
      <c r="AVC22">
        <v>0</v>
      </c>
      <c r="AVD22">
        <v>0</v>
      </c>
      <c r="AVE22">
        <v>0</v>
      </c>
      <c r="AVF22">
        <v>0</v>
      </c>
      <c r="AVG22">
        <v>0</v>
      </c>
      <c r="AVH22">
        <v>0</v>
      </c>
      <c r="AVI22">
        <v>0</v>
      </c>
      <c r="AVJ22">
        <v>0</v>
      </c>
      <c r="AVK22">
        <v>0</v>
      </c>
      <c r="AVL22">
        <v>0</v>
      </c>
      <c r="AVM22">
        <v>0</v>
      </c>
      <c r="AVN22">
        <v>0</v>
      </c>
      <c r="AVO22">
        <v>0</v>
      </c>
      <c r="AVP22">
        <v>0</v>
      </c>
      <c r="AVQ22">
        <v>0</v>
      </c>
      <c r="AVR22">
        <v>0</v>
      </c>
      <c r="AVS22">
        <v>0</v>
      </c>
      <c r="AVT22">
        <v>0</v>
      </c>
      <c r="AVU22">
        <v>0</v>
      </c>
      <c r="AVV22" s="116">
        <v>0</v>
      </c>
      <c r="AVW22" s="116">
        <v>0</v>
      </c>
      <c r="AVX22" s="116">
        <v>0</v>
      </c>
      <c r="AVY22" s="116">
        <v>0</v>
      </c>
      <c r="AVZ22" s="116">
        <v>0</v>
      </c>
      <c r="AWA22" s="116">
        <v>0</v>
      </c>
      <c r="AWB22" s="116">
        <v>0</v>
      </c>
      <c r="AWC22" s="116">
        <v>0</v>
      </c>
      <c r="AWD22" s="116">
        <v>0</v>
      </c>
      <c r="AWE22" s="128">
        <v>0</v>
      </c>
      <c r="AWF22" s="128">
        <v>0</v>
      </c>
      <c r="AWG22" s="128">
        <v>0</v>
      </c>
      <c r="AWH22" s="128">
        <v>0</v>
      </c>
      <c r="AWI22">
        <v>0</v>
      </c>
      <c r="AWJ22" s="119">
        <v>0</v>
      </c>
      <c r="AWK22" s="119">
        <v>0</v>
      </c>
      <c r="AWL22" s="119">
        <v>0</v>
      </c>
      <c r="AWM22" s="119">
        <v>0</v>
      </c>
      <c r="AWN22" s="121">
        <v>0</v>
      </c>
      <c r="AWO22" s="119">
        <v>0</v>
      </c>
      <c r="AWP22" s="119">
        <v>0</v>
      </c>
      <c r="AWQ22">
        <v>0</v>
      </c>
      <c r="AWR22">
        <v>0</v>
      </c>
      <c r="AWS22">
        <v>0</v>
      </c>
      <c r="AWT22" s="119">
        <v>0</v>
      </c>
      <c r="AWU22">
        <v>0</v>
      </c>
      <c r="AWV22">
        <v>0</v>
      </c>
      <c r="AWW22">
        <v>0</v>
      </c>
      <c r="AWX22">
        <v>0</v>
      </c>
      <c r="AWY22">
        <v>0</v>
      </c>
      <c r="AWZ22">
        <v>0</v>
      </c>
      <c r="AXA22">
        <v>0</v>
      </c>
      <c r="AXB22">
        <v>0</v>
      </c>
      <c r="AXC22">
        <v>0</v>
      </c>
      <c r="AXD22">
        <v>0</v>
      </c>
      <c r="AXE22">
        <v>0</v>
      </c>
      <c r="AXF22">
        <v>0</v>
      </c>
      <c r="AXG22">
        <v>0</v>
      </c>
      <c r="AXH22">
        <v>0</v>
      </c>
      <c r="AXI22">
        <v>0</v>
      </c>
      <c r="AXJ22">
        <v>0</v>
      </c>
      <c r="AXK22">
        <v>0</v>
      </c>
      <c r="AXL22">
        <v>0</v>
      </c>
      <c r="AXM22">
        <v>0</v>
      </c>
      <c r="AXN22">
        <v>0</v>
      </c>
      <c r="AXO22">
        <v>0</v>
      </c>
      <c r="AXP22">
        <v>0</v>
      </c>
      <c r="AXQ22">
        <v>0</v>
      </c>
      <c r="AXR22">
        <v>0</v>
      </c>
      <c r="AXS22" s="116">
        <v>0</v>
      </c>
      <c r="AXT22" s="116">
        <v>0</v>
      </c>
      <c r="AXU22" s="116">
        <v>0</v>
      </c>
      <c r="AXV22" s="116">
        <v>0</v>
      </c>
      <c r="AXW22" s="116">
        <v>0</v>
      </c>
      <c r="AXX22" s="116">
        <v>0</v>
      </c>
      <c r="AXY22" s="116">
        <v>0</v>
      </c>
      <c r="AXZ22" s="116">
        <v>0</v>
      </c>
      <c r="AYA22" s="116">
        <v>0</v>
      </c>
      <c r="AYB22" s="128">
        <v>0</v>
      </c>
      <c r="AYC22" s="128">
        <v>0</v>
      </c>
      <c r="AYD22" s="128">
        <v>0</v>
      </c>
      <c r="AYE22" s="128">
        <v>0</v>
      </c>
      <c r="AYF22">
        <v>0</v>
      </c>
      <c r="AYG22" s="119">
        <v>0</v>
      </c>
      <c r="AYH22" s="119">
        <v>0</v>
      </c>
      <c r="AYI22" s="119">
        <v>0</v>
      </c>
      <c r="AYJ22" s="119">
        <v>0</v>
      </c>
      <c r="AYK22" s="121">
        <v>0</v>
      </c>
      <c r="AYL22" s="119">
        <v>0</v>
      </c>
      <c r="AYM22" s="119">
        <v>0</v>
      </c>
      <c r="AYN22">
        <v>0</v>
      </c>
      <c r="AYO22">
        <v>0</v>
      </c>
      <c r="AYP22">
        <v>0</v>
      </c>
      <c r="AYQ22" s="119">
        <v>0</v>
      </c>
      <c r="AYR22">
        <v>0</v>
      </c>
      <c r="AYS22">
        <v>0</v>
      </c>
      <c r="AYT22">
        <v>0</v>
      </c>
      <c r="AYU22">
        <v>0</v>
      </c>
      <c r="AYV22">
        <v>0</v>
      </c>
      <c r="AYW22">
        <v>0</v>
      </c>
      <c r="AYX22">
        <v>0</v>
      </c>
      <c r="AYY22">
        <v>0</v>
      </c>
      <c r="AYZ22">
        <v>0</v>
      </c>
      <c r="AZA22">
        <v>0</v>
      </c>
      <c r="AZB22">
        <v>0</v>
      </c>
      <c r="AZC22">
        <v>0</v>
      </c>
      <c r="AZD22">
        <v>0</v>
      </c>
      <c r="AZE22">
        <v>0</v>
      </c>
      <c r="AZF22">
        <v>0</v>
      </c>
      <c r="AZG22">
        <v>0</v>
      </c>
      <c r="AZH22">
        <v>0</v>
      </c>
      <c r="AZI22">
        <v>0</v>
      </c>
      <c r="AZJ22">
        <v>0</v>
      </c>
      <c r="AZK22">
        <v>0</v>
      </c>
      <c r="AZL22">
        <v>0</v>
      </c>
      <c r="AZM22">
        <v>0</v>
      </c>
      <c r="AZN22">
        <v>0</v>
      </c>
      <c r="AZO22">
        <v>0</v>
      </c>
      <c r="AZP22" s="116">
        <v>0</v>
      </c>
      <c r="AZQ22" s="116">
        <v>0</v>
      </c>
      <c r="AZR22" s="116">
        <v>0</v>
      </c>
      <c r="AZS22" s="116">
        <v>0</v>
      </c>
      <c r="AZT22" s="116">
        <v>0</v>
      </c>
      <c r="AZU22" s="116">
        <v>0</v>
      </c>
      <c r="AZV22" s="116">
        <v>0</v>
      </c>
      <c r="AZW22" s="116">
        <v>0</v>
      </c>
      <c r="AZX22" s="116">
        <v>0</v>
      </c>
      <c r="AZY22" s="128">
        <v>0</v>
      </c>
      <c r="AZZ22" s="128">
        <v>0</v>
      </c>
      <c r="BAA22" s="128">
        <v>0</v>
      </c>
      <c r="BAB22" s="128">
        <v>0</v>
      </c>
      <c r="BAC22">
        <v>0</v>
      </c>
      <c r="BAD22" s="119">
        <v>0</v>
      </c>
      <c r="BAE22" s="119">
        <v>0</v>
      </c>
      <c r="BAF22" s="119">
        <v>0</v>
      </c>
      <c r="BAG22" s="119">
        <v>0</v>
      </c>
      <c r="BAH22" s="121">
        <v>0</v>
      </c>
      <c r="BAI22" s="119">
        <v>0</v>
      </c>
      <c r="BAJ22" s="119">
        <v>0</v>
      </c>
      <c r="BAK22">
        <v>1502298</v>
      </c>
      <c r="BAL22">
        <v>8328.83</v>
      </c>
      <c r="BAM22">
        <v>7004.83</v>
      </c>
      <c r="BAN22" s="119">
        <v>1324</v>
      </c>
      <c r="BAO22">
        <v>0</v>
      </c>
      <c r="BAP22">
        <v>0</v>
      </c>
      <c r="BAQ22">
        <v>255.49</v>
      </c>
      <c r="BAR22">
        <v>0</v>
      </c>
      <c r="BAS22">
        <v>0</v>
      </c>
      <c r="BAT22">
        <v>0</v>
      </c>
      <c r="BAU22">
        <v>0</v>
      </c>
      <c r="BAV22">
        <v>0</v>
      </c>
      <c r="BAW22">
        <v>0</v>
      </c>
      <c r="BAX22">
        <v>0</v>
      </c>
      <c r="BAY22">
        <v>0</v>
      </c>
      <c r="BAZ22">
        <v>0</v>
      </c>
      <c r="BBA22">
        <v>0</v>
      </c>
      <c r="BBB22">
        <v>0</v>
      </c>
      <c r="BBC22">
        <v>0</v>
      </c>
      <c r="BBD22">
        <v>0</v>
      </c>
      <c r="BBE22">
        <v>0</v>
      </c>
      <c r="BBF22">
        <v>0</v>
      </c>
      <c r="BBG22">
        <v>0</v>
      </c>
      <c r="BBH22">
        <v>0</v>
      </c>
      <c r="BBI22">
        <v>0</v>
      </c>
      <c r="BBJ22">
        <v>0</v>
      </c>
      <c r="BBK22">
        <v>0</v>
      </c>
      <c r="BBL22">
        <v>0</v>
      </c>
      <c r="BBM22">
        <v>0</v>
      </c>
      <c r="BBN22" s="120">
        <v>0</v>
      </c>
      <c r="BBO22" s="120">
        <v>0</v>
      </c>
      <c r="BBP22" s="120">
        <v>0</v>
      </c>
      <c r="BBQ22" s="120">
        <v>0</v>
      </c>
      <c r="BBR22" s="120">
        <v>0</v>
      </c>
      <c r="BBS22" s="120">
        <v>0</v>
      </c>
      <c r="BBT22" s="304">
        <v>0</v>
      </c>
      <c r="BBU22" s="304">
        <v>0</v>
      </c>
      <c r="BBV22" s="304">
        <v>0</v>
      </c>
      <c r="BBW22" s="304">
        <v>0</v>
      </c>
      <c r="BBX22" s="304">
        <v>0</v>
      </c>
      <c r="BBY22" s="304">
        <v>0</v>
      </c>
      <c r="BBZ22" s="304">
        <v>0</v>
      </c>
      <c r="BCA22" s="304">
        <v>0</v>
      </c>
      <c r="BCB22" s="304">
        <v>0</v>
      </c>
      <c r="BCC22" s="304">
        <v>0</v>
      </c>
      <c r="BCD22" s="304">
        <v>0</v>
      </c>
      <c r="BCE22" s="304">
        <v>0</v>
      </c>
      <c r="BCF22" s="304">
        <v>0</v>
      </c>
      <c r="BCG22" s="304">
        <v>0</v>
      </c>
      <c r="BCH22" s="304">
        <v>0</v>
      </c>
      <c r="BCI22" s="304">
        <v>0</v>
      </c>
      <c r="BCJ22" s="304">
        <v>0</v>
      </c>
      <c r="BCK22" s="304">
        <v>0</v>
      </c>
      <c r="BCL22" s="304">
        <v>0</v>
      </c>
      <c r="BCM22" s="304">
        <v>0</v>
      </c>
      <c r="BCN22" s="304">
        <v>0</v>
      </c>
      <c r="BCO22" s="304">
        <v>0</v>
      </c>
      <c r="BCP22" s="304">
        <v>1</v>
      </c>
      <c r="BCQ22" s="304">
        <v>2</v>
      </c>
      <c r="BCR22" s="304">
        <v>3</v>
      </c>
      <c r="BCS22" s="304">
        <v>4</v>
      </c>
      <c r="BCT22" s="304">
        <v>5</v>
      </c>
      <c r="BCU22">
        <v>6</v>
      </c>
      <c r="BCV22">
        <v>7</v>
      </c>
      <c r="BCW22">
        <v>8</v>
      </c>
      <c r="BCX22">
        <v>9</v>
      </c>
      <c r="BCY22">
        <v>2</v>
      </c>
      <c r="BCZ22">
        <v>3</v>
      </c>
      <c r="BDA22">
        <v>4</v>
      </c>
      <c r="BDB22">
        <v>5</v>
      </c>
      <c r="BDC22">
        <v>6</v>
      </c>
      <c r="BDD22">
        <v>7</v>
      </c>
      <c r="BDE22">
        <v>8</v>
      </c>
      <c r="BDF22">
        <v>9</v>
      </c>
      <c r="BDG22">
        <v>9</v>
      </c>
      <c r="BDH22">
        <v>0</v>
      </c>
      <c r="BDI22">
        <v>0</v>
      </c>
      <c r="BDJ22">
        <v>0</v>
      </c>
      <c r="BDK22">
        <v>0</v>
      </c>
      <c r="BDL22">
        <v>0</v>
      </c>
      <c r="BDM22">
        <v>0</v>
      </c>
      <c r="BDN22">
        <v>0</v>
      </c>
      <c r="BDO22">
        <v>0</v>
      </c>
      <c r="BDP22">
        <v>0</v>
      </c>
      <c r="BDQ22">
        <v>0</v>
      </c>
      <c r="BDR22">
        <v>0</v>
      </c>
      <c r="BDS22">
        <v>0</v>
      </c>
      <c r="BDT22">
        <v>0</v>
      </c>
      <c r="BDU22">
        <v>0</v>
      </c>
      <c r="BDV22">
        <v>0</v>
      </c>
      <c r="BDW22">
        <v>0</v>
      </c>
      <c r="BDX22">
        <v>0</v>
      </c>
      <c r="BDY22">
        <v>0</v>
      </c>
      <c r="BDZ22">
        <v>0</v>
      </c>
      <c r="BEA22">
        <v>0</v>
      </c>
      <c r="BEB22">
        <v>0</v>
      </c>
      <c r="BEC22">
        <v>0</v>
      </c>
      <c r="BED22">
        <v>0</v>
      </c>
      <c r="BEE22">
        <v>0</v>
      </c>
      <c r="BEF22">
        <v>0</v>
      </c>
      <c r="BEG22">
        <v>0</v>
      </c>
      <c r="BEH22">
        <v>0</v>
      </c>
      <c r="BEI22">
        <v>0</v>
      </c>
      <c r="BEJ22">
        <v>0</v>
      </c>
      <c r="BEK22">
        <v>0</v>
      </c>
      <c r="BEL22">
        <v>0</v>
      </c>
      <c r="BEM22">
        <v>0</v>
      </c>
      <c r="BEN22">
        <v>0</v>
      </c>
      <c r="BEO22">
        <v>0</v>
      </c>
      <c r="BEP22">
        <v>0</v>
      </c>
      <c r="BEQ22">
        <v>0</v>
      </c>
      <c r="BER22">
        <v>0</v>
      </c>
      <c r="BES22">
        <v>0</v>
      </c>
      <c r="BET22">
        <v>0</v>
      </c>
      <c r="BEU22">
        <v>0</v>
      </c>
      <c r="BEV22">
        <v>0</v>
      </c>
      <c r="BEW22">
        <v>0</v>
      </c>
      <c r="BEX22">
        <v>0</v>
      </c>
      <c r="BEY22">
        <v>0</v>
      </c>
      <c r="BEZ22">
        <v>0</v>
      </c>
      <c r="BFA22">
        <v>0</v>
      </c>
      <c r="BFB22">
        <v>0</v>
      </c>
      <c r="BFC22">
        <v>0</v>
      </c>
      <c r="BFD22" t="b">
        <v>0</v>
      </c>
      <c r="BFE22" t="b">
        <v>0</v>
      </c>
      <c r="BFF22" t="b">
        <v>0</v>
      </c>
      <c r="BFG22" t="b">
        <v>0</v>
      </c>
      <c r="BFH22">
        <v>0</v>
      </c>
      <c r="BFI22">
        <v>0</v>
      </c>
      <c r="BFJ22">
        <v>0</v>
      </c>
      <c r="BFK22">
        <v>0</v>
      </c>
      <c r="BFL22">
        <v>0</v>
      </c>
      <c r="BFM22">
        <v>0</v>
      </c>
      <c r="BFN22">
        <v>0</v>
      </c>
      <c r="BFO22">
        <v>0</v>
      </c>
      <c r="BFP22">
        <v>0</v>
      </c>
      <c r="BFQ22">
        <v>0</v>
      </c>
      <c r="BFR22">
        <v>0</v>
      </c>
      <c r="BFS22">
        <v>0</v>
      </c>
      <c r="BFT22">
        <v>0</v>
      </c>
      <c r="BFU22">
        <v>0</v>
      </c>
      <c r="BFV22">
        <v>0</v>
      </c>
      <c r="BFW22">
        <v>0</v>
      </c>
      <c r="BFX22">
        <v>0</v>
      </c>
      <c r="BFY22">
        <v>0</v>
      </c>
    </row>
    <row r="23" spans="1:1533" ht="18.75" customHeight="1" x14ac:dyDescent="0.25">
      <c r="A23" t="s">
        <v>3192</v>
      </c>
      <c r="B23" t="s">
        <v>3196</v>
      </c>
      <c r="C23" s="120">
        <v>130</v>
      </c>
      <c r="D23" s="120">
        <v>45</v>
      </c>
      <c r="E23">
        <v>0</v>
      </c>
      <c r="F23">
        <v>0</v>
      </c>
      <c r="G23">
        <v>0</v>
      </c>
      <c r="H23" t="s">
        <v>2404</v>
      </c>
      <c r="I23" t="s">
        <v>2403</v>
      </c>
      <c r="J23" t="s">
        <v>2403</v>
      </c>
      <c r="K23" t="s">
        <v>2403</v>
      </c>
      <c r="L23" t="s">
        <v>2404</v>
      </c>
      <c r="M23" t="s">
        <v>3193</v>
      </c>
      <c r="N23" t="s">
        <v>2404</v>
      </c>
      <c r="O23" t="s">
        <v>2738</v>
      </c>
      <c r="P23" t="s">
        <v>1883</v>
      </c>
      <c r="Q23" t="s">
        <v>2403</v>
      </c>
      <c r="R23" t="s">
        <v>1883</v>
      </c>
      <c r="S23" t="s">
        <v>2403</v>
      </c>
      <c r="T23" t="s">
        <v>2404</v>
      </c>
      <c r="U23" t="s">
        <v>2424</v>
      </c>
      <c r="V23" t="s">
        <v>2889</v>
      </c>
      <c r="W23" t="s">
        <v>309</v>
      </c>
      <c r="X23">
        <v>900</v>
      </c>
      <c r="Y23">
        <v>43480</v>
      </c>
      <c r="Z23">
        <v>1469</v>
      </c>
      <c r="AA23">
        <v>0</v>
      </c>
      <c r="AB23" s="120">
        <v>100</v>
      </c>
      <c r="AC23" s="58" t="s">
        <v>272</v>
      </c>
      <c r="AD23" s="120">
        <v>25</v>
      </c>
      <c r="AE23" s="120">
        <v>0</v>
      </c>
      <c r="AF23" s="120">
        <v>43512</v>
      </c>
      <c r="AG23">
        <v>45</v>
      </c>
      <c r="AH23" s="120">
        <v>0</v>
      </c>
      <c r="AI23" s="120">
        <v>0</v>
      </c>
      <c r="AJ23" s="58" t="s">
        <v>271</v>
      </c>
      <c r="AK23" s="120">
        <v>0.17988999999999999</v>
      </c>
      <c r="AL23" s="119">
        <v>0</v>
      </c>
      <c r="AM23">
        <v>50</v>
      </c>
      <c r="AN23">
        <v>47134</v>
      </c>
      <c r="AO23" s="114">
        <v>0.19833184904344403</v>
      </c>
      <c r="AP23" s="120">
        <v>9774.6299999999992</v>
      </c>
      <c r="AQ23" s="120">
        <v>12920.88</v>
      </c>
      <c r="AR23" s="58">
        <v>22695.51</v>
      </c>
      <c r="AS23" s="114">
        <v>187.87</v>
      </c>
      <c r="AT23" s="120">
        <v>338.98</v>
      </c>
      <c r="AU23" s="120" t="s">
        <v>1912</v>
      </c>
      <c r="AV23" s="120" t="s">
        <v>2119</v>
      </c>
      <c r="AW23" s="120" t="s">
        <v>271</v>
      </c>
      <c r="AX23" s="120">
        <v>19</v>
      </c>
      <c r="AY23">
        <v>0</v>
      </c>
      <c r="AZ23">
        <v>43466</v>
      </c>
      <c r="BA23">
        <v>100</v>
      </c>
      <c r="BB23" s="120">
        <v>2</v>
      </c>
      <c r="BC23">
        <v>1</v>
      </c>
      <c r="BD23" s="58" t="s">
        <v>415</v>
      </c>
      <c r="BE23" s="120">
        <v>336</v>
      </c>
      <c r="BF23">
        <v>72</v>
      </c>
      <c r="BG23">
        <v>43476</v>
      </c>
      <c r="BH23">
        <v>120</v>
      </c>
      <c r="BI23" s="120">
        <v>0</v>
      </c>
      <c r="BJ23" s="120">
        <v>50</v>
      </c>
      <c r="BK23" s="58">
        <v>43466</v>
      </c>
      <c r="BL23">
        <v>0</v>
      </c>
      <c r="BM23" s="120">
        <v>0</v>
      </c>
      <c r="BN23" s="120">
        <v>0</v>
      </c>
      <c r="BO23" s="58" t="s">
        <v>3184</v>
      </c>
      <c r="BP23" t="s">
        <v>2403</v>
      </c>
      <c r="BQ23" t="s">
        <v>2403</v>
      </c>
      <c r="BR23" t="s">
        <v>2403</v>
      </c>
      <c r="BS23" t="s">
        <v>3185</v>
      </c>
      <c r="BT23">
        <v>32143</v>
      </c>
      <c r="BU23" s="58" t="s">
        <v>3187</v>
      </c>
      <c r="BV23" t="s">
        <v>118</v>
      </c>
      <c r="BW23" t="s">
        <v>1633</v>
      </c>
      <c r="BX23">
        <v>77072</v>
      </c>
      <c r="BY23" t="s">
        <v>3187</v>
      </c>
      <c r="BZ23" t="s">
        <v>118</v>
      </c>
      <c r="CA23">
        <v>77072</v>
      </c>
      <c r="CB23" t="s">
        <v>1633</v>
      </c>
      <c r="CC23" t="s">
        <v>316</v>
      </c>
      <c r="CD23">
        <v>0</v>
      </c>
      <c r="CE23" t="s">
        <v>3189</v>
      </c>
      <c r="CF23">
        <v>0</v>
      </c>
      <c r="CG23">
        <v>0</v>
      </c>
      <c r="CH23">
        <v>0</v>
      </c>
      <c r="CI23">
        <v>0</v>
      </c>
      <c r="CJ23">
        <v>0</v>
      </c>
      <c r="CK23">
        <v>0</v>
      </c>
      <c r="CL23">
        <v>0</v>
      </c>
      <c r="CM23" s="118">
        <v>1111111111</v>
      </c>
      <c r="CN23" s="118" t="s">
        <v>2869</v>
      </c>
      <c r="CO23" s="118" t="s">
        <v>3186</v>
      </c>
      <c r="CP23" t="s">
        <v>2403</v>
      </c>
      <c r="CQ23" t="s">
        <v>2403</v>
      </c>
      <c r="CR23" t="s">
        <v>2403</v>
      </c>
      <c r="CS23" t="s">
        <v>3187</v>
      </c>
      <c r="CT23" t="s">
        <v>118</v>
      </c>
      <c r="CU23" t="s">
        <v>1633</v>
      </c>
      <c r="CV23">
        <v>77072</v>
      </c>
      <c r="CW23" t="s">
        <v>3188</v>
      </c>
      <c r="CX23">
        <v>29221</v>
      </c>
      <c r="CY23" t="s">
        <v>3187</v>
      </c>
      <c r="CZ23" s="58" t="s">
        <v>118</v>
      </c>
      <c r="DA23">
        <v>77072</v>
      </c>
      <c r="DB23" t="s">
        <v>1633</v>
      </c>
      <c r="DC23" t="s">
        <v>316</v>
      </c>
      <c r="DD23">
        <v>0</v>
      </c>
      <c r="DE23">
        <v>0</v>
      </c>
      <c r="DF23">
        <v>0</v>
      </c>
      <c r="DG23">
        <v>0</v>
      </c>
      <c r="DH23">
        <v>0</v>
      </c>
      <c r="DI23">
        <v>0</v>
      </c>
      <c r="DJ23">
        <v>0</v>
      </c>
      <c r="DK23">
        <v>0</v>
      </c>
      <c r="DL23">
        <v>2222222222</v>
      </c>
      <c r="DM23">
        <v>0</v>
      </c>
      <c r="DN23" s="118" t="s">
        <v>2869</v>
      </c>
      <c r="DO23" s="118">
        <v>0</v>
      </c>
      <c r="DP23" s="118">
        <v>0</v>
      </c>
      <c r="DQ23">
        <v>0</v>
      </c>
      <c r="DR23">
        <v>0</v>
      </c>
      <c r="DS23">
        <v>0</v>
      </c>
      <c r="DT23">
        <v>0</v>
      </c>
      <c r="DU23">
        <v>0</v>
      </c>
      <c r="DV23">
        <v>0</v>
      </c>
      <c r="DW23">
        <v>0</v>
      </c>
      <c r="DX23">
        <v>0</v>
      </c>
      <c r="DY23">
        <v>0</v>
      </c>
      <c r="DZ23">
        <v>0</v>
      </c>
      <c r="EA23" s="58">
        <v>0</v>
      </c>
      <c r="EB23">
        <v>0</v>
      </c>
      <c r="EC23">
        <v>0</v>
      </c>
      <c r="ED23">
        <v>0</v>
      </c>
      <c r="EE23">
        <v>0</v>
      </c>
      <c r="EF23">
        <v>0</v>
      </c>
      <c r="EG23">
        <v>0</v>
      </c>
      <c r="EH23">
        <v>0</v>
      </c>
      <c r="EI23">
        <v>0</v>
      </c>
      <c r="EJ23">
        <v>0</v>
      </c>
      <c r="EK23">
        <v>0</v>
      </c>
      <c r="EL23">
        <v>0</v>
      </c>
      <c r="EM23">
        <v>0</v>
      </c>
      <c r="EN23">
        <v>0</v>
      </c>
      <c r="EO23" s="118">
        <v>2369</v>
      </c>
      <c r="EP23" s="118">
        <v>7989.6298828125</v>
      </c>
      <c r="EQ23" s="118">
        <v>2</v>
      </c>
      <c r="ER23">
        <v>2</v>
      </c>
      <c r="ES23" t="s">
        <v>2508</v>
      </c>
      <c r="ET23" s="119" t="s">
        <v>431</v>
      </c>
      <c r="EU23">
        <v>0</v>
      </c>
      <c r="EV23">
        <v>0</v>
      </c>
      <c r="EW23">
        <v>0</v>
      </c>
      <c r="EX23">
        <v>0</v>
      </c>
      <c r="EY23">
        <v>0</v>
      </c>
      <c r="EZ23">
        <v>0</v>
      </c>
      <c r="FA23">
        <v>0</v>
      </c>
      <c r="FB23">
        <v>0</v>
      </c>
      <c r="FC23">
        <v>0</v>
      </c>
      <c r="FD23">
        <v>0</v>
      </c>
      <c r="FE23">
        <v>0</v>
      </c>
      <c r="FF23">
        <v>0</v>
      </c>
      <c r="FG23">
        <v>0</v>
      </c>
      <c r="FH23">
        <v>0</v>
      </c>
      <c r="FI23">
        <v>0</v>
      </c>
      <c r="FJ23">
        <v>0</v>
      </c>
      <c r="FK23">
        <v>0</v>
      </c>
      <c r="FL23">
        <v>0</v>
      </c>
      <c r="FM23">
        <v>4840.28</v>
      </c>
      <c r="FN23">
        <v>3149.35</v>
      </c>
      <c r="FO23">
        <v>0</v>
      </c>
      <c r="FP23">
        <v>0</v>
      </c>
      <c r="FQ23" s="119">
        <v>0</v>
      </c>
      <c r="FR23" s="119">
        <v>0</v>
      </c>
      <c r="FS23" s="119">
        <v>0</v>
      </c>
      <c r="FT23" s="119">
        <v>0</v>
      </c>
      <c r="FU23" s="119">
        <v>0</v>
      </c>
      <c r="FV23" s="119">
        <v>0</v>
      </c>
      <c r="FW23" s="119">
        <v>0</v>
      </c>
      <c r="FX23" s="119">
        <v>0</v>
      </c>
      <c r="FY23" s="119">
        <v>0</v>
      </c>
      <c r="FZ23" s="119">
        <v>0</v>
      </c>
      <c r="GA23" s="119">
        <v>0</v>
      </c>
      <c r="GB23" s="119">
        <v>0</v>
      </c>
      <c r="GC23" s="119">
        <v>0</v>
      </c>
      <c r="GD23" s="119">
        <v>0</v>
      </c>
      <c r="GE23" s="119">
        <v>0</v>
      </c>
      <c r="GF23" s="119">
        <v>0</v>
      </c>
      <c r="GG23" s="119">
        <v>0</v>
      </c>
      <c r="GH23" s="119" t="s">
        <v>2403</v>
      </c>
      <c r="GI23" s="119">
        <v>0</v>
      </c>
      <c r="GJ23" s="119">
        <v>0</v>
      </c>
      <c r="GK23">
        <v>0</v>
      </c>
      <c r="GL23" t="s">
        <v>2403</v>
      </c>
      <c r="GM23">
        <v>0</v>
      </c>
      <c r="GN23" t="s">
        <v>2403</v>
      </c>
      <c r="GO23">
        <v>0</v>
      </c>
      <c r="GP23" t="s">
        <v>3190</v>
      </c>
      <c r="GQ23" s="58" t="s">
        <v>3191</v>
      </c>
      <c r="GR23">
        <v>0</v>
      </c>
      <c r="GS23">
        <v>0</v>
      </c>
      <c r="GT23" s="128" t="s">
        <v>3187</v>
      </c>
      <c r="GU23" s="128">
        <v>4840.28</v>
      </c>
      <c r="GV23" s="128">
        <v>3149.35</v>
      </c>
      <c r="GW23" s="128">
        <v>0</v>
      </c>
      <c r="GX23">
        <v>0</v>
      </c>
      <c r="GY23" s="119">
        <v>0</v>
      </c>
      <c r="GZ23" s="119">
        <v>0</v>
      </c>
      <c r="HA23" s="119">
        <v>0</v>
      </c>
      <c r="HB23" s="119">
        <v>0</v>
      </c>
      <c r="HC23">
        <v>7989.6298828125</v>
      </c>
      <c r="HD23">
        <v>0</v>
      </c>
      <c r="HE23">
        <v>0</v>
      </c>
      <c r="HF23" t="s">
        <v>118</v>
      </c>
      <c r="HG23" s="120" t="s">
        <v>106</v>
      </c>
      <c r="HH23" s="119" t="s">
        <v>2403</v>
      </c>
      <c r="HI23">
        <v>0</v>
      </c>
      <c r="HJ23" t="s">
        <v>2403</v>
      </c>
      <c r="HK23">
        <v>0</v>
      </c>
      <c r="HL23">
        <v>0</v>
      </c>
      <c r="HM23" s="119">
        <v>0</v>
      </c>
      <c r="HN23">
        <v>0</v>
      </c>
      <c r="HO23" t="s">
        <v>3195</v>
      </c>
      <c r="HP23" t="s">
        <v>2403</v>
      </c>
      <c r="HQ23">
        <v>0</v>
      </c>
      <c r="HR23" t="s">
        <v>1633</v>
      </c>
      <c r="HS23" t="s">
        <v>2508</v>
      </c>
      <c r="HT23" t="s">
        <v>431</v>
      </c>
      <c r="HU23">
        <v>0</v>
      </c>
      <c r="HV23">
        <v>0</v>
      </c>
      <c r="HW23" t="s">
        <v>3194</v>
      </c>
      <c r="HX23" t="s">
        <v>3194</v>
      </c>
      <c r="HY23">
        <v>0</v>
      </c>
      <c r="HZ23">
        <v>0</v>
      </c>
      <c r="IA23">
        <v>77072</v>
      </c>
      <c r="IB23" t="s">
        <v>2403</v>
      </c>
      <c r="IC23">
        <v>0</v>
      </c>
      <c r="ID23">
        <v>0</v>
      </c>
      <c r="IE23">
        <v>0</v>
      </c>
      <c r="IF23">
        <v>0</v>
      </c>
      <c r="IG23">
        <v>0</v>
      </c>
      <c r="IH23">
        <v>0</v>
      </c>
      <c r="II23">
        <v>0</v>
      </c>
      <c r="IJ23">
        <v>0</v>
      </c>
      <c r="IK23">
        <v>0</v>
      </c>
      <c r="IL23">
        <v>0</v>
      </c>
      <c r="IM23">
        <v>0</v>
      </c>
      <c r="IN23">
        <v>0</v>
      </c>
      <c r="IO23">
        <v>0</v>
      </c>
      <c r="IP23" s="128">
        <v>0</v>
      </c>
      <c r="IQ23" s="128">
        <v>0</v>
      </c>
      <c r="IR23" s="128">
        <v>0</v>
      </c>
      <c r="IS23" s="128">
        <v>0</v>
      </c>
      <c r="IT23">
        <v>0</v>
      </c>
      <c r="IU23" s="119">
        <v>0</v>
      </c>
      <c r="IV23" s="119">
        <v>0</v>
      </c>
      <c r="IW23" s="119">
        <v>0</v>
      </c>
      <c r="IX23" s="119">
        <v>0</v>
      </c>
      <c r="IY23" s="119">
        <v>0</v>
      </c>
      <c r="IZ23">
        <v>0</v>
      </c>
      <c r="JA23">
        <v>0</v>
      </c>
      <c r="JB23">
        <v>0</v>
      </c>
      <c r="JC23">
        <v>0</v>
      </c>
      <c r="JD23">
        <v>0</v>
      </c>
      <c r="JE23" s="119">
        <v>0</v>
      </c>
      <c r="JF23">
        <v>0</v>
      </c>
      <c r="JG23">
        <v>0</v>
      </c>
      <c r="JH23">
        <v>0</v>
      </c>
      <c r="JI23">
        <v>0</v>
      </c>
      <c r="JJ23">
        <v>0</v>
      </c>
      <c r="JK23">
        <v>0</v>
      </c>
      <c r="JL23">
        <v>0</v>
      </c>
      <c r="JM23">
        <v>0</v>
      </c>
      <c r="JN23">
        <v>0</v>
      </c>
      <c r="JO23">
        <v>0</v>
      </c>
      <c r="JP23">
        <v>0</v>
      </c>
      <c r="JQ23">
        <v>0</v>
      </c>
      <c r="JR23">
        <v>0</v>
      </c>
      <c r="JS23">
        <v>0</v>
      </c>
      <c r="JT23">
        <v>0</v>
      </c>
      <c r="JU23">
        <v>0</v>
      </c>
      <c r="JV23">
        <v>0</v>
      </c>
      <c r="JW23">
        <v>0</v>
      </c>
      <c r="JX23">
        <v>0</v>
      </c>
      <c r="JY23">
        <v>0</v>
      </c>
      <c r="JZ23">
        <v>0</v>
      </c>
      <c r="KA23">
        <v>0</v>
      </c>
      <c r="KB23">
        <v>0</v>
      </c>
      <c r="KC23">
        <v>0</v>
      </c>
      <c r="KD23">
        <v>0</v>
      </c>
      <c r="KE23">
        <v>0</v>
      </c>
      <c r="KF23">
        <v>0</v>
      </c>
      <c r="KG23">
        <v>0</v>
      </c>
      <c r="KH23">
        <v>0</v>
      </c>
      <c r="KI23">
        <v>0</v>
      </c>
      <c r="KJ23">
        <v>0</v>
      </c>
      <c r="KK23">
        <v>0</v>
      </c>
      <c r="KL23" s="128">
        <v>0</v>
      </c>
      <c r="KM23" s="128">
        <v>0</v>
      </c>
      <c r="KN23" s="128">
        <v>0</v>
      </c>
      <c r="KO23" s="128">
        <v>0</v>
      </c>
      <c r="KP23">
        <v>0</v>
      </c>
      <c r="KQ23" s="119">
        <v>0</v>
      </c>
      <c r="KR23" s="119">
        <v>0</v>
      </c>
      <c r="KS23" s="119">
        <v>0</v>
      </c>
      <c r="KT23" s="119">
        <v>0</v>
      </c>
      <c r="KU23" s="121">
        <v>0</v>
      </c>
      <c r="KV23">
        <v>0</v>
      </c>
      <c r="KW23" s="119">
        <v>0</v>
      </c>
      <c r="KX23">
        <v>0</v>
      </c>
      <c r="KY23">
        <v>0</v>
      </c>
      <c r="KZ23">
        <v>0</v>
      </c>
      <c r="LA23" s="119">
        <v>0</v>
      </c>
      <c r="LB23">
        <v>0</v>
      </c>
      <c r="LC23">
        <v>0</v>
      </c>
      <c r="LD23">
        <v>0</v>
      </c>
      <c r="LE23">
        <v>0</v>
      </c>
      <c r="LF23">
        <v>0</v>
      </c>
      <c r="LG23">
        <v>0</v>
      </c>
      <c r="LH23">
        <v>0</v>
      </c>
      <c r="LI23">
        <v>0</v>
      </c>
      <c r="LJ23">
        <v>0</v>
      </c>
      <c r="LK23">
        <v>0</v>
      </c>
      <c r="LL23">
        <v>0</v>
      </c>
      <c r="LM23">
        <v>0</v>
      </c>
      <c r="LN23">
        <v>0</v>
      </c>
      <c r="LO23">
        <v>0</v>
      </c>
      <c r="LP23">
        <v>0</v>
      </c>
      <c r="LQ23">
        <v>0</v>
      </c>
      <c r="LR23">
        <v>0</v>
      </c>
      <c r="LS23">
        <v>0</v>
      </c>
      <c r="LT23">
        <v>0</v>
      </c>
      <c r="LU23">
        <v>0</v>
      </c>
      <c r="LV23">
        <v>0</v>
      </c>
      <c r="LW23">
        <v>0</v>
      </c>
      <c r="LX23">
        <v>0</v>
      </c>
      <c r="LY23">
        <v>0</v>
      </c>
      <c r="LZ23">
        <v>0</v>
      </c>
      <c r="MA23">
        <v>0</v>
      </c>
      <c r="MB23">
        <v>0</v>
      </c>
      <c r="MC23">
        <v>0</v>
      </c>
      <c r="MD23">
        <v>0</v>
      </c>
      <c r="ME23">
        <v>0</v>
      </c>
      <c r="MF23">
        <v>0</v>
      </c>
      <c r="MG23">
        <v>0</v>
      </c>
      <c r="MH23" s="128">
        <v>0</v>
      </c>
      <c r="MI23" s="128">
        <v>0</v>
      </c>
      <c r="MJ23" s="128">
        <v>0</v>
      </c>
      <c r="MK23" s="128">
        <v>0</v>
      </c>
      <c r="ML23">
        <v>0</v>
      </c>
      <c r="MM23" s="119">
        <v>0</v>
      </c>
      <c r="MN23" s="119">
        <v>0</v>
      </c>
      <c r="MO23" s="119">
        <v>0</v>
      </c>
      <c r="MP23" s="119">
        <v>0</v>
      </c>
      <c r="MQ23" s="121">
        <v>0</v>
      </c>
      <c r="MR23" s="119">
        <v>0</v>
      </c>
      <c r="MS23">
        <v>0</v>
      </c>
      <c r="MT23">
        <v>0</v>
      </c>
      <c r="MU23">
        <v>0</v>
      </c>
      <c r="MV23">
        <v>0</v>
      </c>
      <c r="MW23" s="119">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s="116">
        <v>0</v>
      </c>
      <c r="NV23" s="116">
        <v>0</v>
      </c>
      <c r="NW23" s="116">
        <v>0</v>
      </c>
      <c r="NX23" s="116">
        <v>0</v>
      </c>
      <c r="NY23" s="116">
        <v>0</v>
      </c>
      <c r="NZ23" s="116">
        <v>0</v>
      </c>
      <c r="OA23" s="116">
        <v>0</v>
      </c>
      <c r="OB23" s="116">
        <v>0</v>
      </c>
      <c r="OC23" s="116">
        <v>0</v>
      </c>
      <c r="OD23" s="128">
        <v>0</v>
      </c>
      <c r="OE23" s="128">
        <v>0</v>
      </c>
      <c r="OF23" s="128">
        <v>0</v>
      </c>
      <c r="OG23" s="128">
        <v>0</v>
      </c>
      <c r="OH23">
        <v>0</v>
      </c>
      <c r="OI23" s="119">
        <v>0</v>
      </c>
      <c r="OJ23" s="119">
        <v>0</v>
      </c>
      <c r="OK23" s="119">
        <v>0</v>
      </c>
      <c r="OL23" s="119">
        <v>0</v>
      </c>
      <c r="OM23" s="121">
        <v>0</v>
      </c>
      <c r="ON23" s="119">
        <v>0</v>
      </c>
      <c r="OO23">
        <v>0</v>
      </c>
      <c r="OP23">
        <v>0</v>
      </c>
      <c r="OQ23">
        <v>0</v>
      </c>
      <c r="OR23">
        <v>0</v>
      </c>
      <c r="OS23" s="119">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s="128">
        <v>0</v>
      </c>
      <c r="QA23" s="128">
        <v>0</v>
      </c>
      <c r="QB23" s="128">
        <v>0</v>
      </c>
      <c r="QC23" s="128">
        <v>0</v>
      </c>
      <c r="QD23">
        <v>0</v>
      </c>
      <c r="QE23" s="119">
        <v>0</v>
      </c>
      <c r="QF23" s="119">
        <v>0</v>
      </c>
      <c r="QG23" s="119">
        <v>0</v>
      </c>
      <c r="QH23" s="119">
        <v>0</v>
      </c>
      <c r="QI23" s="121">
        <v>0</v>
      </c>
      <c r="QJ23" s="119">
        <v>0</v>
      </c>
      <c r="QK23">
        <v>0</v>
      </c>
      <c r="QL23">
        <v>0</v>
      </c>
      <c r="QM23">
        <v>0</v>
      </c>
      <c r="QN23">
        <v>0</v>
      </c>
      <c r="QO23" s="119">
        <v>0</v>
      </c>
      <c r="QP23">
        <v>0</v>
      </c>
      <c r="QQ23">
        <v>0</v>
      </c>
      <c r="QR23">
        <v>0</v>
      </c>
      <c r="QS23">
        <v>0</v>
      </c>
      <c r="QT23">
        <v>0</v>
      </c>
      <c r="QU23">
        <v>0</v>
      </c>
      <c r="QV23">
        <v>0</v>
      </c>
      <c r="QW23">
        <v>0</v>
      </c>
      <c r="QX23">
        <v>0</v>
      </c>
      <c r="QY23">
        <v>0</v>
      </c>
      <c r="QZ23">
        <v>0</v>
      </c>
      <c r="RA23">
        <v>0</v>
      </c>
      <c r="RB23">
        <v>0</v>
      </c>
      <c r="RC23">
        <v>0</v>
      </c>
      <c r="RD23">
        <v>0</v>
      </c>
      <c r="RE23">
        <v>0</v>
      </c>
      <c r="RF23">
        <v>0</v>
      </c>
      <c r="RG23">
        <v>0</v>
      </c>
      <c r="RH23">
        <v>0</v>
      </c>
      <c r="RI23">
        <v>0</v>
      </c>
      <c r="RJ23">
        <v>0</v>
      </c>
      <c r="RK23">
        <v>0</v>
      </c>
      <c r="RL23">
        <v>0</v>
      </c>
      <c r="RM23" s="116">
        <v>0</v>
      </c>
      <c r="RN23" s="116">
        <v>0</v>
      </c>
      <c r="RO23" s="116">
        <v>0</v>
      </c>
      <c r="RP23" s="116">
        <v>0</v>
      </c>
      <c r="RQ23" s="116">
        <v>0</v>
      </c>
      <c r="RR23" s="116">
        <v>0</v>
      </c>
      <c r="RS23" s="116">
        <v>0</v>
      </c>
      <c r="RT23" s="116">
        <v>0</v>
      </c>
      <c r="RU23" s="116">
        <v>0</v>
      </c>
      <c r="RV23" s="128">
        <v>0</v>
      </c>
      <c r="RW23" s="128">
        <v>0</v>
      </c>
      <c r="RX23" s="128">
        <v>0</v>
      </c>
      <c r="RY23" s="128">
        <v>0</v>
      </c>
      <c r="RZ23">
        <v>0</v>
      </c>
      <c r="SA23" s="119">
        <v>0</v>
      </c>
      <c r="SB23" s="119">
        <v>0</v>
      </c>
      <c r="SC23" s="119">
        <v>0</v>
      </c>
      <c r="SD23" s="119">
        <v>0</v>
      </c>
      <c r="SE23" s="121">
        <v>0</v>
      </c>
      <c r="SF23" s="119">
        <v>0</v>
      </c>
      <c r="SG23">
        <v>0</v>
      </c>
      <c r="SH23">
        <v>0</v>
      </c>
      <c r="SI23">
        <v>0</v>
      </c>
      <c r="SJ23">
        <v>0</v>
      </c>
      <c r="SK23" s="119">
        <v>0</v>
      </c>
      <c r="SL23">
        <v>0</v>
      </c>
      <c r="SM23">
        <v>0</v>
      </c>
      <c r="SN23">
        <v>0</v>
      </c>
      <c r="SO23">
        <v>0</v>
      </c>
      <c r="SP23">
        <v>0</v>
      </c>
      <c r="SQ23">
        <v>0</v>
      </c>
      <c r="SR23">
        <v>0</v>
      </c>
      <c r="SS23">
        <v>0</v>
      </c>
      <c r="ST23">
        <v>0</v>
      </c>
      <c r="SU23">
        <v>0</v>
      </c>
      <c r="SV23">
        <v>0</v>
      </c>
      <c r="SW23">
        <v>0</v>
      </c>
      <c r="SX23">
        <v>0</v>
      </c>
      <c r="SY23">
        <v>0</v>
      </c>
      <c r="SZ23">
        <v>0</v>
      </c>
      <c r="TA23">
        <v>0</v>
      </c>
      <c r="TB23">
        <v>0</v>
      </c>
      <c r="TC23">
        <v>0</v>
      </c>
      <c r="TD23">
        <v>0</v>
      </c>
      <c r="TE23">
        <v>0</v>
      </c>
      <c r="TF23">
        <v>0</v>
      </c>
      <c r="TG23">
        <v>0</v>
      </c>
      <c r="TH23">
        <v>0</v>
      </c>
      <c r="TI23" s="116">
        <v>0</v>
      </c>
      <c r="TJ23" s="116">
        <v>0</v>
      </c>
      <c r="TK23" s="116">
        <v>0</v>
      </c>
      <c r="TL23" s="116">
        <v>0</v>
      </c>
      <c r="TM23" s="116">
        <v>0</v>
      </c>
      <c r="TN23" s="116">
        <v>0</v>
      </c>
      <c r="TO23" s="116">
        <v>0</v>
      </c>
      <c r="TP23" s="116">
        <v>0</v>
      </c>
      <c r="TQ23" s="116">
        <v>0</v>
      </c>
      <c r="TR23" s="128">
        <v>0</v>
      </c>
      <c r="TS23" s="128">
        <v>0</v>
      </c>
      <c r="TT23" s="128">
        <v>0</v>
      </c>
      <c r="TU23" s="128">
        <v>0</v>
      </c>
      <c r="TV23">
        <v>0</v>
      </c>
      <c r="TW23" s="119">
        <v>0</v>
      </c>
      <c r="TX23" s="119">
        <v>0</v>
      </c>
      <c r="TY23" s="119">
        <v>0</v>
      </c>
      <c r="TZ23" s="119">
        <v>0</v>
      </c>
      <c r="UA23" s="121">
        <v>0</v>
      </c>
      <c r="UB23" s="119">
        <v>0</v>
      </c>
      <c r="UC23">
        <v>0</v>
      </c>
      <c r="UD23">
        <v>0</v>
      </c>
      <c r="UE23">
        <v>0</v>
      </c>
      <c r="UF23">
        <v>0</v>
      </c>
      <c r="UG23" s="119">
        <v>0</v>
      </c>
      <c r="UH23">
        <v>0</v>
      </c>
      <c r="UI23">
        <v>0</v>
      </c>
      <c r="UJ23">
        <v>0</v>
      </c>
      <c r="UK23">
        <v>0</v>
      </c>
      <c r="UL23">
        <v>0</v>
      </c>
      <c r="UM23">
        <v>0</v>
      </c>
      <c r="UN23">
        <v>0</v>
      </c>
      <c r="UO23">
        <v>0</v>
      </c>
      <c r="UP23">
        <v>0</v>
      </c>
      <c r="UQ23">
        <v>0</v>
      </c>
      <c r="UR23">
        <v>0</v>
      </c>
      <c r="US23">
        <v>0</v>
      </c>
      <c r="UT23">
        <v>0</v>
      </c>
      <c r="UU23">
        <v>0</v>
      </c>
      <c r="UV23">
        <v>0</v>
      </c>
      <c r="UW23">
        <v>0</v>
      </c>
      <c r="UX23">
        <v>0</v>
      </c>
      <c r="UY23">
        <v>0</v>
      </c>
      <c r="UZ23">
        <v>0</v>
      </c>
      <c r="VA23">
        <v>0</v>
      </c>
      <c r="VB23">
        <v>0</v>
      </c>
      <c r="VC23">
        <v>0</v>
      </c>
      <c r="VD23">
        <v>0</v>
      </c>
      <c r="VE23" s="116">
        <v>0</v>
      </c>
      <c r="VF23" s="116">
        <v>0</v>
      </c>
      <c r="VG23" s="116">
        <v>0</v>
      </c>
      <c r="VH23" s="116">
        <v>0</v>
      </c>
      <c r="VI23" s="116">
        <v>0</v>
      </c>
      <c r="VJ23" s="116">
        <v>0</v>
      </c>
      <c r="VK23" s="116">
        <v>0</v>
      </c>
      <c r="VL23" s="116">
        <v>0</v>
      </c>
      <c r="VM23" s="116">
        <v>0</v>
      </c>
      <c r="VN23" s="128">
        <v>0</v>
      </c>
      <c r="VO23" s="128">
        <v>0</v>
      </c>
      <c r="VP23" s="128">
        <v>0</v>
      </c>
      <c r="VQ23" s="128">
        <v>0</v>
      </c>
      <c r="VR23">
        <v>0</v>
      </c>
      <c r="VS23" s="119">
        <v>0</v>
      </c>
      <c r="VT23" s="119">
        <v>0</v>
      </c>
      <c r="VU23" s="119">
        <v>0</v>
      </c>
      <c r="VV23" s="119">
        <v>0</v>
      </c>
      <c r="VW23" s="121">
        <v>0</v>
      </c>
      <c r="VX23" s="119">
        <v>0</v>
      </c>
      <c r="VY23" s="119">
        <v>0</v>
      </c>
      <c r="VZ23">
        <v>0</v>
      </c>
      <c r="WA23">
        <v>0</v>
      </c>
      <c r="WB23">
        <v>0</v>
      </c>
      <c r="WC23" s="119">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s="116">
        <v>0</v>
      </c>
      <c r="XB23" s="116">
        <v>0</v>
      </c>
      <c r="XC23" s="116">
        <v>0</v>
      </c>
      <c r="XD23" s="116">
        <v>0</v>
      </c>
      <c r="XE23" s="116">
        <v>0</v>
      </c>
      <c r="XF23" s="116">
        <v>0</v>
      </c>
      <c r="XG23" s="116">
        <v>0</v>
      </c>
      <c r="XH23" s="116">
        <v>0</v>
      </c>
      <c r="XI23" s="116">
        <v>0</v>
      </c>
      <c r="XJ23" s="128">
        <v>0</v>
      </c>
      <c r="XK23" s="128">
        <v>0</v>
      </c>
      <c r="XL23" s="128">
        <v>0</v>
      </c>
      <c r="XM23" s="128">
        <v>0</v>
      </c>
      <c r="XN23">
        <v>0</v>
      </c>
      <c r="XO23" s="119">
        <v>0</v>
      </c>
      <c r="XP23" s="119">
        <v>0</v>
      </c>
      <c r="XQ23" s="119">
        <v>0</v>
      </c>
      <c r="XR23" s="119">
        <v>0</v>
      </c>
      <c r="XS23" s="121">
        <v>0</v>
      </c>
      <c r="XT23" s="119">
        <v>0</v>
      </c>
      <c r="XU23" s="119">
        <v>0</v>
      </c>
      <c r="XV23">
        <v>0</v>
      </c>
      <c r="XW23">
        <v>0</v>
      </c>
      <c r="XX23">
        <v>0</v>
      </c>
      <c r="XY23" s="119">
        <v>0</v>
      </c>
      <c r="XZ23">
        <v>0</v>
      </c>
      <c r="YA23">
        <v>0</v>
      </c>
      <c r="YB23">
        <v>0</v>
      </c>
      <c r="YC23">
        <v>0</v>
      </c>
      <c r="YD23">
        <v>0</v>
      </c>
      <c r="YE23">
        <v>0</v>
      </c>
      <c r="YF23">
        <v>0</v>
      </c>
      <c r="YG23">
        <v>0</v>
      </c>
      <c r="YH23">
        <v>0</v>
      </c>
      <c r="YI23">
        <v>0</v>
      </c>
      <c r="YJ23">
        <v>0</v>
      </c>
      <c r="YK23">
        <v>0</v>
      </c>
      <c r="YL23">
        <v>0</v>
      </c>
      <c r="YM23">
        <v>0</v>
      </c>
      <c r="YN23">
        <v>0</v>
      </c>
      <c r="YO23">
        <v>0</v>
      </c>
      <c r="YP23">
        <v>0</v>
      </c>
      <c r="YQ23">
        <v>0</v>
      </c>
      <c r="YR23">
        <v>0</v>
      </c>
      <c r="YS23">
        <v>0</v>
      </c>
      <c r="YT23">
        <v>0</v>
      </c>
      <c r="YU23">
        <v>0</v>
      </c>
      <c r="YV23">
        <v>0</v>
      </c>
      <c r="YW23">
        <v>0</v>
      </c>
      <c r="YX23">
        <v>0</v>
      </c>
      <c r="YY23">
        <v>0</v>
      </c>
      <c r="YZ23">
        <v>0</v>
      </c>
      <c r="ZA23">
        <v>0</v>
      </c>
      <c r="ZB23">
        <v>0</v>
      </c>
      <c r="ZC23">
        <v>0</v>
      </c>
      <c r="ZD23">
        <v>0</v>
      </c>
      <c r="ZE23">
        <v>0</v>
      </c>
      <c r="ZF23" s="128">
        <v>0</v>
      </c>
      <c r="ZG23" s="128">
        <v>0</v>
      </c>
      <c r="ZH23" s="128">
        <v>0</v>
      </c>
      <c r="ZI23" s="128">
        <v>0</v>
      </c>
      <c r="ZJ23">
        <v>0</v>
      </c>
      <c r="ZK23" s="119">
        <v>0</v>
      </c>
      <c r="ZL23" s="119">
        <v>0</v>
      </c>
      <c r="ZM23" s="119">
        <v>0</v>
      </c>
      <c r="ZN23" s="119">
        <v>0</v>
      </c>
      <c r="ZO23" s="121">
        <v>0</v>
      </c>
      <c r="ZP23" s="119">
        <v>0</v>
      </c>
      <c r="ZQ23" s="119">
        <v>0</v>
      </c>
      <c r="ZR23">
        <v>0</v>
      </c>
      <c r="ZS23">
        <v>0</v>
      </c>
      <c r="ZT23">
        <v>0</v>
      </c>
      <c r="ZU23" s="119">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s="116">
        <v>0</v>
      </c>
      <c r="AAT23" s="116">
        <v>0</v>
      </c>
      <c r="AAU23" s="116">
        <v>0</v>
      </c>
      <c r="AAV23" s="116">
        <v>0</v>
      </c>
      <c r="AAW23" s="116">
        <v>0</v>
      </c>
      <c r="AAX23" s="116">
        <v>0</v>
      </c>
      <c r="AAY23" s="116">
        <v>0</v>
      </c>
      <c r="AAZ23" s="116">
        <v>0</v>
      </c>
      <c r="ABA23" s="116">
        <v>0</v>
      </c>
      <c r="ABB23" s="128">
        <v>0</v>
      </c>
      <c r="ABC23" s="128">
        <v>0</v>
      </c>
      <c r="ABD23" s="128">
        <v>0</v>
      </c>
      <c r="ABE23" s="128">
        <v>0</v>
      </c>
      <c r="ABF23">
        <v>0</v>
      </c>
      <c r="ABG23" s="119">
        <v>0</v>
      </c>
      <c r="ABH23" s="119">
        <v>0</v>
      </c>
      <c r="ABI23" s="119">
        <v>0</v>
      </c>
      <c r="ABJ23" s="119">
        <v>0</v>
      </c>
      <c r="ABK23" s="121">
        <v>0</v>
      </c>
      <c r="ABL23" s="119">
        <v>0</v>
      </c>
      <c r="ABM23" s="119">
        <v>0</v>
      </c>
      <c r="ABN23">
        <v>0</v>
      </c>
      <c r="ABO23">
        <v>0</v>
      </c>
      <c r="ABP23">
        <v>0</v>
      </c>
      <c r="ABQ23" s="119">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s="116">
        <v>0</v>
      </c>
      <c r="ACP23" s="116">
        <v>0</v>
      </c>
      <c r="ACQ23" s="116">
        <v>0</v>
      </c>
      <c r="ACR23" s="116">
        <v>0</v>
      </c>
      <c r="ACS23" s="116">
        <v>0</v>
      </c>
      <c r="ACT23" s="116">
        <v>0</v>
      </c>
      <c r="ACU23" s="116">
        <v>0</v>
      </c>
      <c r="ACV23" s="116">
        <v>0</v>
      </c>
      <c r="ACW23" s="116">
        <v>0</v>
      </c>
      <c r="ACX23" s="128">
        <v>0</v>
      </c>
      <c r="ACY23" s="128">
        <v>0</v>
      </c>
      <c r="ACZ23" s="128">
        <v>0</v>
      </c>
      <c r="ADA23" s="128">
        <v>0</v>
      </c>
      <c r="ADB23">
        <v>0</v>
      </c>
      <c r="ADC23" s="119">
        <v>0</v>
      </c>
      <c r="ADD23" s="119">
        <v>0</v>
      </c>
      <c r="ADE23" s="119">
        <v>0</v>
      </c>
      <c r="ADF23" s="119">
        <v>0</v>
      </c>
      <c r="ADG23" s="121">
        <v>0</v>
      </c>
      <c r="ADH23" s="119">
        <v>0</v>
      </c>
      <c r="ADI23" s="119">
        <v>0</v>
      </c>
      <c r="ADJ23">
        <v>0</v>
      </c>
      <c r="ADK23">
        <v>0</v>
      </c>
      <c r="ADL23">
        <v>0</v>
      </c>
      <c r="ADM23" s="119">
        <v>0</v>
      </c>
      <c r="ADN23">
        <v>0</v>
      </c>
      <c r="ADO23">
        <v>0</v>
      </c>
      <c r="ADP23">
        <v>0</v>
      </c>
      <c r="ADQ23">
        <v>0</v>
      </c>
      <c r="ADR23">
        <v>0</v>
      </c>
      <c r="ADS23">
        <v>0</v>
      </c>
      <c r="ADT23">
        <v>0</v>
      </c>
      <c r="ADU23">
        <v>0</v>
      </c>
      <c r="ADV23">
        <v>0</v>
      </c>
      <c r="ADW23">
        <v>0</v>
      </c>
      <c r="ADX23">
        <v>0</v>
      </c>
      <c r="ADY23">
        <v>0</v>
      </c>
      <c r="ADZ23">
        <v>0</v>
      </c>
      <c r="AEA23">
        <v>0</v>
      </c>
      <c r="AEB23">
        <v>0</v>
      </c>
      <c r="AEC23">
        <v>0</v>
      </c>
      <c r="AED23">
        <v>0</v>
      </c>
      <c r="AEE23">
        <v>0</v>
      </c>
      <c r="AEF23">
        <v>0</v>
      </c>
      <c r="AEG23">
        <v>0</v>
      </c>
      <c r="AEH23">
        <v>0</v>
      </c>
      <c r="AEI23">
        <v>0</v>
      </c>
      <c r="AEJ23">
        <v>0</v>
      </c>
      <c r="AEK23" s="116">
        <v>0</v>
      </c>
      <c r="AEL23" s="116">
        <v>0</v>
      </c>
      <c r="AEM23" s="116">
        <v>0</v>
      </c>
      <c r="AEN23" s="116">
        <v>0</v>
      </c>
      <c r="AEO23" s="116">
        <v>0</v>
      </c>
      <c r="AEP23" s="116">
        <v>0</v>
      </c>
      <c r="AEQ23" s="116">
        <v>0</v>
      </c>
      <c r="AER23" s="116">
        <v>0</v>
      </c>
      <c r="AES23" s="116">
        <v>0</v>
      </c>
      <c r="AET23" s="128">
        <v>0</v>
      </c>
      <c r="AEU23" s="128">
        <v>0</v>
      </c>
      <c r="AEV23" s="128">
        <v>0</v>
      </c>
      <c r="AEW23" s="128">
        <v>0</v>
      </c>
      <c r="AEX23">
        <v>0</v>
      </c>
      <c r="AEY23" s="119">
        <v>0</v>
      </c>
      <c r="AEZ23" s="119">
        <v>0</v>
      </c>
      <c r="AFA23" s="119">
        <v>0</v>
      </c>
      <c r="AFB23" s="119">
        <v>0</v>
      </c>
      <c r="AFC23" s="121">
        <v>0</v>
      </c>
      <c r="AFD23" s="119">
        <v>0</v>
      </c>
      <c r="AFE23" s="119">
        <v>0</v>
      </c>
      <c r="AFF23">
        <v>0</v>
      </c>
      <c r="AFG23">
        <v>0</v>
      </c>
      <c r="AFH23">
        <v>0</v>
      </c>
      <c r="AFI23" s="119">
        <v>0</v>
      </c>
      <c r="AFJ23">
        <v>0</v>
      </c>
      <c r="AFK23">
        <v>0</v>
      </c>
      <c r="AFL23">
        <v>0</v>
      </c>
      <c r="AFM23">
        <v>0</v>
      </c>
      <c r="AFN23">
        <v>0</v>
      </c>
      <c r="AFO23">
        <v>0</v>
      </c>
      <c r="AFP23">
        <v>0</v>
      </c>
      <c r="AFQ23">
        <v>0</v>
      </c>
      <c r="AFR23">
        <v>0</v>
      </c>
      <c r="AFS23">
        <v>0</v>
      </c>
      <c r="AFT23">
        <v>0</v>
      </c>
      <c r="AFU23">
        <v>0</v>
      </c>
      <c r="AFV23">
        <v>0</v>
      </c>
      <c r="AFW23">
        <v>0</v>
      </c>
      <c r="AFX23">
        <v>0</v>
      </c>
      <c r="AFY23">
        <v>0</v>
      </c>
      <c r="AFZ23">
        <v>0</v>
      </c>
      <c r="AGA23">
        <v>0</v>
      </c>
      <c r="AGB23">
        <v>0</v>
      </c>
      <c r="AGC23">
        <v>0</v>
      </c>
      <c r="AGD23">
        <v>0</v>
      </c>
      <c r="AGE23">
        <v>0</v>
      </c>
      <c r="AGF23">
        <v>0</v>
      </c>
      <c r="AGG23" s="116">
        <v>0</v>
      </c>
      <c r="AGH23" s="116">
        <v>0</v>
      </c>
      <c r="AGI23" s="116">
        <v>0</v>
      </c>
      <c r="AGJ23" s="116">
        <v>0</v>
      </c>
      <c r="AGK23" s="116">
        <v>0</v>
      </c>
      <c r="AGL23" s="116">
        <v>0</v>
      </c>
      <c r="AGM23" s="116">
        <v>0</v>
      </c>
      <c r="AGN23" s="116">
        <v>0</v>
      </c>
      <c r="AGO23" s="116">
        <v>0</v>
      </c>
      <c r="AGP23" s="128">
        <v>0</v>
      </c>
      <c r="AGQ23" s="128">
        <v>0</v>
      </c>
      <c r="AGR23" s="128">
        <v>0</v>
      </c>
      <c r="AGS23" s="128">
        <v>0</v>
      </c>
      <c r="AGT23">
        <v>0</v>
      </c>
      <c r="AGU23" s="119">
        <v>0</v>
      </c>
      <c r="AGV23" s="119">
        <v>0</v>
      </c>
      <c r="AGW23" s="119">
        <v>0</v>
      </c>
      <c r="AGX23" s="119">
        <v>0</v>
      </c>
      <c r="AGY23" s="121">
        <v>0</v>
      </c>
      <c r="AGZ23" s="119">
        <v>0</v>
      </c>
      <c r="AHA23" s="119">
        <v>0</v>
      </c>
      <c r="AHB23">
        <v>0</v>
      </c>
      <c r="AHC23">
        <v>0</v>
      </c>
      <c r="AHD23">
        <v>0</v>
      </c>
      <c r="AHE23" s="119">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A23">
        <v>0</v>
      </c>
      <c r="AIB23">
        <v>0</v>
      </c>
      <c r="AIC23">
        <v>0</v>
      </c>
      <c r="AID23">
        <v>0</v>
      </c>
      <c r="AIE23">
        <v>0</v>
      </c>
      <c r="AIF23">
        <v>0</v>
      </c>
      <c r="AIG23">
        <v>0</v>
      </c>
      <c r="AIH23">
        <v>0</v>
      </c>
      <c r="AII23">
        <v>0</v>
      </c>
      <c r="AIJ23">
        <v>0</v>
      </c>
      <c r="AIK23">
        <v>0</v>
      </c>
      <c r="AIL23" s="128">
        <v>0</v>
      </c>
      <c r="AIM23" s="128">
        <v>0</v>
      </c>
      <c r="AIN23" s="128">
        <v>0</v>
      </c>
      <c r="AIO23" s="128">
        <v>0</v>
      </c>
      <c r="AIP23">
        <v>0</v>
      </c>
      <c r="AIQ23" s="119">
        <v>0</v>
      </c>
      <c r="AIR23" s="119">
        <v>0</v>
      </c>
      <c r="AIS23" s="119">
        <v>0</v>
      </c>
      <c r="AIT23" s="119">
        <v>0</v>
      </c>
      <c r="AIU23" s="121">
        <v>0</v>
      </c>
      <c r="AIV23" s="119">
        <v>0</v>
      </c>
      <c r="AIW23" s="119">
        <v>0</v>
      </c>
      <c r="AIX23">
        <v>0</v>
      </c>
      <c r="AIY23">
        <v>0</v>
      </c>
      <c r="AIZ23">
        <v>0</v>
      </c>
      <c r="AJA23" s="119">
        <v>0</v>
      </c>
      <c r="AJB23">
        <v>0</v>
      </c>
      <c r="AJC23">
        <v>0</v>
      </c>
      <c r="AJD23">
        <v>0</v>
      </c>
      <c r="AJE23">
        <v>0</v>
      </c>
      <c r="AJF23">
        <v>0</v>
      </c>
      <c r="AJG23">
        <v>0</v>
      </c>
      <c r="AJH23">
        <v>0</v>
      </c>
      <c r="AJI23">
        <v>0</v>
      </c>
      <c r="AJJ23">
        <v>0</v>
      </c>
      <c r="AJK23">
        <v>0</v>
      </c>
      <c r="AJL23">
        <v>0</v>
      </c>
      <c r="AJM23">
        <v>0</v>
      </c>
      <c r="AJN23">
        <v>0</v>
      </c>
      <c r="AJO23">
        <v>0</v>
      </c>
      <c r="AJP23">
        <v>0</v>
      </c>
      <c r="AJQ23">
        <v>0</v>
      </c>
      <c r="AJR23">
        <v>0</v>
      </c>
      <c r="AJS23">
        <v>0</v>
      </c>
      <c r="AJT23">
        <v>0</v>
      </c>
      <c r="AJU23">
        <v>0</v>
      </c>
      <c r="AJV23">
        <v>0</v>
      </c>
      <c r="AJW23">
        <v>0</v>
      </c>
      <c r="AJX23">
        <v>0</v>
      </c>
      <c r="AJY23" s="116">
        <v>0</v>
      </c>
      <c r="AJZ23" s="116">
        <v>0</v>
      </c>
      <c r="AKA23" s="116">
        <v>0</v>
      </c>
      <c r="AKB23" s="116">
        <v>0</v>
      </c>
      <c r="AKC23" s="116">
        <v>0</v>
      </c>
      <c r="AKD23" s="116">
        <v>0</v>
      </c>
      <c r="AKE23" s="116">
        <v>0</v>
      </c>
      <c r="AKF23" s="116">
        <v>0</v>
      </c>
      <c r="AKG23" s="116">
        <v>0</v>
      </c>
      <c r="AKH23" s="128">
        <v>0</v>
      </c>
      <c r="AKI23" s="128">
        <v>0</v>
      </c>
      <c r="AKJ23" s="128">
        <v>0</v>
      </c>
      <c r="AKK23" s="128">
        <v>0</v>
      </c>
      <c r="AKL23">
        <v>0</v>
      </c>
      <c r="AKM23" s="119">
        <v>0</v>
      </c>
      <c r="AKN23" s="119">
        <v>0</v>
      </c>
      <c r="AKO23" s="119">
        <v>0</v>
      </c>
      <c r="AKP23" s="119">
        <v>0</v>
      </c>
      <c r="AKQ23" s="121">
        <v>0</v>
      </c>
      <c r="AKR23" s="119">
        <v>0</v>
      </c>
      <c r="AKS23" s="119">
        <v>0</v>
      </c>
      <c r="AKT23">
        <v>0</v>
      </c>
      <c r="AKU23">
        <v>0</v>
      </c>
      <c r="AKV23">
        <v>0</v>
      </c>
      <c r="AKW23" s="119">
        <v>0</v>
      </c>
      <c r="AKX23">
        <v>0</v>
      </c>
      <c r="AKY23">
        <v>0</v>
      </c>
      <c r="AKZ23">
        <v>0</v>
      </c>
      <c r="ALA23">
        <v>0</v>
      </c>
      <c r="ALB23">
        <v>0</v>
      </c>
      <c r="ALC23">
        <v>0</v>
      </c>
      <c r="ALD23">
        <v>0</v>
      </c>
      <c r="ALE23">
        <v>0</v>
      </c>
      <c r="ALF23">
        <v>0</v>
      </c>
      <c r="ALG23">
        <v>0</v>
      </c>
      <c r="ALH23">
        <v>0</v>
      </c>
      <c r="ALI23">
        <v>0</v>
      </c>
      <c r="ALJ23">
        <v>0</v>
      </c>
      <c r="ALK23">
        <v>0</v>
      </c>
      <c r="ALL23">
        <v>0</v>
      </c>
      <c r="ALM23">
        <v>0</v>
      </c>
      <c r="ALN23">
        <v>0</v>
      </c>
      <c r="ALO23">
        <v>0</v>
      </c>
      <c r="ALP23">
        <v>0</v>
      </c>
      <c r="ALQ23">
        <v>0</v>
      </c>
      <c r="ALR23">
        <v>0</v>
      </c>
      <c r="ALS23">
        <v>0</v>
      </c>
      <c r="ALT23">
        <v>0</v>
      </c>
      <c r="ALU23" s="116">
        <v>0</v>
      </c>
      <c r="ALV23" s="116">
        <v>0</v>
      </c>
      <c r="ALW23" s="116">
        <v>0</v>
      </c>
      <c r="ALX23" s="116">
        <v>0</v>
      </c>
      <c r="ALY23" s="116">
        <v>0</v>
      </c>
      <c r="ALZ23" s="116">
        <v>0</v>
      </c>
      <c r="AMA23" s="116">
        <v>0</v>
      </c>
      <c r="AMB23" s="116">
        <v>0</v>
      </c>
      <c r="AMC23" s="116">
        <v>0</v>
      </c>
      <c r="AMD23" s="128">
        <v>0</v>
      </c>
      <c r="AME23" s="128">
        <v>0</v>
      </c>
      <c r="AMF23" s="128">
        <v>0</v>
      </c>
      <c r="AMG23" s="128">
        <v>0</v>
      </c>
      <c r="AMH23">
        <v>0</v>
      </c>
      <c r="AMI23" s="119">
        <v>0</v>
      </c>
      <c r="AMJ23" s="119">
        <v>0</v>
      </c>
      <c r="AMK23" s="119">
        <v>0</v>
      </c>
      <c r="AML23" s="119">
        <v>0</v>
      </c>
      <c r="AMM23" s="121">
        <v>0</v>
      </c>
      <c r="AMN23" s="119">
        <v>0</v>
      </c>
      <c r="AMO23" s="119">
        <v>0</v>
      </c>
      <c r="AMP23">
        <v>0</v>
      </c>
      <c r="AMQ23">
        <v>0</v>
      </c>
      <c r="AMR23">
        <v>0</v>
      </c>
      <c r="AMS23" s="119">
        <v>0</v>
      </c>
      <c r="AMT23">
        <v>0</v>
      </c>
      <c r="AMU23">
        <v>0</v>
      </c>
      <c r="AMV23">
        <v>0</v>
      </c>
      <c r="AMW23">
        <v>0</v>
      </c>
      <c r="AMX23">
        <v>0</v>
      </c>
      <c r="AMY23">
        <v>0</v>
      </c>
      <c r="AMZ23">
        <v>0</v>
      </c>
      <c r="ANA23">
        <v>0</v>
      </c>
      <c r="ANB23">
        <v>0</v>
      </c>
      <c r="ANC23">
        <v>0</v>
      </c>
      <c r="AND23">
        <v>0</v>
      </c>
      <c r="ANE23">
        <v>0</v>
      </c>
      <c r="ANF23">
        <v>0</v>
      </c>
      <c r="ANG23">
        <v>0</v>
      </c>
      <c r="ANH23">
        <v>0</v>
      </c>
      <c r="ANI23">
        <v>0</v>
      </c>
      <c r="ANJ23">
        <v>0</v>
      </c>
      <c r="ANK23">
        <v>0</v>
      </c>
      <c r="ANL23">
        <v>0</v>
      </c>
      <c r="ANM23">
        <v>0</v>
      </c>
      <c r="ANN23">
        <v>0</v>
      </c>
      <c r="ANO23">
        <v>0</v>
      </c>
      <c r="ANP23">
        <v>0</v>
      </c>
      <c r="ANQ23" s="116">
        <v>0</v>
      </c>
      <c r="ANR23" s="116">
        <v>0</v>
      </c>
      <c r="ANS23" s="116">
        <v>0</v>
      </c>
      <c r="ANT23" s="116">
        <v>0</v>
      </c>
      <c r="ANU23" s="116">
        <v>0</v>
      </c>
      <c r="ANV23" s="116">
        <v>0</v>
      </c>
      <c r="ANW23" s="116">
        <v>0</v>
      </c>
      <c r="ANX23" s="116">
        <v>0</v>
      </c>
      <c r="ANY23" s="116">
        <v>0</v>
      </c>
      <c r="ANZ23" s="128">
        <v>0</v>
      </c>
      <c r="AOA23" s="128">
        <v>0</v>
      </c>
      <c r="AOB23" s="128">
        <v>0</v>
      </c>
      <c r="AOC23" s="128">
        <v>0</v>
      </c>
      <c r="AOD23">
        <v>0</v>
      </c>
      <c r="AOE23" s="119">
        <v>0</v>
      </c>
      <c r="AOF23" s="119">
        <v>0</v>
      </c>
      <c r="AOG23" s="119">
        <v>0</v>
      </c>
      <c r="AOH23" s="119">
        <v>0</v>
      </c>
      <c r="AOI23" s="121">
        <v>0</v>
      </c>
      <c r="AOJ23" s="119">
        <v>0</v>
      </c>
      <c r="AOK23" s="119">
        <v>0</v>
      </c>
      <c r="AOL23">
        <v>0</v>
      </c>
      <c r="AOM23">
        <v>0</v>
      </c>
      <c r="AON23">
        <v>0</v>
      </c>
      <c r="AOO23" s="119">
        <v>0</v>
      </c>
      <c r="AOP23">
        <v>0</v>
      </c>
      <c r="AOQ23">
        <v>0</v>
      </c>
      <c r="AOR23">
        <v>0</v>
      </c>
      <c r="AOS23">
        <v>0</v>
      </c>
      <c r="AOT23">
        <v>0</v>
      </c>
      <c r="AOU23">
        <v>0</v>
      </c>
      <c r="AOV23">
        <v>0</v>
      </c>
      <c r="AOW23">
        <v>0</v>
      </c>
      <c r="AOX23">
        <v>0</v>
      </c>
      <c r="AOY23">
        <v>0</v>
      </c>
      <c r="AOZ23">
        <v>0</v>
      </c>
      <c r="APA23">
        <v>0</v>
      </c>
      <c r="APB23">
        <v>0</v>
      </c>
      <c r="APC23">
        <v>0</v>
      </c>
      <c r="APD23">
        <v>0</v>
      </c>
      <c r="APE23">
        <v>0</v>
      </c>
      <c r="APF23">
        <v>0</v>
      </c>
      <c r="APG23">
        <v>0</v>
      </c>
      <c r="APH23">
        <v>0</v>
      </c>
      <c r="API23">
        <v>0</v>
      </c>
      <c r="APJ23">
        <v>0</v>
      </c>
      <c r="APK23">
        <v>0</v>
      </c>
      <c r="APL23">
        <v>0</v>
      </c>
      <c r="APM23" s="116">
        <v>0</v>
      </c>
      <c r="APN23" s="116">
        <v>0</v>
      </c>
      <c r="APO23" s="116">
        <v>0</v>
      </c>
      <c r="APP23" s="116">
        <v>0</v>
      </c>
      <c r="APQ23" s="116">
        <v>0</v>
      </c>
      <c r="APR23" s="116">
        <v>0</v>
      </c>
      <c r="APS23" s="116">
        <v>0</v>
      </c>
      <c r="APT23" s="116">
        <v>0</v>
      </c>
      <c r="APU23" s="116">
        <v>0</v>
      </c>
      <c r="APV23" s="128">
        <v>0</v>
      </c>
      <c r="APW23" s="128">
        <v>0</v>
      </c>
      <c r="APX23" s="128">
        <v>0</v>
      </c>
      <c r="APY23" s="128">
        <v>0</v>
      </c>
      <c r="APZ23">
        <v>0</v>
      </c>
      <c r="AQA23" s="119">
        <v>0</v>
      </c>
      <c r="AQB23" s="119">
        <v>0</v>
      </c>
      <c r="AQC23" s="119">
        <v>0</v>
      </c>
      <c r="AQD23" s="119">
        <v>0</v>
      </c>
      <c r="AQE23" s="121">
        <v>0</v>
      </c>
      <c r="AQF23" s="119">
        <v>0</v>
      </c>
      <c r="AQG23" s="119">
        <v>0</v>
      </c>
      <c r="AQH23">
        <v>0</v>
      </c>
      <c r="AQI23">
        <v>0</v>
      </c>
      <c r="AQJ23">
        <v>0</v>
      </c>
      <c r="AQK23" s="119">
        <v>0</v>
      </c>
      <c r="AQL23">
        <v>0</v>
      </c>
      <c r="AQM23">
        <v>0</v>
      </c>
      <c r="AQN23">
        <v>0</v>
      </c>
      <c r="AQO23">
        <v>0</v>
      </c>
      <c r="AQP23">
        <v>0</v>
      </c>
      <c r="AQQ23">
        <v>0</v>
      </c>
      <c r="AQR23">
        <v>0</v>
      </c>
      <c r="AQS23">
        <v>0</v>
      </c>
      <c r="AQT23">
        <v>0</v>
      </c>
      <c r="AQU23">
        <v>0</v>
      </c>
      <c r="AQV23">
        <v>0</v>
      </c>
      <c r="AQW23">
        <v>0</v>
      </c>
      <c r="AQX23">
        <v>0</v>
      </c>
      <c r="AQY23">
        <v>0</v>
      </c>
      <c r="AQZ23">
        <v>0</v>
      </c>
      <c r="ARA23">
        <v>0</v>
      </c>
      <c r="ARB23">
        <v>0</v>
      </c>
      <c r="ARC23">
        <v>0</v>
      </c>
      <c r="ARD23">
        <v>0</v>
      </c>
      <c r="ARE23">
        <v>0</v>
      </c>
      <c r="ARF23">
        <v>0</v>
      </c>
      <c r="ARG23">
        <v>0</v>
      </c>
      <c r="ARH23">
        <v>0</v>
      </c>
      <c r="ARI23">
        <v>0</v>
      </c>
      <c r="ARJ23">
        <v>0</v>
      </c>
      <c r="ARK23">
        <v>0</v>
      </c>
      <c r="ARL23">
        <v>0</v>
      </c>
      <c r="ARM23">
        <v>0</v>
      </c>
      <c r="ARN23">
        <v>0</v>
      </c>
      <c r="ARO23">
        <v>0</v>
      </c>
      <c r="ARP23">
        <v>0</v>
      </c>
      <c r="ARQ23">
        <v>0</v>
      </c>
      <c r="ARR23" s="128">
        <v>0</v>
      </c>
      <c r="ARS23" s="128">
        <v>0</v>
      </c>
      <c r="ART23" s="128">
        <v>0</v>
      </c>
      <c r="ARU23" s="128">
        <v>0</v>
      </c>
      <c r="ARV23">
        <v>0</v>
      </c>
      <c r="ARW23" s="119">
        <v>0</v>
      </c>
      <c r="ARX23" s="119">
        <v>0</v>
      </c>
      <c r="ARY23" s="119">
        <v>0</v>
      </c>
      <c r="ARZ23" s="119">
        <v>0</v>
      </c>
      <c r="ASA23" s="121">
        <v>0</v>
      </c>
      <c r="ASB23" s="119">
        <v>0</v>
      </c>
      <c r="ASC23" s="119">
        <v>0</v>
      </c>
      <c r="ASD23">
        <v>0</v>
      </c>
      <c r="ASE23">
        <v>0</v>
      </c>
      <c r="ASF23">
        <v>0</v>
      </c>
      <c r="ASG23" s="119">
        <v>0</v>
      </c>
      <c r="ASH23">
        <v>0</v>
      </c>
      <c r="ASI23">
        <v>0</v>
      </c>
      <c r="ASJ23">
        <v>0</v>
      </c>
      <c r="ASK23">
        <v>0</v>
      </c>
      <c r="ASL23">
        <v>0</v>
      </c>
      <c r="ASM23">
        <v>0</v>
      </c>
      <c r="ASN23">
        <v>0</v>
      </c>
      <c r="ASO23">
        <v>0</v>
      </c>
      <c r="ASP23">
        <v>0</v>
      </c>
      <c r="ASQ23">
        <v>0</v>
      </c>
      <c r="ASR23">
        <v>0</v>
      </c>
      <c r="ASS23">
        <v>0</v>
      </c>
      <c r="AST23">
        <v>0</v>
      </c>
      <c r="ASU23">
        <v>0</v>
      </c>
      <c r="ASV23">
        <v>0</v>
      </c>
      <c r="ASW23">
        <v>0</v>
      </c>
      <c r="ASX23">
        <v>0</v>
      </c>
      <c r="ASY23">
        <v>0</v>
      </c>
      <c r="ASZ23">
        <v>0</v>
      </c>
      <c r="ATA23">
        <v>0</v>
      </c>
      <c r="ATB23">
        <v>0</v>
      </c>
      <c r="ATC23">
        <v>0</v>
      </c>
      <c r="ATD23">
        <v>0</v>
      </c>
      <c r="ATE23" s="116">
        <v>0</v>
      </c>
      <c r="ATF23" s="116">
        <v>0</v>
      </c>
      <c r="ATG23" s="116">
        <v>0</v>
      </c>
      <c r="ATH23" s="116">
        <v>0</v>
      </c>
      <c r="ATI23" s="116">
        <v>0</v>
      </c>
      <c r="ATJ23" s="116">
        <v>0</v>
      </c>
      <c r="ATK23" s="116">
        <v>0</v>
      </c>
      <c r="ATL23" s="116">
        <v>0</v>
      </c>
      <c r="ATM23" s="116">
        <v>0</v>
      </c>
      <c r="ATN23" s="128">
        <v>0</v>
      </c>
      <c r="ATO23" s="128">
        <v>0</v>
      </c>
      <c r="ATP23" s="128">
        <v>0</v>
      </c>
      <c r="ATQ23" s="128">
        <v>0</v>
      </c>
      <c r="ATR23">
        <v>0</v>
      </c>
      <c r="ATS23" s="119">
        <v>0</v>
      </c>
      <c r="ATT23" s="119">
        <v>0</v>
      </c>
      <c r="ATU23" s="119">
        <v>0</v>
      </c>
      <c r="ATV23" s="119">
        <v>0</v>
      </c>
      <c r="ATW23" s="121">
        <v>0</v>
      </c>
      <c r="ATX23" s="119">
        <v>0</v>
      </c>
      <c r="ATY23" s="119">
        <v>0</v>
      </c>
      <c r="ATZ23">
        <v>0</v>
      </c>
      <c r="AUA23">
        <v>0</v>
      </c>
      <c r="AUB23">
        <v>0</v>
      </c>
      <c r="AUC23" s="119">
        <v>0</v>
      </c>
      <c r="AUD23">
        <v>0</v>
      </c>
      <c r="AUE23">
        <v>0</v>
      </c>
      <c r="AUF23">
        <v>0</v>
      </c>
      <c r="AUG23">
        <v>0</v>
      </c>
      <c r="AUH23">
        <v>0</v>
      </c>
      <c r="AUI23">
        <v>0</v>
      </c>
      <c r="AUJ23">
        <v>0</v>
      </c>
      <c r="AUK23">
        <v>0</v>
      </c>
      <c r="AUL23">
        <v>0</v>
      </c>
      <c r="AUM23">
        <v>0</v>
      </c>
      <c r="AUN23">
        <v>0</v>
      </c>
      <c r="AUO23">
        <v>0</v>
      </c>
      <c r="AUP23">
        <v>0</v>
      </c>
      <c r="AUQ23">
        <v>0</v>
      </c>
      <c r="AUR23">
        <v>0</v>
      </c>
      <c r="AUS23">
        <v>0</v>
      </c>
      <c r="AUT23">
        <v>0</v>
      </c>
      <c r="AUU23">
        <v>0</v>
      </c>
      <c r="AUV23">
        <v>0</v>
      </c>
      <c r="AUW23">
        <v>0</v>
      </c>
      <c r="AUX23">
        <v>0</v>
      </c>
      <c r="AUY23">
        <v>0</v>
      </c>
      <c r="AUZ23">
        <v>0</v>
      </c>
      <c r="AVA23" s="116">
        <v>0</v>
      </c>
      <c r="AVB23" s="116">
        <v>0</v>
      </c>
      <c r="AVC23" s="116">
        <v>0</v>
      </c>
      <c r="AVD23" s="116">
        <v>0</v>
      </c>
      <c r="AVE23" s="116">
        <v>0</v>
      </c>
      <c r="AVF23" s="116">
        <v>0</v>
      </c>
      <c r="AVG23" s="116">
        <v>0</v>
      </c>
      <c r="AVH23" s="116">
        <v>0</v>
      </c>
      <c r="AVI23" s="116">
        <v>0</v>
      </c>
      <c r="AVJ23" s="128">
        <v>0</v>
      </c>
      <c r="AVK23" s="128">
        <v>0</v>
      </c>
      <c r="AVL23" s="128">
        <v>0</v>
      </c>
      <c r="AVM23" s="128">
        <v>0</v>
      </c>
      <c r="AVN23">
        <v>0</v>
      </c>
      <c r="AVO23" s="119">
        <v>0</v>
      </c>
      <c r="AVP23" s="119">
        <v>0</v>
      </c>
      <c r="AVQ23" s="119">
        <v>0</v>
      </c>
      <c r="AVR23" s="119">
        <v>0</v>
      </c>
      <c r="AVS23" s="121">
        <v>0</v>
      </c>
      <c r="AVT23" s="119">
        <v>0</v>
      </c>
      <c r="AVU23" s="119">
        <v>0</v>
      </c>
      <c r="AVV23">
        <v>0</v>
      </c>
      <c r="AVW23">
        <v>0</v>
      </c>
      <c r="AVX23">
        <v>0</v>
      </c>
      <c r="AVY23" s="119">
        <v>0</v>
      </c>
      <c r="AVZ23">
        <v>0</v>
      </c>
      <c r="AWA23">
        <v>0</v>
      </c>
      <c r="AWB23">
        <v>0</v>
      </c>
      <c r="AWC23">
        <v>0</v>
      </c>
      <c r="AWD23">
        <v>0</v>
      </c>
      <c r="AWE23">
        <v>0</v>
      </c>
      <c r="AWF23">
        <v>0</v>
      </c>
      <c r="AWG23">
        <v>0</v>
      </c>
      <c r="AWH23">
        <v>0</v>
      </c>
      <c r="AWI23">
        <v>0</v>
      </c>
      <c r="AWJ23">
        <v>0</v>
      </c>
      <c r="AWK23">
        <v>0</v>
      </c>
      <c r="AWL23">
        <v>0</v>
      </c>
      <c r="AWM23">
        <v>0</v>
      </c>
      <c r="AWN23">
        <v>0</v>
      </c>
      <c r="AWO23">
        <v>0</v>
      </c>
      <c r="AWP23">
        <v>0</v>
      </c>
      <c r="AWQ23">
        <v>0</v>
      </c>
      <c r="AWR23">
        <v>0</v>
      </c>
      <c r="AWS23">
        <v>0</v>
      </c>
      <c r="AWT23">
        <v>0</v>
      </c>
      <c r="AWU23">
        <v>0</v>
      </c>
      <c r="AWV23">
        <v>0</v>
      </c>
      <c r="AWW23" s="116">
        <v>0</v>
      </c>
      <c r="AWX23" s="116">
        <v>0</v>
      </c>
      <c r="AWY23" s="116">
        <v>0</v>
      </c>
      <c r="AWZ23" s="116">
        <v>0</v>
      </c>
      <c r="AXA23" s="116">
        <v>0</v>
      </c>
      <c r="AXB23" s="116">
        <v>0</v>
      </c>
      <c r="AXC23" s="116">
        <v>0</v>
      </c>
      <c r="AXD23" s="116">
        <v>0</v>
      </c>
      <c r="AXE23" s="116">
        <v>0</v>
      </c>
      <c r="AXF23" s="128">
        <v>0</v>
      </c>
      <c r="AXG23" s="128">
        <v>0</v>
      </c>
      <c r="AXH23" s="128">
        <v>0</v>
      </c>
      <c r="AXI23" s="128">
        <v>0</v>
      </c>
      <c r="AXJ23">
        <v>0</v>
      </c>
      <c r="AXK23" s="119">
        <v>0</v>
      </c>
      <c r="AXL23" s="119">
        <v>0</v>
      </c>
      <c r="AXM23" s="119">
        <v>0</v>
      </c>
      <c r="AXN23" s="119">
        <v>0</v>
      </c>
      <c r="AXO23" s="121">
        <v>0</v>
      </c>
      <c r="AXP23" s="119">
        <v>0</v>
      </c>
      <c r="AXQ23" s="119">
        <v>0</v>
      </c>
      <c r="AXR23">
        <v>0</v>
      </c>
      <c r="AXS23">
        <v>0</v>
      </c>
      <c r="AXT23">
        <v>0</v>
      </c>
      <c r="AXU23" s="119">
        <v>0</v>
      </c>
      <c r="AXV23">
        <v>0</v>
      </c>
      <c r="AXW23">
        <v>0</v>
      </c>
      <c r="AXX23">
        <v>0</v>
      </c>
      <c r="AXY23">
        <v>0</v>
      </c>
      <c r="AXZ23">
        <v>0</v>
      </c>
      <c r="AYA23">
        <v>0</v>
      </c>
      <c r="AYB23">
        <v>0</v>
      </c>
      <c r="AYC23">
        <v>0</v>
      </c>
      <c r="AYD23">
        <v>0</v>
      </c>
      <c r="AYE23">
        <v>0</v>
      </c>
      <c r="AYF23">
        <v>0</v>
      </c>
      <c r="AYG23">
        <v>0</v>
      </c>
      <c r="AYH23">
        <v>0</v>
      </c>
      <c r="AYI23">
        <v>0</v>
      </c>
      <c r="AYJ23">
        <v>0</v>
      </c>
      <c r="AYK23">
        <v>0</v>
      </c>
      <c r="AYL23">
        <v>0</v>
      </c>
      <c r="AYM23">
        <v>0</v>
      </c>
      <c r="AYN23">
        <v>0</v>
      </c>
      <c r="AYO23">
        <v>0</v>
      </c>
      <c r="AYP23">
        <v>0</v>
      </c>
      <c r="AYQ23">
        <v>0</v>
      </c>
      <c r="AYR23">
        <v>0</v>
      </c>
      <c r="AYS23" s="116">
        <v>0</v>
      </c>
      <c r="AYT23" s="116">
        <v>0</v>
      </c>
      <c r="AYU23" s="116">
        <v>0</v>
      </c>
      <c r="AYV23" s="116">
        <v>0</v>
      </c>
      <c r="AYW23" s="116">
        <v>0</v>
      </c>
      <c r="AYX23" s="116">
        <v>0</v>
      </c>
      <c r="AYY23" s="116">
        <v>0</v>
      </c>
      <c r="AYZ23" s="116">
        <v>0</v>
      </c>
      <c r="AZA23" s="116">
        <v>0</v>
      </c>
      <c r="AZB23" s="128">
        <v>0</v>
      </c>
      <c r="AZC23" s="128">
        <v>0</v>
      </c>
      <c r="AZD23" s="128">
        <v>0</v>
      </c>
      <c r="AZE23" s="128">
        <v>0</v>
      </c>
      <c r="AZF23">
        <v>0</v>
      </c>
      <c r="AZG23" s="119">
        <v>0</v>
      </c>
      <c r="AZH23" s="119">
        <v>0</v>
      </c>
      <c r="AZI23" s="119">
        <v>0</v>
      </c>
      <c r="AZJ23" s="119">
        <v>0</v>
      </c>
      <c r="AZK23" s="121">
        <v>0</v>
      </c>
      <c r="AZL23" s="119">
        <v>0</v>
      </c>
      <c r="AZM23" s="119">
        <v>0</v>
      </c>
      <c r="AZN23">
        <v>0</v>
      </c>
      <c r="AZO23">
        <v>0</v>
      </c>
      <c r="AZP23">
        <v>0</v>
      </c>
      <c r="AZQ23" s="119">
        <v>0</v>
      </c>
      <c r="AZR23">
        <v>0</v>
      </c>
      <c r="AZS23">
        <v>0</v>
      </c>
      <c r="AZT23">
        <v>0</v>
      </c>
      <c r="AZU23">
        <v>0</v>
      </c>
      <c r="AZV23">
        <v>0</v>
      </c>
      <c r="AZW23">
        <v>0</v>
      </c>
      <c r="AZX23">
        <v>0</v>
      </c>
      <c r="AZY23">
        <v>0</v>
      </c>
      <c r="AZZ23">
        <v>0</v>
      </c>
      <c r="BAA23">
        <v>0</v>
      </c>
      <c r="BAB23">
        <v>0</v>
      </c>
      <c r="BAC23">
        <v>0</v>
      </c>
      <c r="BAD23">
        <v>0</v>
      </c>
      <c r="BAE23">
        <v>0</v>
      </c>
      <c r="BAF23">
        <v>0</v>
      </c>
      <c r="BAG23">
        <v>0</v>
      </c>
      <c r="BAH23">
        <v>0</v>
      </c>
      <c r="BAI23">
        <v>0</v>
      </c>
      <c r="BAJ23">
        <v>0</v>
      </c>
      <c r="BAK23">
        <v>1095020</v>
      </c>
      <c r="BAL23">
        <v>10430.629999999999</v>
      </c>
      <c r="BAM23">
        <v>9458.6299999999992</v>
      </c>
      <c r="BAN23">
        <v>972</v>
      </c>
      <c r="BAO23">
        <v>0</v>
      </c>
      <c r="BAP23" s="120">
        <v>0</v>
      </c>
      <c r="BAQ23" s="120">
        <v>1469</v>
      </c>
      <c r="BAR23" s="120" t="s">
        <v>3195</v>
      </c>
      <c r="BAS23" s="120">
        <v>0</v>
      </c>
      <c r="BAT23" s="120">
        <v>0</v>
      </c>
      <c r="BAU23" s="120">
        <v>0</v>
      </c>
      <c r="BAV23" s="116">
        <v>0</v>
      </c>
      <c r="BAW23" s="116">
        <v>0</v>
      </c>
      <c r="BAX23" s="116">
        <v>0</v>
      </c>
      <c r="BAY23" s="116">
        <v>0</v>
      </c>
      <c r="BAZ23" s="116">
        <v>0</v>
      </c>
      <c r="BBA23" s="116">
        <v>0</v>
      </c>
      <c r="BBB23" s="116">
        <v>0</v>
      </c>
      <c r="BBC23" s="116">
        <v>0</v>
      </c>
      <c r="BBD23" s="116">
        <v>0</v>
      </c>
      <c r="BBE23" s="116">
        <v>0</v>
      </c>
      <c r="BBF23" s="116">
        <v>0</v>
      </c>
      <c r="BBG23" s="116">
        <v>0</v>
      </c>
      <c r="BBH23" s="116">
        <v>0</v>
      </c>
      <c r="BBI23" s="116">
        <v>0</v>
      </c>
      <c r="BBJ23" s="116">
        <v>0</v>
      </c>
      <c r="BBK23" s="116">
        <v>0</v>
      </c>
      <c r="BBL23" s="116">
        <v>0</v>
      </c>
      <c r="BBM23" s="116">
        <v>0</v>
      </c>
      <c r="BBN23" s="116">
        <v>0</v>
      </c>
      <c r="BBO23" s="116">
        <v>0</v>
      </c>
      <c r="BBP23" s="116">
        <v>0</v>
      </c>
      <c r="BBQ23" s="116">
        <v>0</v>
      </c>
      <c r="BBR23" s="116">
        <v>0</v>
      </c>
      <c r="BBS23" s="116">
        <v>0</v>
      </c>
      <c r="BBT23" s="116">
        <v>0</v>
      </c>
      <c r="BBU23" s="116">
        <v>0</v>
      </c>
      <c r="BBV23" s="116">
        <v>0</v>
      </c>
      <c r="BBW23" s="116">
        <v>0</v>
      </c>
      <c r="BBX23" s="116">
        <v>0</v>
      </c>
      <c r="BBY23" s="116">
        <v>0</v>
      </c>
      <c r="BBZ23" s="116">
        <v>0</v>
      </c>
      <c r="BCA23" s="116">
        <v>0</v>
      </c>
      <c r="BCB23" s="116">
        <v>0</v>
      </c>
      <c r="BCC23" s="116">
        <v>0</v>
      </c>
      <c r="BCD23" s="116">
        <v>0</v>
      </c>
      <c r="BCE23" s="116">
        <v>0</v>
      </c>
      <c r="BCF23" s="116">
        <v>0</v>
      </c>
      <c r="BCG23" s="116">
        <v>0</v>
      </c>
      <c r="BCH23" s="116">
        <v>0</v>
      </c>
      <c r="BCI23" s="116">
        <v>0</v>
      </c>
      <c r="BCJ23" s="116">
        <v>0</v>
      </c>
      <c r="BCK23" s="116">
        <v>0</v>
      </c>
      <c r="BCL23" s="116">
        <v>0</v>
      </c>
      <c r="BCM23" s="116">
        <v>0</v>
      </c>
      <c r="BCN23" s="116">
        <v>0</v>
      </c>
      <c r="BCO23" s="116">
        <v>0</v>
      </c>
      <c r="BCP23" s="116">
        <v>1</v>
      </c>
      <c r="BCQ23" s="116">
        <v>1</v>
      </c>
      <c r="BCR23" s="116">
        <v>1</v>
      </c>
      <c r="BCS23" s="116" t="s">
        <v>3200</v>
      </c>
      <c r="BCT23" s="304">
        <v>1</v>
      </c>
      <c r="BCU23" s="304">
        <v>1</v>
      </c>
      <c r="BCV23" s="304" t="s">
        <v>3200</v>
      </c>
      <c r="BCW23" s="304">
        <v>1</v>
      </c>
      <c r="BCX23" s="304">
        <v>1</v>
      </c>
      <c r="BCY23" s="304">
        <v>2</v>
      </c>
      <c r="BCZ23" s="304">
        <v>2</v>
      </c>
      <c r="BDA23" s="304">
        <v>2</v>
      </c>
      <c r="BDB23" s="304" t="s">
        <v>3200</v>
      </c>
      <c r="BDC23" s="304">
        <v>2</v>
      </c>
      <c r="BDD23" s="304">
        <v>2</v>
      </c>
      <c r="BDE23" s="304" t="s">
        <v>3200</v>
      </c>
      <c r="BDF23" s="304">
        <v>2</v>
      </c>
      <c r="BDG23" s="304">
        <v>2</v>
      </c>
      <c r="BDH23" s="304">
        <v>0</v>
      </c>
      <c r="BDI23" s="304">
        <v>0</v>
      </c>
      <c r="BDJ23" s="304">
        <v>0</v>
      </c>
      <c r="BDK23" s="304">
        <v>0</v>
      </c>
      <c r="BDL23" s="304">
        <v>0</v>
      </c>
      <c r="BDM23" s="304">
        <v>0</v>
      </c>
      <c r="BDN23" s="304">
        <v>0</v>
      </c>
      <c r="BDO23" s="304">
        <v>0</v>
      </c>
      <c r="BDP23" s="304">
        <v>0</v>
      </c>
      <c r="BDQ23" s="304">
        <v>0</v>
      </c>
      <c r="BDR23" s="304">
        <v>0</v>
      </c>
      <c r="BDS23" s="304">
        <v>0</v>
      </c>
      <c r="BDT23" s="304">
        <v>0</v>
      </c>
      <c r="BDU23">
        <v>0</v>
      </c>
      <c r="BDV23">
        <v>0</v>
      </c>
      <c r="BDW23">
        <v>0</v>
      </c>
      <c r="BDX23">
        <v>0</v>
      </c>
      <c r="BDY23">
        <v>0</v>
      </c>
      <c r="BDZ23">
        <v>0</v>
      </c>
      <c r="BEA23">
        <v>0</v>
      </c>
      <c r="BEB23">
        <v>0</v>
      </c>
      <c r="BEC23">
        <v>0</v>
      </c>
      <c r="BED23">
        <v>0</v>
      </c>
      <c r="BEE23">
        <v>0</v>
      </c>
      <c r="BEF23">
        <v>0</v>
      </c>
      <c r="BEG23">
        <v>0</v>
      </c>
      <c r="BEH23">
        <v>0</v>
      </c>
      <c r="BEI23">
        <v>0</v>
      </c>
      <c r="BEJ23">
        <v>0</v>
      </c>
      <c r="BEK23">
        <v>0</v>
      </c>
      <c r="BEL23">
        <v>0</v>
      </c>
      <c r="BEM23">
        <v>0</v>
      </c>
      <c r="BEN23">
        <v>0</v>
      </c>
      <c r="BEO23">
        <v>0</v>
      </c>
      <c r="BEP23">
        <v>0</v>
      </c>
      <c r="BEQ23">
        <v>0</v>
      </c>
      <c r="BER23">
        <v>0</v>
      </c>
      <c r="BES23">
        <v>0</v>
      </c>
      <c r="BET23">
        <v>0</v>
      </c>
      <c r="BEU23">
        <v>0</v>
      </c>
      <c r="BEV23">
        <v>0</v>
      </c>
      <c r="BEW23">
        <v>0</v>
      </c>
      <c r="BEX23">
        <v>0</v>
      </c>
      <c r="BEY23">
        <v>0</v>
      </c>
      <c r="BEZ23">
        <v>0</v>
      </c>
      <c r="BFA23">
        <v>0</v>
      </c>
      <c r="BFB23">
        <v>0</v>
      </c>
      <c r="BFC23">
        <v>0</v>
      </c>
      <c r="BFD23" t="b">
        <v>0</v>
      </c>
      <c r="BFE23" t="b">
        <v>0</v>
      </c>
      <c r="BFF23" t="b">
        <v>0</v>
      </c>
      <c r="BFG23" t="b">
        <v>0</v>
      </c>
      <c r="BFH23">
        <v>0</v>
      </c>
      <c r="BFI23">
        <v>0</v>
      </c>
      <c r="BFJ23">
        <v>0</v>
      </c>
      <c r="BFK23">
        <v>0</v>
      </c>
      <c r="BFL23">
        <v>0</v>
      </c>
      <c r="BFM23">
        <v>0</v>
      </c>
      <c r="BFN23">
        <v>0</v>
      </c>
      <c r="BFO23">
        <v>0</v>
      </c>
      <c r="BFP23">
        <v>0</v>
      </c>
      <c r="BFQ23">
        <v>0</v>
      </c>
      <c r="BFR23">
        <v>0</v>
      </c>
      <c r="BFS23">
        <v>0</v>
      </c>
      <c r="BFT23">
        <v>0</v>
      </c>
      <c r="BFU23">
        <v>0</v>
      </c>
      <c r="BFV23">
        <v>0</v>
      </c>
      <c r="BFW23">
        <v>0</v>
      </c>
      <c r="BFX23">
        <v>0</v>
      </c>
      <c r="BFY23">
        <v>0</v>
      </c>
    </row>
    <row r="24" spans="1:1533" ht="18.75" customHeight="1" x14ac:dyDescent="0.25">
      <c r="A24" t="s">
        <v>3206</v>
      </c>
      <c r="B24" t="s">
        <v>3213</v>
      </c>
      <c r="C24" s="120">
        <v>130</v>
      </c>
      <c r="D24" s="120">
        <v>45</v>
      </c>
      <c r="E24">
        <v>0</v>
      </c>
      <c r="F24">
        <v>0</v>
      </c>
      <c r="G24">
        <v>0</v>
      </c>
      <c r="H24" t="s">
        <v>2403</v>
      </c>
      <c r="I24" t="s">
        <v>2403</v>
      </c>
      <c r="J24" t="s">
        <v>2403</v>
      </c>
      <c r="K24" t="s">
        <v>2403</v>
      </c>
      <c r="L24" t="s">
        <v>2403</v>
      </c>
      <c r="M24" t="s">
        <v>1883</v>
      </c>
      <c r="N24" t="s">
        <v>2403</v>
      </c>
      <c r="O24" t="s">
        <v>1883</v>
      </c>
      <c r="P24" t="s">
        <v>1883</v>
      </c>
      <c r="Q24" t="s">
        <v>2403</v>
      </c>
      <c r="R24" t="s">
        <v>1883</v>
      </c>
      <c r="S24" t="s">
        <v>2403</v>
      </c>
      <c r="T24" t="s">
        <v>2404</v>
      </c>
      <c r="U24" t="s">
        <v>2424</v>
      </c>
      <c r="V24" t="s">
        <v>3207</v>
      </c>
      <c r="W24" t="s">
        <v>309</v>
      </c>
      <c r="X24">
        <v>900</v>
      </c>
      <c r="Y24">
        <v>43617</v>
      </c>
      <c r="Z24">
        <v>0</v>
      </c>
      <c r="AA24">
        <v>0</v>
      </c>
      <c r="AB24" s="120">
        <v>100</v>
      </c>
      <c r="AC24" s="58" t="s">
        <v>272</v>
      </c>
      <c r="AD24" s="120">
        <v>25</v>
      </c>
      <c r="AE24" s="120">
        <v>0</v>
      </c>
      <c r="AF24" s="120">
        <v>43647</v>
      </c>
      <c r="AG24">
        <v>45</v>
      </c>
      <c r="AH24" s="120">
        <v>0</v>
      </c>
      <c r="AI24" s="120">
        <v>0</v>
      </c>
      <c r="AJ24" s="58" t="s">
        <v>271</v>
      </c>
      <c r="AK24" s="120">
        <v>0.159</v>
      </c>
      <c r="AL24" s="119">
        <v>0</v>
      </c>
      <c r="AM24">
        <v>50</v>
      </c>
      <c r="AN24">
        <v>47270</v>
      </c>
      <c r="AO24" s="114">
        <v>0.17800197265812923</v>
      </c>
      <c r="AP24" s="120">
        <v>9084.7000000000007</v>
      </c>
      <c r="AQ24" s="120">
        <v>10423.310000000005</v>
      </c>
      <c r="AR24" s="58">
        <v>19508.010000000006</v>
      </c>
      <c r="AS24" s="114">
        <v>162.56</v>
      </c>
      <c r="AT24" s="120">
        <v>163.37</v>
      </c>
      <c r="AU24" s="120" t="s">
        <v>1912</v>
      </c>
      <c r="AV24" s="120" t="s">
        <v>2119</v>
      </c>
      <c r="AW24" s="120" t="s">
        <v>271</v>
      </c>
      <c r="AX24" s="120">
        <v>19</v>
      </c>
      <c r="AY24">
        <v>0</v>
      </c>
      <c r="AZ24">
        <v>43600</v>
      </c>
      <c r="BA24">
        <v>100</v>
      </c>
      <c r="BB24" s="120">
        <v>2</v>
      </c>
      <c r="BC24">
        <v>1</v>
      </c>
      <c r="BD24" s="58" t="s">
        <v>415</v>
      </c>
      <c r="BE24" s="120">
        <v>336</v>
      </c>
      <c r="BF24">
        <v>76</v>
      </c>
      <c r="BG24">
        <v>43614</v>
      </c>
      <c r="BH24">
        <v>120</v>
      </c>
      <c r="BI24" s="120">
        <v>0</v>
      </c>
      <c r="BJ24" s="120">
        <v>50</v>
      </c>
      <c r="BK24" s="58">
        <v>43466</v>
      </c>
      <c r="BL24">
        <v>0</v>
      </c>
      <c r="BM24" s="120">
        <v>0</v>
      </c>
      <c r="BN24" s="120">
        <v>0</v>
      </c>
      <c r="BO24" s="58" t="s">
        <v>3201</v>
      </c>
      <c r="BP24" t="s">
        <v>2403</v>
      </c>
      <c r="BQ24" t="s">
        <v>2403</v>
      </c>
      <c r="BR24" t="s">
        <v>2403</v>
      </c>
      <c r="BS24">
        <v>444556666</v>
      </c>
      <c r="BT24">
        <v>0</v>
      </c>
      <c r="BU24" s="58" t="s">
        <v>3205</v>
      </c>
      <c r="BV24" t="s">
        <v>31</v>
      </c>
      <c r="BW24" t="s">
        <v>1633</v>
      </c>
      <c r="BX24">
        <v>76028</v>
      </c>
      <c r="BY24" t="s">
        <v>3203</v>
      </c>
      <c r="BZ24" t="s">
        <v>3204</v>
      </c>
      <c r="CA24">
        <v>76031</v>
      </c>
      <c r="CB24" t="s">
        <v>1633</v>
      </c>
      <c r="CC24" t="s">
        <v>316</v>
      </c>
      <c r="CD24">
        <v>0</v>
      </c>
      <c r="CE24">
        <v>0</v>
      </c>
      <c r="CF24">
        <v>0</v>
      </c>
      <c r="CG24">
        <v>0</v>
      </c>
      <c r="CH24">
        <v>0</v>
      </c>
      <c r="CI24">
        <v>0</v>
      </c>
      <c r="CJ24">
        <v>0</v>
      </c>
      <c r="CK24">
        <v>0</v>
      </c>
      <c r="CL24" s="118">
        <v>0</v>
      </c>
      <c r="CM24" s="118">
        <v>1111111111</v>
      </c>
      <c r="CN24" s="118" t="s">
        <v>2869</v>
      </c>
      <c r="CO24" t="s">
        <v>3202</v>
      </c>
      <c r="CP24" t="s">
        <v>2403</v>
      </c>
      <c r="CQ24" t="s">
        <v>2403</v>
      </c>
      <c r="CR24" t="s">
        <v>2403</v>
      </c>
      <c r="CS24" t="s">
        <v>3205</v>
      </c>
      <c r="CT24" t="s">
        <v>31</v>
      </c>
      <c r="CU24" t="s">
        <v>1633</v>
      </c>
      <c r="CV24">
        <v>76028</v>
      </c>
      <c r="CW24">
        <v>444444444</v>
      </c>
      <c r="CX24">
        <v>0</v>
      </c>
      <c r="CY24" s="58" t="s">
        <v>3203</v>
      </c>
      <c r="CZ24" t="s">
        <v>3204</v>
      </c>
      <c r="DA24">
        <v>76031</v>
      </c>
      <c r="DB24" t="s">
        <v>1633</v>
      </c>
      <c r="DC24" t="s">
        <v>316</v>
      </c>
      <c r="DD24">
        <v>0</v>
      </c>
      <c r="DE24">
        <v>0</v>
      </c>
      <c r="DF24">
        <v>0</v>
      </c>
      <c r="DG24">
        <v>0</v>
      </c>
      <c r="DH24">
        <v>0</v>
      </c>
      <c r="DI24">
        <v>0</v>
      </c>
      <c r="DJ24">
        <v>0</v>
      </c>
      <c r="DK24">
        <v>0</v>
      </c>
      <c r="DL24" s="118">
        <v>0</v>
      </c>
      <c r="DM24" s="118">
        <v>0</v>
      </c>
      <c r="DN24" s="118" t="s">
        <v>2869</v>
      </c>
      <c r="DO24">
        <v>0</v>
      </c>
      <c r="DP24">
        <v>0</v>
      </c>
      <c r="DQ24">
        <v>0</v>
      </c>
      <c r="DR24">
        <v>0</v>
      </c>
      <c r="DS24">
        <v>0</v>
      </c>
      <c r="DT24">
        <v>0</v>
      </c>
      <c r="DU24">
        <v>0</v>
      </c>
      <c r="DV24">
        <v>0</v>
      </c>
      <c r="DW24">
        <v>0</v>
      </c>
      <c r="DX24">
        <v>0</v>
      </c>
      <c r="DY24" s="58">
        <v>0</v>
      </c>
      <c r="DZ24">
        <v>0</v>
      </c>
      <c r="EA24">
        <v>0</v>
      </c>
      <c r="EB24">
        <v>0</v>
      </c>
      <c r="EC24">
        <v>0</v>
      </c>
      <c r="ED24">
        <v>0</v>
      </c>
      <c r="EE24">
        <v>0</v>
      </c>
      <c r="EF24">
        <v>0</v>
      </c>
      <c r="EG24">
        <v>0</v>
      </c>
      <c r="EH24">
        <v>0</v>
      </c>
      <c r="EI24">
        <v>0</v>
      </c>
      <c r="EJ24">
        <v>0</v>
      </c>
      <c r="EK24">
        <v>0</v>
      </c>
      <c r="EL24" s="118">
        <v>0</v>
      </c>
      <c r="EM24" s="118">
        <v>0</v>
      </c>
      <c r="EN24" s="118">
        <v>0</v>
      </c>
      <c r="EO24">
        <v>900</v>
      </c>
      <c r="EP24">
        <v>8764.7001953125</v>
      </c>
      <c r="EQ24" s="119">
        <v>2</v>
      </c>
      <c r="ER24">
        <v>2</v>
      </c>
      <c r="ES24" t="s">
        <v>3209</v>
      </c>
      <c r="ET24" t="s">
        <v>3210</v>
      </c>
      <c r="EU24">
        <v>0</v>
      </c>
      <c r="EV24">
        <v>0</v>
      </c>
      <c r="EW24">
        <v>0</v>
      </c>
      <c r="EX24">
        <v>0</v>
      </c>
      <c r="EY24">
        <v>0</v>
      </c>
      <c r="EZ24">
        <v>0</v>
      </c>
      <c r="FA24">
        <v>0</v>
      </c>
      <c r="FB24">
        <v>0</v>
      </c>
      <c r="FC24">
        <v>0</v>
      </c>
      <c r="FD24">
        <v>0</v>
      </c>
      <c r="FE24">
        <v>0</v>
      </c>
      <c r="FF24">
        <v>0</v>
      </c>
      <c r="FG24">
        <v>0</v>
      </c>
      <c r="FH24">
        <v>0</v>
      </c>
      <c r="FI24">
        <v>0</v>
      </c>
      <c r="FJ24">
        <v>0</v>
      </c>
      <c r="FK24">
        <v>0</v>
      </c>
      <c r="FL24">
        <v>0</v>
      </c>
      <c r="FM24">
        <v>6561.9</v>
      </c>
      <c r="FN24" s="119">
        <v>2202.8000000000002</v>
      </c>
      <c r="FO24" s="119">
        <v>0</v>
      </c>
      <c r="FP24" s="119">
        <v>0</v>
      </c>
      <c r="FQ24" s="119">
        <v>0</v>
      </c>
      <c r="FR24" s="119">
        <v>0</v>
      </c>
      <c r="FS24" s="119">
        <v>0</v>
      </c>
      <c r="FT24" s="119">
        <v>0</v>
      </c>
      <c r="FU24" s="119">
        <v>0</v>
      </c>
      <c r="FV24" s="119">
        <v>0</v>
      </c>
      <c r="FW24" s="119">
        <v>0</v>
      </c>
      <c r="FX24" s="119">
        <v>0</v>
      </c>
      <c r="FY24" s="119">
        <v>0</v>
      </c>
      <c r="FZ24" s="119">
        <v>0</v>
      </c>
      <c r="GA24" s="119">
        <v>0</v>
      </c>
      <c r="GB24" s="119">
        <v>0</v>
      </c>
      <c r="GC24" s="119">
        <v>0</v>
      </c>
      <c r="GD24" s="119">
        <v>0</v>
      </c>
      <c r="GE24" s="119">
        <v>0</v>
      </c>
      <c r="GF24" s="119">
        <v>0</v>
      </c>
      <c r="GG24" s="119">
        <v>0</v>
      </c>
      <c r="GH24" t="s">
        <v>2403</v>
      </c>
      <c r="GI24">
        <v>0</v>
      </c>
      <c r="GJ24">
        <v>0</v>
      </c>
      <c r="GK24">
        <v>0</v>
      </c>
      <c r="GL24" t="s">
        <v>2403</v>
      </c>
      <c r="GM24">
        <v>0</v>
      </c>
      <c r="GN24" s="58" t="s">
        <v>2403</v>
      </c>
      <c r="GO24">
        <v>0</v>
      </c>
      <c r="GP24" t="s">
        <v>3211</v>
      </c>
      <c r="GQ24" s="128" t="s">
        <v>3212</v>
      </c>
      <c r="GR24" s="128">
        <v>0</v>
      </c>
      <c r="GS24" s="128">
        <v>0</v>
      </c>
      <c r="GT24" s="128" t="s">
        <v>3205</v>
      </c>
      <c r="GU24">
        <v>6561.9</v>
      </c>
      <c r="GV24" s="119">
        <v>2202.8000000000002</v>
      </c>
      <c r="GW24" s="119">
        <v>0</v>
      </c>
      <c r="GX24" s="119">
        <v>0</v>
      </c>
      <c r="GY24" s="119">
        <v>0</v>
      </c>
      <c r="GZ24">
        <v>0</v>
      </c>
      <c r="HA24">
        <v>0</v>
      </c>
      <c r="HB24">
        <v>0</v>
      </c>
      <c r="HC24">
        <v>8764.7001953125</v>
      </c>
      <c r="HD24" s="120">
        <v>0</v>
      </c>
      <c r="HE24" s="119">
        <v>0</v>
      </c>
      <c r="HF24" t="s">
        <v>31</v>
      </c>
      <c r="HG24" t="s">
        <v>225</v>
      </c>
      <c r="HH24" t="s">
        <v>2403</v>
      </c>
      <c r="HI24">
        <v>0</v>
      </c>
      <c r="HJ24" s="119" t="s">
        <v>2403</v>
      </c>
      <c r="HK24">
        <v>0</v>
      </c>
      <c r="HL24">
        <v>0</v>
      </c>
      <c r="HM24">
        <v>0</v>
      </c>
      <c r="HN24">
        <v>0</v>
      </c>
      <c r="HO24" t="s">
        <v>3208</v>
      </c>
      <c r="HP24" t="s">
        <v>2403</v>
      </c>
      <c r="HQ24">
        <v>0</v>
      </c>
      <c r="HR24" t="s">
        <v>1633</v>
      </c>
      <c r="HS24" t="s">
        <v>3209</v>
      </c>
      <c r="HT24" t="s">
        <v>3210</v>
      </c>
      <c r="HU24">
        <v>0</v>
      </c>
      <c r="HV24">
        <v>0</v>
      </c>
      <c r="HW24" t="s">
        <v>2045</v>
      </c>
      <c r="HX24">
        <v>2018</v>
      </c>
      <c r="HY24">
        <v>0</v>
      </c>
      <c r="HZ24">
        <v>0</v>
      </c>
      <c r="IA24">
        <v>76031</v>
      </c>
      <c r="IB24" t="s">
        <v>2403</v>
      </c>
      <c r="IC24">
        <v>0</v>
      </c>
      <c r="ID24">
        <v>0</v>
      </c>
      <c r="IE24">
        <v>0</v>
      </c>
      <c r="IF24">
        <v>0</v>
      </c>
      <c r="IG24">
        <v>0</v>
      </c>
      <c r="IH24">
        <v>0</v>
      </c>
      <c r="II24">
        <v>0</v>
      </c>
      <c r="IJ24">
        <v>0</v>
      </c>
      <c r="IK24">
        <v>0</v>
      </c>
      <c r="IL24">
        <v>0</v>
      </c>
      <c r="IM24" s="128">
        <v>0</v>
      </c>
      <c r="IN24" s="128">
        <v>0</v>
      </c>
      <c r="IO24" s="128">
        <v>0</v>
      </c>
      <c r="IP24" s="128">
        <v>0</v>
      </c>
      <c r="IQ24">
        <v>0</v>
      </c>
      <c r="IR24" s="119">
        <v>0</v>
      </c>
      <c r="IS24" s="119">
        <v>0</v>
      </c>
      <c r="IT24" s="119">
        <v>0</v>
      </c>
      <c r="IU24" s="119">
        <v>0</v>
      </c>
      <c r="IV24" s="119">
        <v>0</v>
      </c>
      <c r="IW24">
        <v>0</v>
      </c>
      <c r="IX24">
        <v>0</v>
      </c>
      <c r="IY24">
        <v>0</v>
      </c>
      <c r="IZ24">
        <v>0</v>
      </c>
      <c r="JA24">
        <v>0</v>
      </c>
      <c r="JB24" s="119">
        <v>0</v>
      </c>
      <c r="JC24">
        <v>0</v>
      </c>
      <c r="JD24">
        <v>0</v>
      </c>
      <c r="JE24">
        <v>0</v>
      </c>
      <c r="JF24">
        <v>0</v>
      </c>
      <c r="JG24">
        <v>0</v>
      </c>
      <c r="JH24">
        <v>0</v>
      </c>
      <c r="JI24">
        <v>0</v>
      </c>
      <c r="JJ24">
        <v>0</v>
      </c>
      <c r="JK24">
        <v>0</v>
      </c>
      <c r="JL24">
        <v>0</v>
      </c>
      <c r="JM24">
        <v>0</v>
      </c>
      <c r="JN24">
        <v>0</v>
      </c>
      <c r="JO24">
        <v>0</v>
      </c>
      <c r="JP24">
        <v>0</v>
      </c>
      <c r="JQ24">
        <v>0</v>
      </c>
      <c r="JR24">
        <v>0</v>
      </c>
      <c r="JS24">
        <v>0</v>
      </c>
      <c r="JT24">
        <v>0</v>
      </c>
      <c r="JU24">
        <v>0</v>
      </c>
      <c r="JV24">
        <v>0</v>
      </c>
      <c r="JW24">
        <v>0</v>
      </c>
      <c r="JX24">
        <v>0</v>
      </c>
      <c r="JY24">
        <v>0</v>
      </c>
      <c r="JZ24">
        <v>0</v>
      </c>
      <c r="KA24">
        <v>0</v>
      </c>
      <c r="KB24">
        <v>0</v>
      </c>
      <c r="KC24">
        <v>0</v>
      </c>
      <c r="KD24">
        <v>0</v>
      </c>
      <c r="KE24">
        <v>0</v>
      </c>
      <c r="KF24">
        <v>0</v>
      </c>
      <c r="KG24">
        <v>0</v>
      </c>
      <c r="KH24">
        <v>0</v>
      </c>
      <c r="KI24" s="128">
        <v>0</v>
      </c>
      <c r="KJ24" s="128">
        <v>0</v>
      </c>
      <c r="KK24" s="128">
        <v>0</v>
      </c>
      <c r="KL24" s="128">
        <v>0</v>
      </c>
      <c r="KM24">
        <v>0</v>
      </c>
      <c r="KN24" s="119">
        <v>0</v>
      </c>
      <c r="KO24" s="119">
        <v>0</v>
      </c>
      <c r="KP24" s="119">
        <v>0</v>
      </c>
      <c r="KQ24" s="119">
        <v>0</v>
      </c>
      <c r="KR24" s="121">
        <v>0</v>
      </c>
      <c r="KS24">
        <v>0</v>
      </c>
      <c r="KT24" s="119">
        <v>0</v>
      </c>
      <c r="KU24">
        <v>0</v>
      </c>
      <c r="KV24">
        <v>0</v>
      </c>
      <c r="KW24">
        <v>0</v>
      </c>
      <c r="KX24" s="119">
        <v>0</v>
      </c>
      <c r="KY24">
        <v>0</v>
      </c>
      <c r="KZ24">
        <v>0</v>
      </c>
      <c r="LA24">
        <v>0</v>
      </c>
      <c r="LB24">
        <v>0</v>
      </c>
      <c r="LC24">
        <v>0</v>
      </c>
      <c r="LD24">
        <v>0</v>
      </c>
      <c r="LE24">
        <v>0</v>
      </c>
      <c r="LF24">
        <v>0</v>
      </c>
      <c r="LG24">
        <v>0</v>
      </c>
      <c r="LH24">
        <v>0</v>
      </c>
      <c r="LI24">
        <v>0</v>
      </c>
      <c r="LJ24">
        <v>0</v>
      </c>
      <c r="LK24">
        <v>0</v>
      </c>
      <c r="LL24">
        <v>0</v>
      </c>
      <c r="LM24">
        <v>0</v>
      </c>
      <c r="LN24">
        <v>0</v>
      </c>
      <c r="LO24">
        <v>0</v>
      </c>
      <c r="LP24">
        <v>0</v>
      </c>
      <c r="LQ24">
        <v>0</v>
      </c>
      <c r="LR24">
        <v>0</v>
      </c>
      <c r="LS24">
        <v>0</v>
      </c>
      <c r="LT24">
        <v>0</v>
      </c>
      <c r="LU24">
        <v>0</v>
      </c>
      <c r="LV24">
        <v>0</v>
      </c>
      <c r="LW24">
        <v>0</v>
      </c>
      <c r="LX24">
        <v>0</v>
      </c>
      <c r="LY24">
        <v>0</v>
      </c>
      <c r="LZ24">
        <v>0</v>
      </c>
      <c r="MA24">
        <v>0</v>
      </c>
      <c r="MB24">
        <v>0</v>
      </c>
      <c r="MC24">
        <v>0</v>
      </c>
      <c r="MD24">
        <v>0</v>
      </c>
      <c r="ME24" s="128">
        <v>0</v>
      </c>
      <c r="MF24" s="128">
        <v>0</v>
      </c>
      <c r="MG24" s="128">
        <v>0</v>
      </c>
      <c r="MH24" s="128">
        <v>0</v>
      </c>
      <c r="MI24">
        <v>0</v>
      </c>
      <c r="MJ24" s="119">
        <v>0</v>
      </c>
      <c r="MK24" s="119">
        <v>0</v>
      </c>
      <c r="ML24" s="119">
        <v>0</v>
      </c>
      <c r="MM24" s="119">
        <v>0</v>
      </c>
      <c r="MN24" s="121">
        <v>0</v>
      </c>
      <c r="MO24" s="119">
        <v>0</v>
      </c>
      <c r="MP24">
        <v>0</v>
      </c>
      <c r="MQ24">
        <v>0</v>
      </c>
      <c r="MR24">
        <v>0</v>
      </c>
      <c r="MS24">
        <v>0</v>
      </c>
      <c r="MT24" s="119">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s="116">
        <v>0</v>
      </c>
      <c r="NS24" s="116">
        <v>0</v>
      </c>
      <c r="NT24" s="116">
        <v>0</v>
      </c>
      <c r="NU24" s="116">
        <v>0</v>
      </c>
      <c r="NV24" s="116">
        <v>0</v>
      </c>
      <c r="NW24" s="116">
        <v>0</v>
      </c>
      <c r="NX24" s="116">
        <v>0</v>
      </c>
      <c r="NY24" s="116">
        <v>0</v>
      </c>
      <c r="NZ24" s="116">
        <v>0</v>
      </c>
      <c r="OA24" s="128">
        <v>0</v>
      </c>
      <c r="OB24" s="128">
        <v>0</v>
      </c>
      <c r="OC24" s="128">
        <v>0</v>
      </c>
      <c r="OD24" s="128">
        <v>0</v>
      </c>
      <c r="OE24">
        <v>0</v>
      </c>
      <c r="OF24" s="119">
        <v>0</v>
      </c>
      <c r="OG24" s="119">
        <v>0</v>
      </c>
      <c r="OH24" s="119">
        <v>0</v>
      </c>
      <c r="OI24" s="119">
        <v>0</v>
      </c>
      <c r="OJ24" s="121">
        <v>0</v>
      </c>
      <c r="OK24" s="119">
        <v>0</v>
      </c>
      <c r="OL24">
        <v>0</v>
      </c>
      <c r="OM24">
        <v>0</v>
      </c>
      <c r="ON24">
        <v>0</v>
      </c>
      <c r="OO24">
        <v>0</v>
      </c>
      <c r="OP24" s="119">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s="128">
        <v>0</v>
      </c>
      <c r="PX24" s="128">
        <v>0</v>
      </c>
      <c r="PY24" s="128">
        <v>0</v>
      </c>
      <c r="PZ24" s="128">
        <v>0</v>
      </c>
      <c r="QA24">
        <v>0</v>
      </c>
      <c r="QB24" s="119">
        <v>0</v>
      </c>
      <c r="QC24" s="119">
        <v>0</v>
      </c>
      <c r="QD24" s="119">
        <v>0</v>
      </c>
      <c r="QE24" s="119">
        <v>0</v>
      </c>
      <c r="QF24" s="121">
        <v>0</v>
      </c>
      <c r="QG24" s="119">
        <v>0</v>
      </c>
      <c r="QH24">
        <v>0</v>
      </c>
      <c r="QI24">
        <v>0</v>
      </c>
      <c r="QJ24">
        <v>0</v>
      </c>
      <c r="QK24">
        <v>0</v>
      </c>
      <c r="QL24" s="119">
        <v>0</v>
      </c>
      <c r="QM24">
        <v>0</v>
      </c>
      <c r="QN24">
        <v>0</v>
      </c>
      <c r="QO24">
        <v>0</v>
      </c>
      <c r="QP24">
        <v>0</v>
      </c>
      <c r="QQ24">
        <v>0</v>
      </c>
      <c r="QR24">
        <v>0</v>
      </c>
      <c r="QS24">
        <v>0</v>
      </c>
      <c r="QT24">
        <v>0</v>
      </c>
      <c r="QU24">
        <v>0</v>
      </c>
      <c r="QV24">
        <v>0</v>
      </c>
      <c r="QW24">
        <v>0</v>
      </c>
      <c r="QX24">
        <v>0</v>
      </c>
      <c r="QY24">
        <v>0</v>
      </c>
      <c r="QZ24">
        <v>0</v>
      </c>
      <c r="RA24">
        <v>0</v>
      </c>
      <c r="RB24">
        <v>0</v>
      </c>
      <c r="RC24">
        <v>0</v>
      </c>
      <c r="RD24">
        <v>0</v>
      </c>
      <c r="RE24">
        <v>0</v>
      </c>
      <c r="RF24">
        <v>0</v>
      </c>
      <c r="RG24">
        <v>0</v>
      </c>
      <c r="RH24">
        <v>0</v>
      </c>
      <c r="RI24">
        <v>0</v>
      </c>
      <c r="RJ24" s="116">
        <v>0</v>
      </c>
      <c r="RK24" s="116">
        <v>0</v>
      </c>
      <c r="RL24" s="116">
        <v>0</v>
      </c>
      <c r="RM24" s="116">
        <v>0</v>
      </c>
      <c r="RN24" s="116">
        <v>0</v>
      </c>
      <c r="RO24" s="116">
        <v>0</v>
      </c>
      <c r="RP24" s="116">
        <v>0</v>
      </c>
      <c r="RQ24" s="116">
        <v>0</v>
      </c>
      <c r="RR24" s="116">
        <v>0</v>
      </c>
      <c r="RS24" s="128">
        <v>0</v>
      </c>
      <c r="RT24" s="128">
        <v>0</v>
      </c>
      <c r="RU24" s="128">
        <v>0</v>
      </c>
      <c r="RV24" s="128">
        <v>0</v>
      </c>
      <c r="RW24">
        <v>0</v>
      </c>
      <c r="RX24" s="119">
        <v>0</v>
      </c>
      <c r="RY24" s="119">
        <v>0</v>
      </c>
      <c r="RZ24" s="119">
        <v>0</v>
      </c>
      <c r="SA24" s="119">
        <v>0</v>
      </c>
      <c r="SB24" s="121">
        <v>0</v>
      </c>
      <c r="SC24" s="119">
        <v>0</v>
      </c>
      <c r="SD24">
        <v>0</v>
      </c>
      <c r="SE24">
        <v>0</v>
      </c>
      <c r="SF24">
        <v>0</v>
      </c>
      <c r="SG24">
        <v>0</v>
      </c>
      <c r="SH24" s="119">
        <v>0</v>
      </c>
      <c r="SI24">
        <v>0</v>
      </c>
      <c r="SJ24">
        <v>0</v>
      </c>
      <c r="SK24">
        <v>0</v>
      </c>
      <c r="SL24">
        <v>0</v>
      </c>
      <c r="SM24">
        <v>0</v>
      </c>
      <c r="SN24">
        <v>0</v>
      </c>
      <c r="SO24">
        <v>0</v>
      </c>
      <c r="SP24">
        <v>0</v>
      </c>
      <c r="SQ24">
        <v>0</v>
      </c>
      <c r="SR24">
        <v>0</v>
      </c>
      <c r="SS24">
        <v>0</v>
      </c>
      <c r="ST24">
        <v>0</v>
      </c>
      <c r="SU24">
        <v>0</v>
      </c>
      <c r="SV24">
        <v>0</v>
      </c>
      <c r="SW24">
        <v>0</v>
      </c>
      <c r="SX24">
        <v>0</v>
      </c>
      <c r="SY24">
        <v>0</v>
      </c>
      <c r="SZ24">
        <v>0</v>
      </c>
      <c r="TA24">
        <v>0</v>
      </c>
      <c r="TB24">
        <v>0</v>
      </c>
      <c r="TC24">
        <v>0</v>
      </c>
      <c r="TD24">
        <v>0</v>
      </c>
      <c r="TE24">
        <v>0</v>
      </c>
      <c r="TF24" s="116">
        <v>0</v>
      </c>
      <c r="TG24" s="116">
        <v>0</v>
      </c>
      <c r="TH24" s="116">
        <v>0</v>
      </c>
      <c r="TI24" s="116">
        <v>0</v>
      </c>
      <c r="TJ24" s="116">
        <v>0</v>
      </c>
      <c r="TK24" s="116">
        <v>0</v>
      </c>
      <c r="TL24" s="116">
        <v>0</v>
      </c>
      <c r="TM24" s="116">
        <v>0</v>
      </c>
      <c r="TN24" s="116">
        <v>0</v>
      </c>
      <c r="TO24" s="128">
        <v>0</v>
      </c>
      <c r="TP24" s="128">
        <v>0</v>
      </c>
      <c r="TQ24" s="128">
        <v>0</v>
      </c>
      <c r="TR24" s="128">
        <v>0</v>
      </c>
      <c r="TS24">
        <v>0</v>
      </c>
      <c r="TT24" s="119">
        <v>0</v>
      </c>
      <c r="TU24" s="119">
        <v>0</v>
      </c>
      <c r="TV24" s="119">
        <v>0</v>
      </c>
      <c r="TW24" s="119">
        <v>0</v>
      </c>
      <c r="TX24" s="121">
        <v>0</v>
      </c>
      <c r="TY24" s="119">
        <v>0</v>
      </c>
      <c r="TZ24">
        <v>0</v>
      </c>
      <c r="UA24">
        <v>0</v>
      </c>
      <c r="UB24">
        <v>0</v>
      </c>
      <c r="UC24">
        <v>0</v>
      </c>
      <c r="UD24" s="119">
        <v>0</v>
      </c>
      <c r="UE24">
        <v>0</v>
      </c>
      <c r="UF24">
        <v>0</v>
      </c>
      <c r="UG24">
        <v>0</v>
      </c>
      <c r="UH24">
        <v>0</v>
      </c>
      <c r="UI24">
        <v>0</v>
      </c>
      <c r="UJ24">
        <v>0</v>
      </c>
      <c r="UK24">
        <v>0</v>
      </c>
      <c r="UL24">
        <v>0</v>
      </c>
      <c r="UM24">
        <v>0</v>
      </c>
      <c r="UN24">
        <v>0</v>
      </c>
      <c r="UO24">
        <v>0</v>
      </c>
      <c r="UP24">
        <v>0</v>
      </c>
      <c r="UQ24">
        <v>0</v>
      </c>
      <c r="UR24">
        <v>0</v>
      </c>
      <c r="US24">
        <v>0</v>
      </c>
      <c r="UT24">
        <v>0</v>
      </c>
      <c r="UU24">
        <v>0</v>
      </c>
      <c r="UV24">
        <v>0</v>
      </c>
      <c r="UW24">
        <v>0</v>
      </c>
      <c r="UX24">
        <v>0</v>
      </c>
      <c r="UY24">
        <v>0</v>
      </c>
      <c r="UZ24">
        <v>0</v>
      </c>
      <c r="VA24">
        <v>0</v>
      </c>
      <c r="VB24" s="116">
        <v>0</v>
      </c>
      <c r="VC24" s="116">
        <v>0</v>
      </c>
      <c r="VD24" s="116">
        <v>0</v>
      </c>
      <c r="VE24" s="116">
        <v>0</v>
      </c>
      <c r="VF24" s="116">
        <v>0</v>
      </c>
      <c r="VG24" s="116">
        <v>0</v>
      </c>
      <c r="VH24" s="116">
        <v>0</v>
      </c>
      <c r="VI24" s="116">
        <v>0</v>
      </c>
      <c r="VJ24" s="116">
        <v>0</v>
      </c>
      <c r="VK24" s="128">
        <v>0</v>
      </c>
      <c r="VL24" s="128">
        <v>0</v>
      </c>
      <c r="VM24" s="128">
        <v>0</v>
      </c>
      <c r="VN24" s="128">
        <v>0</v>
      </c>
      <c r="VO24">
        <v>0</v>
      </c>
      <c r="VP24" s="119">
        <v>0</v>
      </c>
      <c r="VQ24" s="119">
        <v>0</v>
      </c>
      <c r="VR24" s="119">
        <v>0</v>
      </c>
      <c r="VS24" s="119">
        <v>0</v>
      </c>
      <c r="VT24" s="121">
        <v>0</v>
      </c>
      <c r="VU24" s="119">
        <v>0</v>
      </c>
      <c r="VV24" s="119">
        <v>0</v>
      </c>
      <c r="VW24">
        <v>0</v>
      </c>
      <c r="VX24">
        <v>0</v>
      </c>
      <c r="VY24">
        <v>0</v>
      </c>
      <c r="VZ24" s="119">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s="116">
        <v>0</v>
      </c>
      <c r="WY24" s="116">
        <v>0</v>
      </c>
      <c r="WZ24" s="116">
        <v>0</v>
      </c>
      <c r="XA24" s="116">
        <v>0</v>
      </c>
      <c r="XB24" s="116">
        <v>0</v>
      </c>
      <c r="XC24" s="116">
        <v>0</v>
      </c>
      <c r="XD24" s="116">
        <v>0</v>
      </c>
      <c r="XE24" s="116">
        <v>0</v>
      </c>
      <c r="XF24" s="116">
        <v>0</v>
      </c>
      <c r="XG24" s="128">
        <v>0</v>
      </c>
      <c r="XH24" s="128">
        <v>0</v>
      </c>
      <c r="XI24" s="128">
        <v>0</v>
      </c>
      <c r="XJ24" s="128">
        <v>0</v>
      </c>
      <c r="XK24">
        <v>0</v>
      </c>
      <c r="XL24" s="119">
        <v>0</v>
      </c>
      <c r="XM24" s="119">
        <v>0</v>
      </c>
      <c r="XN24" s="119">
        <v>0</v>
      </c>
      <c r="XO24" s="119">
        <v>0</v>
      </c>
      <c r="XP24" s="121">
        <v>0</v>
      </c>
      <c r="XQ24" s="119">
        <v>0</v>
      </c>
      <c r="XR24" s="119">
        <v>0</v>
      </c>
      <c r="XS24">
        <v>0</v>
      </c>
      <c r="XT24">
        <v>0</v>
      </c>
      <c r="XU24">
        <v>0</v>
      </c>
      <c r="XV24" s="119">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S24">
        <v>0</v>
      </c>
      <c r="YT24">
        <v>0</v>
      </c>
      <c r="YU24">
        <v>0</v>
      </c>
      <c r="YV24">
        <v>0</v>
      </c>
      <c r="YW24">
        <v>0</v>
      </c>
      <c r="YX24">
        <v>0</v>
      </c>
      <c r="YY24">
        <v>0</v>
      </c>
      <c r="YZ24">
        <v>0</v>
      </c>
      <c r="ZA24">
        <v>0</v>
      </c>
      <c r="ZB24">
        <v>0</v>
      </c>
      <c r="ZC24" s="128">
        <v>0</v>
      </c>
      <c r="ZD24" s="128">
        <v>0</v>
      </c>
      <c r="ZE24" s="128">
        <v>0</v>
      </c>
      <c r="ZF24" s="128">
        <v>0</v>
      </c>
      <c r="ZG24">
        <v>0</v>
      </c>
      <c r="ZH24" s="119">
        <v>0</v>
      </c>
      <c r="ZI24" s="119">
        <v>0</v>
      </c>
      <c r="ZJ24" s="119">
        <v>0</v>
      </c>
      <c r="ZK24" s="119">
        <v>0</v>
      </c>
      <c r="ZL24" s="121">
        <v>0</v>
      </c>
      <c r="ZM24" s="119">
        <v>0</v>
      </c>
      <c r="ZN24" s="119">
        <v>0</v>
      </c>
      <c r="ZO24">
        <v>0</v>
      </c>
      <c r="ZP24">
        <v>0</v>
      </c>
      <c r="ZQ24">
        <v>0</v>
      </c>
      <c r="ZR24" s="119">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s="116">
        <v>0</v>
      </c>
      <c r="AAQ24" s="116">
        <v>0</v>
      </c>
      <c r="AAR24" s="116">
        <v>0</v>
      </c>
      <c r="AAS24" s="116">
        <v>0</v>
      </c>
      <c r="AAT24" s="116">
        <v>0</v>
      </c>
      <c r="AAU24" s="116">
        <v>0</v>
      </c>
      <c r="AAV24" s="116">
        <v>0</v>
      </c>
      <c r="AAW24" s="116">
        <v>0</v>
      </c>
      <c r="AAX24" s="116">
        <v>0</v>
      </c>
      <c r="AAY24" s="128">
        <v>0</v>
      </c>
      <c r="AAZ24" s="128">
        <v>0</v>
      </c>
      <c r="ABA24" s="128">
        <v>0</v>
      </c>
      <c r="ABB24" s="128">
        <v>0</v>
      </c>
      <c r="ABC24">
        <v>0</v>
      </c>
      <c r="ABD24" s="119">
        <v>0</v>
      </c>
      <c r="ABE24" s="119">
        <v>0</v>
      </c>
      <c r="ABF24" s="119">
        <v>0</v>
      </c>
      <c r="ABG24" s="119">
        <v>0</v>
      </c>
      <c r="ABH24" s="121">
        <v>0</v>
      </c>
      <c r="ABI24" s="119">
        <v>0</v>
      </c>
      <c r="ABJ24" s="119">
        <v>0</v>
      </c>
      <c r="ABK24">
        <v>0</v>
      </c>
      <c r="ABL24">
        <v>0</v>
      </c>
      <c r="ABM24">
        <v>0</v>
      </c>
      <c r="ABN24" s="119">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s="116">
        <v>0</v>
      </c>
      <c r="ACM24" s="116">
        <v>0</v>
      </c>
      <c r="ACN24" s="116">
        <v>0</v>
      </c>
      <c r="ACO24" s="116">
        <v>0</v>
      </c>
      <c r="ACP24" s="116">
        <v>0</v>
      </c>
      <c r="ACQ24" s="116">
        <v>0</v>
      </c>
      <c r="ACR24" s="116">
        <v>0</v>
      </c>
      <c r="ACS24" s="116">
        <v>0</v>
      </c>
      <c r="ACT24" s="116">
        <v>0</v>
      </c>
      <c r="ACU24" s="128">
        <v>0</v>
      </c>
      <c r="ACV24" s="128">
        <v>0</v>
      </c>
      <c r="ACW24" s="128">
        <v>0</v>
      </c>
      <c r="ACX24" s="128">
        <v>0</v>
      </c>
      <c r="ACY24">
        <v>0</v>
      </c>
      <c r="ACZ24" s="119">
        <v>0</v>
      </c>
      <c r="ADA24" s="119">
        <v>0</v>
      </c>
      <c r="ADB24" s="119">
        <v>0</v>
      </c>
      <c r="ADC24" s="119">
        <v>0</v>
      </c>
      <c r="ADD24" s="121">
        <v>0</v>
      </c>
      <c r="ADE24" s="119">
        <v>0</v>
      </c>
      <c r="ADF24" s="119">
        <v>0</v>
      </c>
      <c r="ADG24">
        <v>0</v>
      </c>
      <c r="ADH24">
        <v>0</v>
      </c>
      <c r="ADI24">
        <v>0</v>
      </c>
      <c r="ADJ24" s="119">
        <v>0</v>
      </c>
      <c r="ADK24">
        <v>0</v>
      </c>
      <c r="ADL24">
        <v>0</v>
      </c>
      <c r="ADM24">
        <v>0</v>
      </c>
      <c r="ADN24">
        <v>0</v>
      </c>
      <c r="ADO24">
        <v>0</v>
      </c>
      <c r="ADP24">
        <v>0</v>
      </c>
      <c r="ADQ24">
        <v>0</v>
      </c>
      <c r="ADR24">
        <v>0</v>
      </c>
      <c r="ADS24">
        <v>0</v>
      </c>
      <c r="ADT24">
        <v>0</v>
      </c>
      <c r="ADU24">
        <v>0</v>
      </c>
      <c r="ADV24">
        <v>0</v>
      </c>
      <c r="ADW24">
        <v>0</v>
      </c>
      <c r="ADX24">
        <v>0</v>
      </c>
      <c r="ADY24">
        <v>0</v>
      </c>
      <c r="ADZ24">
        <v>0</v>
      </c>
      <c r="AEA24">
        <v>0</v>
      </c>
      <c r="AEB24">
        <v>0</v>
      </c>
      <c r="AEC24">
        <v>0</v>
      </c>
      <c r="AED24">
        <v>0</v>
      </c>
      <c r="AEE24">
        <v>0</v>
      </c>
      <c r="AEF24">
        <v>0</v>
      </c>
      <c r="AEG24">
        <v>0</v>
      </c>
      <c r="AEH24" s="116">
        <v>0</v>
      </c>
      <c r="AEI24" s="116">
        <v>0</v>
      </c>
      <c r="AEJ24" s="116">
        <v>0</v>
      </c>
      <c r="AEK24" s="116">
        <v>0</v>
      </c>
      <c r="AEL24" s="116">
        <v>0</v>
      </c>
      <c r="AEM24" s="116">
        <v>0</v>
      </c>
      <c r="AEN24" s="116">
        <v>0</v>
      </c>
      <c r="AEO24" s="116">
        <v>0</v>
      </c>
      <c r="AEP24" s="116">
        <v>0</v>
      </c>
      <c r="AEQ24" s="128">
        <v>0</v>
      </c>
      <c r="AER24" s="128">
        <v>0</v>
      </c>
      <c r="AES24" s="128">
        <v>0</v>
      </c>
      <c r="AET24" s="128">
        <v>0</v>
      </c>
      <c r="AEU24">
        <v>0</v>
      </c>
      <c r="AEV24" s="119">
        <v>0</v>
      </c>
      <c r="AEW24" s="119">
        <v>0</v>
      </c>
      <c r="AEX24" s="119">
        <v>0</v>
      </c>
      <c r="AEY24" s="119">
        <v>0</v>
      </c>
      <c r="AEZ24" s="121">
        <v>0</v>
      </c>
      <c r="AFA24" s="119">
        <v>0</v>
      </c>
      <c r="AFB24" s="119">
        <v>0</v>
      </c>
      <c r="AFC24">
        <v>0</v>
      </c>
      <c r="AFD24">
        <v>0</v>
      </c>
      <c r="AFE24">
        <v>0</v>
      </c>
      <c r="AFF24" s="119">
        <v>0</v>
      </c>
      <c r="AFG24">
        <v>0</v>
      </c>
      <c r="AFH24">
        <v>0</v>
      </c>
      <c r="AFI24">
        <v>0</v>
      </c>
      <c r="AFJ24">
        <v>0</v>
      </c>
      <c r="AFK24">
        <v>0</v>
      </c>
      <c r="AFL24">
        <v>0</v>
      </c>
      <c r="AFM24">
        <v>0</v>
      </c>
      <c r="AFN24">
        <v>0</v>
      </c>
      <c r="AFO24">
        <v>0</v>
      </c>
      <c r="AFP24">
        <v>0</v>
      </c>
      <c r="AFQ24">
        <v>0</v>
      </c>
      <c r="AFR24">
        <v>0</v>
      </c>
      <c r="AFS24">
        <v>0</v>
      </c>
      <c r="AFT24">
        <v>0</v>
      </c>
      <c r="AFU24">
        <v>0</v>
      </c>
      <c r="AFV24">
        <v>0</v>
      </c>
      <c r="AFW24">
        <v>0</v>
      </c>
      <c r="AFX24">
        <v>0</v>
      </c>
      <c r="AFY24">
        <v>0</v>
      </c>
      <c r="AFZ24">
        <v>0</v>
      </c>
      <c r="AGA24">
        <v>0</v>
      </c>
      <c r="AGB24">
        <v>0</v>
      </c>
      <c r="AGC24">
        <v>0</v>
      </c>
      <c r="AGD24" s="116">
        <v>0</v>
      </c>
      <c r="AGE24" s="116">
        <v>0</v>
      </c>
      <c r="AGF24" s="116">
        <v>0</v>
      </c>
      <c r="AGG24" s="116">
        <v>0</v>
      </c>
      <c r="AGH24" s="116">
        <v>0</v>
      </c>
      <c r="AGI24" s="116">
        <v>0</v>
      </c>
      <c r="AGJ24" s="116">
        <v>0</v>
      </c>
      <c r="AGK24" s="116">
        <v>0</v>
      </c>
      <c r="AGL24" s="116">
        <v>0</v>
      </c>
      <c r="AGM24" s="128">
        <v>0</v>
      </c>
      <c r="AGN24" s="128">
        <v>0</v>
      </c>
      <c r="AGO24" s="128">
        <v>0</v>
      </c>
      <c r="AGP24" s="128">
        <v>0</v>
      </c>
      <c r="AGQ24">
        <v>0</v>
      </c>
      <c r="AGR24" s="119">
        <v>0</v>
      </c>
      <c r="AGS24" s="119">
        <v>0</v>
      </c>
      <c r="AGT24" s="119">
        <v>0</v>
      </c>
      <c r="AGU24" s="119">
        <v>0</v>
      </c>
      <c r="AGV24" s="121">
        <v>0</v>
      </c>
      <c r="AGW24" s="119">
        <v>0</v>
      </c>
      <c r="AGX24" s="119">
        <v>0</v>
      </c>
      <c r="AGY24">
        <v>0</v>
      </c>
      <c r="AGZ24">
        <v>0</v>
      </c>
      <c r="AHA24">
        <v>0</v>
      </c>
      <c r="AHB24" s="119">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A24">
        <v>0</v>
      </c>
      <c r="AIB24">
        <v>0</v>
      </c>
      <c r="AIC24">
        <v>0</v>
      </c>
      <c r="AID24">
        <v>0</v>
      </c>
      <c r="AIE24">
        <v>0</v>
      </c>
      <c r="AIF24">
        <v>0</v>
      </c>
      <c r="AIG24">
        <v>0</v>
      </c>
      <c r="AIH24">
        <v>0</v>
      </c>
      <c r="AII24" s="128">
        <v>0</v>
      </c>
      <c r="AIJ24" s="128">
        <v>0</v>
      </c>
      <c r="AIK24" s="128">
        <v>0</v>
      </c>
      <c r="AIL24" s="128">
        <v>0</v>
      </c>
      <c r="AIM24">
        <v>0</v>
      </c>
      <c r="AIN24" s="119">
        <v>0</v>
      </c>
      <c r="AIO24" s="119">
        <v>0</v>
      </c>
      <c r="AIP24" s="119">
        <v>0</v>
      </c>
      <c r="AIQ24" s="119">
        <v>0</v>
      </c>
      <c r="AIR24" s="121">
        <v>0</v>
      </c>
      <c r="AIS24" s="119">
        <v>0</v>
      </c>
      <c r="AIT24" s="119">
        <v>0</v>
      </c>
      <c r="AIU24">
        <v>0</v>
      </c>
      <c r="AIV24">
        <v>0</v>
      </c>
      <c r="AIW24">
        <v>0</v>
      </c>
      <c r="AIX24" s="119">
        <v>0</v>
      </c>
      <c r="AIY24">
        <v>0</v>
      </c>
      <c r="AIZ24">
        <v>0</v>
      </c>
      <c r="AJA24">
        <v>0</v>
      </c>
      <c r="AJB24">
        <v>0</v>
      </c>
      <c r="AJC24">
        <v>0</v>
      </c>
      <c r="AJD24">
        <v>0</v>
      </c>
      <c r="AJE24">
        <v>0</v>
      </c>
      <c r="AJF24">
        <v>0</v>
      </c>
      <c r="AJG24">
        <v>0</v>
      </c>
      <c r="AJH24">
        <v>0</v>
      </c>
      <c r="AJI24">
        <v>0</v>
      </c>
      <c r="AJJ24">
        <v>0</v>
      </c>
      <c r="AJK24">
        <v>0</v>
      </c>
      <c r="AJL24">
        <v>0</v>
      </c>
      <c r="AJM24">
        <v>0</v>
      </c>
      <c r="AJN24">
        <v>0</v>
      </c>
      <c r="AJO24">
        <v>0</v>
      </c>
      <c r="AJP24">
        <v>0</v>
      </c>
      <c r="AJQ24">
        <v>0</v>
      </c>
      <c r="AJR24">
        <v>0</v>
      </c>
      <c r="AJS24">
        <v>0</v>
      </c>
      <c r="AJT24">
        <v>0</v>
      </c>
      <c r="AJU24">
        <v>0</v>
      </c>
      <c r="AJV24" s="116">
        <v>0</v>
      </c>
      <c r="AJW24" s="116">
        <v>0</v>
      </c>
      <c r="AJX24" s="116">
        <v>0</v>
      </c>
      <c r="AJY24" s="116">
        <v>0</v>
      </c>
      <c r="AJZ24" s="116">
        <v>0</v>
      </c>
      <c r="AKA24" s="116">
        <v>0</v>
      </c>
      <c r="AKB24" s="116">
        <v>0</v>
      </c>
      <c r="AKC24" s="116">
        <v>0</v>
      </c>
      <c r="AKD24" s="116">
        <v>0</v>
      </c>
      <c r="AKE24" s="128">
        <v>0</v>
      </c>
      <c r="AKF24" s="128">
        <v>0</v>
      </c>
      <c r="AKG24" s="128">
        <v>0</v>
      </c>
      <c r="AKH24" s="128">
        <v>0</v>
      </c>
      <c r="AKI24">
        <v>0</v>
      </c>
      <c r="AKJ24" s="119">
        <v>0</v>
      </c>
      <c r="AKK24" s="119">
        <v>0</v>
      </c>
      <c r="AKL24" s="119">
        <v>0</v>
      </c>
      <c r="AKM24" s="119">
        <v>0</v>
      </c>
      <c r="AKN24" s="121">
        <v>0</v>
      </c>
      <c r="AKO24" s="119">
        <v>0</v>
      </c>
      <c r="AKP24" s="119">
        <v>0</v>
      </c>
      <c r="AKQ24">
        <v>0</v>
      </c>
      <c r="AKR24">
        <v>0</v>
      </c>
      <c r="AKS24">
        <v>0</v>
      </c>
      <c r="AKT24" s="119">
        <v>0</v>
      </c>
      <c r="AKU24">
        <v>0</v>
      </c>
      <c r="AKV24">
        <v>0</v>
      </c>
      <c r="AKW24">
        <v>0</v>
      </c>
      <c r="AKX24">
        <v>0</v>
      </c>
      <c r="AKY24">
        <v>0</v>
      </c>
      <c r="AKZ24">
        <v>0</v>
      </c>
      <c r="ALA24">
        <v>0</v>
      </c>
      <c r="ALB24">
        <v>0</v>
      </c>
      <c r="ALC24">
        <v>0</v>
      </c>
      <c r="ALD24">
        <v>0</v>
      </c>
      <c r="ALE24">
        <v>0</v>
      </c>
      <c r="ALF24">
        <v>0</v>
      </c>
      <c r="ALG24">
        <v>0</v>
      </c>
      <c r="ALH24">
        <v>0</v>
      </c>
      <c r="ALI24">
        <v>0</v>
      </c>
      <c r="ALJ24">
        <v>0</v>
      </c>
      <c r="ALK24">
        <v>0</v>
      </c>
      <c r="ALL24">
        <v>0</v>
      </c>
      <c r="ALM24">
        <v>0</v>
      </c>
      <c r="ALN24">
        <v>0</v>
      </c>
      <c r="ALO24">
        <v>0</v>
      </c>
      <c r="ALP24">
        <v>0</v>
      </c>
      <c r="ALQ24">
        <v>0</v>
      </c>
      <c r="ALR24" s="116">
        <v>0</v>
      </c>
      <c r="ALS24" s="116">
        <v>0</v>
      </c>
      <c r="ALT24" s="116">
        <v>0</v>
      </c>
      <c r="ALU24" s="116">
        <v>0</v>
      </c>
      <c r="ALV24" s="116">
        <v>0</v>
      </c>
      <c r="ALW24" s="116">
        <v>0</v>
      </c>
      <c r="ALX24" s="116">
        <v>0</v>
      </c>
      <c r="ALY24" s="116">
        <v>0</v>
      </c>
      <c r="ALZ24" s="116">
        <v>0</v>
      </c>
      <c r="AMA24" s="128">
        <v>0</v>
      </c>
      <c r="AMB24" s="128">
        <v>0</v>
      </c>
      <c r="AMC24" s="128">
        <v>0</v>
      </c>
      <c r="AMD24" s="128">
        <v>0</v>
      </c>
      <c r="AME24">
        <v>0</v>
      </c>
      <c r="AMF24" s="119">
        <v>0</v>
      </c>
      <c r="AMG24" s="119">
        <v>0</v>
      </c>
      <c r="AMH24" s="119">
        <v>0</v>
      </c>
      <c r="AMI24" s="119">
        <v>0</v>
      </c>
      <c r="AMJ24" s="121">
        <v>0</v>
      </c>
      <c r="AMK24" s="119">
        <v>0</v>
      </c>
      <c r="AML24" s="119">
        <v>0</v>
      </c>
      <c r="AMM24">
        <v>0</v>
      </c>
      <c r="AMN24">
        <v>0</v>
      </c>
      <c r="AMO24">
        <v>0</v>
      </c>
      <c r="AMP24" s="119">
        <v>0</v>
      </c>
      <c r="AMQ24">
        <v>0</v>
      </c>
      <c r="AMR24">
        <v>0</v>
      </c>
      <c r="AMS24">
        <v>0</v>
      </c>
      <c r="AMT24">
        <v>0</v>
      </c>
      <c r="AMU24">
        <v>0</v>
      </c>
      <c r="AMV24">
        <v>0</v>
      </c>
      <c r="AMW24">
        <v>0</v>
      </c>
      <c r="AMX24">
        <v>0</v>
      </c>
      <c r="AMY24">
        <v>0</v>
      </c>
      <c r="AMZ24">
        <v>0</v>
      </c>
      <c r="ANA24">
        <v>0</v>
      </c>
      <c r="ANB24">
        <v>0</v>
      </c>
      <c r="ANC24">
        <v>0</v>
      </c>
      <c r="AND24">
        <v>0</v>
      </c>
      <c r="ANE24">
        <v>0</v>
      </c>
      <c r="ANF24">
        <v>0</v>
      </c>
      <c r="ANG24">
        <v>0</v>
      </c>
      <c r="ANH24">
        <v>0</v>
      </c>
      <c r="ANI24">
        <v>0</v>
      </c>
      <c r="ANJ24">
        <v>0</v>
      </c>
      <c r="ANK24">
        <v>0</v>
      </c>
      <c r="ANL24">
        <v>0</v>
      </c>
      <c r="ANM24">
        <v>0</v>
      </c>
      <c r="ANN24" s="116">
        <v>0</v>
      </c>
      <c r="ANO24" s="116">
        <v>0</v>
      </c>
      <c r="ANP24" s="116">
        <v>0</v>
      </c>
      <c r="ANQ24" s="116">
        <v>0</v>
      </c>
      <c r="ANR24" s="116">
        <v>0</v>
      </c>
      <c r="ANS24" s="116">
        <v>0</v>
      </c>
      <c r="ANT24" s="116">
        <v>0</v>
      </c>
      <c r="ANU24" s="116">
        <v>0</v>
      </c>
      <c r="ANV24" s="116">
        <v>0</v>
      </c>
      <c r="ANW24" s="128">
        <v>0</v>
      </c>
      <c r="ANX24" s="128">
        <v>0</v>
      </c>
      <c r="ANY24" s="128">
        <v>0</v>
      </c>
      <c r="ANZ24" s="128">
        <v>0</v>
      </c>
      <c r="AOA24">
        <v>0</v>
      </c>
      <c r="AOB24" s="119">
        <v>0</v>
      </c>
      <c r="AOC24" s="119">
        <v>0</v>
      </c>
      <c r="AOD24" s="119">
        <v>0</v>
      </c>
      <c r="AOE24" s="119">
        <v>0</v>
      </c>
      <c r="AOF24" s="121">
        <v>0</v>
      </c>
      <c r="AOG24" s="119">
        <v>0</v>
      </c>
      <c r="AOH24" s="119">
        <v>0</v>
      </c>
      <c r="AOI24">
        <v>0</v>
      </c>
      <c r="AOJ24">
        <v>0</v>
      </c>
      <c r="AOK24">
        <v>0</v>
      </c>
      <c r="AOL24" s="119">
        <v>0</v>
      </c>
      <c r="AOM24">
        <v>0</v>
      </c>
      <c r="AON24">
        <v>0</v>
      </c>
      <c r="AOO24">
        <v>0</v>
      </c>
      <c r="AOP24">
        <v>0</v>
      </c>
      <c r="AOQ24">
        <v>0</v>
      </c>
      <c r="AOR24">
        <v>0</v>
      </c>
      <c r="AOS24">
        <v>0</v>
      </c>
      <c r="AOT24">
        <v>0</v>
      </c>
      <c r="AOU24">
        <v>0</v>
      </c>
      <c r="AOV24">
        <v>0</v>
      </c>
      <c r="AOW24">
        <v>0</v>
      </c>
      <c r="AOX24">
        <v>0</v>
      </c>
      <c r="AOY24">
        <v>0</v>
      </c>
      <c r="AOZ24">
        <v>0</v>
      </c>
      <c r="APA24">
        <v>0</v>
      </c>
      <c r="APB24">
        <v>0</v>
      </c>
      <c r="APC24">
        <v>0</v>
      </c>
      <c r="APD24">
        <v>0</v>
      </c>
      <c r="APE24">
        <v>0</v>
      </c>
      <c r="APF24">
        <v>0</v>
      </c>
      <c r="APG24">
        <v>0</v>
      </c>
      <c r="APH24">
        <v>0</v>
      </c>
      <c r="API24">
        <v>0</v>
      </c>
      <c r="APJ24" s="116">
        <v>0</v>
      </c>
      <c r="APK24" s="116">
        <v>0</v>
      </c>
      <c r="APL24" s="116">
        <v>0</v>
      </c>
      <c r="APM24" s="116">
        <v>0</v>
      </c>
      <c r="APN24" s="116">
        <v>0</v>
      </c>
      <c r="APO24" s="116">
        <v>0</v>
      </c>
      <c r="APP24" s="116">
        <v>0</v>
      </c>
      <c r="APQ24" s="116">
        <v>0</v>
      </c>
      <c r="APR24" s="116">
        <v>0</v>
      </c>
      <c r="APS24" s="128">
        <v>0</v>
      </c>
      <c r="APT24" s="128">
        <v>0</v>
      </c>
      <c r="APU24" s="128">
        <v>0</v>
      </c>
      <c r="APV24" s="128">
        <v>0</v>
      </c>
      <c r="APW24">
        <v>0</v>
      </c>
      <c r="APX24" s="119">
        <v>0</v>
      </c>
      <c r="APY24" s="119">
        <v>0</v>
      </c>
      <c r="APZ24" s="119">
        <v>0</v>
      </c>
      <c r="AQA24" s="119">
        <v>0</v>
      </c>
      <c r="AQB24" s="121">
        <v>0</v>
      </c>
      <c r="AQC24" s="119">
        <v>0</v>
      </c>
      <c r="AQD24" s="119">
        <v>0</v>
      </c>
      <c r="AQE24">
        <v>0</v>
      </c>
      <c r="AQF24">
        <v>0</v>
      </c>
      <c r="AQG24">
        <v>0</v>
      </c>
      <c r="AQH24" s="119">
        <v>0</v>
      </c>
      <c r="AQI24">
        <v>0</v>
      </c>
      <c r="AQJ24">
        <v>0</v>
      </c>
      <c r="AQK24">
        <v>0</v>
      </c>
      <c r="AQL24">
        <v>0</v>
      </c>
      <c r="AQM24">
        <v>0</v>
      </c>
      <c r="AQN24">
        <v>0</v>
      </c>
      <c r="AQO24">
        <v>0</v>
      </c>
      <c r="AQP24">
        <v>0</v>
      </c>
      <c r="AQQ24">
        <v>0</v>
      </c>
      <c r="AQR24">
        <v>0</v>
      </c>
      <c r="AQS24">
        <v>0</v>
      </c>
      <c r="AQT24">
        <v>0</v>
      </c>
      <c r="AQU24">
        <v>0</v>
      </c>
      <c r="AQV24">
        <v>0</v>
      </c>
      <c r="AQW24">
        <v>0</v>
      </c>
      <c r="AQX24">
        <v>0</v>
      </c>
      <c r="AQY24">
        <v>0</v>
      </c>
      <c r="AQZ24">
        <v>0</v>
      </c>
      <c r="ARA24">
        <v>0</v>
      </c>
      <c r="ARB24">
        <v>0</v>
      </c>
      <c r="ARC24">
        <v>0</v>
      </c>
      <c r="ARD24">
        <v>0</v>
      </c>
      <c r="ARE24">
        <v>0</v>
      </c>
      <c r="ARF24">
        <v>0</v>
      </c>
      <c r="ARG24">
        <v>0</v>
      </c>
      <c r="ARH24">
        <v>0</v>
      </c>
      <c r="ARI24">
        <v>0</v>
      </c>
      <c r="ARJ24">
        <v>0</v>
      </c>
      <c r="ARK24">
        <v>0</v>
      </c>
      <c r="ARL24">
        <v>0</v>
      </c>
      <c r="ARM24">
        <v>0</v>
      </c>
      <c r="ARN24">
        <v>0</v>
      </c>
      <c r="ARO24" s="128">
        <v>0</v>
      </c>
      <c r="ARP24" s="128">
        <v>0</v>
      </c>
      <c r="ARQ24" s="128">
        <v>0</v>
      </c>
      <c r="ARR24" s="128">
        <v>0</v>
      </c>
      <c r="ARS24">
        <v>0</v>
      </c>
      <c r="ART24" s="119">
        <v>0</v>
      </c>
      <c r="ARU24" s="119">
        <v>0</v>
      </c>
      <c r="ARV24" s="119">
        <v>0</v>
      </c>
      <c r="ARW24" s="119">
        <v>0</v>
      </c>
      <c r="ARX24" s="121">
        <v>0</v>
      </c>
      <c r="ARY24" s="119">
        <v>0</v>
      </c>
      <c r="ARZ24" s="119">
        <v>0</v>
      </c>
      <c r="ASA24">
        <v>0</v>
      </c>
      <c r="ASB24">
        <v>0</v>
      </c>
      <c r="ASC24">
        <v>0</v>
      </c>
      <c r="ASD24" s="119">
        <v>0</v>
      </c>
      <c r="ASE24">
        <v>0</v>
      </c>
      <c r="ASF24">
        <v>0</v>
      </c>
      <c r="ASG24">
        <v>0</v>
      </c>
      <c r="ASH24">
        <v>0</v>
      </c>
      <c r="ASI24">
        <v>0</v>
      </c>
      <c r="ASJ24">
        <v>0</v>
      </c>
      <c r="ASK24">
        <v>0</v>
      </c>
      <c r="ASL24">
        <v>0</v>
      </c>
      <c r="ASM24">
        <v>0</v>
      </c>
      <c r="ASN24">
        <v>0</v>
      </c>
      <c r="ASO24">
        <v>0</v>
      </c>
      <c r="ASP24">
        <v>0</v>
      </c>
      <c r="ASQ24">
        <v>0</v>
      </c>
      <c r="ASR24">
        <v>0</v>
      </c>
      <c r="ASS24">
        <v>0</v>
      </c>
      <c r="AST24">
        <v>0</v>
      </c>
      <c r="ASU24">
        <v>0</v>
      </c>
      <c r="ASV24">
        <v>0</v>
      </c>
      <c r="ASW24">
        <v>0</v>
      </c>
      <c r="ASX24">
        <v>0</v>
      </c>
      <c r="ASY24">
        <v>0</v>
      </c>
      <c r="ASZ24">
        <v>0</v>
      </c>
      <c r="ATA24">
        <v>0</v>
      </c>
      <c r="ATB24" s="116">
        <v>0</v>
      </c>
      <c r="ATC24" s="116">
        <v>0</v>
      </c>
      <c r="ATD24" s="116">
        <v>0</v>
      </c>
      <c r="ATE24" s="116">
        <v>0</v>
      </c>
      <c r="ATF24" s="116">
        <v>0</v>
      </c>
      <c r="ATG24" s="116">
        <v>0</v>
      </c>
      <c r="ATH24" s="116">
        <v>0</v>
      </c>
      <c r="ATI24" s="116">
        <v>0</v>
      </c>
      <c r="ATJ24" s="116">
        <v>0</v>
      </c>
      <c r="ATK24" s="128">
        <v>0</v>
      </c>
      <c r="ATL24" s="128">
        <v>0</v>
      </c>
      <c r="ATM24" s="128">
        <v>0</v>
      </c>
      <c r="ATN24" s="128">
        <v>0</v>
      </c>
      <c r="ATO24">
        <v>0</v>
      </c>
      <c r="ATP24" s="119">
        <v>0</v>
      </c>
      <c r="ATQ24" s="119">
        <v>0</v>
      </c>
      <c r="ATR24" s="119">
        <v>0</v>
      </c>
      <c r="ATS24" s="119">
        <v>0</v>
      </c>
      <c r="ATT24" s="121">
        <v>0</v>
      </c>
      <c r="ATU24" s="119">
        <v>0</v>
      </c>
      <c r="ATV24" s="119">
        <v>0</v>
      </c>
      <c r="ATW24">
        <v>0</v>
      </c>
      <c r="ATX24">
        <v>0</v>
      </c>
      <c r="ATY24">
        <v>0</v>
      </c>
      <c r="ATZ24" s="119">
        <v>0</v>
      </c>
      <c r="AUA24">
        <v>0</v>
      </c>
      <c r="AUB24">
        <v>0</v>
      </c>
      <c r="AUC24">
        <v>0</v>
      </c>
      <c r="AUD24">
        <v>0</v>
      </c>
      <c r="AUE24">
        <v>0</v>
      </c>
      <c r="AUF24">
        <v>0</v>
      </c>
      <c r="AUG24">
        <v>0</v>
      </c>
      <c r="AUH24">
        <v>0</v>
      </c>
      <c r="AUI24">
        <v>0</v>
      </c>
      <c r="AUJ24">
        <v>0</v>
      </c>
      <c r="AUK24">
        <v>0</v>
      </c>
      <c r="AUL24">
        <v>0</v>
      </c>
      <c r="AUM24">
        <v>0</v>
      </c>
      <c r="AUN24">
        <v>0</v>
      </c>
      <c r="AUO24">
        <v>0</v>
      </c>
      <c r="AUP24">
        <v>0</v>
      </c>
      <c r="AUQ24">
        <v>0</v>
      </c>
      <c r="AUR24">
        <v>0</v>
      </c>
      <c r="AUS24">
        <v>0</v>
      </c>
      <c r="AUT24">
        <v>0</v>
      </c>
      <c r="AUU24">
        <v>0</v>
      </c>
      <c r="AUV24">
        <v>0</v>
      </c>
      <c r="AUW24">
        <v>0</v>
      </c>
      <c r="AUX24" s="116">
        <v>0</v>
      </c>
      <c r="AUY24" s="116">
        <v>0</v>
      </c>
      <c r="AUZ24" s="116">
        <v>0</v>
      </c>
      <c r="AVA24" s="116">
        <v>0</v>
      </c>
      <c r="AVB24" s="116">
        <v>0</v>
      </c>
      <c r="AVC24" s="116">
        <v>0</v>
      </c>
      <c r="AVD24" s="116">
        <v>0</v>
      </c>
      <c r="AVE24" s="116">
        <v>0</v>
      </c>
      <c r="AVF24" s="116">
        <v>0</v>
      </c>
      <c r="AVG24" s="128">
        <v>0</v>
      </c>
      <c r="AVH24" s="128">
        <v>0</v>
      </c>
      <c r="AVI24" s="128">
        <v>0</v>
      </c>
      <c r="AVJ24" s="128">
        <v>0</v>
      </c>
      <c r="AVK24">
        <v>0</v>
      </c>
      <c r="AVL24" s="119">
        <v>0</v>
      </c>
      <c r="AVM24" s="119">
        <v>0</v>
      </c>
      <c r="AVN24" s="119">
        <v>0</v>
      </c>
      <c r="AVO24" s="119">
        <v>0</v>
      </c>
      <c r="AVP24" s="121">
        <v>0</v>
      </c>
      <c r="AVQ24" s="119">
        <v>0</v>
      </c>
      <c r="AVR24" s="119">
        <v>0</v>
      </c>
      <c r="AVS24">
        <v>0</v>
      </c>
      <c r="AVT24">
        <v>0</v>
      </c>
      <c r="AVU24">
        <v>0</v>
      </c>
      <c r="AVV24" s="119">
        <v>0</v>
      </c>
      <c r="AVW24">
        <v>0</v>
      </c>
      <c r="AVX24">
        <v>0</v>
      </c>
      <c r="AVY24">
        <v>0</v>
      </c>
      <c r="AVZ24">
        <v>0</v>
      </c>
      <c r="AWA24">
        <v>0</v>
      </c>
      <c r="AWB24">
        <v>0</v>
      </c>
      <c r="AWC24">
        <v>0</v>
      </c>
      <c r="AWD24">
        <v>0</v>
      </c>
      <c r="AWE24">
        <v>0</v>
      </c>
      <c r="AWF24">
        <v>0</v>
      </c>
      <c r="AWG24">
        <v>0</v>
      </c>
      <c r="AWH24">
        <v>0</v>
      </c>
      <c r="AWI24">
        <v>0</v>
      </c>
      <c r="AWJ24">
        <v>0</v>
      </c>
      <c r="AWK24">
        <v>0</v>
      </c>
      <c r="AWL24">
        <v>0</v>
      </c>
      <c r="AWM24">
        <v>0</v>
      </c>
      <c r="AWN24">
        <v>0</v>
      </c>
      <c r="AWO24">
        <v>0</v>
      </c>
      <c r="AWP24">
        <v>0</v>
      </c>
      <c r="AWQ24">
        <v>0</v>
      </c>
      <c r="AWR24">
        <v>0</v>
      </c>
      <c r="AWS24">
        <v>0</v>
      </c>
      <c r="AWT24" s="116">
        <v>0</v>
      </c>
      <c r="AWU24" s="116">
        <v>0</v>
      </c>
      <c r="AWV24" s="116">
        <v>0</v>
      </c>
      <c r="AWW24" s="116">
        <v>0</v>
      </c>
      <c r="AWX24" s="116">
        <v>0</v>
      </c>
      <c r="AWY24" s="116">
        <v>0</v>
      </c>
      <c r="AWZ24" s="116">
        <v>0</v>
      </c>
      <c r="AXA24" s="116">
        <v>0</v>
      </c>
      <c r="AXB24" s="116">
        <v>0</v>
      </c>
      <c r="AXC24" s="128">
        <v>0</v>
      </c>
      <c r="AXD24" s="128">
        <v>0</v>
      </c>
      <c r="AXE24" s="128">
        <v>0</v>
      </c>
      <c r="AXF24" s="128">
        <v>0</v>
      </c>
      <c r="AXG24">
        <v>0</v>
      </c>
      <c r="AXH24" s="119">
        <v>0</v>
      </c>
      <c r="AXI24" s="119">
        <v>0</v>
      </c>
      <c r="AXJ24" s="119">
        <v>0</v>
      </c>
      <c r="AXK24" s="119">
        <v>0</v>
      </c>
      <c r="AXL24" s="121">
        <v>0</v>
      </c>
      <c r="AXM24" s="119">
        <v>0</v>
      </c>
      <c r="AXN24" s="119">
        <v>0</v>
      </c>
      <c r="AXO24">
        <v>0</v>
      </c>
      <c r="AXP24">
        <v>0</v>
      </c>
      <c r="AXQ24">
        <v>0</v>
      </c>
      <c r="AXR24" s="119">
        <v>0</v>
      </c>
      <c r="AXS24">
        <v>0</v>
      </c>
      <c r="AXT24">
        <v>0</v>
      </c>
      <c r="AXU24">
        <v>0</v>
      </c>
      <c r="AXV24">
        <v>0</v>
      </c>
      <c r="AXW24">
        <v>0</v>
      </c>
      <c r="AXX24">
        <v>0</v>
      </c>
      <c r="AXY24">
        <v>0</v>
      </c>
      <c r="AXZ24">
        <v>0</v>
      </c>
      <c r="AYA24">
        <v>0</v>
      </c>
      <c r="AYB24">
        <v>0</v>
      </c>
      <c r="AYC24">
        <v>0</v>
      </c>
      <c r="AYD24">
        <v>0</v>
      </c>
      <c r="AYE24">
        <v>0</v>
      </c>
      <c r="AYF24">
        <v>0</v>
      </c>
      <c r="AYG24">
        <v>0</v>
      </c>
      <c r="AYH24">
        <v>0</v>
      </c>
      <c r="AYI24">
        <v>0</v>
      </c>
      <c r="AYJ24">
        <v>0</v>
      </c>
      <c r="AYK24">
        <v>0</v>
      </c>
      <c r="AYL24">
        <v>0</v>
      </c>
      <c r="AYM24">
        <v>0</v>
      </c>
      <c r="AYN24">
        <v>0</v>
      </c>
      <c r="AYO24">
        <v>0</v>
      </c>
      <c r="AYP24" s="116">
        <v>0</v>
      </c>
      <c r="AYQ24" s="116">
        <v>0</v>
      </c>
      <c r="AYR24" s="116">
        <v>0</v>
      </c>
      <c r="AYS24" s="116">
        <v>0</v>
      </c>
      <c r="AYT24" s="116">
        <v>0</v>
      </c>
      <c r="AYU24" s="116">
        <v>0</v>
      </c>
      <c r="AYV24" s="116">
        <v>0</v>
      </c>
      <c r="AYW24" s="116">
        <v>0</v>
      </c>
      <c r="AYX24" s="116">
        <v>0</v>
      </c>
      <c r="AYY24" s="128">
        <v>0</v>
      </c>
      <c r="AYZ24" s="128">
        <v>0</v>
      </c>
      <c r="AZA24" s="128">
        <v>0</v>
      </c>
      <c r="AZB24" s="128">
        <v>0</v>
      </c>
      <c r="AZC24">
        <v>0</v>
      </c>
      <c r="AZD24" s="119">
        <v>0</v>
      </c>
      <c r="AZE24" s="119">
        <v>0</v>
      </c>
      <c r="AZF24" s="119">
        <v>0</v>
      </c>
      <c r="AZG24" s="119">
        <v>0</v>
      </c>
      <c r="AZH24" s="121">
        <v>0</v>
      </c>
      <c r="AZI24" s="119">
        <v>0</v>
      </c>
      <c r="AZJ24" s="119">
        <v>0</v>
      </c>
      <c r="AZK24">
        <v>0</v>
      </c>
      <c r="AZL24">
        <v>0</v>
      </c>
      <c r="AZM24">
        <v>0</v>
      </c>
      <c r="AZN24" s="119">
        <v>0</v>
      </c>
      <c r="AZO24">
        <v>0</v>
      </c>
      <c r="AZP24">
        <v>0</v>
      </c>
      <c r="AZQ24">
        <v>0</v>
      </c>
      <c r="AZR24">
        <v>0</v>
      </c>
      <c r="AZS24">
        <v>0</v>
      </c>
      <c r="AZT24">
        <v>0</v>
      </c>
      <c r="AZU24">
        <v>0</v>
      </c>
      <c r="AZV24">
        <v>0</v>
      </c>
      <c r="AZW24">
        <v>0</v>
      </c>
      <c r="AZX24">
        <v>0</v>
      </c>
      <c r="AZY24">
        <v>0</v>
      </c>
      <c r="AZZ24">
        <v>0</v>
      </c>
      <c r="BAA24">
        <v>0</v>
      </c>
      <c r="BAB24">
        <v>0</v>
      </c>
      <c r="BAC24">
        <v>0</v>
      </c>
      <c r="BAD24">
        <v>0</v>
      </c>
      <c r="BAE24">
        <v>0</v>
      </c>
      <c r="BAF24">
        <v>0</v>
      </c>
      <c r="BAG24">
        <v>0</v>
      </c>
      <c r="BAH24">
        <v>0</v>
      </c>
      <c r="BAI24">
        <v>0</v>
      </c>
      <c r="BAJ24">
        <v>0</v>
      </c>
      <c r="BAK24">
        <v>1095020</v>
      </c>
      <c r="BAL24">
        <v>9740.7000000000007</v>
      </c>
      <c r="BAM24" s="120">
        <v>8764.7000000000007</v>
      </c>
      <c r="BAN24" s="120">
        <v>976</v>
      </c>
      <c r="BAO24" s="120">
        <v>0</v>
      </c>
      <c r="BAP24" s="120">
        <v>0</v>
      </c>
      <c r="BAQ24" s="120">
        <v>0</v>
      </c>
      <c r="BAR24" s="120" t="s">
        <v>3218</v>
      </c>
      <c r="BAS24" s="116">
        <v>0</v>
      </c>
      <c r="BAT24" s="116">
        <v>0</v>
      </c>
      <c r="BAU24" s="116">
        <v>0</v>
      </c>
      <c r="BAV24" s="116">
        <v>0</v>
      </c>
      <c r="BAW24" s="116">
        <v>0</v>
      </c>
      <c r="BAX24" s="116">
        <v>0</v>
      </c>
      <c r="BAY24" s="116">
        <v>0</v>
      </c>
      <c r="BAZ24" s="116">
        <v>0</v>
      </c>
      <c r="BBA24" s="116">
        <v>0</v>
      </c>
      <c r="BBB24" s="116">
        <v>0</v>
      </c>
      <c r="BBC24" s="116">
        <v>0</v>
      </c>
      <c r="BBD24" s="116">
        <v>0</v>
      </c>
      <c r="BBE24" s="116">
        <v>0</v>
      </c>
      <c r="BBF24" s="116">
        <v>0</v>
      </c>
      <c r="BBG24" s="116">
        <v>0</v>
      </c>
      <c r="BBH24" s="116">
        <v>0</v>
      </c>
      <c r="BBI24" s="116">
        <v>0</v>
      </c>
      <c r="BBJ24" s="116">
        <v>0</v>
      </c>
      <c r="BBK24" s="116">
        <v>0</v>
      </c>
      <c r="BBL24" s="116">
        <v>0</v>
      </c>
      <c r="BBM24" s="116">
        <v>0</v>
      </c>
      <c r="BBN24" s="116">
        <v>0</v>
      </c>
      <c r="BBO24" s="116">
        <v>0</v>
      </c>
      <c r="BBP24" s="116">
        <v>0</v>
      </c>
      <c r="BBQ24" s="116" t="s">
        <v>3208</v>
      </c>
      <c r="BBR24" s="116">
        <v>0</v>
      </c>
      <c r="BBS24" s="116">
        <v>0</v>
      </c>
      <c r="BBT24" s="116">
        <v>0</v>
      </c>
      <c r="BBU24" s="116">
        <v>0</v>
      </c>
      <c r="BBV24" s="116">
        <v>0</v>
      </c>
      <c r="BBW24" s="116">
        <v>0</v>
      </c>
      <c r="BBX24" s="116">
        <v>0</v>
      </c>
      <c r="BBY24" s="116">
        <v>0</v>
      </c>
      <c r="BBZ24" s="116">
        <v>0</v>
      </c>
      <c r="BCA24" s="116">
        <v>0</v>
      </c>
      <c r="BCB24" s="116">
        <v>0</v>
      </c>
      <c r="BCC24" s="116">
        <v>0</v>
      </c>
      <c r="BCD24" s="116">
        <v>0</v>
      </c>
      <c r="BCE24" s="116">
        <v>0</v>
      </c>
      <c r="BCF24" s="116">
        <v>0</v>
      </c>
      <c r="BCG24" s="116">
        <v>0</v>
      </c>
      <c r="BCH24" s="116">
        <v>0</v>
      </c>
      <c r="BCI24" s="116">
        <v>0</v>
      </c>
      <c r="BCJ24" s="116">
        <v>0</v>
      </c>
      <c r="BCK24" s="116">
        <v>0</v>
      </c>
      <c r="BCL24" s="116">
        <v>0</v>
      </c>
      <c r="BCM24" s="116">
        <v>0</v>
      </c>
      <c r="BCN24" s="116">
        <v>0</v>
      </c>
      <c r="BCO24" s="116">
        <v>0</v>
      </c>
      <c r="BCP24" s="116">
        <v>0</v>
      </c>
      <c r="BCQ24" s="304">
        <v>0</v>
      </c>
      <c r="BCR24" s="304">
        <v>0</v>
      </c>
      <c r="BCS24" s="304">
        <v>0</v>
      </c>
      <c r="BCT24" s="304">
        <v>0</v>
      </c>
      <c r="BCU24" s="304">
        <v>0</v>
      </c>
      <c r="BCV24" s="304">
        <v>0</v>
      </c>
      <c r="BCW24" s="304">
        <v>0</v>
      </c>
      <c r="BCX24" s="304">
        <v>0</v>
      </c>
      <c r="BCY24" s="304">
        <v>0</v>
      </c>
      <c r="BCZ24" s="304">
        <v>0</v>
      </c>
      <c r="BDA24" s="304">
        <v>0</v>
      </c>
      <c r="BDB24" s="304">
        <v>0</v>
      </c>
      <c r="BDC24" s="304">
        <v>0</v>
      </c>
      <c r="BDD24" s="304">
        <v>0</v>
      </c>
      <c r="BDE24" s="304">
        <v>0</v>
      </c>
      <c r="BDF24" s="304">
        <v>0</v>
      </c>
      <c r="BDG24" s="304">
        <v>0</v>
      </c>
      <c r="BDH24" s="304">
        <v>0</v>
      </c>
      <c r="BDI24" s="304">
        <v>0</v>
      </c>
      <c r="BDJ24" s="304">
        <v>0</v>
      </c>
      <c r="BDK24" s="304">
        <v>0</v>
      </c>
      <c r="BDL24" s="304">
        <v>0</v>
      </c>
      <c r="BDM24" s="304">
        <v>0</v>
      </c>
      <c r="BDN24" s="304">
        <v>0</v>
      </c>
      <c r="BDO24" s="304">
        <v>0</v>
      </c>
      <c r="BDP24" s="304">
        <v>0</v>
      </c>
      <c r="BDQ24" s="304">
        <v>0</v>
      </c>
      <c r="BDR24">
        <v>0</v>
      </c>
      <c r="BDS24">
        <v>0</v>
      </c>
      <c r="BDT24">
        <v>0</v>
      </c>
      <c r="BDU24">
        <v>0</v>
      </c>
      <c r="BDV24">
        <v>0</v>
      </c>
      <c r="BDW24">
        <v>0</v>
      </c>
      <c r="BDX24">
        <v>0</v>
      </c>
      <c r="BDY24">
        <v>0</v>
      </c>
      <c r="BDZ24">
        <v>0</v>
      </c>
      <c r="BEA24">
        <v>0</v>
      </c>
      <c r="BEB24">
        <v>0</v>
      </c>
      <c r="BEC24">
        <v>0</v>
      </c>
      <c r="BED24">
        <v>0</v>
      </c>
      <c r="BEE24">
        <v>0</v>
      </c>
      <c r="BEF24">
        <v>0</v>
      </c>
      <c r="BEG24">
        <v>0</v>
      </c>
      <c r="BEH24">
        <v>0</v>
      </c>
      <c r="BEI24">
        <v>0</v>
      </c>
      <c r="BEJ24">
        <v>0</v>
      </c>
      <c r="BEK24">
        <v>0</v>
      </c>
      <c r="BEL24">
        <v>0</v>
      </c>
      <c r="BEM24">
        <v>0</v>
      </c>
      <c r="BEN24">
        <v>0</v>
      </c>
      <c r="BEO24">
        <v>0</v>
      </c>
      <c r="BEP24">
        <v>0</v>
      </c>
      <c r="BEQ24">
        <v>0</v>
      </c>
      <c r="BER24">
        <v>0</v>
      </c>
      <c r="BES24">
        <v>0</v>
      </c>
      <c r="BET24">
        <v>0</v>
      </c>
      <c r="BEU24">
        <v>0</v>
      </c>
      <c r="BEV24">
        <v>0</v>
      </c>
      <c r="BEW24">
        <v>0</v>
      </c>
      <c r="BEX24">
        <v>0</v>
      </c>
      <c r="BEY24">
        <v>0</v>
      </c>
      <c r="BEZ24">
        <v>0</v>
      </c>
      <c r="BFA24">
        <v>0</v>
      </c>
      <c r="BFB24">
        <v>0</v>
      </c>
      <c r="BFC24">
        <v>0</v>
      </c>
      <c r="BFD24" t="b">
        <v>0</v>
      </c>
      <c r="BFE24" t="b">
        <v>0</v>
      </c>
      <c r="BFF24" t="b">
        <v>0</v>
      </c>
      <c r="BFG24" t="b">
        <v>0</v>
      </c>
      <c r="BFH24">
        <v>0</v>
      </c>
      <c r="BFI24">
        <v>0</v>
      </c>
      <c r="BFJ24">
        <v>0</v>
      </c>
      <c r="BFK24">
        <v>0</v>
      </c>
      <c r="BFL24">
        <v>0</v>
      </c>
      <c r="BFM24">
        <v>0</v>
      </c>
      <c r="BFN24">
        <v>0</v>
      </c>
      <c r="BFO24">
        <v>0</v>
      </c>
      <c r="BFP24">
        <v>0</v>
      </c>
      <c r="BFQ24">
        <v>0</v>
      </c>
      <c r="BFR24">
        <v>0</v>
      </c>
      <c r="BFS24">
        <v>0</v>
      </c>
      <c r="BFT24">
        <v>0</v>
      </c>
      <c r="BFU24">
        <v>0</v>
      </c>
      <c r="BFV24">
        <v>0</v>
      </c>
      <c r="BFW24">
        <v>0</v>
      </c>
      <c r="BFX24">
        <v>0</v>
      </c>
      <c r="BFY24">
        <v>0</v>
      </c>
    </row>
    <row r="25" spans="1:1533" ht="18.75" customHeight="1" x14ac:dyDescent="0.25">
      <c r="A25" t="s">
        <v>3230</v>
      </c>
      <c r="B25" t="s">
        <v>3228</v>
      </c>
      <c r="C25" s="120">
        <v>130</v>
      </c>
      <c r="D25" s="120">
        <v>45</v>
      </c>
      <c r="E25">
        <v>0</v>
      </c>
      <c r="F25">
        <v>0</v>
      </c>
      <c r="G25">
        <v>0</v>
      </c>
      <c r="H25" t="s">
        <v>2404</v>
      </c>
      <c r="I25" t="s">
        <v>2403</v>
      </c>
      <c r="J25" t="s">
        <v>2403</v>
      </c>
      <c r="K25" t="s">
        <v>2403</v>
      </c>
      <c r="L25" t="s">
        <v>2404</v>
      </c>
      <c r="M25" t="s">
        <v>3231</v>
      </c>
      <c r="N25" t="s">
        <v>2404</v>
      </c>
      <c r="O25" t="s">
        <v>3232</v>
      </c>
      <c r="P25" t="s">
        <v>1883</v>
      </c>
      <c r="Q25" t="s">
        <v>2403</v>
      </c>
      <c r="R25" t="s">
        <v>1883</v>
      </c>
      <c r="S25" t="s">
        <v>2404</v>
      </c>
      <c r="T25" t="s">
        <v>2404</v>
      </c>
      <c r="U25" t="s">
        <v>2424</v>
      </c>
      <c r="V25" t="s">
        <v>2889</v>
      </c>
      <c r="W25" t="s">
        <v>309</v>
      </c>
      <c r="X25">
        <v>900</v>
      </c>
      <c r="Y25">
        <v>43227</v>
      </c>
      <c r="Z25">
        <v>602</v>
      </c>
      <c r="AA25">
        <v>28</v>
      </c>
      <c r="AB25" s="120">
        <v>200</v>
      </c>
      <c r="AC25" s="58" t="s">
        <v>272</v>
      </c>
      <c r="AD25" s="120">
        <v>100</v>
      </c>
      <c r="AE25" s="120">
        <v>99</v>
      </c>
      <c r="AF25" s="120">
        <v>43259</v>
      </c>
      <c r="AG25">
        <v>45</v>
      </c>
      <c r="AH25" s="120">
        <v>0</v>
      </c>
      <c r="AI25" s="120">
        <v>0</v>
      </c>
      <c r="AJ25" s="58" t="s">
        <v>271</v>
      </c>
      <c r="AK25" s="120">
        <v>0.17988999999999999</v>
      </c>
      <c r="AL25" s="119">
        <v>0</v>
      </c>
      <c r="AM25">
        <v>50</v>
      </c>
      <c r="AN25">
        <v>46881</v>
      </c>
      <c r="AO25" s="114">
        <v>0.18580487353516695</v>
      </c>
      <c r="AP25" s="120">
        <v>18341.939999999999</v>
      </c>
      <c r="AQ25" s="120">
        <v>22148.210000000032</v>
      </c>
      <c r="AR25" s="58">
        <v>40490.150000000031</v>
      </c>
      <c r="AS25" s="114">
        <v>337.43</v>
      </c>
      <c r="AT25" s="120">
        <v>335.98</v>
      </c>
      <c r="AU25" s="120" t="s">
        <v>1912</v>
      </c>
      <c r="AV25" s="120" t="s">
        <v>2119</v>
      </c>
      <c r="AW25" s="120" t="s">
        <v>2738</v>
      </c>
      <c r="AX25" s="120">
        <v>19</v>
      </c>
      <c r="AY25">
        <v>0</v>
      </c>
      <c r="AZ25">
        <v>43220</v>
      </c>
      <c r="BA25">
        <v>90</v>
      </c>
      <c r="BB25" s="120">
        <v>2</v>
      </c>
      <c r="BC25">
        <v>2</v>
      </c>
      <c r="BD25" s="58" t="s">
        <v>415</v>
      </c>
      <c r="BE25" s="120">
        <v>100</v>
      </c>
      <c r="BF25">
        <v>46</v>
      </c>
      <c r="BG25">
        <v>43223</v>
      </c>
      <c r="BH25">
        <v>120</v>
      </c>
      <c r="BI25" s="120">
        <v>0</v>
      </c>
      <c r="BJ25" s="120">
        <v>50</v>
      </c>
      <c r="BK25" s="58">
        <v>43466</v>
      </c>
      <c r="BL25">
        <v>0</v>
      </c>
      <c r="BM25" s="120">
        <v>0</v>
      </c>
      <c r="BN25" s="120">
        <v>0</v>
      </c>
      <c r="BO25" s="58" t="s">
        <v>3233</v>
      </c>
      <c r="BP25" t="s">
        <v>2403</v>
      </c>
      <c r="BQ25" t="s">
        <v>2403</v>
      </c>
      <c r="BR25" t="s">
        <v>2403</v>
      </c>
      <c r="BS25">
        <v>458856757</v>
      </c>
      <c r="BT25">
        <v>26765</v>
      </c>
      <c r="BU25" s="58" t="s">
        <v>3234</v>
      </c>
      <c r="BV25" t="s">
        <v>3235</v>
      </c>
      <c r="BW25" t="s">
        <v>1633</v>
      </c>
      <c r="BX25">
        <v>76638</v>
      </c>
      <c r="BY25" t="s">
        <v>3234</v>
      </c>
      <c r="BZ25" t="s">
        <v>3235</v>
      </c>
      <c r="CA25">
        <v>76638</v>
      </c>
      <c r="CB25" t="s">
        <v>1633</v>
      </c>
      <c r="CC25" t="s">
        <v>316</v>
      </c>
      <c r="CD25">
        <v>0</v>
      </c>
      <c r="CE25" t="s">
        <v>3236</v>
      </c>
      <c r="CF25">
        <v>0</v>
      </c>
      <c r="CG25">
        <v>0</v>
      </c>
      <c r="CH25">
        <v>0</v>
      </c>
      <c r="CI25">
        <v>0</v>
      </c>
      <c r="CJ25">
        <v>0</v>
      </c>
      <c r="CK25">
        <v>0</v>
      </c>
      <c r="CL25" s="118">
        <v>0</v>
      </c>
      <c r="CM25" s="118">
        <v>2546528648</v>
      </c>
      <c r="CN25" s="118" t="s">
        <v>3237</v>
      </c>
      <c r="CO25" t="s">
        <v>3238</v>
      </c>
      <c r="CP25" t="s">
        <v>2403</v>
      </c>
      <c r="CQ25" t="s">
        <v>2403</v>
      </c>
      <c r="CR25" t="s">
        <v>2403</v>
      </c>
      <c r="CS25" t="s">
        <v>3234</v>
      </c>
      <c r="CT25" t="s">
        <v>3235</v>
      </c>
      <c r="CU25" t="s">
        <v>1633</v>
      </c>
      <c r="CV25">
        <v>76638</v>
      </c>
      <c r="CW25">
        <v>449574727</v>
      </c>
      <c r="CX25">
        <v>28613</v>
      </c>
      <c r="CY25" s="58" t="s">
        <v>3234</v>
      </c>
      <c r="CZ25" t="s">
        <v>3235</v>
      </c>
      <c r="DA25">
        <v>76638</v>
      </c>
      <c r="DB25" t="s">
        <v>1633</v>
      </c>
      <c r="DC25" t="s">
        <v>316</v>
      </c>
      <c r="DD25">
        <v>0</v>
      </c>
      <c r="DE25">
        <v>0</v>
      </c>
      <c r="DF25">
        <v>0</v>
      </c>
      <c r="DG25">
        <v>0</v>
      </c>
      <c r="DH25">
        <v>0</v>
      </c>
      <c r="DI25">
        <v>0</v>
      </c>
      <c r="DJ25">
        <v>0</v>
      </c>
      <c r="DK25">
        <v>0</v>
      </c>
      <c r="DL25" s="118">
        <v>0</v>
      </c>
      <c r="DM25" s="118">
        <v>0</v>
      </c>
      <c r="DN25" s="118" t="s">
        <v>3237</v>
      </c>
      <c r="DO25">
        <v>0</v>
      </c>
      <c r="DP25">
        <v>0</v>
      </c>
      <c r="DQ25">
        <v>0</v>
      </c>
      <c r="DR25">
        <v>0</v>
      </c>
      <c r="DS25">
        <v>0</v>
      </c>
      <c r="DT25">
        <v>0</v>
      </c>
      <c r="DU25">
        <v>0</v>
      </c>
      <c r="DV25">
        <v>0</v>
      </c>
      <c r="DW25">
        <v>0</v>
      </c>
      <c r="DX25">
        <v>0</v>
      </c>
      <c r="DY25" s="58">
        <v>0</v>
      </c>
      <c r="DZ25">
        <v>0</v>
      </c>
      <c r="EA25">
        <v>0</v>
      </c>
      <c r="EB25">
        <v>0</v>
      </c>
      <c r="EC25">
        <v>0</v>
      </c>
      <c r="ED25">
        <v>0</v>
      </c>
      <c r="EE25">
        <v>0</v>
      </c>
      <c r="EF25">
        <v>0</v>
      </c>
      <c r="EG25">
        <v>0</v>
      </c>
      <c r="EH25">
        <v>0</v>
      </c>
      <c r="EI25">
        <v>0</v>
      </c>
      <c r="EJ25">
        <v>0</v>
      </c>
      <c r="EK25">
        <v>0</v>
      </c>
      <c r="EL25" s="118">
        <v>0</v>
      </c>
      <c r="EM25" s="118">
        <v>0</v>
      </c>
      <c r="EN25" s="118">
        <v>0</v>
      </c>
      <c r="EO25">
        <v>1502</v>
      </c>
      <c r="EP25">
        <v>17185.94140625</v>
      </c>
      <c r="EQ25" s="119">
        <v>2</v>
      </c>
      <c r="ER25">
        <v>1</v>
      </c>
      <c r="ES25" t="s">
        <v>160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17185.939999999999</v>
      </c>
      <c r="FN25" s="119">
        <v>0</v>
      </c>
      <c r="FO25" s="119">
        <v>0</v>
      </c>
      <c r="FP25" s="119">
        <v>0</v>
      </c>
      <c r="FQ25" s="119">
        <v>0</v>
      </c>
      <c r="FR25" s="119">
        <v>0</v>
      </c>
      <c r="FS25" s="119">
        <v>0</v>
      </c>
      <c r="FT25" s="119">
        <v>0</v>
      </c>
      <c r="FU25" s="119">
        <v>0</v>
      </c>
      <c r="FV25" s="119">
        <v>0</v>
      </c>
      <c r="FW25" s="119">
        <v>0</v>
      </c>
      <c r="FX25" s="119">
        <v>0</v>
      </c>
      <c r="FY25" s="119">
        <v>0</v>
      </c>
      <c r="FZ25" s="119">
        <v>0</v>
      </c>
      <c r="GA25" s="119">
        <v>0</v>
      </c>
      <c r="GB25" s="119">
        <v>0</v>
      </c>
      <c r="GC25" s="119">
        <v>0</v>
      </c>
      <c r="GD25" s="119">
        <v>0</v>
      </c>
      <c r="GE25" s="119">
        <v>0</v>
      </c>
      <c r="GF25" s="119">
        <v>0</v>
      </c>
      <c r="GG25" s="119">
        <v>0</v>
      </c>
      <c r="GH25" t="s">
        <v>2403</v>
      </c>
      <c r="GI25">
        <v>0</v>
      </c>
      <c r="GJ25">
        <v>0</v>
      </c>
      <c r="GK25">
        <v>0</v>
      </c>
      <c r="GL25" t="s">
        <v>2403</v>
      </c>
      <c r="GM25">
        <v>0</v>
      </c>
      <c r="GN25" s="58" t="s">
        <v>2403</v>
      </c>
      <c r="GO25">
        <v>0</v>
      </c>
      <c r="GP25" t="s">
        <v>3239</v>
      </c>
      <c r="GQ25" s="128">
        <v>0</v>
      </c>
      <c r="GR25" s="128">
        <v>0</v>
      </c>
      <c r="GS25" s="128">
        <v>0</v>
      </c>
      <c r="GT25" s="128" t="s">
        <v>3234</v>
      </c>
      <c r="GU25">
        <v>14902.4</v>
      </c>
      <c r="GV25" s="119">
        <v>0</v>
      </c>
      <c r="GW25" s="119">
        <v>0</v>
      </c>
      <c r="GX25" s="119">
        <v>0</v>
      </c>
      <c r="GY25" s="119">
        <v>0</v>
      </c>
      <c r="GZ25">
        <v>0</v>
      </c>
      <c r="HA25">
        <v>0</v>
      </c>
      <c r="HB25">
        <v>0</v>
      </c>
      <c r="HC25">
        <v>14902.400390625</v>
      </c>
      <c r="HD25" s="120">
        <v>207960</v>
      </c>
      <c r="HE25" s="119">
        <v>23590</v>
      </c>
      <c r="HF25" t="s">
        <v>3235</v>
      </c>
      <c r="HG25" t="s">
        <v>160</v>
      </c>
      <c r="HH25" t="s">
        <v>2403</v>
      </c>
      <c r="HI25">
        <v>207960</v>
      </c>
      <c r="HJ25" s="119" t="s">
        <v>2403</v>
      </c>
      <c r="HK25">
        <v>0</v>
      </c>
      <c r="HL25">
        <v>0</v>
      </c>
      <c r="HM25">
        <v>0</v>
      </c>
      <c r="HN25">
        <v>0</v>
      </c>
      <c r="HO25" t="s">
        <v>3226</v>
      </c>
      <c r="HP25" t="s">
        <v>2403</v>
      </c>
      <c r="HQ25">
        <v>0</v>
      </c>
      <c r="HR25" t="s">
        <v>1633</v>
      </c>
      <c r="HS25" t="s">
        <v>160</v>
      </c>
      <c r="HT25">
        <v>0</v>
      </c>
      <c r="HU25">
        <v>0</v>
      </c>
      <c r="HV25">
        <v>0</v>
      </c>
      <c r="HW25" t="s">
        <v>3240</v>
      </c>
      <c r="HX25">
        <v>0</v>
      </c>
      <c r="HY25">
        <v>0</v>
      </c>
      <c r="HZ25">
        <v>0</v>
      </c>
      <c r="IA25">
        <v>76638</v>
      </c>
      <c r="IB25" t="s">
        <v>2403</v>
      </c>
      <c r="IC25">
        <v>0</v>
      </c>
      <c r="ID25" t="s">
        <v>2403</v>
      </c>
      <c r="IE25">
        <v>0</v>
      </c>
      <c r="IF25">
        <v>0</v>
      </c>
      <c r="IG25">
        <v>0</v>
      </c>
      <c r="IH25" t="s">
        <v>2403</v>
      </c>
      <c r="II25">
        <v>0</v>
      </c>
      <c r="IJ25" t="s">
        <v>2403</v>
      </c>
      <c r="IK25">
        <v>0</v>
      </c>
      <c r="IL25" t="s">
        <v>3241</v>
      </c>
      <c r="IM25" s="128">
        <v>0</v>
      </c>
      <c r="IN25" s="128">
        <v>0</v>
      </c>
      <c r="IO25" s="128">
        <v>0</v>
      </c>
      <c r="IP25" s="128" t="s">
        <v>3242</v>
      </c>
      <c r="IQ25">
        <v>2283.54</v>
      </c>
      <c r="IR25" s="119">
        <v>0</v>
      </c>
      <c r="IS25" s="119">
        <v>0</v>
      </c>
      <c r="IT25" s="119">
        <v>0</v>
      </c>
      <c r="IU25" s="119">
        <v>2283.5400390625</v>
      </c>
      <c r="IV25" s="119">
        <v>207960</v>
      </c>
      <c r="IW25">
        <v>23590</v>
      </c>
      <c r="IX25" t="s">
        <v>3235</v>
      </c>
      <c r="IY25" t="s">
        <v>3243</v>
      </c>
      <c r="IZ25" t="s">
        <v>2403</v>
      </c>
      <c r="JA25">
        <v>207960</v>
      </c>
      <c r="JB25" s="119" t="s">
        <v>2403</v>
      </c>
      <c r="JC25" t="s">
        <v>3227</v>
      </c>
      <c r="JD25" t="s">
        <v>2403</v>
      </c>
      <c r="JE25">
        <v>0</v>
      </c>
      <c r="JF25" t="s">
        <v>1633</v>
      </c>
      <c r="JG25" t="s">
        <v>160</v>
      </c>
      <c r="JH25">
        <v>0</v>
      </c>
      <c r="JI25">
        <v>0</v>
      </c>
      <c r="JJ25">
        <v>0</v>
      </c>
      <c r="JK25" t="s">
        <v>3194</v>
      </c>
      <c r="JL25">
        <v>0</v>
      </c>
      <c r="JM25">
        <v>0</v>
      </c>
      <c r="JN25">
        <v>0</v>
      </c>
      <c r="JO25">
        <v>0</v>
      </c>
      <c r="JP25">
        <v>0</v>
      </c>
      <c r="JQ25">
        <v>0</v>
      </c>
      <c r="JR25">
        <v>0</v>
      </c>
      <c r="JS25">
        <v>0</v>
      </c>
      <c r="JT25">
        <v>0</v>
      </c>
      <c r="JU25">
        <v>0</v>
      </c>
      <c r="JV25">
        <v>0</v>
      </c>
      <c r="JW25">
        <v>76638</v>
      </c>
      <c r="JX25" t="s">
        <v>2403</v>
      </c>
      <c r="JY25">
        <v>0</v>
      </c>
      <c r="JZ25">
        <v>0</v>
      </c>
      <c r="KA25">
        <v>0</v>
      </c>
      <c r="KB25">
        <v>0</v>
      </c>
      <c r="KC25">
        <v>0</v>
      </c>
      <c r="KD25">
        <v>0</v>
      </c>
      <c r="KE25">
        <v>0</v>
      </c>
      <c r="KF25">
        <v>0</v>
      </c>
      <c r="KG25">
        <v>0</v>
      </c>
      <c r="KH25">
        <v>0</v>
      </c>
      <c r="KI25" s="128">
        <v>0</v>
      </c>
      <c r="KJ25" s="128">
        <v>0</v>
      </c>
      <c r="KK25" s="128">
        <v>0</v>
      </c>
      <c r="KL25" s="128">
        <v>0</v>
      </c>
      <c r="KM25">
        <v>0</v>
      </c>
      <c r="KN25" s="119">
        <v>0</v>
      </c>
      <c r="KO25" s="119">
        <v>0</v>
      </c>
      <c r="KP25" s="119">
        <v>0</v>
      </c>
      <c r="KQ25" s="119">
        <v>0</v>
      </c>
      <c r="KR25" s="121">
        <v>0</v>
      </c>
      <c r="KS25">
        <v>0</v>
      </c>
      <c r="KT25" s="119">
        <v>0</v>
      </c>
      <c r="KU25">
        <v>0</v>
      </c>
      <c r="KV25">
        <v>0</v>
      </c>
      <c r="KW25">
        <v>0</v>
      </c>
      <c r="KX25" s="119">
        <v>0</v>
      </c>
      <c r="KY25">
        <v>0</v>
      </c>
      <c r="KZ25">
        <v>0</v>
      </c>
      <c r="LA25">
        <v>0</v>
      </c>
      <c r="LB25">
        <v>0</v>
      </c>
      <c r="LC25">
        <v>0</v>
      </c>
      <c r="LD25">
        <v>0</v>
      </c>
      <c r="LE25">
        <v>0</v>
      </c>
      <c r="LF25">
        <v>0</v>
      </c>
      <c r="LG25">
        <v>0</v>
      </c>
      <c r="LH25">
        <v>0</v>
      </c>
      <c r="LI25">
        <v>0</v>
      </c>
      <c r="LJ25">
        <v>0</v>
      </c>
      <c r="LK25">
        <v>0</v>
      </c>
      <c r="LL25">
        <v>0</v>
      </c>
      <c r="LM25">
        <v>0</v>
      </c>
      <c r="LN25">
        <v>0</v>
      </c>
      <c r="LO25">
        <v>0</v>
      </c>
      <c r="LP25">
        <v>0</v>
      </c>
      <c r="LQ25">
        <v>0</v>
      </c>
      <c r="LR25">
        <v>0</v>
      </c>
      <c r="LS25">
        <v>0</v>
      </c>
      <c r="LT25">
        <v>0</v>
      </c>
      <c r="LU25">
        <v>0</v>
      </c>
      <c r="LV25">
        <v>0</v>
      </c>
      <c r="LW25">
        <v>0</v>
      </c>
      <c r="LX25">
        <v>0</v>
      </c>
      <c r="LY25">
        <v>0</v>
      </c>
      <c r="LZ25">
        <v>0</v>
      </c>
      <c r="MA25">
        <v>0</v>
      </c>
      <c r="MB25">
        <v>0</v>
      </c>
      <c r="MC25">
        <v>0</v>
      </c>
      <c r="MD25">
        <v>0</v>
      </c>
      <c r="ME25" s="128">
        <v>0</v>
      </c>
      <c r="MF25" s="128">
        <v>0</v>
      </c>
      <c r="MG25" s="128">
        <v>0</v>
      </c>
      <c r="MH25" s="128">
        <v>0</v>
      </c>
      <c r="MI25">
        <v>0</v>
      </c>
      <c r="MJ25" s="119">
        <v>0</v>
      </c>
      <c r="MK25" s="119">
        <v>0</v>
      </c>
      <c r="ML25" s="119">
        <v>0</v>
      </c>
      <c r="MM25" s="119">
        <v>0</v>
      </c>
      <c r="MN25" s="121">
        <v>0</v>
      </c>
      <c r="MO25" s="119">
        <v>0</v>
      </c>
      <c r="MP25">
        <v>0</v>
      </c>
      <c r="MQ25">
        <v>0</v>
      </c>
      <c r="MR25">
        <v>0</v>
      </c>
      <c r="MS25">
        <v>0</v>
      </c>
      <c r="MT25" s="119">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s="116">
        <v>0</v>
      </c>
      <c r="NS25" s="116">
        <v>0</v>
      </c>
      <c r="NT25" s="116">
        <v>0</v>
      </c>
      <c r="NU25" s="116">
        <v>0</v>
      </c>
      <c r="NV25" s="116">
        <v>0</v>
      </c>
      <c r="NW25" s="116">
        <v>0</v>
      </c>
      <c r="NX25" s="116">
        <v>0</v>
      </c>
      <c r="NY25" s="116">
        <v>0</v>
      </c>
      <c r="NZ25" s="116">
        <v>0</v>
      </c>
      <c r="OA25" s="128">
        <v>0</v>
      </c>
      <c r="OB25" s="128">
        <v>0</v>
      </c>
      <c r="OC25" s="128">
        <v>0</v>
      </c>
      <c r="OD25" s="128">
        <v>0</v>
      </c>
      <c r="OE25">
        <v>0</v>
      </c>
      <c r="OF25" s="119">
        <v>0</v>
      </c>
      <c r="OG25" s="119">
        <v>0</v>
      </c>
      <c r="OH25" s="119">
        <v>0</v>
      </c>
      <c r="OI25" s="119">
        <v>0</v>
      </c>
      <c r="OJ25" s="121">
        <v>0</v>
      </c>
      <c r="OK25" s="119">
        <v>0</v>
      </c>
      <c r="OL25">
        <v>0</v>
      </c>
      <c r="OM25">
        <v>0</v>
      </c>
      <c r="ON25">
        <v>0</v>
      </c>
      <c r="OO25">
        <v>0</v>
      </c>
      <c r="OP25" s="119">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s="128">
        <v>0</v>
      </c>
      <c r="PX25" s="128">
        <v>0</v>
      </c>
      <c r="PY25" s="128">
        <v>0</v>
      </c>
      <c r="PZ25" s="128">
        <v>0</v>
      </c>
      <c r="QA25">
        <v>0</v>
      </c>
      <c r="QB25" s="119">
        <v>0</v>
      </c>
      <c r="QC25" s="119">
        <v>0</v>
      </c>
      <c r="QD25" s="119">
        <v>0</v>
      </c>
      <c r="QE25" s="119">
        <v>0</v>
      </c>
      <c r="QF25" s="121">
        <v>0</v>
      </c>
      <c r="QG25" s="119">
        <v>0</v>
      </c>
      <c r="QH25">
        <v>0</v>
      </c>
      <c r="QI25">
        <v>0</v>
      </c>
      <c r="QJ25">
        <v>0</v>
      </c>
      <c r="QK25">
        <v>0</v>
      </c>
      <c r="QL25" s="119">
        <v>0</v>
      </c>
      <c r="QM25">
        <v>0</v>
      </c>
      <c r="QN25">
        <v>0</v>
      </c>
      <c r="QO25">
        <v>0</v>
      </c>
      <c r="QP25">
        <v>0</v>
      </c>
      <c r="QQ25">
        <v>0</v>
      </c>
      <c r="QR25">
        <v>0</v>
      </c>
      <c r="QS25">
        <v>0</v>
      </c>
      <c r="QT25">
        <v>0</v>
      </c>
      <c r="QU25">
        <v>0</v>
      </c>
      <c r="QV25">
        <v>0</v>
      </c>
      <c r="QW25">
        <v>0</v>
      </c>
      <c r="QX25">
        <v>0</v>
      </c>
      <c r="QY25">
        <v>0</v>
      </c>
      <c r="QZ25">
        <v>0</v>
      </c>
      <c r="RA25">
        <v>0</v>
      </c>
      <c r="RB25">
        <v>0</v>
      </c>
      <c r="RC25">
        <v>0</v>
      </c>
      <c r="RD25">
        <v>0</v>
      </c>
      <c r="RE25">
        <v>0</v>
      </c>
      <c r="RF25">
        <v>0</v>
      </c>
      <c r="RG25">
        <v>0</v>
      </c>
      <c r="RH25">
        <v>0</v>
      </c>
      <c r="RI25">
        <v>0</v>
      </c>
      <c r="RJ25" s="116">
        <v>0</v>
      </c>
      <c r="RK25" s="116">
        <v>0</v>
      </c>
      <c r="RL25" s="116">
        <v>0</v>
      </c>
      <c r="RM25" s="116">
        <v>0</v>
      </c>
      <c r="RN25" s="116">
        <v>0</v>
      </c>
      <c r="RO25" s="116">
        <v>0</v>
      </c>
      <c r="RP25" s="116">
        <v>0</v>
      </c>
      <c r="RQ25" s="116">
        <v>0</v>
      </c>
      <c r="RR25" s="116">
        <v>0</v>
      </c>
      <c r="RS25" s="128">
        <v>0</v>
      </c>
      <c r="RT25" s="128">
        <v>0</v>
      </c>
      <c r="RU25" s="128">
        <v>0</v>
      </c>
      <c r="RV25" s="128">
        <v>0</v>
      </c>
      <c r="RW25">
        <v>0</v>
      </c>
      <c r="RX25" s="119">
        <v>0</v>
      </c>
      <c r="RY25" s="119">
        <v>0</v>
      </c>
      <c r="RZ25" s="119">
        <v>0</v>
      </c>
      <c r="SA25" s="119">
        <v>0</v>
      </c>
      <c r="SB25" s="121">
        <v>0</v>
      </c>
      <c r="SC25" s="119">
        <v>0</v>
      </c>
      <c r="SD25">
        <v>0</v>
      </c>
      <c r="SE25">
        <v>0</v>
      </c>
      <c r="SF25">
        <v>0</v>
      </c>
      <c r="SG25">
        <v>0</v>
      </c>
      <c r="SH25" s="119">
        <v>0</v>
      </c>
      <c r="SI25">
        <v>0</v>
      </c>
      <c r="SJ25">
        <v>0</v>
      </c>
      <c r="SK25">
        <v>0</v>
      </c>
      <c r="SL25">
        <v>0</v>
      </c>
      <c r="SM25">
        <v>0</v>
      </c>
      <c r="SN25">
        <v>0</v>
      </c>
      <c r="SO25">
        <v>0</v>
      </c>
      <c r="SP25">
        <v>0</v>
      </c>
      <c r="SQ25">
        <v>0</v>
      </c>
      <c r="SR25">
        <v>0</v>
      </c>
      <c r="SS25">
        <v>0</v>
      </c>
      <c r="ST25">
        <v>0</v>
      </c>
      <c r="SU25">
        <v>0</v>
      </c>
      <c r="SV25">
        <v>0</v>
      </c>
      <c r="SW25">
        <v>0</v>
      </c>
      <c r="SX25">
        <v>0</v>
      </c>
      <c r="SY25">
        <v>0</v>
      </c>
      <c r="SZ25">
        <v>0</v>
      </c>
      <c r="TA25">
        <v>0</v>
      </c>
      <c r="TB25">
        <v>0</v>
      </c>
      <c r="TC25">
        <v>0</v>
      </c>
      <c r="TD25">
        <v>0</v>
      </c>
      <c r="TE25">
        <v>0</v>
      </c>
      <c r="TF25" s="116">
        <v>0</v>
      </c>
      <c r="TG25" s="116">
        <v>0</v>
      </c>
      <c r="TH25" s="116">
        <v>0</v>
      </c>
      <c r="TI25" s="116">
        <v>0</v>
      </c>
      <c r="TJ25" s="116">
        <v>0</v>
      </c>
      <c r="TK25" s="116">
        <v>0</v>
      </c>
      <c r="TL25" s="116">
        <v>0</v>
      </c>
      <c r="TM25" s="116">
        <v>0</v>
      </c>
      <c r="TN25" s="116">
        <v>0</v>
      </c>
      <c r="TO25" s="128">
        <v>0</v>
      </c>
      <c r="TP25" s="128">
        <v>0</v>
      </c>
      <c r="TQ25" s="128">
        <v>0</v>
      </c>
      <c r="TR25" s="128">
        <v>0</v>
      </c>
      <c r="TS25">
        <v>0</v>
      </c>
      <c r="TT25" s="119">
        <v>0</v>
      </c>
      <c r="TU25" s="119">
        <v>0</v>
      </c>
      <c r="TV25" s="119">
        <v>0</v>
      </c>
      <c r="TW25" s="119">
        <v>0</v>
      </c>
      <c r="TX25" s="121">
        <v>0</v>
      </c>
      <c r="TY25" s="119">
        <v>0</v>
      </c>
      <c r="TZ25">
        <v>0</v>
      </c>
      <c r="UA25">
        <v>0</v>
      </c>
      <c r="UB25">
        <v>0</v>
      </c>
      <c r="UC25">
        <v>0</v>
      </c>
      <c r="UD25" s="119">
        <v>0</v>
      </c>
      <c r="UE25">
        <v>0</v>
      </c>
      <c r="UF25">
        <v>0</v>
      </c>
      <c r="UG25">
        <v>0</v>
      </c>
      <c r="UH25">
        <v>0</v>
      </c>
      <c r="UI25">
        <v>0</v>
      </c>
      <c r="UJ25">
        <v>0</v>
      </c>
      <c r="UK25">
        <v>0</v>
      </c>
      <c r="UL25">
        <v>0</v>
      </c>
      <c r="UM25">
        <v>0</v>
      </c>
      <c r="UN25">
        <v>0</v>
      </c>
      <c r="UO25">
        <v>0</v>
      </c>
      <c r="UP25">
        <v>0</v>
      </c>
      <c r="UQ25">
        <v>0</v>
      </c>
      <c r="UR25">
        <v>0</v>
      </c>
      <c r="US25">
        <v>0</v>
      </c>
      <c r="UT25">
        <v>0</v>
      </c>
      <c r="UU25">
        <v>0</v>
      </c>
      <c r="UV25">
        <v>0</v>
      </c>
      <c r="UW25">
        <v>0</v>
      </c>
      <c r="UX25">
        <v>0</v>
      </c>
      <c r="UY25">
        <v>0</v>
      </c>
      <c r="UZ25">
        <v>0</v>
      </c>
      <c r="VA25">
        <v>0</v>
      </c>
      <c r="VB25" s="116">
        <v>0</v>
      </c>
      <c r="VC25" s="116">
        <v>0</v>
      </c>
      <c r="VD25" s="116">
        <v>0</v>
      </c>
      <c r="VE25" s="116">
        <v>0</v>
      </c>
      <c r="VF25" s="116">
        <v>0</v>
      </c>
      <c r="VG25" s="116">
        <v>0</v>
      </c>
      <c r="VH25" s="116">
        <v>0</v>
      </c>
      <c r="VI25" s="116">
        <v>0</v>
      </c>
      <c r="VJ25" s="116">
        <v>0</v>
      </c>
      <c r="VK25" s="128">
        <v>0</v>
      </c>
      <c r="VL25" s="128">
        <v>0</v>
      </c>
      <c r="VM25" s="128">
        <v>0</v>
      </c>
      <c r="VN25" s="128">
        <v>0</v>
      </c>
      <c r="VO25">
        <v>0</v>
      </c>
      <c r="VP25" s="119">
        <v>0</v>
      </c>
      <c r="VQ25" s="119">
        <v>0</v>
      </c>
      <c r="VR25" s="119">
        <v>0</v>
      </c>
      <c r="VS25" s="119">
        <v>0</v>
      </c>
      <c r="VT25" s="121">
        <v>0</v>
      </c>
      <c r="VU25" s="119">
        <v>0</v>
      </c>
      <c r="VV25" s="119">
        <v>0</v>
      </c>
      <c r="VW25">
        <v>0</v>
      </c>
      <c r="VX25">
        <v>0</v>
      </c>
      <c r="VY25">
        <v>0</v>
      </c>
      <c r="VZ25" s="119">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s="116">
        <v>0</v>
      </c>
      <c r="WY25" s="116">
        <v>0</v>
      </c>
      <c r="WZ25" s="116">
        <v>0</v>
      </c>
      <c r="XA25" s="116">
        <v>0</v>
      </c>
      <c r="XB25" s="116">
        <v>0</v>
      </c>
      <c r="XC25" s="116">
        <v>0</v>
      </c>
      <c r="XD25" s="116">
        <v>0</v>
      </c>
      <c r="XE25" s="116">
        <v>0</v>
      </c>
      <c r="XF25" s="116">
        <v>0</v>
      </c>
      <c r="XG25" s="128">
        <v>0</v>
      </c>
      <c r="XH25" s="128">
        <v>0</v>
      </c>
      <c r="XI25" s="128">
        <v>0</v>
      </c>
      <c r="XJ25" s="128">
        <v>0</v>
      </c>
      <c r="XK25">
        <v>0</v>
      </c>
      <c r="XL25" s="119">
        <v>0</v>
      </c>
      <c r="XM25" s="119">
        <v>0</v>
      </c>
      <c r="XN25" s="119">
        <v>0</v>
      </c>
      <c r="XO25" s="119">
        <v>0</v>
      </c>
      <c r="XP25" s="121">
        <v>0</v>
      </c>
      <c r="XQ25" s="119">
        <v>0</v>
      </c>
      <c r="XR25" s="119">
        <v>0</v>
      </c>
      <c r="XS25">
        <v>0</v>
      </c>
      <c r="XT25">
        <v>0</v>
      </c>
      <c r="XU25">
        <v>0</v>
      </c>
      <c r="XV25" s="119">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S25">
        <v>0</v>
      </c>
      <c r="YT25">
        <v>0</v>
      </c>
      <c r="YU25">
        <v>0</v>
      </c>
      <c r="YV25">
        <v>0</v>
      </c>
      <c r="YW25">
        <v>0</v>
      </c>
      <c r="YX25">
        <v>0</v>
      </c>
      <c r="YY25">
        <v>0</v>
      </c>
      <c r="YZ25">
        <v>0</v>
      </c>
      <c r="ZA25">
        <v>0</v>
      </c>
      <c r="ZB25">
        <v>0</v>
      </c>
      <c r="ZC25" s="128">
        <v>0</v>
      </c>
      <c r="ZD25" s="128">
        <v>0</v>
      </c>
      <c r="ZE25" s="128">
        <v>0</v>
      </c>
      <c r="ZF25" s="128">
        <v>0</v>
      </c>
      <c r="ZG25">
        <v>0</v>
      </c>
      <c r="ZH25" s="119">
        <v>0</v>
      </c>
      <c r="ZI25" s="119">
        <v>0</v>
      </c>
      <c r="ZJ25" s="119">
        <v>0</v>
      </c>
      <c r="ZK25" s="119">
        <v>0</v>
      </c>
      <c r="ZL25" s="121">
        <v>0</v>
      </c>
      <c r="ZM25" s="119">
        <v>0</v>
      </c>
      <c r="ZN25" s="119">
        <v>0</v>
      </c>
      <c r="ZO25">
        <v>0</v>
      </c>
      <c r="ZP25">
        <v>0</v>
      </c>
      <c r="ZQ25">
        <v>0</v>
      </c>
      <c r="ZR25" s="119">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s="116">
        <v>0</v>
      </c>
      <c r="AAQ25" s="116">
        <v>0</v>
      </c>
      <c r="AAR25" s="116">
        <v>0</v>
      </c>
      <c r="AAS25" s="116">
        <v>0</v>
      </c>
      <c r="AAT25" s="116">
        <v>0</v>
      </c>
      <c r="AAU25" s="116">
        <v>0</v>
      </c>
      <c r="AAV25" s="116">
        <v>0</v>
      </c>
      <c r="AAW25" s="116">
        <v>0</v>
      </c>
      <c r="AAX25" s="116">
        <v>0</v>
      </c>
      <c r="AAY25" s="128">
        <v>0</v>
      </c>
      <c r="AAZ25" s="128">
        <v>0</v>
      </c>
      <c r="ABA25" s="128">
        <v>0</v>
      </c>
      <c r="ABB25" s="128">
        <v>0</v>
      </c>
      <c r="ABC25">
        <v>0</v>
      </c>
      <c r="ABD25" s="119">
        <v>0</v>
      </c>
      <c r="ABE25" s="119">
        <v>0</v>
      </c>
      <c r="ABF25" s="119">
        <v>0</v>
      </c>
      <c r="ABG25" s="119">
        <v>0</v>
      </c>
      <c r="ABH25" s="121">
        <v>0</v>
      </c>
      <c r="ABI25" s="119">
        <v>0</v>
      </c>
      <c r="ABJ25" s="119">
        <v>0</v>
      </c>
      <c r="ABK25">
        <v>0</v>
      </c>
      <c r="ABL25">
        <v>0</v>
      </c>
      <c r="ABM25">
        <v>0</v>
      </c>
      <c r="ABN25" s="119">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s="116">
        <v>0</v>
      </c>
      <c r="ACM25" s="116">
        <v>0</v>
      </c>
      <c r="ACN25" s="116">
        <v>0</v>
      </c>
      <c r="ACO25" s="116">
        <v>0</v>
      </c>
      <c r="ACP25" s="116">
        <v>0</v>
      </c>
      <c r="ACQ25" s="116">
        <v>0</v>
      </c>
      <c r="ACR25" s="116">
        <v>0</v>
      </c>
      <c r="ACS25" s="116">
        <v>0</v>
      </c>
      <c r="ACT25" s="116">
        <v>0</v>
      </c>
      <c r="ACU25" s="128">
        <v>0</v>
      </c>
      <c r="ACV25" s="128">
        <v>0</v>
      </c>
      <c r="ACW25" s="128">
        <v>0</v>
      </c>
      <c r="ACX25" s="128">
        <v>0</v>
      </c>
      <c r="ACY25">
        <v>0</v>
      </c>
      <c r="ACZ25" s="119">
        <v>0</v>
      </c>
      <c r="ADA25" s="119">
        <v>0</v>
      </c>
      <c r="ADB25" s="119">
        <v>0</v>
      </c>
      <c r="ADC25" s="119">
        <v>0</v>
      </c>
      <c r="ADD25" s="121">
        <v>0</v>
      </c>
      <c r="ADE25" s="119">
        <v>0</v>
      </c>
      <c r="ADF25" s="119">
        <v>0</v>
      </c>
      <c r="ADG25">
        <v>0</v>
      </c>
      <c r="ADH25">
        <v>0</v>
      </c>
      <c r="ADI25">
        <v>0</v>
      </c>
      <c r="ADJ25" s="119">
        <v>0</v>
      </c>
      <c r="ADK25">
        <v>0</v>
      </c>
      <c r="ADL25">
        <v>0</v>
      </c>
      <c r="ADM25">
        <v>0</v>
      </c>
      <c r="ADN25">
        <v>0</v>
      </c>
      <c r="ADO25">
        <v>0</v>
      </c>
      <c r="ADP25">
        <v>0</v>
      </c>
      <c r="ADQ25">
        <v>0</v>
      </c>
      <c r="ADR25">
        <v>0</v>
      </c>
      <c r="ADS25">
        <v>0</v>
      </c>
      <c r="ADT25">
        <v>0</v>
      </c>
      <c r="ADU25">
        <v>0</v>
      </c>
      <c r="ADV25">
        <v>0</v>
      </c>
      <c r="ADW25">
        <v>0</v>
      </c>
      <c r="ADX25">
        <v>0</v>
      </c>
      <c r="ADY25">
        <v>0</v>
      </c>
      <c r="ADZ25">
        <v>0</v>
      </c>
      <c r="AEA25">
        <v>0</v>
      </c>
      <c r="AEB25">
        <v>0</v>
      </c>
      <c r="AEC25">
        <v>0</v>
      </c>
      <c r="AED25">
        <v>0</v>
      </c>
      <c r="AEE25">
        <v>0</v>
      </c>
      <c r="AEF25">
        <v>0</v>
      </c>
      <c r="AEG25">
        <v>0</v>
      </c>
      <c r="AEH25" s="116">
        <v>0</v>
      </c>
      <c r="AEI25" s="116">
        <v>0</v>
      </c>
      <c r="AEJ25" s="116">
        <v>0</v>
      </c>
      <c r="AEK25" s="116">
        <v>0</v>
      </c>
      <c r="AEL25" s="116">
        <v>0</v>
      </c>
      <c r="AEM25" s="116">
        <v>0</v>
      </c>
      <c r="AEN25" s="116">
        <v>0</v>
      </c>
      <c r="AEO25" s="116">
        <v>0</v>
      </c>
      <c r="AEP25" s="116">
        <v>0</v>
      </c>
      <c r="AEQ25" s="128">
        <v>0</v>
      </c>
      <c r="AER25" s="128">
        <v>0</v>
      </c>
      <c r="AES25" s="128">
        <v>0</v>
      </c>
      <c r="AET25" s="128">
        <v>0</v>
      </c>
      <c r="AEU25">
        <v>0</v>
      </c>
      <c r="AEV25" s="119">
        <v>0</v>
      </c>
      <c r="AEW25" s="119">
        <v>0</v>
      </c>
      <c r="AEX25" s="119">
        <v>0</v>
      </c>
      <c r="AEY25" s="119">
        <v>0</v>
      </c>
      <c r="AEZ25" s="121">
        <v>0</v>
      </c>
      <c r="AFA25" s="119">
        <v>0</v>
      </c>
      <c r="AFB25" s="119">
        <v>0</v>
      </c>
      <c r="AFC25">
        <v>0</v>
      </c>
      <c r="AFD25">
        <v>0</v>
      </c>
      <c r="AFE25">
        <v>0</v>
      </c>
      <c r="AFF25" s="119">
        <v>0</v>
      </c>
      <c r="AFG25">
        <v>0</v>
      </c>
      <c r="AFH25">
        <v>0</v>
      </c>
      <c r="AFI25">
        <v>0</v>
      </c>
      <c r="AFJ25">
        <v>0</v>
      </c>
      <c r="AFK25">
        <v>0</v>
      </c>
      <c r="AFL25">
        <v>0</v>
      </c>
      <c r="AFM25">
        <v>0</v>
      </c>
      <c r="AFN25">
        <v>0</v>
      </c>
      <c r="AFO25">
        <v>0</v>
      </c>
      <c r="AFP25">
        <v>0</v>
      </c>
      <c r="AFQ25">
        <v>0</v>
      </c>
      <c r="AFR25">
        <v>0</v>
      </c>
      <c r="AFS25">
        <v>0</v>
      </c>
      <c r="AFT25">
        <v>0</v>
      </c>
      <c r="AFU25">
        <v>0</v>
      </c>
      <c r="AFV25">
        <v>0</v>
      </c>
      <c r="AFW25">
        <v>0</v>
      </c>
      <c r="AFX25">
        <v>0</v>
      </c>
      <c r="AFY25">
        <v>0</v>
      </c>
      <c r="AFZ25">
        <v>0</v>
      </c>
      <c r="AGA25">
        <v>0</v>
      </c>
      <c r="AGB25">
        <v>0</v>
      </c>
      <c r="AGC25">
        <v>0</v>
      </c>
      <c r="AGD25" s="116">
        <v>0</v>
      </c>
      <c r="AGE25" s="116">
        <v>0</v>
      </c>
      <c r="AGF25" s="116">
        <v>0</v>
      </c>
      <c r="AGG25" s="116">
        <v>0</v>
      </c>
      <c r="AGH25" s="116">
        <v>0</v>
      </c>
      <c r="AGI25" s="116">
        <v>0</v>
      </c>
      <c r="AGJ25" s="116">
        <v>0</v>
      </c>
      <c r="AGK25" s="116">
        <v>0</v>
      </c>
      <c r="AGL25" s="116">
        <v>0</v>
      </c>
      <c r="AGM25" s="128">
        <v>0</v>
      </c>
      <c r="AGN25" s="128">
        <v>0</v>
      </c>
      <c r="AGO25" s="128">
        <v>0</v>
      </c>
      <c r="AGP25" s="128">
        <v>0</v>
      </c>
      <c r="AGQ25">
        <v>0</v>
      </c>
      <c r="AGR25" s="119">
        <v>0</v>
      </c>
      <c r="AGS25" s="119">
        <v>0</v>
      </c>
      <c r="AGT25" s="119">
        <v>0</v>
      </c>
      <c r="AGU25" s="119">
        <v>0</v>
      </c>
      <c r="AGV25" s="121">
        <v>0</v>
      </c>
      <c r="AGW25" s="119">
        <v>0</v>
      </c>
      <c r="AGX25" s="119">
        <v>0</v>
      </c>
      <c r="AGY25">
        <v>0</v>
      </c>
      <c r="AGZ25">
        <v>0</v>
      </c>
      <c r="AHA25">
        <v>0</v>
      </c>
      <c r="AHB25" s="119">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0</v>
      </c>
      <c r="AIB25">
        <v>0</v>
      </c>
      <c r="AIC25">
        <v>0</v>
      </c>
      <c r="AID25">
        <v>0</v>
      </c>
      <c r="AIE25">
        <v>0</v>
      </c>
      <c r="AIF25">
        <v>0</v>
      </c>
      <c r="AIG25">
        <v>0</v>
      </c>
      <c r="AIH25">
        <v>0</v>
      </c>
      <c r="AII25" s="128">
        <v>0</v>
      </c>
      <c r="AIJ25" s="128">
        <v>0</v>
      </c>
      <c r="AIK25" s="128">
        <v>0</v>
      </c>
      <c r="AIL25" s="128">
        <v>0</v>
      </c>
      <c r="AIM25">
        <v>0</v>
      </c>
      <c r="AIN25" s="119">
        <v>0</v>
      </c>
      <c r="AIO25" s="119">
        <v>0</v>
      </c>
      <c r="AIP25" s="119">
        <v>0</v>
      </c>
      <c r="AIQ25" s="119">
        <v>0</v>
      </c>
      <c r="AIR25" s="121">
        <v>0</v>
      </c>
      <c r="AIS25" s="119">
        <v>0</v>
      </c>
      <c r="AIT25" s="119">
        <v>0</v>
      </c>
      <c r="AIU25">
        <v>0</v>
      </c>
      <c r="AIV25">
        <v>0</v>
      </c>
      <c r="AIW25">
        <v>0</v>
      </c>
      <c r="AIX25" s="119">
        <v>0</v>
      </c>
      <c r="AIY25">
        <v>0</v>
      </c>
      <c r="AIZ25">
        <v>0</v>
      </c>
      <c r="AJA25">
        <v>0</v>
      </c>
      <c r="AJB25">
        <v>0</v>
      </c>
      <c r="AJC25">
        <v>0</v>
      </c>
      <c r="AJD25">
        <v>0</v>
      </c>
      <c r="AJE25">
        <v>0</v>
      </c>
      <c r="AJF25">
        <v>0</v>
      </c>
      <c r="AJG25">
        <v>0</v>
      </c>
      <c r="AJH25">
        <v>0</v>
      </c>
      <c r="AJI25">
        <v>0</v>
      </c>
      <c r="AJJ25">
        <v>0</v>
      </c>
      <c r="AJK25">
        <v>0</v>
      </c>
      <c r="AJL25">
        <v>0</v>
      </c>
      <c r="AJM25">
        <v>0</v>
      </c>
      <c r="AJN25">
        <v>0</v>
      </c>
      <c r="AJO25">
        <v>0</v>
      </c>
      <c r="AJP25">
        <v>0</v>
      </c>
      <c r="AJQ25">
        <v>0</v>
      </c>
      <c r="AJR25">
        <v>0</v>
      </c>
      <c r="AJS25">
        <v>0</v>
      </c>
      <c r="AJT25">
        <v>0</v>
      </c>
      <c r="AJU25">
        <v>0</v>
      </c>
      <c r="AJV25" s="116">
        <v>0</v>
      </c>
      <c r="AJW25" s="116">
        <v>0</v>
      </c>
      <c r="AJX25" s="116">
        <v>0</v>
      </c>
      <c r="AJY25" s="116">
        <v>0</v>
      </c>
      <c r="AJZ25" s="116">
        <v>0</v>
      </c>
      <c r="AKA25" s="116">
        <v>0</v>
      </c>
      <c r="AKB25" s="116">
        <v>0</v>
      </c>
      <c r="AKC25" s="116">
        <v>0</v>
      </c>
      <c r="AKD25" s="116">
        <v>0</v>
      </c>
      <c r="AKE25" s="128">
        <v>0</v>
      </c>
      <c r="AKF25" s="128">
        <v>0</v>
      </c>
      <c r="AKG25" s="128">
        <v>0</v>
      </c>
      <c r="AKH25" s="128">
        <v>0</v>
      </c>
      <c r="AKI25">
        <v>0</v>
      </c>
      <c r="AKJ25" s="119">
        <v>0</v>
      </c>
      <c r="AKK25" s="119">
        <v>0</v>
      </c>
      <c r="AKL25" s="119">
        <v>0</v>
      </c>
      <c r="AKM25" s="119">
        <v>0</v>
      </c>
      <c r="AKN25" s="121">
        <v>0</v>
      </c>
      <c r="AKO25" s="119">
        <v>0</v>
      </c>
      <c r="AKP25" s="119">
        <v>0</v>
      </c>
      <c r="AKQ25">
        <v>0</v>
      </c>
      <c r="AKR25">
        <v>0</v>
      </c>
      <c r="AKS25">
        <v>0</v>
      </c>
      <c r="AKT25" s="119">
        <v>0</v>
      </c>
      <c r="AKU25">
        <v>0</v>
      </c>
      <c r="AKV25">
        <v>0</v>
      </c>
      <c r="AKW25">
        <v>0</v>
      </c>
      <c r="AKX25">
        <v>0</v>
      </c>
      <c r="AKY25">
        <v>0</v>
      </c>
      <c r="AKZ25">
        <v>0</v>
      </c>
      <c r="ALA25">
        <v>0</v>
      </c>
      <c r="ALB25">
        <v>0</v>
      </c>
      <c r="ALC25">
        <v>0</v>
      </c>
      <c r="ALD25">
        <v>0</v>
      </c>
      <c r="ALE25">
        <v>0</v>
      </c>
      <c r="ALF25">
        <v>0</v>
      </c>
      <c r="ALG25">
        <v>0</v>
      </c>
      <c r="ALH25">
        <v>0</v>
      </c>
      <c r="ALI25">
        <v>0</v>
      </c>
      <c r="ALJ25">
        <v>0</v>
      </c>
      <c r="ALK25">
        <v>0</v>
      </c>
      <c r="ALL25">
        <v>0</v>
      </c>
      <c r="ALM25">
        <v>0</v>
      </c>
      <c r="ALN25">
        <v>0</v>
      </c>
      <c r="ALO25">
        <v>0</v>
      </c>
      <c r="ALP25">
        <v>0</v>
      </c>
      <c r="ALQ25">
        <v>0</v>
      </c>
      <c r="ALR25" s="116">
        <v>0</v>
      </c>
      <c r="ALS25" s="116">
        <v>0</v>
      </c>
      <c r="ALT25" s="116">
        <v>0</v>
      </c>
      <c r="ALU25" s="116">
        <v>0</v>
      </c>
      <c r="ALV25" s="116">
        <v>0</v>
      </c>
      <c r="ALW25" s="116">
        <v>0</v>
      </c>
      <c r="ALX25" s="116">
        <v>0</v>
      </c>
      <c r="ALY25" s="116">
        <v>0</v>
      </c>
      <c r="ALZ25" s="116">
        <v>0</v>
      </c>
      <c r="AMA25" s="128">
        <v>0</v>
      </c>
      <c r="AMB25" s="128">
        <v>0</v>
      </c>
      <c r="AMC25" s="128">
        <v>0</v>
      </c>
      <c r="AMD25" s="128">
        <v>0</v>
      </c>
      <c r="AME25">
        <v>0</v>
      </c>
      <c r="AMF25" s="119">
        <v>0</v>
      </c>
      <c r="AMG25" s="119">
        <v>0</v>
      </c>
      <c r="AMH25" s="119">
        <v>0</v>
      </c>
      <c r="AMI25" s="119">
        <v>0</v>
      </c>
      <c r="AMJ25" s="121">
        <v>0</v>
      </c>
      <c r="AMK25" s="119">
        <v>0</v>
      </c>
      <c r="AML25" s="119">
        <v>0</v>
      </c>
      <c r="AMM25">
        <v>0</v>
      </c>
      <c r="AMN25">
        <v>0</v>
      </c>
      <c r="AMO25">
        <v>0</v>
      </c>
      <c r="AMP25" s="119">
        <v>0</v>
      </c>
      <c r="AMQ25">
        <v>0</v>
      </c>
      <c r="AMR25">
        <v>0</v>
      </c>
      <c r="AMS25">
        <v>0</v>
      </c>
      <c r="AMT25">
        <v>0</v>
      </c>
      <c r="AMU25">
        <v>0</v>
      </c>
      <c r="AMV25">
        <v>0</v>
      </c>
      <c r="AMW25">
        <v>0</v>
      </c>
      <c r="AMX25">
        <v>0</v>
      </c>
      <c r="AMY25">
        <v>0</v>
      </c>
      <c r="AMZ25">
        <v>0</v>
      </c>
      <c r="ANA25">
        <v>0</v>
      </c>
      <c r="ANB25">
        <v>0</v>
      </c>
      <c r="ANC25">
        <v>0</v>
      </c>
      <c r="AND25">
        <v>0</v>
      </c>
      <c r="ANE25">
        <v>0</v>
      </c>
      <c r="ANF25">
        <v>0</v>
      </c>
      <c r="ANG25">
        <v>0</v>
      </c>
      <c r="ANH25">
        <v>0</v>
      </c>
      <c r="ANI25">
        <v>0</v>
      </c>
      <c r="ANJ25">
        <v>0</v>
      </c>
      <c r="ANK25">
        <v>0</v>
      </c>
      <c r="ANL25">
        <v>0</v>
      </c>
      <c r="ANM25">
        <v>0</v>
      </c>
      <c r="ANN25" s="116">
        <v>0</v>
      </c>
      <c r="ANO25" s="116">
        <v>0</v>
      </c>
      <c r="ANP25" s="116">
        <v>0</v>
      </c>
      <c r="ANQ25" s="116">
        <v>0</v>
      </c>
      <c r="ANR25" s="116">
        <v>0</v>
      </c>
      <c r="ANS25" s="116">
        <v>0</v>
      </c>
      <c r="ANT25" s="116">
        <v>0</v>
      </c>
      <c r="ANU25" s="116">
        <v>0</v>
      </c>
      <c r="ANV25" s="116">
        <v>0</v>
      </c>
      <c r="ANW25" s="128">
        <v>0</v>
      </c>
      <c r="ANX25" s="128">
        <v>0</v>
      </c>
      <c r="ANY25" s="128">
        <v>0</v>
      </c>
      <c r="ANZ25" s="128">
        <v>0</v>
      </c>
      <c r="AOA25">
        <v>0</v>
      </c>
      <c r="AOB25" s="119">
        <v>0</v>
      </c>
      <c r="AOC25" s="119">
        <v>0</v>
      </c>
      <c r="AOD25" s="119">
        <v>0</v>
      </c>
      <c r="AOE25" s="119">
        <v>0</v>
      </c>
      <c r="AOF25" s="121">
        <v>0</v>
      </c>
      <c r="AOG25" s="119">
        <v>0</v>
      </c>
      <c r="AOH25" s="119">
        <v>0</v>
      </c>
      <c r="AOI25">
        <v>0</v>
      </c>
      <c r="AOJ25">
        <v>0</v>
      </c>
      <c r="AOK25">
        <v>0</v>
      </c>
      <c r="AOL25" s="119">
        <v>0</v>
      </c>
      <c r="AOM25">
        <v>0</v>
      </c>
      <c r="AON25">
        <v>0</v>
      </c>
      <c r="AOO25">
        <v>0</v>
      </c>
      <c r="AOP25">
        <v>0</v>
      </c>
      <c r="AOQ25">
        <v>0</v>
      </c>
      <c r="AOR25">
        <v>0</v>
      </c>
      <c r="AOS25">
        <v>0</v>
      </c>
      <c r="AOT25">
        <v>0</v>
      </c>
      <c r="AOU25">
        <v>0</v>
      </c>
      <c r="AOV25">
        <v>0</v>
      </c>
      <c r="AOW25">
        <v>0</v>
      </c>
      <c r="AOX25">
        <v>0</v>
      </c>
      <c r="AOY25">
        <v>0</v>
      </c>
      <c r="AOZ25">
        <v>0</v>
      </c>
      <c r="APA25">
        <v>0</v>
      </c>
      <c r="APB25">
        <v>0</v>
      </c>
      <c r="APC25">
        <v>0</v>
      </c>
      <c r="APD25">
        <v>0</v>
      </c>
      <c r="APE25">
        <v>0</v>
      </c>
      <c r="APF25">
        <v>0</v>
      </c>
      <c r="APG25">
        <v>0</v>
      </c>
      <c r="APH25">
        <v>0</v>
      </c>
      <c r="API25">
        <v>0</v>
      </c>
      <c r="APJ25" s="116">
        <v>0</v>
      </c>
      <c r="APK25" s="116">
        <v>0</v>
      </c>
      <c r="APL25" s="116">
        <v>0</v>
      </c>
      <c r="APM25" s="116">
        <v>0</v>
      </c>
      <c r="APN25" s="116">
        <v>0</v>
      </c>
      <c r="APO25" s="116">
        <v>0</v>
      </c>
      <c r="APP25" s="116">
        <v>0</v>
      </c>
      <c r="APQ25" s="116">
        <v>0</v>
      </c>
      <c r="APR25" s="116">
        <v>0</v>
      </c>
      <c r="APS25" s="128">
        <v>0</v>
      </c>
      <c r="APT25" s="128">
        <v>0</v>
      </c>
      <c r="APU25" s="128">
        <v>0</v>
      </c>
      <c r="APV25" s="128">
        <v>0</v>
      </c>
      <c r="APW25">
        <v>0</v>
      </c>
      <c r="APX25" s="119">
        <v>0</v>
      </c>
      <c r="APY25" s="119">
        <v>0</v>
      </c>
      <c r="APZ25" s="119">
        <v>0</v>
      </c>
      <c r="AQA25" s="119">
        <v>0</v>
      </c>
      <c r="AQB25" s="121">
        <v>0</v>
      </c>
      <c r="AQC25" s="119">
        <v>0</v>
      </c>
      <c r="AQD25" s="119">
        <v>0</v>
      </c>
      <c r="AQE25">
        <v>0</v>
      </c>
      <c r="AQF25">
        <v>0</v>
      </c>
      <c r="AQG25">
        <v>0</v>
      </c>
      <c r="AQH25" s="119">
        <v>0</v>
      </c>
      <c r="AQI25">
        <v>0</v>
      </c>
      <c r="AQJ25">
        <v>0</v>
      </c>
      <c r="AQK25">
        <v>0</v>
      </c>
      <c r="AQL25">
        <v>0</v>
      </c>
      <c r="AQM25">
        <v>0</v>
      </c>
      <c r="AQN25">
        <v>0</v>
      </c>
      <c r="AQO25">
        <v>0</v>
      </c>
      <c r="AQP25">
        <v>0</v>
      </c>
      <c r="AQQ25">
        <v>0</v>
      </c>
      <c r="AQR25">
        <v>0</v>
      </c>
      <c r="AQS25">
        <v>0</v>
      </c>
      <c r="AQT25">
        <v>0</v>
      </c>
      <c r="AQU25">
        <v>0</v>
      </c>
      <c r="AQV25">
        <v>0</v>
      </c>
      <c r="AQW25">
        <v>0</v>
      </c>
      <c r="AQX25">
        <v>0</v>
      </c>
      <c r="AQY25">
        <v>0</v>
      </c>
      <c r="AQZ25">
        <v>0</v>
      </c>
      <c r="ARA25">
        <v>0</v>
      </c>
      <c r="ARB25">
        <v>0</v>
      </c>
      <c r="ARC25">
        <v>0</v>
      </c>
      <c r="ARD25">
        <v>0</v>
      </c>
      <c r="ARE25">
        <v>0</v>
      </c>
      <c r="ARF25">
        <v>0</v>
      </c>
      <c r="ARG25">
        <v>0</v>
      </c>
      <c r="ARH25">
        <v>0</v>
      </c>
      <c r="ARI25">
        <v>0</v>
      </c>
      <c r="ARJ25">
        <v>0</v>
      </c>
      <c r="ARK25">
        <v>0</v>
      </c>
      <c r="ARL25">
        <v>0</v>
      </c>
      <c r="ARM25">
        <v>0</v>
      </c>
      <c r="ARN25">
        <v>0</v>
      </c>
      <c r="ARO25" s="128">
        <v>0</v>
      </c>
      <c r="ARP25" s="128">
        <v>0</v>
      </c>
      <c r="ARQ25" s="128">
        <v>0</v>
      </c>
      <c r="ARR25" s="128">
        <v>0</v>
      </c>
      <c r="ARS25">
        <v>0</v>
      </c>
      <c r="ART25" s="119">
        <v>0</v>
      </c>
      <c r="ARU25" s="119">
        <v>0</v>
      </c>
      <c r="ARV25" s="119">
        <v>0</v>
      </c>
      <c r="ARW25" s="119">
        <v>0</v>
      </c>
      <c r="ARX25" s="121">
        <v>0</v>
      </c>
      <c r="ARY25" s="119">
        <v>0</v>
      </c>
      <c r="ARZ25" s="119">
        <v>0</v>
      </c>
      <c r="ASA25">
        <v>0</v>
      </c>
      <c r="ASB25">
        <v>0</v>
      </c>
      <c r="ASC25">
        <v>0</v>
      </c>
      <c r="ASD25" s="119">
        <v>0</v>
      </c>
      <c r="ASE25">
        <v>0</v>
      </c>
      <c r="ASF25">
        <v>0</v>
      </c>
      <c r="ASG25">
        <v>0</v>
      </c>
      <c r="ASH25">
        <v>0</v>
      </c>
      <c r="ASI25">
        <v>0</v>
      </c>
      <c r="ASJ25">
        <v>0</v>
      </c>
      <c r="ASK25">
        <v>0</v>
      </c>
      <c r="ASL25">
        <v>0</v>
      </c>
      <c r="ASM25">
        <v>0</v>
      </c>
      <c r="ASN25">
        <v>0</v>
      </c>
      <c r="ASO25">
        <v>0</v>
      </c>
      <c r="ASP25">
        <v>0</v>
      </c>
      <c r="ASQ25">
        <v>0</v>
      </c>
      <c r="ASR25">
        <v>0</v>
      </c>
      <c r="ASS25">
        <v>0</v>
      </c>
      <c r="AST25">
        <v>0</v>
      </c>
      <c r="ASU25">
        <v>0</v>
      </c>
      <c r="ASV25">
        <v>0</v>
      </c>
      <c r="ASW25">
        <v>0</v>
      </c>
      <c r="ASX25">
        <v>0</v>
      </c>
      <c r="ASY25">
        <v>0</v>
      </c>
      <c r="ASZ25">
        <v>0</v>
      </c>
      <c r="ATA25">
        <v>0</v>
      </c>
      <c r="ATB25" s="116">
        <v>0</v>
      </c>
      <c r="ATC25" s="116">
        <v>0</v>
      </c>
      <c r="ATD25" s="116">
        <v>0</v>
      </c>
      <c r="ATE25" s="116">
        <v>0</v>
      </c>
      <c r="ATF25" s="116">
        <v>0</v>
      </c>
      <c r="ATG25" s="116">
        <v>0</v>
      </c>
      <c r="ATH25" s="116">
        <v>0</v>
      </c>
      <c r="ATI25" s="116">
        <v>0</v>
      </c>
      <c r="ATJ25" s="116">
        <v>0</v>
      </c>
      <c r="ATK25" s="128">
        <v>0</v>
      </c>
      <c r="ATL25" s="128">
        <v>0</v>
      </c>
      <c r="ATM25" s="128">
        <v>0</v>
      </c>
      <c r="ATN25" s="128">
        <v>0</v>
      </c>
      <c r="ATO25">
        <v>0</v>
      </c>
      <c r="ATP25" s="119">
        <v>0</v>
      </c>
      <c r="ATQ25" s="119">
        <v>0</v>
      </c>
      <c r="ATR25" s="119">
        <v>0</v>
      </c>
      <c r="ATS25" s="119">
        <v>0</v>
      </c>
      <c r="ATT25" s="121">
        <v>0</v>
      </c>
      <c r="ATU25" s="119">
        <v>0</v>
      </c>
      <c r="ATV25" s="119">
        <v>0</v>
      </c>
      <c r="ATW25">
        <v>0</v>
      </c>
      <c r="ATX25">
        <v>0</v>
      </c>
      <c r="ATY25">
        <v>0</v>
      </c>
      <c r="ATZ25" s="119">
        <v>0</v>
      </c>
      <c r="AUA25">
        <v>0</v>
      </c>
      <c r="AUB25">
        <v>0</v>
      </c>
      <c r="AUC25">
        <v>0</v>
      </c>
      <c r="AUD25">
        <v>0</v>
      </c>
      <c r="AUE25">
        <v>0</v>
      </c>
      <c r="AUF25">
        <v>0</v>
      </c>
      <c r="AUG25">
        <v>0</v>
      </c>
      <c r="AUH25">
        <v>0</v>
      </c>
      <c r="AUI25">
        <v>0</v>
      </c>
      <c r="AUJ25">
        <v>0</v>
      </c>
      <c r="AUK25">
        <v>0</v>
      </c>
      <c r="AUL25">
        <v>0</v>
      </c>
      <c r="AUM25">
        <v>0</v>
      </c>
      <c r="AUN25">
        <v>0</v>
      </c>
      <c r="AUO25">
        <v>0</v>
      </c>
      <c r="AUP25">
        <v>0</v>
      </c>
      <c r="AUQ25">
        <v>0</v>
      </c>
      <c r="AUR25">
        <v>0</v>
      </c>
      <c r="AUS25">
        <v>0</v>
      </c>
      <c r="AUT25">
        <v>0</v>
      </c>
      <c r="AUU25">
        <v>0</v>
      </c>
      <c r="AUV25">
        <v>0</v>
      </c>
      <c r="AUW25">
        <v>0</v>
      </c>
      <c r="AUX25" s="116">
        <v>0</v>
      </c>
      <c r="AUY25" s="116">
        <v>0</v>
      </c>
      <c r="AUZ25" s="116">
        <v>0</v>
      </c>
      <c r="AVA25" s="116">
        <v>0</v>
      </c>
      <c r="AVB25" s="116">
        <v>0</v>
      </c>
      <c r="AVC25" s="116">
        <v>0</v>
      </c>
      <c r="AVD25" s="116">
        <v>0</v>
      </c>
      <c r="AVE25" s="116">
        <v>0</v>
      </c>
      <c r="AVF25" s="116">
        <v>0</v>
      </c>
      <c r="AVG25" s="128">
        <v>0</v>
      </c>
      <c r="AVH25" s="128">
        <v>0</v>
      </c>
      <c r="AVI25" s="128">
        <v>0</v>
      </c>
      <c r="AVJ25" s="128">
        <v>0</v>
      </c>
      <c r="AVK25">
        <v>0</v>
      </c>
      <c r="AVL25" s="119">
        <v>0</v>
      </c>
      <c r="AVM25" s="119">
        <v>0</v>
      </c>
      <c r="AVN25" s="119">
        <v>0</v>
      </c>
      <c r="AVO25" s="119">
        <v>0</v>
      </c>
      <c r="AVP25" s="121">
        <v>0</v>
      </c>
      <c r="AVQ25" s="119">
        <v>0</v>
      </c>
      <c r="AVR25" s="119">
        <v>0</v>
      </c>
      <c r="AVS25">
        <v>0</v>
      </c>
      <c r="AVT25">
        <v>0</v>
      </c>
      <c r="AVU25">
        <v>0</v>
      </c>
      <c r="AVV25" s="119">
        <v>0</v>
      </c>
      <c r="AVW25">
        <v>0</v>
      </c>
      <c r="AVX25">
        <v>0</v>
      </c>
      <c r="AVY25">
        <v>0</v>
      </c>
      <c r="AVZ25">
        <v>0</v>
      </c>
      <c r="AWA25">
        <v>0</v>
      </c>
      <c r="AWB25">
        <v>0</v>
      </c>
      <c r="AWC25">
        <v>0</v>
      </c>
      <c r="AWD25">
        <v>0</v>
      </c>
      <c r="AWE25">
        <v>0</v>
      </c>
      <c r="AWF25">
        <v>0</v>
      </c>
      <c r="AWG25">
        <v>0</v>
      </c>
      <c r="AWH25">
        <v>0</v>
      </c>
      <c r="AWI25">
        <v>0</v>
      </c>
      <c r="AWJ25">
        <v>0</v>
      </c>
      <c r="AWK25">
        <v>0</v>
      </c>
      <c r="AWL25">
        <v>0</v>
      </c>
      <c r="AWM25">
        <v>0</v>
      </c>
      <c r="AWN25">
        <v>0</v>
      </c>
      <c r="AWO25">
        <v>0</v>
      </c>
      <c r="AWP25">
        <v>0</v>
      </c>
      <c r="AWQ25">
        <v>0</v>
      </c>
      <c r="AWR25">
        <v>0</v>
      </c>
      <c r="AWS25">
        <v>0</v>
      </c>
      <c r="AWT25" s="116">
        <v>0</v>
      </c>
      <c r="AWU25" s="116">
        <v>0</v>
      </c>
      <c r="AWV25" s="116">
        <v>0</v>
      </c>
      <c r="AWW25" s="116">
        <v>0</v>
      </c>
      <c r="AWX25" s="116">
        <v>0</v>
      </c>
      <c r="AWY25" s="116">
        <v>0</v>
      </c>
      <c r="AWZ25" s="116">
        <v>0</v>
      </c>
      <c r="AXA25" s="116">
        <v>0</v>
      </c>
      <c r="AXB25" s="116">
        <v>0</v>
      </c>
      <c r="AXC25" s="128">
        <v>0</v>
      </c>
      <c r="AXD25" s="128">
        <v>0</v>
      </c>
      <c r="AXE25" s="128">
        <v>0</v>
      </c>
      <c r="AXF25" s="128">
        <v>0</v>
      </c>
      <c r="AXG25">
        <v>0</v>
      </c>
      <c r="AXH25" s="119">
        <v>0</v>
      </c>
      <c r="AXI25" s="119">
        <v>0</v>
      </c>
      <c r="AXJ25" s="119">
        <v>0</v>
      </c>
      <c r="AXK25" s="119">
        <v>0</v>
      </c>
      <c r="AXL25" s="121">
        <v>0</v>
      </c>
      <c r="AXM25" s="119">
        <v>0</v>
      </c>
      <c r="AXN25" s="119">
        <v>0</v>
      </c>
      <c r="AXO25">
        <v>0</v>
      </c>
      <c r="AXP25">
        <v>0</v>
      </c>
      <c r="AXQ25">
        <v>0</v>
      </c>
      <c r="AXR25" s="119">
        <v>0</v>
      </c>
      <c r="AXS25">
        <v>0</v>
      </c>
      <c r="AXT25">
        <v>0</v>
      </c>
      <c r="AXU25">
        <v>0</v>
      </c>
      <c r="AXV25">
        <v>0</v>
      </c>
      <c r="AXW25">
        <v>0</v>
      </c>
      <c r="AXX25">
        <v>0</v>
      </c>
      <c r="AXY25">
        <v>0</v>
      </c>
      <c r="AXZ25">
        <v>0</v>
      </c>
      <c r="AYA25">
        <v>0</v>
      </c>
      <c r="AYB25">
        <v>0</v>
      </c>
      <c r="AYC25">
        <v>0</v>
      </c>
      <c r="AYD25">
        <v>0</v>
      </c>
      <c r="AYE25">
        <v>0</v>
      </c>
      <c r="AYF25">
        <v>0</v>
      </c>
      <c r="AYG25">
        <v>0</v>
      </c>
      <c r="AYH25">
        <v>0</v>
      </c>
      <c r="AYI25">
        <v>0</v>
      </c>
      <c r="AYJ25">
        <v>0</v>
      </c>
      <c r="AYK25">
        <v>0</v>
      </c>
      <c r="AYL25">
        <v>0</v>
      </c>
      <c r="AYM25">
        <v>0</v>
      </c>
      <c r="AYN25">
        <v>0</v>
      </c>
      <c r="AYO25">
        <v>0</v>
      </c>
      <c r="AYP25" s="116">
        <v>0</v>
      </c>
      <c r="AYQ25" s="116">
        <v>0</v>
      </c>
      <c r="AYR25" s="116">
        <v>0</v>
      </c>
      <c r="AYS25" s="116">
        <v>0</v>
      </c>
      <c r="AYT25" s="116">
        <v>0</v>
      </c>
      <c r="AYU25" s="116">
        <v>0</v>
      </c>
      <c r="AYV25" s="116">
        <v>0</v>
      </c>
      <c r="AYW25" s="116">
        <v>0</v>
      </c>
      <c r="AYX25" s="116">
        <v>0</v>
      </c>
      <c r="AYY25" s="128">
        <v>0</v>
      </c>
      <c r="AYZ25" s="128">
        <v>0</v>
      </c>
      <c r="AZA25" s="128">
        <v>0</v>
      </c>
      <c r="AZB25" s="128">
        <v>0</v>
      </c>
      <c r="AZC25">
        <v>0</v>
      </c>
      <c r="AZD25" s="119">
        <v>0</v>
      </c>
      <c r="AZE25" s="119">
        <v>0</v>
      </c>
      <c r="AZF25" s="119">
        <v>0</v>
      </c>
      <c r="AZG25" s="119">
        <v>0</v>
      </c>
      <c r="AZH25" s="121">
        <v>0</v>
      </c>
      <c r="AZI25" s="119">
        <v>0</v>
      </c>
      <c r="AZJ25" s="119">
        <v>0</v>
      </c>
      <c r="AZK25">
        <v>0</v>
      </c>
      <c r="AZL25">
        <v>0</v>
      </c>
      <c r="AZM25">
        <v>0</v>
      </c>
      <c r="AZN25" s="119">
        <v>0</v>
      </c>
      <c r="AZO25">
        <v>0</v>
      </c>
      <c r="AZP25">
        <v>0</v>
      </c>
      <c r="AZQ25">
        <v>0</v>
      </c>
      <c r="AZR25">
        <v>0</v>
      </c>
      <c r="AZS25">
        <v>0</v>
      </c>
      <c r="AZT25">
        <v>0</v>
      </c>
      <c r="AZU25">
        <v>0</v>
      </c>
      <c r="AZV25">
        <v>0</v>
      </c>
      <c r="AZW25">
        <v>0</v>
      </c>
      <c r="AZX25">
        <v>0</v>
      </c>
      <c r="AZY25">
        <v>0</v>
      </c>
      <c r="AZZ25">
        <v>0</v>
      </c>
      <c r="BAA25">
        <v>0</v>
      </c>
      <c r="BAB25">
        <v>0</v>
      </c>
      <c r="BAC25">
        <v>0</v>
      </c>
      <c r="BAD25">
        <v>0</v>
      </c>
      <c r="BAE25">
        <v>0</v>
      </c>
      <c r="BAF25">
        <v>0</v>
      </c>
      <c r="BAG25">
        <v>0</v>
      </c>
      <c r="BAH25">
        <v>0</v>
      </c>
      <c r="BAI25">
        <v>0</v>
      </c>
      <c r="BAJ25">
        <v>0</v>
      </c>
      <c r="BAK25">
        <v>1095020</v>
      </c>
      <c r="BAL25">
        <v>18733.939999999999</v>
      </c>
      <c r="BAM25" s="120">
        <v>17787.939999999999</v>
      </c>
      <c r="BAN25" s="120">
        <v>974</v>
      </c>
      <c r="BAO25" s="120">
        <v>0</v>
      </c>
      <c r="BAP25" s="120">
        <v>0</v>
      </c>
      <c r="BAQ25" s="120">
        <v>602</v>
      </c>
      <c r="BAR25" s="120" t="s">
        <v>3218</v>
      </c>
      <c r="BAS25" s="116" t="s">
        <v>3218</v>
      </c>
      <c r="BAT25" s="116">
        <v>0</v>
      </c>
      <c r="BAU25" s="116">
        <v>0</v>
      </c>
      <c r="BAV25" s="116">
        <v>0</v>
      </c>
      <c r="BAW25" s="116">
        <v>0</v>
      </c>
      <c r="BAX25" s="116">
        <v>0</v>
      </c>
      <c r="BAY25" s="116">
        <v>0</v>
      </c>
      <c r="BAZ25" s="116">
        <v>0</v>
      </c>
      <c r="BBA25" s="116">
        <v>0</v>
      </c>
      <c r="BBB25" s="116">
        <v>0</v>
      </c>
      <c r="BBC25" s="116">
        <v>0</v>
      </c>
      <c r="BBD25" s="116">
        <v>0</v>
      </c>
      <c r="BBE25" s="116">
        <v>0</v>
      </c>
      <c r="BBF25" s="116">
        <v>0</v>
      </c>
      <c r="BBG25" s="116">
        <v>0</v>
      </c>
      <c r="BBH25" s="116">
        <v>0</v>
      </c>
      <c r="BBI25" s="116">
        <v>0</v>
      </c>
      <c r="BBJ25" s="116">
        <v>0</v>
      </c>
      <c r="BBK25" s="116">
        <v>0</v>
      </c>
      <c r="BBL25" s="116">
        <v>0</v>
      </c>
      <c r="BBM25" s="116">
        <v>0</v>
      </c>
      <c r="BBN25" s="116">
        <v>0</v>
      </c>
      <c r="BBO25" s="116">
        <v>0</v>
      </c>
      <c r="BBP25" s="116">
        <v>0</v>
      </c>
      <c r="BBQ25" s="116" t="s">
        <v>3226</v>
      </c>
      <c r="BBR25" s="116" t="s">
        <v>3227</v>
      </c>
      <c r="BBS25" s="116">
        <v>0</v>
      </c>
      <c r="BBT25" s="116">
        <v>0</v>
      </c>
      <c r="BBU25" s="116">
        <v>0</v>
      </c>
      <c r="BBV25" s="116">
        <v>0</v>
      </c>
      <c r="BBW25" s="116">
        <v>0</v>
      </c>
      <c r="BBX25" s="116">
        <v>0</v>
      </c>
      <c r="BBY25" s="116">
        <v>0</v>
      </c>
      <c r="BBZ25" s="116">
        <v>0</v>
      </c>
      <c r="BCA25" s="116">
        <v>0</v>
      </c>
      <c r="BCB25" s="116">
        <v>0</v>
      </c>
      <c r="BCC25" s="116">
        <v>0</v>
      </c>
      <c r="BCD25" s="116">
        <v>0</v>
      </c>
      <c r="BCE25" s="116">
        <v>0</v>
      </c>
      <c r="BCF25" s="116">
        <v>0</v>
      </c>
      <c r="BCG25" s="116">
        <v>0</v>
      </c>
      <c r="BCH25" s="116">
        <v>0</v>
      </c>
      <c r="BCI25" s="116">
        <v>0</v>
      </c>
      <c r="BCJ25" s="116">
        <v>0</v>
      </c>
      <c r="BCK25" s="116">
        <v>0</v>
      </c>
      <c r="BCL25" s="116">
        <v>0</v>
      </c>
      <c r="BCM25" s="116">
        <v>0</v>
      </c>
      <c r="BCN25" s="116">
        <v>0</v>
      </c>
      <c r="BCO25" s="116">
        <v>0</v>
      </c>
      <c r="BCP25" s="116">
        <v>4</v>
      </c>
      <c r="BCQ25" s="304">
        <v>5</v>
      </c>
      <c r="BCR25" s="304">
        <v>8</v>
      </c>
      <c r="BCS25" s="304">
        <v>8</v>
      </c>
      <c r="BCT25" s="304">
        <v>5</v>
      </c>
      <c r="BCU25" s="304">
        <v>6</v>
      </c>
      <c r="BCV25" s="304">
        <v>7</v>
      </c>
      <c r="BCW25" s="304">
        <v>5</v>
      </c>
      <c r="BCX25" s="304">
        <v>7</v>
      </c>
      <c r="BCY25" s="304">
        <v>4</v>
      </c>
      <c r="BCZ25" s="304">
        <v>4</v>
      </c>
      <c r="BDA25" s="304">
        <v>9</v>
      </c>
      <c r="BDB25" s="304">
        <v>5</v>
      </c>
      <c r="BDC25" s="304">
        <v>7</v>
      </c>
      <c r="BDD25" s="304">
        <v>4</v>
      </c>
      <c r="BDE25" s="304">
        <v>7</v>
      </c>
      <c r="BDF25" s="304">
        <v>2</v>
      </c>
      <c r="BDG25" s="304">
        <v>7</v>
      </c>
      <c r="BDH25" s="304">
        <v>0</v>
      </c>
      <c r="BDI25" s="304">
        <v>0</v>
      </c>
      <c r="BDJ25" s="304">
        <v>0</v>
      </c>
      <c r="BDK25" s="304">
        <v>0</v>
      </c>
      <c r="BDL25" s="304">
        <v>0</v>
      </c>
      <c r="BDM25" s="304">
        <v>0</v>
      </c>
      <c r="BDN25" s="304">
        <v>0</v>
      </c>
      <c r="BDO25" s="304">
        <v>0</v>
      </c>
      <c r="BDP25" s="304">
        <v>0</v>
      </c>
      <c r="BDQ25" s="304">
        <v>0</v>
      </c>
      <c r="BDR25">
        <v>0</v>
      </c>
      <c r="BDS25">
        <v>0</v>
      </c>
      <c r="BDT25">
        <v>0</v>
      </c>
      <c r="BDU25">
        <v>0</v>
      </c>
      <c r="BDV25">
        <v>0</v>
      </c>
      <c r="BDW25">
        <v>0</v>
      </c>
      <c r="BDX25">
        <v>0</v>
      </c>
      <c r="BDY25">
        <v>0</v>
      </c>
      <c r="BDZ25">
        <v>0</v>
      </c>
      <c r="BEA25">
        <v>0</v>
      </c>
      <c r="BEB25">
        <v>0</v>
      </c>
      <c r="BEC25">
        <v>0</v>
      </c>
      <c r="BED25">
        <v>0</v>
      </c>
      <c r="BEE25">
        <v>0</v>
      </c>
      <c r="BEF25">
        <v>0</v>
      </c>
      <c r="BEG25">
        <v>0</v>
      </c>
      <c r="BEH25">
        <v>0</v>
      </c>
      <c r="BEI25">
        <v>0</v>
      </c>
      <c r="BEJ25">
        <v>0</v>
      </c>
      <c r="BEK25">
        <v>0</v>
      </c>
      <c r="BEL25">
        <v>0</v>
      </c>
      <c r="BEM25">
        <v>0</v>
      </c>
      <c r="BEN25">
        <v>0</v>
      </c>
      <c r="BEO25">
        <v>0</v>
      </c>
      <c r="BEP25">
        <v>0</v>
      </c>
      <c r="BEQ25">
        <v>0</v>
      </c>
      <c r="BER25">
        <v>0</v>
      </c>
      <c r="BES25">
        <v>0</v>
      </c>
      <c r="BET25">
        <v>0</v>
      </c>
      <c r="BEU25">
        <v>0</v>
      </c>
      <c r="BEV25">
        <v>0</v>
      </c>
      <c r="BEW25">
        <v>0</v>
      </c>
      <c r="BEX25">
        <v>0</v>
      </c>
      <c r="BEY25">
        <v>0</v>
      </c>
      <c r="BEZ25">
        <v>0</v>
      </c>
      <c r="BFA25">
        <v>0</v>
      </c>
      <c r="BFB25">
        <v>0</v>
      </c>
      <c r="BFC25">
        <v>0</v>
      </c>
      <c r="BFD25" t="b">
        <v>0</v>
      </c>
      <c r="BFE25" t="b">
        <v>0</v>
      </c>
      <c r="BFF25" t="b">
        <v>0</v>
      </c>
      <c r="BFG25" t="b">
        <v>0</v>
      </c>
      <c r="BFH25">
        <v>0</v>
      </c>
      <c r="BFI25">
        <v>0</v>
      </c>
      <c r="BFJ25">
        <v>0</v>
      </c>
      <c r="BFK25">
        <v>0</v>
      </c>
      <c r="BFL25">
        <v>0</v>
      </c>
      <c r="BFM25">
        <v>0</v>
      </c>
      <c r="BFN25">
        <v>0</v>
      </c>
      <c r="BFO25">
        <v>0</v>
      </c>
      <c r="BFP25">
        <v>0</v>
      </c>
      <c r="BFQ25">
        <v>0</v>
      </c>
      <c r="BFR25">
        <v>0</v>
      </c>
      <c r="BFS25">
        <v>0</v>
      </c>
      <c r="BFT25">
        <v>0</v>
      </c>
      <c r="BFU25">
        <v>0</v>
      </c>
      <c r="BFV25">
        <v>0</v>
      </c>
      <c r="BFW25">
        <v>0</v>
      </c>
      <c r="BFX25">
        <v>0</v>
      </c>
      <c r="BFY25">
        <v>0</v>
      </c>
    </row>
    <row r="26" spans="1:1533" ht="18.75" customHeight="1" x14ac:dyDescent="0.25">
      <c r="A26" t="s">
        <v>3249</v>
      </c>
      <c r="B26" t="s">
        <v>3258</v>
      </c>
      <c r="C26" s="120">
        <v>130</v>
      </c>
      <c r="D26" s="120">
        <v>45</v>
      </c>
      <c r="E26">
        <v>0</v>
      </c>
      <c r="F26">
        <v>0</v>
      </c>
      <c r="G26">
        <v>0</v>
      </c>
      <c r="H26" t="s">
        <v>2403</v>
      </c>
      <c r="I26" t="s">
        <v>2403</v>
      </c>
      <c r="J26" t="s">
        <v>2403</v>
      </c>
      <c r="K26" t="s">
        <v>2403</v>
      </c>
      <c r="L26" t="s">
        <v>2403</v>
      </c>
      <c r="M26" t="s">
        <v>1883</v>
      </c>
      <c r="N26" t="s">
        <v>2404</v>
      </c>
      <c r="O26" t="s">
        <v>1883</v>
      </c>
      <c r="P26" t="s">
        <v>1883</v>
      </c>
      <c r="Q26" t="s">
        <v>2403</v>
      </c>
      <c r="R26" t="s">
        <v>1883</v>
      </c>
      <c r="S26" t="s">
        <v>2403</v>
      </c>
      <c r="T26" t="s">
        <v>2404</v>
      </c>
      <c r="U26" t="s">
        <v>2424</v>
      </c>
      <c r="V26" t="s">
        <v>2827</v>
      </c>
      <c r="W26" t="s">
        <v>309</v>
      </c>
      <c r="X26">
        <v>900</v>
      </c>
      <c r="Y26" s="120">
        <v>43623</v>
      </c>
      <c r="Z26" s="58">
        <v>0</v>
      </c>
      <c r="AA26" s="120">
        <v>0</v>
      </c>
      <c r="AB26" s="120">
        <v>0</v>
      </c>
      <c r="AC26" s="120" t="s">
        <v>272</v>
      </c>
      <c r="AD26">
        <v>25</v>
      </c>
      <c r="AE26" s="120">
        <v>0</v>
      </c>
      <c r="AF26" s="120">
        <v>43650</v>
      </c>
      <c r="AG26" s="58">
        <v>45</v>
      </c>
      <c r="AH26" s="120">
        <v>0</v>
      </c>
      <c r="AI26" s="119">
        <v>0</v>
      </c>
      <c r="AJ26" t="s">
        <v>271</v>
      </c>
      <c r="AK26" s="114">
        <v>0.129</v>
      </c>
      <c r="AL26" s="120">
        <v>0</v>
      </c>
      <c r="AM26" s="120">
        <v>50</v>
      </c>
      <c r="AN26" s="58">
        <v>47273</v>
      </c>
      <c r="AO26" s="114">
        <v>0.13556602180145827</v>
      </c>
      <c r="AP26" s="120">
        <v>28869.82</v>
      </c>
      <c r="AQ26" s="120">
        <v>24002.099999999889</v>
      </c>
      <c r="AR26" s="120">
        <v>52871.919999999889</v>
      </c>
      <c r="AS26" s="120">
        <v>440.6</v>
      </c>
      <c r="AT26" s="120">
        <v>440.52</v>
      </c>
      <c r="AU26" t="s">
        <v>1910</v>
      </c>
      <c r="AV26" t="s">
        <v>2119</v>
      </c>
      <c r="AW26" s="120" t="s">
        <v>271</v>
      </c>
      <c r="AX26">
        <v>19</v>
      </c>
      <c r="AY26" s="58">
        <v>0</v>
      </c>
      <c r="AZ26" s="120">
        <v>43614</v>
      </c>
      <c r="BA26">
        <v>100</v>
      </c>
      <c r="BB26">
        <v>2</v>
      </c>
      <c r="BC26">
        <v>1</v>
      </c>
      <c r="BD26" s="120" t="s">
        <v>415</v>
      </c>
      <c r="BE26" s="120">
        <v>436</v>
      </c>
      <c r="BF26" s="58">
        <v>52</v>
      </c>
      <c r="BG26">
        <v>43620</v>
      </c>
      <c r="BH26" s="120">
        <v>120</v>
      </c>
      <c r="BI26" s="120">
        <v>0</v>
      </c>
      <c r="BJ26">
        <v>50</v>
      </c>
      <c r="BK26">
        <v>43466</v>
      </c>
      <c r="BL26">
        <v>0</v>
      </c>
      <c r="BM26">
        <v>0</v>
      </c>
      <c r="BN26">
        <v>0</v>
      </c>
      <c r="BO26" s="58" t="s">
        <v>3244</v>
      </c>
      <c r="BP26" t="s">
        <v>2403</v>
      </c>
      <c r="BQ26" t="s">
        <v>2403</v>
      </c>
      <c r="BR26" t="s">
        <v>2403</v>
      </c>
      <c r="BS26">
        <v>9901</v>
      </c>
      <c r="BT26">
        <v>24477</v>
      </c>
      <c r="BU26" t="s">
        <v>3245</v>
      </c>
      <c r="BV26" t="s">
        <v>3246</v>
      </c>
      <c r="BW26" t="s">
        <v>1633</v>
      </c>
      <c r="BX26">
        <v>76262</v>
      </c>
      <c r="BY26" t="s">
        <v>3245</v>
      </c>
      <c r="BZ26" t="s">
        <v>3246</v>
      </c>
      <c r="CA26">
        <v>76262</v>
      </c>
      <c r="CB26" t="s">
        <v>1633</v>
      </c>
      <c r="CC26" t="s">
        <v>316</v>
      </c>
      <c r="CD26">
        <v>0</v>
      </c>
      <c r="CE26">
        <v>0</v>
      </c>
      <c r="CF26">
        <v>0</v>
      </c>
      <c r="CG26" s="118">
        <v>0</v>
      </c>
      <c r="CH26" s="118">
        <v>0</v>
      </c>
      <c r="CI26" s="118">
        <v>0</v>
      </c>
      <c r="CJ26">
        <v>0</v>
      </c>
      <c r="CK26">
        <v>8888883318</v>
      </c>
      <c r="CL26">
        <v>8888886481</v>
      </c>
      <c r="CM26">
        <v>8888883318</v>
      </c>
      <c r="CN26" t="s">
        <v>3247</v>
      </c>
      <c r="CO26" t="s">
        <v>3248</v>
      </c>
      <c r="CP26" t="s">
        <v>2403</v>
      </c>
      <c r="CQ26" t="s">
        <v>2403</v>
      </c>
      <c r="CR26" t="s">
        <v>2403</v>
      </c>
      <c r="CS26" t="s">
        <v>3245</v>
      </c>
      <c r="CT26" s="58" t="s">
        <v>3246</v>
      </c>
      <c r="CU26" t="s">
        <v>1633</v>
      </c>
      <c r="CV26">
        <v>76262</v>
      </c>
      <c r="CW26">
        <v>8392</v>
      </c>
      <c r="CX26">
        <v>27181</v>
      </c>
      <c r="CY26" t="s">
        <v>3245</v>
      </c>
      <c r="CZ26" t="s">
        <v>3246</v>
      </c>
      <c r="DA26">
        <v>76262</v>
      </c>
      <c r="DB26" t="s">
        <v>1633</v>
      </c>
      <c r="DC26" t="s">
        <v>316</v>
      </c>
      <c r="DD26">
        <v>0</v>
      </c>
      <c r="DE26">
        <v>0</v>
      </c>
      <c r="DF26">
        <v>0</v>
      </c>
      <c r="DG26">
        <v>0</v>
      </c>
      <c r="DH26" s="118">
        <v>0</v>
      </c>
      <c r="DI26" s="118">
        <v>0</v>
      </c>
      <c r="DJ26" s="118">
        <v>0</v>
      </c>
      <c r="DK26">
        <v>0</v>
      </c>
      <c r="DL26">
        <v>0</v>
      </c>
      <c r="DM26">
        <v>0</v>
      </c>
      <c r="DN26" t="s">
        <v>3247</v>
      </c>
      <c r="DO26">
        <v>0</v>
      </c>
      <c r="DP26">
        <v>0</v>
      </c>
      <c r="DQ26">
        <v>0</v>
      </c>
      <c r="DR26">
        <v>0</v>
      </c>
      <c r="DS26">
        <v>0</v>
      </c>
      <c r="DT26">
        <v>0</v>
      </c>
      <c r="DU26" s="58">
        <v>0</v>
      </c>
      <c r="DV26">
        <v>0</v>
      </c>
      <c r="DW26">
        <v>0</v>
      </c>
      <c r="DX26">
        <v>0</v>
      </c>
      <c r="DY26">
        <v>0</v>
      </c>
      <c r="DZ26">
        <v>0</v>
      </c>
      <c r="EA26">
        <v>0</v>
      </c>
      <c r="EB26">
        <v>0</v>
      </c>
      <c r="EC26">
        <v>0</v>
      </c>
      <c r="ED26">
        <v>0</v>
      </c>
      <c r="EE26">
        <v>0</v>
      </c>
      <c r="EF26">
        <v>0</v>
      </c>
      <c r="EG26">
        <v>0</v>
      </c>
      <c r="EH26">
        <v>0</v>
      </c>
      <c r="EI26" s="118">
        <v>0</v>
      </c>
      <c r="EJ26" s="118">
        <v>0</v>
      </c>
      <c r="EK26" s="118">
        <v>0</v>
      </c>
      <c r="EL26">
        <v>0</v>
      </c>
      <c r="EM26">
        <v>0</v>
      </c>
      <c r="EN26" s="119">
        <v>0</v>
      </c>
      <c r="EO26">
        <v>900</v>
      </c>
      <c r="EP26">
        <v>28673.8203125</v>
      </c>
      <c r="EQ26">
        <v>1</v>
      </c>
      <c r="ER26">
        <v>1</v>
      </c>
      <c r="ES26" t="s">
        <v>3209</v>
      </c>
      <c r="ET26">
        <v>0</v>
      </c>
      <c r="EU26">
        <v>0</v>
      </c>
      <c r="EV26">
        <v>0</v>
      </c>
      <c r="EW26">
        <v>0</v>
      </c>
      <c r="EX26">
        <v>0</v>
      </c>
      <c r="EY26">
        <v>0</v>
      </c>
      <c r="EZ26">
        <v>0</v>
      </c>
      <c r="FA26">
        <v>0</v>
      </c>
      <c r="FB26">
        <v>0</v>
      </c>
      <c r="FC26">
        <v>0</v>
      </c>
      <c r="FD26">
        <v>0</v>
      </c>
      <c r="FE26">
        <v>0</v>
      </c>
      <c r="FF26">
        <v>0</v>
      </c>
      <c r="FG26">
        <v>0</v>
      </c>
      <c r="FH26">
        <v>0</v>
      </c>
      <c r="FI26">
        <v>0</v>
      </c>
      <c r="FJ26">
        <v>0</v>
      </c>
      <c r="FK26" s="119">
        <v>0</v>
      </c>
      <c r="FL26" s="119">
        <v>0</v>
      </c>
      <c r="FM26" s="119">
        <v>28673.82</v>
      </c>
      <c r="FN26" s="119">
        <v>0</v>
      </c>
      <c r="FO26" s="119">
        <v>0</v>
      </c>
      <c r="FP26" s="119">
        <v>0</v>
      </c>
      <c r="FQ26" s="119">
        <v>0</v>
      </c>
      <c r="FR26" s="119">
        <v>0</v>
      </c>
      <c r="FS26" s="119">
        <v>0</v>
      </c>
      <c r="FT26" s="119">
        <v>0</v>
      </c>
      <c r="FU26" s="119">
        <v>0</v>
      </c>
      <c r="FV26" s="119">
        <v>0</v>
      </c>
      <c r="FW26" s="119">
        <v>0</v>
      </c>
      <c r="FX26" s="119">
        <v>0</v>
      </c>
      <c r="FY26" s="119">
        <v>0</v>
      </c>
      <c r="FZ26" s="119">
        <v>0</v>
      </c>
      <c r="GA26" s="119">
        <v>0</v>
      </c>
      <c r="GB26" s="119">
        <v>0</v>
      </c>
      <c r="GC26" s="119">
        <v>0</v>
      </c>
      <c r="GD26" s="119">
        <v>0</v>
      </c>
      <c r="GE26">
        <v>0</v>
      </c>
      <c r="GF26">
        <v>0</v>
      </c>
      <c r="GG26">
        <v>0</v>
      </c>
      <c r="GH26" t="s">
        <v>2403</v>
      </c>
      <c r="GI26">
        <v>0</v>
      </c>
      <c r="GJ26">
        <v>0</v>
      </c>
      <c r="GK26" s="58">
        <v>0</v>
      </c>
      <c r="GL26" t="s">
        <v>2403</v>
      </c>
      <c r="GM26">
        <v>0</v>
      </c>
      <c r="GN26" s="128" t="s">
        <v>2403</v>
      </c>
      <c r="GO26" s="128">
        <v>0</v>
      </c>
      <c r="GP26" s="128" t="s">
        <v>3250</v>
      </c>
      <c r="GQ26" s="128">
        <v>0</v>
      </c>
      <c r="GR26">
        <v>0</v>
      </c>
      <c r="GS26" s="119">
        <v>0</v>
      </c>
      <c r="GT26" s="119" t="s">
        <v>3245</v>
      </c>
      <c r="GU26" s="119">
        <v>28673.82</v>
      </c>
      <c r="GV26" s="119">
        <v>0</v>
      </c>
      <c r="GW26">
        <v>0</v>
      </c>
      <c r="GX26">
        <v>0</v>
      </c>
      <c r="GY26">
        <v>0</v>
      </c>
      <c r="GZ26">
        <v>0</v>
      </c>
      <c r="HA26" s="120">
        <v>0</v>
      </c>
      <c r="HB26" s="119">
        <v>0</v>
      </c>
      <c r="HC26">
        <v>28673.8203125</v>
      </c>
      <c r="HD26">
        <v>990319</v>
      </c>
      <c r="HE26">
        <v>250000</v>
      </c>
      <c r="HF26" t="s">
        <v>3246</v>
      </c>
      <c r="HG26" s="119" t="s">
        <v>225</v>
      </c>
      <c r="HH26" t="s">
        <v>2403</v>
      </c>
      <c r="HI26">
        <v>990319</v>
      </c>
      <c r="HJ26" t="s">
        <v>2403</v>
      </c>
      <c r="HK26">
        <v>0</v>
      </c>
      <c r="HL26">
        <v>0</v>
      </c>
      <c r="HM26">
        <v>0</v>
      </c>
      <c r="HN26">
        <v>0</v>
      </c>
      <c r="HO26">
        <v>0</v>
      </c>
      <c r="HP26" t="s">
        <v>2404</v>
      </c>
      <c r="HQ26">
        <v>0</v>
      </c>
      <c r="HR26" t="s">
        <v>1633</v>
      </c>
      <c r="HS26" t="s">
        <v>3209</v>
      </c>
      <c r="HT26">
        <v>0</v>
      </c>
      <c r="HU26">
        <v>0</v>
      </c>
      <c r="HV26">
        <v>0</v>
      </c>
      <c r="HW26">
        <v>2018</v>
      </c>
      <c r="HX26">
        <v>0</v>
      </c>
      <c r="HY26">
        <v>0</v>
      </c>
      <c r="HZ26">
        <v>0</v>
      </c>
      <c r="IA26">
        <v>76262</v>
      </c>
      <c r="IB26" t="s">
        <v>2403</v>
      </c>
      <c r="IC26">
        <v>0</v>
      </c>
      <c r="ID26">
        <v>0</v>
      </c>
      <c r="IE26">
        <v>0</v>
      </c>
      <c r="IF26">
        <v>0</v>
      </c>
      <c r="IG26">
        <v>0</v>
      </c>
      <c r="IH26">
        <v>0</v>
      </c>
      <c r="II26">
        <v>0</v>
      </c>
      <c r="IJ26" s="128">
        <v>0</v>
      </c>
      <c r="IK26" s="128">
        <v>0</v>
      </c>
      <c r="IL26" s="128">
        <v>0</v>
      </c>
      <c r="IM26" s="128">
        <v>0</v>
      </c>
      <c r="IN26">
        <v>0</v>
      </c>
      <c r="IO26" s="119">
        <v>0</v>
      </c>
      <c r="IP26" s="119">
        <v>0</v>
      </c>
      <c r="IQ26" s="119">
        <v>0</v>
      </c>
      <c r="IR26" s="119">
        <v>0</v>
      </c>
      <c r="IS26" s="119">
        <v>0</v>
      </c>
      <c r="IT26">
        <v>0</v>
      </c>
      <c r="IU26">
        <v>0</v>
      </c>
      <c r="IV26">
        <v>0</v>
      </c>
      <c r="IW26">
        <v>0</v>
      </c>
      <c r="IX26">
        <v>0</v>
      </c>
      <c r="IY26" s="119">
        <v>0</v>
      </c>
      <c r="IZ26">
        <v>0</v>
      </c>
      <c r="JA26">
        <v>0</v>
      </c>
      <c r="JB26">
        <v>0</v>
      </c>
      <c r="JC26">
        <v>0</v>
      </c>
      <c r="JD26">
        <v>0</v>
      </c>
      <c r="JE26">
        <v>0</v>
      </c>
      <c r="JF26">
        <v>0</v>
      </c>
      <c r="JG26">
        <v>0</v>
      </c>
      <c r="JH26">
        <v>0</v>
      </c>
      <c r="JI26">
        <v>0</v>
      </c>
      <c r="JJ26">
        <v>0</v>
      </c>
      <c r="JK26">
        <v>0</v>
      </c>
      <c r="JL26">
        <v>0</v>
      </c>
      <c r="JM26">
        <v>0</v>
      </c>
      <c r="JN26">
        <v>0</v>
      </c>
      <c r="JO26">
        <v>0</v>
      </c>
      <c r="JP26">
        <v>0</v>
      </c>
      <c r="JQ26">
        <v>0</v>
      </c>
      <c r="JR26">
        <v>0</v>
      </c>
      <c r="JS26">
        <v>0</v>
      </c>
      <c r="JT26">
        <v>0</v>
      </c>
      <c r="JU26">
        <v>0</v>
      </c>
      <c r="JV26">
        <v>0</v>
      </c>
      <c r="JW26">
        <v>0</v>
      </c>
      <c r="JX26">
        <v>0</v>
      </c>
      <c r="JY26">
        <v>0</v>
      </c>
      <c r="JZ26">
        <v>0</v>
      </c>
      <c r="KA26">
        <v>0</v>
      </c>
      <c r="KB26">
        <v>0</v>
      </c>
      <c r="KC26">
        <v>0</v>
      </c>
      <c r="KD26">
        <v>0</v>
      </c>
      <c r="KE26">
        <v>0</v>
      </c>
      <c r="KF26" s="128">
        <v>0</v>
      </c>
      <c r="KG26" s="128">
        <v>0</v>
      </c>
      <c r="KH26" s="128">
        <v>0</v>
      </c>
      <c r="KI26" s="128">
        <v>0</v>
      </c>
      <c r="KJ26">
        <v>0</v>
      </c>
      <c r="KK26" s="119">
        <v>0</v>
      </c>
      <c r="KL26" s="119">
        <v>0</v>
      </c>
      <c r="KM26" s="119">
        <v>0</v>
      </c>
      <c r="KN26" s="119">
        <v>0</v>
      </c>
      <c r="KO26" s="121">
        <v>0</v>
      </c>
      <c r="KP26">
        <v>0</v>
      </c>
      <c r="KQ26" s="119">
        <v>0</v>
      </c>
      <c r="KR26">
        <v>0</v>
      </c>
      <c r="KS26">
        <v>0</v>
      </c>
      <c r="KT26">
        <v>0</v>
      </c>
      <c r="KU26" s="119">
        <v>0</v>
      </c>
      <c r="KV26">
        <v>0</v>
      </c>
      <c r="KW26">
        <v>0</v>
      </c>
      <c r="KX26">
        <v>0</v>
      </c>
      <c r="KY26">
        <v>0</v>
      </c>
      <c r="KZ26">
        <v>0</v>
      </c>
      <c r="LA26">
        <v>0</v>
      </c>
      <c r="LB26">
        <v>0</v>
      </c>
      <c r="LC26">
        <v>0</v>
      </c>
      <c r="LD26">
        <v>0</v>
      </c>
      <c r="LE26">
        <v>0</v>
      </c>
      <c r="LF26">
        <v>0</v>
      </c>
      <c r="LG26">
        <v>0</v>
      </c>
      <c r="LH26">
        <v>0</v>
      </c>
      <c r="LI26">
        <v>0</v>
      </c>
      <c r="LJ26">
        <v>0</v>
      </c>
      <c r="LK26">
        <v>0</v>
      </c>
      <c r="LL26">
        <v>0</v>
      </c>
      <c r="LM26">
        <v>0</v>
      </c>
      <c r="LN26">
        <v>0</v>
      </c>
      <c r="LO26">
        <v>0</v>
      </c>
      <c r="LP26">
        <v>0</v>
      </c>
      <c r="LQ26">
        <v>0</v>
      </c>
      <c r="LR26">
        <v>0</v>
      </c>
      <c r="LS26">
        <v>0</v>
      </c>
      <c r="LT26">
        <v>0</v>
      </c>
      <c r="LU26">
        <v>0</v>
      </c>
      <c r="LV26">
        <v>0</v>
      </c>
      <c r="LW26">
        <v>0</v>
      </c>
      <c r="LX26">
        <v>0</v>
      </c>
      <c r="LY26">
        <v>0</v>
      </c>
      <c r="LZ26">
        <v>0</v>
      </c>
      <c r="MA26">
        <v>0</v>
      </c>
      <c r="MB26" s="128">
        <v>0</v>
      </c>
      <c r="MC26" s="128">
        <v>0</v>
      </c>
      <c r="MD26" s="128">
        <v>0</v>
      </c>
      <c r="ME26" s="128">
        <v>0</v>
      </c>
      <c r="MF26">
        <v>0</v>
      </c>
      <c r="MG26" s="119">
        <v>0</v>
      </c>
      <c r="MH26" s="119">
        <v>0</v>
      </c>
      <c r="MI26" s="119">
        <v>0</v>
      </c>
      <c r="MJ26" s="119">
        <v>0</v>
      </c>
      <c r="MK26" s="121">
        <v>0</v>
      </c>
      <c r="ML26" s="119">
        <v>0</v>
      </c>
      <c r="MM26">
        <v>0</v>
      </c>
      <c r="MN26">
        <v>0</v>
      </c>
      <c r="MO26">
        <v>0</v>
      </c>
      <c r="MP26">
        <v>0</v>
      </c>
      <c r="MQ26" s="119">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s="116">
        <v>0</v>
      </c>
      <c r="NP26" s="116">
        <v>0</v>
      </c>
      <c r="NQ26" s="116">
        <v>0</v>
      </c>
      <c r="NR26" s="116">
        <v>0</v>
      </c>
      <c r="NS26" s="116">
        <v>0</v>
      </c>
      <c r="NT26" s="116">
        <v>0</v>
      </c>
      <c r="NU26" s="116">
        <v>0</v>
      </c>
      <c r="NV26" s="116">
        <v>0</v>
      </c>
      <c r="NW26" s="116">
        <v>0</v>
      </c>
      <c r="NX26" s="128">
        <v>0</v>
      </c>
      <c r="NY26" s="128">
        <v>0</v>
      </c>
      <c r="NZ26" s="128">
        <v>0</v>
      </c>
      <c r="OA26" s="128">
        <v>0</v>
      </c>
      <c r="OB26">
        <v>0</v>
      </c>
      <c r="OC26" s="119">
        <v>0</v>
      </c>
      <c r="OD26" s="119">
        <v>0</v>
      </c>
      <c r="OE26" s="119">
        <v>0</v>
      </c>
      <c r="OF26" s="119">
        <v>0</v>
      </c>
      <c r="OG26" s="121">
        <v>0</v>
      </c>
      <c r="OH26" s="119">
        <v>0</v>
      </c>
      <c r="OI26">
        <v>0</v>
      </c>
      <c r="OJ26">
        <v>0</v>
      </c>
      <c r="OK26">
        <v>0</v>
      </c>
      <c r="OL26">
        <v>0</v>
      </c>
      <c r="OM26" s="119">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s="128">
        <v>0</v>
      </c>
      <c r="PU26" s="128">
        <v>0</v>
      </c>
      <c r="PV26" s="128">
        <v>0</v>
      </c>
      <c r="PW26" s="128">
        <v>0</v>
      </c>
      <c r="PX26">
        <v>0</v>
      </c>
      <c r="PY26" s="119">
        <v>0</v>
      </c>
      <c r="PZ26" s="119">
        <v>0</v>
      </c>
      <c r="QA26" s="119">
        <v>0</v>
      </c>
      <c r="QB26" s="119">
        <v>0</v>
      </c>
      <c r="QC26" s="121">
        <v>0</v>
      </c>
      <c r="QD26" s="119">
        <v>0</v>
      </c>
      <c r="QE26">
        <v>0</v>
      </c>
      <c r="QF26">
        <v>0</v>
      </c>
      <c r="QG26">
        <v>0</v>
      </c>
      <c r="QH26">
        <v>0</v>
      </c>
      <c r="QI26" s="119">
        <v>0</v>
      </c>
      <c r="QJ26">
        <v>0</v>
      </c>
      <c r="QK26">
        <v>0</v>
      </c>
      <c r="QL26">
        <v>0</v>
      </c>
      <c r="QM26">
        <v>0</v>
      </c>
      <c r="QN26">
        <v>0</v>
      </c>
      <c r="QO26">
        <v>0</v>
      </c>
      <c r="QP26">
        <v>0</v>
      </c>
      <c r="QQ26">
        <v>0</v>
      </c>
      <c r="QR26">
        <v>0</v>
      </c>
      <c r="QS26">
        <v>0</v>
      </c>
      <c r="QT26">
        <v>0</v>
      </c>
      <c r="QU26">
        <v>0</v>
      </c>
      <c r="QV26">
        <v>0</v>
      </c>
      <c r="QW26">
        <v>0</v>
      </c>
      <c r="QX26">
        <v>0</v>
      </c>
      <c r="QY26">
        <v>0</v>
      </c>
      <c r="QZ26">
        <v>0</v>
      </c>
      <c r="RA26">
        <v>0</v>
      </c>
      <c r="RB26">
        <v>0</v>
      </c>
      <c r="RC26">
        <v>0</v>
      </c>
      <c r="RD26">
        <v>0</v>
      </c>
      <c r="RE26">
        <v>0</v>
      </c>
      <c r="RF26">
        <v>0</v>
      </c>
      <c r="RG26" s="116">
        <v>0</v>
      </c>
      <c r="RH26" s="116">
        <v>0</v>
      </c>
      <c r="RI26" s="116">
        <v>0</v>
      </c>
      <c r="RJ26" s="116">
        <v>0</v>
      </c>
      <c r="RK26" s="116">
        <v>0</v>
      </c>
      <c r="RL26" s="116">
        <v>0</v>
      </c>
      <c r="RM26" s="116">
        <v>0</v>
      </c>
      <c r="RN26" s="116">
        <v>0</v>
      </c>
      <c r="RO26" s="116">
        <v>0</v>
      </c>
      <c r="RP26" s="128">
        <v>0</v>
      </c>
      <c r="RQ26" s="128">
        <v>0</v>
      </c>
      <c r="RR26" s="128">
        <v>0</v>
      </c>
      <c r="RS26" s="128">
        <v>0</v>
      </c>
      <c r="RT26">
        <v>0</v>
      </c>
      <c r="RU26" s="119">
        <v>0</v>
      </c>
      <c r="RV26" s="119">
        <v>0</v>
      </c>
      <c r="RW26" s="119">
        <v>0</v>
      </c>
      <c r="RX26" s="119">
        <v>0</v>
      </c>
      <c r="RY26" s="121">
        <v>0</v>
      </c>
      <c r="RZ26" s="119">
        <v>0</v>
      </c>
      <c r="SA26">
        <v>0</v>
      </c>
      <c r="SB26">
        <v>0</v>
      </c>
      <c r="SC26">
        <v>0</v>
      </c>
      <c r="SD26">
        <v>0</v>
      </c>
      <c r="SE26" s="119">
        <v>0</v>
      </c>
      <c r="SF26">
        <v>0</v>
      </c>
      <c r="SG26">
        <v>0</v>
      </c>
      <c r="SH26">
        <v>0</v>
      </c>
      <c r="SI26">
        <v>0</v>
      </c>
      <c r="SJ26">
        <v>0</v>
      </c>
      <c r="SK26">
        <v>0</v>
      </c>
      <c r="SL26">
        <v>0</v>
      </c>
      <c r="SM26">
        <v>0</v>
      </c>
      <c r="SN26">
        <v>0</v>
      </c>
      <c r="SO26">
        <v>0</v>
      </c>
      <c r="SP26">
        <v>0</v>
      </c>
      <c r="SQ26">
        <v>0</v>
      </c>
      <c r="SR26">
        <v>0</v>
      </c>
      <c r="SS26">
        <v>0</v>
      </c>
      <c r="ST26">
        <v>0</v>
      </c>
      <c r="SU26">
        <v>0</v>
      </c>
      <c r="SV26">
        <v>0</v>
      </c>
      <c r="SW26">
        <v>0</v>
      </c>
      <c r="SX26">
        <v>0</v>
      </c>
      <c r="SY26">
        <v>0</v>
      </c>
      <c r="SZ26">
        <v>0</v>
      </c>
      <c r="TA26">
        <v>0</v>
      </c>
      <c r="TB26">
        <v>0</v>
      </c>
      <c r="TC26" s="116">
        <v>0</v>
      </c>
      <c r="TD26" s="116">
        <v>0</v>
      </c>
      <c r="TE26" s="116">
        <v>0</v>
      </c>
      <c r="TF26" s="116">
        <v>0</v>
      </c>
      <c r="TG26" s="116">
        <v>0</v>
      </c>
      <c r="TH26" s="116">
        <v>0</v>
      </c>
      <c r="TI26" s="116">
        <v>0</v>
      </c>
      <c r="TJ26" s="116">
        <v>0</v>
      </c>
      <c r="TK26" s="116">
        <v>0</v>
      </c>
      <c r="TL26" s="128">
        <v>0</v>
      </c>
      <c r="TM26" s="128">
        <v>0</v>
      </c>
      <c r="TN26" s="128">
        <v>0</v>
      </c>
      <c r="TO26" s="128">
        <v>0</v>
      </c>
      <c r="TP26">
        <v>0</v>
      </c>
      <c r="TQ26" s="119">
        <v>0</v>
      </c>
      <c r="TR26" s="119">
        <v>0</v>
      </c>
      <c r="TS26" s="119">
        <v>0</v>
      </c>
      <c r="TT26" s="119">
        <v>0</v>
      </c>
      <c r="TU26" s="121">
        <v>0</v>
      </c>
      <c r="TV26" s="119">
        <v>0</v>
      </c>
      <c r="TW26">
        <v>0</v>
      </c>
      <c r="TX26">
        <v>0</v>
      </c>
      <c r="TY26">
        <v>0</v>
      </c>
      <c r="TZ26">
        <v>0</v>
      </c>
      <c r="UA26" s="119">
        <v>0</v>
      </c>
      <c r="UB26">
        <v>0</v>
      </c>
      <c r="UC26">
        <v>0</v>
      </c>
      <c r="UD26">
        <v>0</v>
      </c>
      <c r="UE26">
        <v>0</v>
      </c>
      <c r="UF26">
        <v>0</v>
      </c>
      <c r="UG26">
        <v>0</v>
      </c>
      <c r="UH26">
        <v>0</v>
      </c>
      <c r="UI26">
        <v>0</v>
      </c>
      <c r="UJ26">
        <v>0</v>
      </c>
      <c r="UK26">
        <v>0</v>
      </c>
      <c r="UL26">
        <v>0</v>
      </c>
      <c r="UM26">
        <v>0</v>
      </c>
      <c r="UN26">
        <v>0</v>
      </c>
      <c r="UO26">
        <v>0</v>
      </c>
      <c r="UP26">
        <v>0</v>
      </c>
      <c r="UQ26">
        <v>0</v>
      </c>
      <c r="UR26">
        <v>0</v>
      </c>
      <c r="US26">
        <v>0</v>
      </c>
      <c r="UT26">
        <v>0</v>
      </c>
      <c r="UU26">
        <v>0</v>
      </c>
      <c r="UV26">
        <v>0</v>
      </c>
      <c r="UW26">
        <v>0</v>
      </c>
      <c r="UX26">
        <v>0</v>
      </c>
      <c r="UY26" s="116">
        <v>0</v>
      </c>
      <c r="UZ26" s="116">
        <v>0</v>
      </c>
      <c r="VA26" s="116">
        <v>0</v>
      </c>
      <c r="VB26" s="116">
        <v>0</v>
      </c>
      <c r="VC26" s="116">
        <v>0</v>
      </c>
      <c r="VD26" s="116">
        <v>0</v>
      </c>
      <c r="VE26" s="116">
        <v>0</v>
      </c>
      <c r="VF26" s="116">
        <v>0</v>
      </c>
      <c r="VG26" s="116">
        <v>0</v>
      </c>
      <c r="VH26" s="128">
        <v>0</v>
      </c>
      <c r="VI26" s="128">
        <v>0</v>
      </c>
      <c r="VJ26" s="128">
        <v>0</v>
      </c>
      <c r="VK26" s="128">
        <v>0</v>
      </c>
      <c r="VL26">
        <v>0</v>
      </c>
      <c r="VM26" s="119">
        <v>0</v>
      </c>
      <c r="VN26" s="119">
        <v>0</v>
      </c>
      <c r="VO26" s="119">
        <v>0</v>
      </c>
      <c r="VP26" s="119">
        <v>0</v>
      </c>
      <c r="VQ26" s="121">
        <v>0</v>
      </c>
      <c r="VR26" s="119">
        <v>0</v>
      </c>
      <c r="VS26" s="119">
        <v>0</v>
      </c>
      <c r="VT26">
        <v>0</v>
      </c>
      <c r="VU26">
        <v>0</v>
      </c>
      <c r="VV26">
        <v>0</v>
      </c>
      <c r="VW26" s="119">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s="116">
        <v>0</v>
      </c>
      <c r="WV26" s="116">
        <v>0</v>
      </c>
      <c r="WW26" s="116">
        <v>0</v>
      </c>
      <c r="WX26" s="116">
        <v>0</v>
      </c>
      <c r="WY26" s="116">
        <v>0</v>
      </c>
      <c r="WZ26" s="116">
        <v>0</v>
      </c>
      <c r="XA26" s="116">
        <v>0</v>
      </c>
      <c r="XB26" s="116">
        <v>0</v>
      </c>
      <c r="XC26" s="116">
        <v>0</v>
      </c>
      <c r="XD26" s="128">
        <v>0</v>
      </c>
      <c r="XE26" s="128">
        <v>0</v>
      </c>
      <c r="XF26" s="128">
        <v>0</v>
      </c>
      <c r="XG26" s="128">
        <v>0</v>
      </c>
      <c r="XH26">
        <v>0</v>
      </c>
      <c r="XI26" s="119">
        <v>0</v>
      </c>
      <c r="XJ26" s="119">
        <v>0</v>
      </c>
      <c r="XK26" s="119">
        <v>0</v>
      </c>
      <c r="XL26" s="119">
        <v>0</v>
      </c>
      <c r="XM26" s="121">
        <v>0</v>
      </c>
      <c r="XN26" s="119">
        <v>0</v>
      </c>
      <c r="XO26" s="119">
        <v>0</v>
      </c>
      <c r="XP26">
        <v>0</v>
      </c>
      <c r="XQ26">
        <v>0</v>
      </c>
      <c r="XR26">
        <v>0</v>
      </c>
      <c r="XS26" s="119">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S26">
        <v>0</v>
      </c>
      <c r="YT26">
        <v>0</v>
      </c>
      <c r="YU26">
        <v>0</v>
      </c>
      <c r="YV26">
        <v>0</v>
      </c>
      <c r="YW26">
        <v>0</v>
      </c>
      <c r="YX26">
        <v>0</v>
      </c>
      <c r="YY26">
        <v>0</v>
      </c>
      <c r="YZ26" s="128">
        <v>0</v>
      </c>
      <c r="ZA26" s="128">
        <v>0</v>
      </c>
      <c r="ZB26" s="128">
        <v>0</v>
      </c>
      <c r="ZC26" s="128">
        <v>0</v>
      </c>
      <c r="ZD26">
        <v>0</v>
      </c>
      <c r="ZE26" s="119">
        <v>0</v>
      </c>
      <c r="ZF26" s="119">
        <v>0</v>
      </c>
      <c r="ZG26" s="119">
        <v>0</v>
      </c>
      <c r="ZH26" s="119">
        <v>0</v>
      </c>
      <c r="ZI26" s="121">
        <v>0</v>
      </c>
      <c r="ZJ26" s="119">
        <v>0</v>
      </c>
      <c r="ZK26" s="119">
        <v>0</v>
      </c>
      <c r="ZL26">
        <v>0</v>
      </c>
      <c r="ZM26">
        <v>0</v>
      </c>
      <c r="ZN26">
        <v>0</v>
      </c>
      <c r="ZO26" s="119">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s="116">
        <v>0</v>
      </c>
      <c r="AAN26" s="116">
        <v>0</v>
      </c>
      <c r="AAO26" s="116">
        <v>0</v>
      </c>
      <c r="AAP26" s="116">
        <v>0</v>
      </c>
      <c r="AAQ26" s="116">
        <v>0</v>
      </c>
      <c r="AAR26" s="116">
        <v>0</v>
      </c>
      <c r="AAS26" s="116">
        <v>0</v>
      </c>
      <c r="AAT26" s="116">
        <v>0</v>
      </c>
      <c r="AAU26" s="116">
        <v>0</v>
      </c>
      <c r="AAV26" s="128">
        <v>0</v>
      </c>
      <c r="AAW26" s="128">
        <v>0</v>
      </c>
      <c r="AAX26" s="128">
        <v>0</v>
      </c>
      <c r="AAY26" s="128">
        <v>0</v>
      </c>
      <c r="AAZ26">
        <v>0</v>
      </c>
      <c r="ABA26" s="119">
        <v>0</v>
      </c>
      <c r="ABB26" s="119">
        <v>0</v>
      </c>
      <c r="ABC26" s="119">
        <v>0</v>
      </c>
      <c r="ABD26" s="119">
        <v>0</v>
      </c>
      <c r="ABE26" s="121">
        <v>0</v>
      </c>
      <c r="ABF26" s="119">
        <v>0</v>
      </c>
      <c r="ABG26" s="119">
        <v>0</v>
      </c>
      <c r="ABH26">
        <v>0</v>
      </c>
      <c r="ABI26">
        <v>0</v>
      </c>
      <c r="ABJ26">
        <v>0</v>
      </c>
      <c r="ABK26" s="119">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s="116">
        <v>0</v>
      </c>
      <c r="ACJ26" s="116">
        <v>0</v>
      </c>
      <c r="ACK26" s="116">
        <v>0</v>
      </c>
      <c r="ACL26" s="116">
        <v>0</v>
      </c>
      <c r="ACM26" s="116">
        <v>0</v>
      </c>
      <c r="ACN26" s="116">
        <v>0</v>
      </c>
      <c r="ACO26" s="116">
        <v>0</v>
      </c>
      <c r="ACP26" s="116">
        <v>0</v>
      </c>
      <c r="ACQ26" s="116">
        <v>0</v>
      </c>
      <c r="ACR26" s="128">
        <v>0</v>
      </c>
      <c r="ACS26" s="128">
        <v>0</v>
      </c>
      <c r="ACT26" s="128">
        <v>0</v>
      </c>
      <c r="ACU26" s="128">
        <v>0</v>
      </c>
      <c r="ACV26">
        <v>0</v>
      </c>
      <c r="ACW26" s="119">
        <v>0</v>
      </c>
      <c r="ACX26" s="119">
        <v>0</v>
      </c>
      <c r="ACY26" s="119">
        <v>0</v>
      </c>
      <c r="ACZ26" s="119">
        <v>0</v>
      </c>
      <c r="ADA26" s="121">
        <v>0</v>
      </c>
      <c r="ADB26" s="119">
        <v>0</v>
      </c>
      <c r="ADC26" s="119">
        <v>0</v>
      </c>
      <c r="ADD26">
        <v>0</v>
      </c>
      <c r="ADE26">
        <v>0</v>
      </c>
      <c r="ADF26">
        <v>0</v>
      </c>
      <c r="ADG26" s="119">
        <v>0</v>
      </c>
      <c r="ADH26">
        <v>0</v>
      </c>
      <c r="ADI26">
        <v>0</v>
      </c>
      <c r="ADJ26">
        <v>0</v>
      </c>
      <c r="ADK26">
        <v>0</v>
      </c>
      <c r="ADL26">
        <v>0</v>
      </c>
      <c r="ADM26">
        <v>0</v>
      </c>
      <c r="ADN26">
        <v>0</v>
      </c>
      <c r="ADO26">
        <v>0</v>
      </c>
      <c r="ADP26">
        <v>0</v>
      </c>
      <c r="ADQ26">
        <v>0</v>
      </c>
      <c r="ADR26">
        <v>0</v>
      </c>
      <c r="ADS26">
        <v>0</v>
      </c>
      <c r="ADT26">
        <v>0</v>
      </c>
      <c r="ADU26">
        <v>0</v>
      </c>
      <c r="ADV26">
        <v>0</v>
      </c>
      <c r="ADW26">
        <v>0</v>
      </c>
      <c r="ADX26">
        <v>0</v>
      </c>
      <c r="ADY26">
        <v>0</v>
      </c>
      <c r="ADZ26">
        <v>0</v>
      </c>
      <c r="AEA26">
        <v>0</v>
      </c>
      <c r="AEB26">
        <v>0</v>
      </c>
      <c r="AEC26">
        <v>0</v>
      </c>
      <c r="AED26">
        <v>0</v>
      </c>
      <c r="AEE26" s="116">
        <v>0</v>
      </c>
      <c r="AEF26" s="116">
        <v>0</v>
      </c>
      <c r="AEG26" s="116">
        <v>0</v>
      </c>
      <c r="AEH26" s="116">
        <v>0</v>
      </c>
      <c r="AEI26" s="116">
        <v>0</v>
      </c>
      <c r="AEJ26" s="116">
        <v>0</v>
      </c>
      <c r="AEK26" s="116">
        <v>0</v>
      </c>
      <c r="AEL26" s="116">
        <v>0</v>
      </c>
      <c r="AEM26" s="116">
        <v>0</v>
      </c>
      <c r="AEN26" s="128">
        <v>0</v>
      </c>
      <c r="AEO26" s="128">
        <v>0</v>
      </c>
      <c r="AEP26" s="128">
        <v>0</v>
      </c>
      <c r="AEQ26" s="128">
        <v>0</v>
      </c>
      <c r="AER26">
        <v>0</v>
      </c>
      <c r="AES26" s="119">
        <v>0</v>
      </c>
      <c r="AET26" s="119">
        <v>0</v>
      </c>
      <c r="AEU26" s="119">
        <v>0</v>
      </c>
      <c r="AEV26" s="119">
        <v>0</v>
      </c>
      <c r="AEW26" s="121">
        <v>0</v>
      </c>
      <c r="AEX26" s="119">
        <v>0</v>
      </c>
      <c r="AEY26" s="119">
        <v>0</v>
      </c>
      <c r="AEZ26">
        <v>0</v>
      </c>
      <c r="AFA26">
        <v>0</v>
      </c>
      <c r="AFB26">
        <v>0</v>
      </c>
      <c r="AFC26" s="119">
        <v>0</v>
      </c>
      <c r="AFD26">
        <v>0</v>
      </c>
      <c r="AFE26">
        <v>0</v>
      </c>
      <c r="AFF26">
        <v>0</v>
      </c>
      <c r="AFG26">
        <v>0</v>
      </c>
      <c r="AFH26">
        <v>0</v>
      </c>
      <c r="AFI26">
        <v>0</v>
      </c>
      <c r="AFJ26">
        <v>0</v>
      </c>
      <c r="AFK26">
        <v>0</v>
      </c>
      <c r="AFL26">
        <v>0</v>
      </c>
      <c r="AFM26">
        <v>0</v>
      </c>
      <c r="AFN26">
        <v>0</v>
      </c>
      <c r="AFO26">
        <v>0</v>
      </c>
      <c r="AFP26">
        <v>0</v>
      </c>
      <c r="AFQ26">
        <v>0</v>
      </c>
      <c r="AFR26">
        <v>0</v>
      </c>
      <c r="AFS26">
        <v>0</v>
      </c>
      <c r="AFT26">
        <v>0</v>
      </c>
      <c r="AFU26">
        <v>0</v>
      </c>
      <c r="AFV26">
        <v>0</v>
      </c>
      <c r="AFW26">
        <v>0</v>
      </c>
      <c r="AFX26">
        <v>0</v>
      </c>
      <c r="AFY26">
        <v>0</v>
      </c>
      <c r="AFZ26">
        <v>0</v>
      </c>
      <c r="AGA26" s="116">
        <v>0</v>
      </c>
      <c r="AGB26" s="116">
        <v>0</v>
      </c>
      <c r="AGC26" s="116">
        <v>0</v>
      </c>
      <c r="AGD26" s="116">
        <v>0</v>
      </c>
      <c r="AGE26" s="116">
        <v>0</v>
      </c>
      <c r="AGF26" s="116">
        <v>0</v>
      </c>
      <c r="AGG26" s="116">
        <v>0</v>
      </c>
      <c r="AGH26" s="116">
        <v>0</v>
      </c>
      <c r="AGI26" s="116">
        <v>0</v>
      </c>
      <c r="AGJ26" s="128">
        <v>0</v>
      </c>
      <c r="AGK26" s="128">
        <v>0</v>
      </c>
      <c r="AGL26" s="128">
        <v>0</v>
      </c>
      <c r="AGM26" s="128">
        <v>0</v>
      </c>
      <c r="AGN26">
        <v>0</v>
      </c>
      <c r="AGO26" s="119">
        <v>0</v>
      </c>
      <c r="AGP26" s="119">
        <v>0</v>
      </c>
      <c r="AGQ26" s="119">
        <v>0</v>
      </c>
      <c r="AGR26" s="119">
        <v>0</v>
      </c>
      <c r="AGS26" s="121">
        <v>0</v>
      </c>
      <c r="AGT26" s="119">
        <v>0</v>
      </c>
      <c r="AGU26" s="119">
        <v>0</v>
      </c>
      <c r="AGV26">
        <v>0</v>
      </c>
      <c r="AGW26">
        <v>0</v>
      </c>
      <c r="AGX26">
        <v>0</v>
      </c>
      <c r="AGY26" s="119">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A26">
        <v>0</v>
      </c>
      <c r="AIB26">
        <v>0</v>
      </c>
      <c r="AIC26">
        <v>0</v>
      </c>
      <c r="AID26">
        <v>0</v>
      </c>
      <c r="AIE26">
        <v>0</v>
      </c>
      <c r="AIF26" s="128">
        <v>0</v>
      </c>
      <c r="AIG26" s="128">
        <v>0</v>
      </c>
      <c r="AIH26" s="128">
        <v>0</v>
      </c>
      <c r="AII26" s="128">
        <v>0</v>
      </c>
      <c r="AIJ26">
        <v>0</v>
      </c>
      <c r="AIK26" s="119">
        <v>0</v>
      </c>
      <c r="AIL26" s="119">
        <v>0</v>
      </c>
      <c r="AIM26" s="119">
        <v>0</v>
      </c>
      <c r="AIN26" s="119">
        <v>0</v>
      </c>
      <c r="AIO26" s="121">
        <v>0</v>
      </c>
      <c r="AIP26" s="119">
        <v>0</v>
      </c>
      <c r="AIQ26" s="119">
        <v>0</v>
      </c>
      <c r="AIR26">
        <v>0</v>
      </c>
      <c r="AIS26">
        <v>0</v>
      </c>
      <c r="AIT26">
        <v>0</v>
      </c>
      <c r="AIU26" s="119">
        <v>0</v>
      </c>
      <c r="AIV26">
        <v>0</v>
      </c>
      <c r="AIW26">
        <v>0</v>
      </c>
      <c r="AIX26">
        <v>0</v>
      </c>
      <c r="AIY26">
        <v>0</v>
      </c>
      <c r="AIZ26">
        <v>0</v>
      </c>
      <c r="AJA26">
        <v>0</v>
      </c>
      <c r="AJB26">
        <v>0</v>
      </c>
      <c r="AJC26">
        <v>0</v>
      </c>
      <c r="AJD26">
        <v>0</v>
      </c>
      <c r="AJE26">
        <v>0</v>
      </c>
      <c r="AJF26">
        <v>0</v>
      </c>
      <c r="AJG26">
        <v>0</v>
      </c>
      <c r="AJH26">
        <v>0</v>
      </c>
      <c r="AJI26">
        <v>0</v>
      </c>
      <c r="AJJ26">
        <v>0</v>
      </c>
      <c r="AJK26">
        <v>0</v>
      </c>
      <c r="AJL26">
        <v>0</v>
      </c>
      <c r="AJM26">
        <v>0</v>
      </c>
      <c r="AJN26">
        <v>0</v>
      </c>
      <c r="AJO26">
        <v>0</v>
      </c>
      <c r="AJP26">
        <v>0</v>
      </c>
      <c r="AJQ26">
        <v>0</v>
      </c>
      <c r="AJR26">
        <v>0</v>
      </c>
      <c r="AJS26" s="116">
        <v>0</v>
      </c>
      <c r="AJT26" s="116">
        <v>0</v>
      </c>
      <c r="AJU26" s="116">
        <v>0</v>
      </c>
      <c r="AJV26" s="116">
        <v>0</v>
      </c>
      <c r="AJW26" s="116">
        <v>0</v>
      </c>
      <c r="AJX26" s="116">
        <v>0</v>
      </c>
      <c r="AJY26" s="116">
        <v>0</v>
      </c>
      <c r="AJZ26" s="116">
        <v>0</v>
      </c>
      <c r="AKA26" s="116">
        <v>0</v>
      </c>
      <c r="AKB26" s="128">
        <v>0</v>
      </c>
      <c r="AKC26" s="128">
        <v>0</v>
      </c>
      <c r="AKD26" s="128">
        <v>0</v>
      </c>
      <c r="AKE26" s="128">
        <v>0</v>
      </c>
      <c r="AKF26">
        <v>0</v>
      </c>
      <c r="AKG26" s="119">
        <v>0</v>
      </c>
      <c r="AKH26" s="119">
        <v>0</v>
      </c>
      <c r="AKI26" s="119">
        <v>0</v>
      </c>
      <c r="AKJ26" s="119">
        <v>0</v>
      </c>
      <c r="AKK26" s="121">
        <v>0</v>
      </c>
      <c r="AKL26" s="119">
        <v>0</v>
      </c>
      <c r="AKM26" s="119">
        <v>0</v>
      </c>
      <c r="AKN26">
        <v>0</v>
      </c>
      <c r="AKO26">
        <v>0</v>
      </c>
      <c r="AKP26">
        <v>0</v>
      </c>
      <c r="AKQ26" s="119">
        <v>0</v>
      </c>
      <c r="AKR26">
        <v>0</v>
      </c>
      <c r="AKS26">
        <v>0</v>
      </c>
      <c r="AKT26">
        <v>0</v>
      </c>
      <c r="AKU26">
        <v>0</v>
      </c>
      <c r="AKV26">
        <v>0</v>
      </c>
      <c r="AKW26">
        <v>0</v>
      </c>
      <c r="AKX26">
        <v>0</v>
      </c>
      <c r="AKY26">
        <v>0</v>
      </c>
      <c r="AKZ26">
        <v>0</v>
      </c>
      <c r="ALA26">
        <v>0</v>
      </c>
      <c r="ALB26">
        <v>0</v>
      </c>
      <c r="ALC26">
        <v>0</v>
      </c>
      <c r="ALD26">
        <v>0</v>
      </c>
      <c r="ALE26">
        <v>0</v>
      </c>
      <c r="ALF26">
        <v>0</v>
      </c>
      <c r="ALG26">
        <v>0</v>
      </c>
      <c r="ALH26">
        <v>0</v>
      </c>
      <c r="ALI26">
        <v>0</v>
      </c>
      <c r="ALJ26">
        <v>0</v>
      </c>
      <c r="ALK26">
        <v>0</v>
      </c>
      <c r="ALL26">
        <v>0</v>
      </c>
      <c r="ALM26">
        <v>0</v>
      </c>
      <c r="ALN26">
        <v>0</v>
      </c>
      <c r="ALO26" s="116">
        <v>0</v>
      </c>
      <c r="ALP26" s="116">
        <v>0</v>
      </c>
      <c r="ALQ26" s="116">
        <v>0</v>
      </c>
      <c r="ALR26" s="116">
        <v>0</v>
      </c>
      <c r="ALS26" s="116">
        <v>0</v>
      </c>
      <c r="ALT26" s="116">
        <v>0</v>
      </c>
      <c r="ALU26" s="116">
        <v>0</v>
      </c>
      <c r="ALV26" s="116">
        <v>0</v>
      </c>
      <c r="ALW26" s="116">
        <v>0</v>
      </c>
      <c r="ALX26" s="128">
        <v>0</v>
      </c>
      <c r="ALY26" s="128">
        <v>0</v>
      </c>
      <c r="ALZ26" s="128">
        <v>0</v>
      </c>
      <c r="AMA26" s="128">
        <v>0</v>
      </c>
      <c r="AMB26">
        <v>0</v>
      </c>
      <c r="AMC26" s="119">
        <v>0</v>
      </c>
      <c r="AMD26" s="119">
        <v>0</v>
      </c>
      <c r="AME26" s="119">
        <v>0</v>
      </c>
      <c r="AMF26" s="119">
        <v>0</v>
      </c>
      <c r="AMG26" s="121">
        <v>0</v>
      </c>
      <c r="AMH26" s="119">
        <v>0</v>
      </c>
      <c r="AMI26" s="119">
        <v>0</v>
      </c>
      <c r="AMJ26">
        <v>0</v>
      </c>
      <c r="AMK26">
        <v>0</v>
      </c>
      <c r="AML26">
        <v>0</v>
      </c>
      <c r="AMM26" s="119">
        <v>0</v>
      </c>
      <c r="AMN26">
        <v>0</v>
      </c>
      <c r="AMO26">
        <v>0</v>
      </c>
      <c r="AMP26">
        <v>0</v>
      </c>
      <c r="AMQ26">
        <v>0</v>
      </c>
      <c r="AMR26">
        <v>0</v>
      </c>
      <c r="AMS26">
        <v>0</v>
      </c>
      <c r="AMT26">
        <v>0</v>
      </c>
      <c r="AMU26">
        <v>0</v>
      </c>
      <c r="AMV26">
        <v>0</v>
      </c>
      <c r="AMW26">
        <v>0</v>
      </c>
      <c r="AMX26">
        <v>0</v>
      </c>
      <c r="AMY26">
        <v>0</v>
      </c>
      <c r="AMZ26">
        <v>0</v>
      </c>
      <c r="ANA26">
        <v>0</v>
      </c>
      <c r="ANB26">
        <v>0</v>
      </c>
      <c r="ANC26">
        <v>0</v>
      </c>
      <c r="AND26">
        <v>0</v>
      </c>
      <c r="ANE26">
        <v>0</v>
      </c>
      <c r="ANF26">
        <v>0</v>
      </c>
      <c r="ANG26">
        <v>0</v>
      </c>
      <c r="ANH26">
        <v>0</v>
      </c>
      <c r="ANI26">
        <v>0</v>
      </c>
      <c r="ANJ26">
        <v>0</v>
      </c>
      <c r="ANK26" s="116">
        <v>0</v>
      </c>
      <c r="ANL26" s="116">
        <v>0</v>
      </c>
      <c r="ANM26" s="116">
        <v>0</v>
      </c>
      <c r="ANN26" s="116">
        <v>0</v>
      </c>
      <c r="ANO26" s="116">
        <v>0</v>
      </c>
      <c r="ANP26" s="116">
        <v>0</v>
      </c>
      <c r="ANQ26" s="116">
        <v>0</v>
      </c>
      <c r="ANR26" s="116">
        <v>0</v>
      </c>
      <c r="ANS26" s="116">
        <v>0</v>
      </c>
      <c r="ANT26" s="128">
        <v>0</v>
      </c>
      <c r="ANU26" s="128">
        <v>0</v>
      </c>
      <c r="ANV26" s="128">
        <v>0</v>
      </c>
      <c r="ANW26" s="128">
        <v>0</v>
      </c>
      <c r="ANX26">
        <v>0</v>
      </c>
      <c r="ANY26" s="119">
        <v>0</v>
      </c>
      <c r="ANZ26" s="119">
        <v>0</v>
      </c>
      <c r="AOA26" s="119">
        <v>0</v>
      </c>
      <c r="AOB26" s="119">
        <v>0</v>
      </c>
      <c r="AOC26" s="121">
        <v>0</v>
      </c>
      <c r="AOD26" s="119">
        <v>0</v>
      </c>
      <c r="AOE26" s="119">
        <v>0</v>
      </c>
      <c r="AOF26">
        <v>0</v>
      </c>
      <c r="AOG26">
        <v>0</v>
      </c>
      <c r="AOH26">
        <v>0</v>
      </c>
      <c r="AOI26" s="119">
        <v>0</v>
      </c>
      <c r="AOJ26">
        <v>0</v>
      </c>
      <c r="AOK26">
        <v>0</v>
      </c>
      <c r="AOL26">
        <v>0</v>
      </c>
      <c r="AOM26">
        <v>0</v>
      </c>
      <c r="AON26">
        <v>0</v>
      </c>
      <c r="AOO26">
        <v>0</v>
      </c>
      <c r="AOP26">
        <v>0</v>
      </c>
      <c r="AOQ26">
        <v>0</v>
      </c>
      <c r="AOR26">
        <v>0</v>
      </c>
      <c r="AOS26">
        <v>0</v>
      </c>
      <c r="AOT26">
        <v>0</v>
      </c>
      <c r="AOU26">
        <v>0</v>
      </c>
      <c r="AOV26">
        <v>0</v>
      </c>
      <c r="AOW26">
        <v>0</v>
      </c>
      <c r="AOX26">
        <v>0</v>
      </c>
      <c r="AOY26">
        <v>0</v>
      </c>
      <c r="AOZ26">
        <v>0</v>
      </c>
      <c r="APA26">
        <v>0</v>
      </c>
      <c r="APB26">
        <v>0</v>
      </c>
      <c r="APC26">
        <v>0</v>
      </c>
      <c r="APD26">
        <v>0</v>
      </c>
      <c r="APE26">
        <v>0</v>
      </c>
      <c r="APF26">
        <v>0</v>
      </c>
      <c r="APG26" s="116">
        <v>0</v>
      </c>
      <c r="APH26" s="116">
        <v>0</v>
      </c>
      <c r="API26" s="116">
        <v>0</v>
      </c>
      <c r="APJ26" s="116">
        <v>0</v>
      </c>
      <c r="APK26" s="116">
        <v>0</v>
      </c>
      <c r="APL26" s="116">
        <v>0</v>
      </c>
      <c r="APM26" s="116">
        <v>0</v>
      </c>
      <c r="APN26" s="116">
        <v>0</v>
      </c>
      <c r="APO26" s="116">
        <v>0</v>
      </c>
      <c r="APP26" s="128">
        <v>0</v>
      </c>
      <c r="APQ26" s="128">
        <v>0</v>
      </c>
      <c r="APR26" s="128">
        <v>0</v>
      </c>
      <c r="APS26" s="128">
        <v>0</v>
      </c>
      <c r="APT26">
        <v>0</v>
      </c>
      <c r="APU26" s="119">
        <v>0</v>
      </c>
      <c r="APV26" s="119">
        <v>0</v>
      </c>
      <c r="APW26" s="119">
        <v>0</v>
      </c>
      <c r="APX26" s="119">
        <v>0</v>
      </c>
      <c r="APY26" s="121">
        <v>0</v>
      </c>
      <c r="APZ26" s="119">
        <v>0</v>
      </c>
      <c r="AQA26" s="119">
        <v>0</v>
      </c>
      <c r="AQB26">
        <v>0</v>
      </c>
      <c r="AQC26">
        <v>0</v>
      </c>
      <c r="AQD26">
        <v>0</v>
      </c>
      <c r="AQE26" s="119">
        <v>0</v>
      </c>
      <c r="AQF26">
        <v>0</v>
      </c>
      <c r="AQG26">
        <v>0</v>
      </c>
      <c r="AQH26">
        <v>0</v>
      </c>
      <c r="AQI26">
        <v>0</v>
      </c>
      <c r="AQJ26">
        <v>0</v>
      </c>
      <c r="AQK26">
        <v>0</v>
      </c>
      <c r="AQL26">
        <v>0</v>
      </c>
      <c r="AQM26">
        <v>0</v>
      </c>
      <c r="AQN26">
        <v>0</v>
      </c>
      <c r="AQO26">
        <v>0</v>
      </c>
      <c r="AQP26">
        <v>0</v>
      </c>
      <c r="AQQ26">
        <v>0</v>
      </c>
      <c r="AQR26">
        <v>0</v>
      </c>
      <c r="AQS26">
        <v>0</v>
      </c>
      <c r="AQT26">
        <v>0</v>
      </c>
      <c r="AQU26">
        <v>0</v>
      </c>
      <c r="AQV26">
        <v>0</v>
      </c>
      <c r="AQW26">
        <v>0</v>
      </c>
      <c r="AQX26">
        <v>0</v>
      </c>
      <c r="AQY26">
        <v>0</v>
      </c>
      <c r="AQZ26">
        <v>0</v>
      </c>
      <c r="ARA26">
        <v>0</v>
      </c>
      <c r="ARB26">
        <v>0</v>
      </c>
      <c r="ARC26">
        <v>0</v>
      </c>
      <c r="ARD26">
        <v>0</v>
      </c>
      <c r="ARE26">
        <v>0</v>
      </c>
      <c r="ARF26">
        <v>0</v>
      </c>
      <c r="ARG26">
        <v>0</v>
      </c>
      <c r="ARH26">
        <v>0</v>
      </c>
      <c r="ARI26">
        <v>0</v>
      </c>
      <c r="ARJ26">
        <v>0</v>
      </c>
      <c r="ARK26">
        <v>0</v>
      </c>
      <c r="ARL26" s="128">
        <v>0</v>
      </c>
      <c r="ARM26" s="128">
        <v>0</v>
      </c>
      <c r="ARN26" s="128">
        <v>0</v>
      </c>
      <c r="ARO26" s="128">
        <v>0</v>
      </c>
      <c r="ARP26">
        <v>0</v>
      </c>
      <c r="ARQ26" s="119">
        <v>0</v>
      </c>
      <c r="ARR26" s="119">
        <v>0</v>
      </c>
      <c r="ARS26" s="119">
        <v>0</v>
      </c>
      <c r="ART26" s="119">
        <v>0</v>
      </c>
      <c r="ARU26" s="121">
        <v>0</v>
      </c>
      <c r="ARV26" s="119">
        <v>0</v>
      </c>
      <c r="ARW26" s="119">
        <v>0</v>
      </c>
      <c r="ARX26">
        <v>0</v>
      </c>
      <c r="ARY26">
        <v>0</v>
      </c>
      <c r="ARZ26">
        <v>0</v>
      </c>
      <c r="ASA26" s="119">
        <v>0</v>
      </c>
      <c r="ASB26">
        <v>0</v>
      </c>
      <c r="ASC26">
        <v>0</v>
      </c>
      <c r="ASD26">
        <v>0</v>
      </c>
      <c r="ASE26">
        <v>0</v>
      </c>
      <c r="ASF26">
        <v>0</v>
      </c>
      <c r="ASG26">
        <v>0</v>
      </c>
      <c r="ASH26">
        <v>0</v>
      </c>
      <c r="ASI26">
        <v>0</v>
      </c>
      <c r="ASJ26">
        <v>0</v>
      </c>
      <c r="ASK26">
        <v>0</v>
      </c>
      <c r="ASL26">
        <v>0</v>
      </c>
      <c r="ASM26">
        <v>0</v>
      </c>
      <c r="ASN26">
        <v>0</v>
      </c>
      <c r="ASO26">
        <v>0</v>
      </c>
      <c r="ASP26">
        <v>0</v>
      </c>
      <c r="ASQ26">
        <v>0</v>
      </c>
      <c r="ASR26">
        <v>0</v>
      </c>
      <c r="ASS26">
        <v>0</v>
      </c>
      <c r="AST26">
        <v>0</v>
      </c>
      <c r="ASU26">
        <v>0</v>
      </c>
      <c r="ASV26">
        <v>0</v>
      </c>
      <c r="ASW26">
        <v>0</v>
      </c>
      <c r="ASX26">
        <v>0</v>
      </c>
      <c r="ASY26" s="116">
        <v>0</v>
      </c>
      <c r="ASZ26" s="116">
        <v>0</v>
      </c>
      <c r="ATA26" s="116">
        <v>0</v>
      </c>
      <c r="ATB26" s="116">
        <v>0</v>
      </c>
      <c r="ATC26" s="116">
        <v>0</v>
      </c>
      <c r="ATD26" s="116">
        <v>0</v>
      </c>
      <c r="ATE26" s="116">
        <v>0</v>
      </c>
      <c r="ATF26" s="116">
        <v>0</v>
      </c>
      <c r="ATG26" s="116">
        <v>0</v>
      </c>
      <c r="ATH26" s="128">
        <v>0</v>
      </c>
      <c r="ATI26" s="128">
        <v>0</v>
      </c>
      <c r="ATJ26" s="128">
        <v>0</v>
      </c>
      <c r="ATK26" s="128">
        <v>0</v>
      </c>
      <c r="ATL26">
        <v>0</v>
      </c>
      <c r="ATM26" s="119">
        <v>0</v>
      </c>
      <c r="ATN26" s="119">
        <v>0</v>
      </c>
      <c r="ATO26" s="119">
        <v>0</v>
      </c>
      <c r="ATP26" s="119">
        <v>0</v>
      </c>
      <c r="ATQ26" s="121">
        <v>0</v>
      </c>
      <c r="ATR26" s="119">
        <v>0</v>
      </c>
      <c r="ATS26" s="119">
        <v>0</v>
      </c>
      <c r="ATT26">
        <v>0</v>
      </c>
      <c r="ATU26">
        <v>0</v>
      </c>
      <c r="ATV26">
        <v>0</v>
      </c>
      <c r="ATW26" s="119">
        <v>0</v>
      </c>
      <c r="ATX26">
        <v>0</v>
      </c>
      <c r="ATY26">
        <v>0</v>
      </c>
      <c r="ATZ26">
        <v>0</v>
      </c>
      <c r="AUA26">
        <v>0</v>
      </c>
      <c r="AUB26">
        <v>0</v>
      </c>
      <c r="AUC26">
        <v>0</v>
      </c>
      <c r="AUD26">
        <v>0</v>
      </c>
      <c r="AUE26">
        <v>0</v>
      </c>
      <c r="AUF26">
        <v>0</v>
      </c>
      <c r="AUG26">
        <v>0</v>
      </c>
      <c r="AUH26">
        <v>0</v>
      </c>
      <c r="AUI26">
        <v>0</v>
      </c>
      <c r="AUJ26">
        <v>0</v>
      </c>
      <c r="AUK26">
        <v>0</v>
      </c>
      <c r="AUL26">
        <v>0</v>
      </c>
      <c r="AUM26">
        <v>0</v>
      </c>
      <c r="AUN26">
        <v>0</v>
      </c>
      <c r="AUO26">
        <v>0</v>
      </c>
      <c r="AUP26">
        <v>0</v>
      </c>
      <c r="AUQ26">
        <v>0</v>
      </c>
      <c r="AUR26">
        <v>0</v>
      </c>
      <c r="AUS26">
        <v>0</v>
      </c>
      <c r="AUT26">
        <v>0</v>
      </c>
      <c r="AUU26" s="116">
        <v>0</v>
      </c>
      <c r="AUV26" s="116">
        <v>0</v>
      </c>
      <c r="AUW26" s="116">
        <v>0</v>
      </c>
      <c r="AUX26" s="116">
        <v>0</v>
      </c>
      <c r="AUY26" s="116">
        <v>0</v>
      </c>
      <c r="AUZ26" s="116">
        <v>0</v>
      </c>
      <c r="AVA26" s="116">
        <v>0</v>
      </c>
      <c r="AVB26" s="116">
        <v>0</v>
      </c>
      <c r="AVC26" s="116">
        <v>0</v>
      </c>
      <c r="AVD26" s="128">
        <v>0</v>
      </c>
      <c r="AVE26" s="128">
        <v>0</v>
      </c>
      <c r="AVF26" s="128">
        <v>0</v>
      </c>
      <c r="AVG26" s="128">
        <v>0</v>
      </c>
      <c r="AVH26">
        <v>0</v>
      </c>
      <c r="AVI26" s="119">
        <v>0</v>
      </c>
      <c r="AVJ26" s="119">
        <v>0</v>
      </c>
      <c r="AVK26" s="119">
        <v>0</v>
      </c>
      <c r="AVL26" s="119">
        <v>0</v>
      </c>
      <c r="AVM26" s="121">
        <v>0</v>
      </c>
      <c r="AVN26" s="119">
        <v>0</v>
      </c>
      <c r="AVO26" s="119">
        <v>0</v>
      </c>
      <c r="AVP26">
        <v>0</v>
      </c>
      <c r="AVQ26">
        <v>0</v>
      </c>
      <c r="AVR26">
        <v>0</v>
      </c>
      <c r="AVS26" s="119">
        <v>0</v>
      </c>
      <c r="AVT26">
        <v>0</v>
      </c>
      <c r="AVU26">
        <v>0</v>
      </c>
      <c r="AVV26">
        <v>0</v>
      </c>
      <c r="AVW26">
        <v>0</v>
      </c>
      <c r="AVX26">
        <v>0</v>
      </c>
      <c r="AVY26">
        <v>0</v>
      </c>
      <c r="AVZ26">
        <v>0</v>
      </c>
      <c r="AWA26">
        <v>0</v>
      </c>
      <c r="AWB26">
        <v>0</v>
      </c>
      <c r="AWC26">
        <v>0</v>
      </c>
      <c r="AWD26">
        <v>0</v>
      </c>
      <c r="AWE26">
        <v>0</v>
      </c>
      <c r="AWF26">
        <v>0</v>
      </c>
      <c r="AWG26">
        <v>0</v>
      </c>
      <c r="AWH26">
        <v>0</v>
      </c>
      <c r="AWI26">
        <v>0</v>
      </c>
      <c r="AWJ26">
        <v>0</v>
      </c>
      <c r="AWK26">
        <v>0</v>
      </c>
      <c r="AWL26">
        <v>0</v>
      </c>
      <c r="AWM26">
        <v>0</v>
      </c>
      <c r="AWN26">
        <v>0</v>
      </c>
      <c r="AWO26">
        <v>0</v>
      </c>
      <c r="AWP26">
        <v>0</v>
      </c>
      <c r="AWQ26" s="116">
        <v>0</v>
      </c>
      <c r="AWR26" s="116">
        <v>0</v>
      </c>
      <c r="AWS26" s="116">
        <v>0</v>
      </c>
      <c r="AWT26" s="116">
        <v>0</v>
      </c>
      <c r="AWU26" s="116">
        <v>0</v>
      </c>
      <c r="AWV26" s="116">
        <v>0</v>
      </c>
      <c r="AWW26" s="116">
        <v>0</v>
      </c>
      <c r="AWX26" s="116">
        <v>0</v>
      </c>
      <c r="AWY26" s="116">
        <v>0</v>
      </c>
      <c r="AWZ26" s="128">
        <v>0</v>
      </c>
      <c r="AXA26" s="128">
        <v>0</v>
      </c>
      <c r="AXB26" s="128">
        <v>0</v>
      </c>
      <c r="AXC26" s="128">
        <v>0</v>
      </c>
      <c r="AXD26">
        <v>0</v>
      </c>
      <c r="AXE26" s="119">
        <v>0</v>
      </c>
      <c r="AXF26" s="119">
        <v>0</v>
      </c>
      <c r="AXG26" s="119">
        <v>0</v>
      </c>
      <c r="AXH26" s="119">
        <v>0</v>
      </c>
      <c r="AXI26" s="121">
        <v>0</v>
      </c>
      <c r="AXJ26" s="119">
        <v>0</v>
      </c>
      <c r="AXK26" s="119">
        <v>0</v>
      </c>
      <c r="AXL26">
        <v>0</v>
      </c>
      <c r="AXM26">
        <v>0</v>
      </c>
      <c r="AXN26">
        <v>0</v>
      </c>
      <c r="AXO26" s="119">
        <v>0</v>
      </c>
      <c r="AXP26">
        <v>0</v>
      </c>
      <c r="AXQ26">
        <v>0</v>
      </c>
      <c r="AXR26">
        <v>0</v>
      </c>
      <c r="AXS26">
        <v>0</v>
      </c>
      <c r="AXT26">
        <v>0</v>
      </c>
      <c r="AXU26">
        <v>0</v>
      </c>
      <c r="AXV26">
        <v>0</v>
      </c>
      <c r="AXW26">
        <v>0</v>
      </c>
      <c r="AXX26">
        <v>0</v>
      </c>
      <c r="AXY26">
        <v>0</v>
      </c>
      <c r="AXZ26">
        <v>0</v>
      </c>
      <c r="AYA26">
        <v>0</v>
      </c>
      <c r="AYB26">
        <v>0</v>
      </c>
      <c r="AYC26">
        <v>0</v>
      </c>
      <c r="AYD26">
        <v>0</v>
      </c>
      <c r="AYE26">
        <v>0</v>
      </c>
      <c r="AYF26">
        <v>0</v>
      </c>
      <c r="AYG26">
        <v>0</v>
      </c>
      <c r="AYH26">
        <v>0</v>
      </c>
      <c r="AYI26">
        <v>0</v>
      </c>
      <c r="AYJ26">
        <v>0</v>
      </c>
      <c r="AYK26">
        <v>0</v>
      </c>
      <c r="AYL26">
        <v>0</v>
      </c>
      <c r="AYM26" s="116">
        <v>0</v>
      </c>
      <c r="AYN26" s="116">
        <v>0</v>
      </c>
      <c r="AYO26" s="116">
        <v>0</v>
      </c>
      <c r="AYP26" s="116">
        <v>0</v>
      </c>
      <c r="AYQ26" s="116">
        <v>0</v>
      </c>
      <c r="AYR26" s="116">
        <v>0</v>
      </c>
      <c r="AYS26" s="116">
        <v>0</v>
      </c>
      <c r="AYT26" s="116">
        <v>0</v>
      </c>
      <c r="AYU26" s="116">
        <v>0</v>
      </c>
      <c r="AYV26" s="128">
        <v>0</v>
      </c>
      <c r="AYW26" s="128">
        <v>0</v>
      </c>
      <c r="AYX26" s="128">
        <v>0</v>
      </c>
      <c r="AYY26" s="128">
        <v>0</v>
      </c>
      <c r="AYZ26">
        <v>0</v>
      </c>
      <c r="AZA26" s="119">
        <v>0</v>
      </c>
      <c r="AZB26" s="119">
        <v>0</v>
      </c>
      <c r="AZC26" s="119">
        <v>0</v>
      </c>
      <c r="AZD26" s="119">
        <v>0</v>
      </c>
      <c r="AZE26" s="121">
        <v>0</v>
      </c>
      <c r="AZF26" s="119">
        <v>0</v>
      </c>
      <c r="AZG26" s="119">
        <v>0</v>
      </c>
      <c r="AZH26">
        <v>0</v>
      </c>
      <c r="AZI26">
        <v>0</v>
      </c>
      <c r="AZJ26">
        <v>0</v>
      </c>
      <c r="AZK26" s="119">
        <v>0</v>
      </c>
      <c r="AZL26">
        <v>0</v>
      </c>
      <c r="AZM26">
        <v>0</v>
      </c>
      <c r="AZN26">
        <v>0</v>
      </c>
      <c r="AZO26">
        <v>0</v>
      </c>
      <c r="AZP26">
        <v>0</v>
      </c>
      <c r="AZQ26">
        <v>0</v>
      </c>
      <c r="AZR26">
        <v>0</v>
      </c>
      <c r="AZS26">
        <v>0</v>
      </c>
      <c r="AZT26">
        <v>0</v>
      </c>
      <c r="AZU26">
        <v>0</v>
      </c>
      <c r="AZV26">
        <v>0</v>
      </c>
      <c r="AZW26">
        <v>0</v>
      </c>
      <c r="AZX26">
        <v>0</v>
      </c>
      <c r="AZY26">
        <v>0</v>
      </c>
      <c r="AZZ26">
        <v>0</v>
      </c>
      <c r="BAA26">
        <v>0</v>
      </c>
      <c r="BAB26">
        <v>0</v>
      </c>
      <c r="BAC26">
        <v>0</v>
      </c>
      <c r="BAD26">
        <v>0</v>
      </c>
      <c r="BAE26">
        <v>0</v>
      </c>
      <c r="BAF26">
        <v>0</v>
      </c>
      <c r="BAG26">
        <v>0</v>
      </c>
      <c r="BAH26">
        <v>0</v>
      </c>
      <c r="BAI26">
        <v>0</v>
      </c>
      <c r="BAJ26" s="120">
        <v>0</v>
      </c>
      <c r="BAK26" s="120">
        <v>833650</v>
      </c>
      <c r="BAL26" s="120">
        <v>29625.82</v>
      </c>
      <c r="BAM26" s="120">
        <v>28673.82</v>
      </c>
      <c r="BAN26" s="120">
        <v>952</v>
      </c>
      <c r="BAO26" s="120">
        <v>0</v>
      </c>
      <c r="BAP26">
        <v>0</v>
      </c>
      <c r="BAQ26">
        <v>0</v>
      </c>
      <c r="BAR26">
        <v>0</v>
      </c>
      <c r="BAS26">
        <v>0</v>
      </c>
      <c r="BAT26">
        <v>0</v>
      </c>
      <c r="BAU26">
        <v>0</v>
      </c>
      <c r="BAV26">
        <v>0</v>
      </c>
      <c r="BAW26">
        <v>0</v>
      </c>
      <c r="BAX26">
        <v>0</v>
      </c>
      <c r="BAY26">
        <v>0</v>
      </c>
      <c r="BAZ26">
        <v>0</v>
      </c>
      <c r="BBA26">
        <v>0</v>
      </c>
      <c r="BBB26">
        <v>0</v>
      </c>
      <c r="BBC26">
        <v>0</v>
      </c>
      <c r="BBD26">
        <v>0</v>
      </c>
      <c r="BBE26">
        <v>0</v>
      </c>
      <c r="BBF26">
        <v>0</v>
      </c>
      <c r="BBG26">
        <v>0</v>
      </c>
      <c r="BBH26">
        <v>0</v>
      </c>
      <c r="BBI26">
        <v>0</v>
      </c>
      <c r="BBJ26">
        <v>0</v>
      </c>
      <c r="BBK26">
        <v>0</v>
      </c>
      <c r="BBL26">
        <v>0</v>
      </c>
      <c r="BBM26">
        <v>0</v>
      </c>
      <c r="BBN26">
        <v>0</v>
      </c>
      <c r="BBO26">
        <v>0</v>
      </c>
      <c r="BBP26">
        <v>0</v>
      </c>
      <c r="BBQ26">
        <v>0</v>
      </c>
      <c r="BBR26">
        <v>0</v>
      </c>
      <c r="BBS26">
        <v>0</v>
      </c>
      <c r="BBT26">
        <v>0</v>
      </c>
      <c r="BBU26">
        <v>0</v>
      </c>
      <c r="BBV26">
        <v>0</v>
      </c>
      <c r="BBW26">
        <v>0</v>
      </c>
      <c r="BBX26">
        <v>0</v>
      </c>
      <c r="BBY26">
        <v>0</v>
      </c>
      <c r="BBZ26">
        <v>0</v>
      </c>
      <c r="BCA26">
        <v>0</v>
      </c>
      <c r="BCB26">
        <v>0</v>
      </c>
      <c r="BCC26">
        <v>0</v>
      </c>
      <c r="BCD26">
        <v>0</v>
      </c>
      <c r="BCE26">
        <v>0</v>
      </c>
      <c r="BCF26">
        <v>0</v>
      </c>
      <c r="BCG26">
        <v>0</v>
      </c>
      <c r="BCH26">
        <v>0</v>
      </c>
      <c r="BCI26">
        <v>0</v>
      </c>
      <c r="BCJ26">
        <v>0</v>
      </c>
      <c r="BCK26">
        <v>0</v>
      </c>
      <c r="BCL26">
        <v>0</v>
      </c>
      <c r="BCM26">
        <v>0</v>
      </c>
      <c r="BCN26">
        <v>0</v>
      </c>
      <c r="BCO26">
        <v>0</v>
      </c>
      <c r="BCP26">
        <v>4</v>
      </c>
      <c r="BCQ26">
        <v>5</v>
      </c>
      <c r="BCR26">
        <v>8</v>
      </c>
      <c r="BCS26">
        <v>8</v>
      </c>
      <c r="BCT26">
        <v>5</v>
      </c>
      <c r="BCU26">
        <v>6</v>
      </c>
      <c r="BCV26">
        <v>7</v>
      </c>
      <c r="BCW26">
        <v>5</v>
      </c>
      <c r="BCX26">
        <v>7</v>
      </c>
      <c r="BCY26">
        <v>4</v>
      </c>
      <c r="BCZ26">
        <v>4</v>
      </c>
      <c r="BDA26">
        <v>9</v>
      </c>
      <c r="BDB26">
        <v>5</v>
      </c>
      <c r="BDC26">
        <v>7</v>
      </c>
      <c r="BDD26">
        <v>4</v>
      </c>
      <c r="BDE26">
        <v>7</v>
      </c>
      <c r="BDF26">
        <v>2</v>
      </c>
      <c r="BDG26">
        <v>7</v>
      </c>
      <c r="BDH26">
        <v>0</v>
      </c>
      <c r="BDI26">
        <v>0</v>
      </c>
      <c r="BDJ26">
        <v>0</v>
      </c>
      <c r="BDK26">
        <v>0</v>
      </c>
      <c r="BDL26">
        <v>0</v>
      </c>
      <c r="BDM26">
        <v>0</v>
      </c>
      <c r="BDN26">
        <v>0</v>
      </c>
      <c r="BDO26">
        <v>0</v>
      </c>
      <c r="BDP26">
        <v>0</v>
      </c>
      <c r="BDQ26">
        <v>0</v>
      </c>
      <c r="BDR26" t="s">
        <v>2404</v>
      </c>
      <c r="BDS26">
        <v>0</v>
      </c>
      <c r="BDT26">
        <v>0</v>
      </c>
      <c r="BDU26">
        <v>0</v>
      </c>
      <c r="BDV26" t="s">
        <v>2404</v>
      </c>
      <c r="BDW26">
        <v>0</v>
      </c>
      <c r="BDX26">
        <v>0</v>
      </c>
      <c r="BDY26">
        <v>0</v>
      </c>
      <c r="BDZ26" t="s">
        <v>2404</v>
      </c>
      <c r="BEA26" t="s">
        <v>3251</v>
      </c>
      <c r="BEB26">
        <v>0</v>
      </c>
      <c r="BEC26">
        <v>0</v>
      </c>
      <c r="BED26" t="s">
        <v>2403</v>
      </c>
      <c r="BEE26" t="s">
        <v>2404</v>
      </c>
      <c r="BEF26" t="s">
        <v>3252</v>
      </c>
      <c r="BEG26">
        <v>0</v>
      </c>
      <c r="BEH26">
        <v>0</v>
      </c>
      <c r="BEI26">
        <v>0</v>
      </c>
      <c r="BEJ26">
        <v>0</v>
      </c>
      <c r="BEK26" t="s">
        <v>2403</v>
      </c>
      <c r="BEL26">
        <v>0</v>
      </c>
      <c r="BEM26">
        <v>0</v>
      </c>
      <c r="BEN26">
        <v>0</v>
      </c>
      <c r="BEO26" t="s">
        <v>3253</v>
      </c>
      <c r="BEP26" t="s">
        <v>3254</v>
      </c>
      <c r="BEQ26" t="s">
        <v>3255</v>
      </c>
      <c r="BER26" t="s">
        <v>3256</v>
      </c>
      <c r="BES26">
        <v>0</v>
      </c>
      <c r="BET26">
        <v>0</v>
      </c>
      <c r="BEU26" t="s">
        <v>3257</v>
      </c>
      <c r="BEV26">
        <v>27062</v>
      </c>
      <c r="BEW26">
        <v>8000</v>
      </c>
      <c r="BEX26" t="s">
        <v>2403</v>
      </c>
      <c r="BEY26" t="s">
        <v>2404</v>
      </c>
      <c r="BEZ26" t="s">
        <v>2424</v>
      </c>
      <c r="BFA26" t="s">
        <v>2404</v>
      </c>
      <c r="BFB26" t="s">
        <v>2404</v>
      </c>
      <c r="BFC26">
        <v>0</v>
      </c>
      <c r="BFD26" t="b">
        <v>0</v>
      </c>
      <c r="BFE26" t="b">
        <v>0</v>
      </c>
      <c r="BFF26" t="b">
        <v>0</v>
      </c>
      <c r="BFG26" t="b">
        <v>0</v>
      </c>
      <c r="BFH26">
        <v>43614</v>
      </c>
      <c r="BFI26">
        <v>43614</v>
      </c>
      <c r="BFJ26">
        <v>1</v>
      </c>
      <c r="BFK26">
        <v>0</v>
      </c>
      <c r="BFL26">
        <v>0</v>
      </c>
      <c r="BFM26">
        <v>0</v>
      </c>
      <c r="BFN26">
        <v>0</v>
      </c>
      <c r="BFO26">
        <v>0</v>
      </c>
      <c r="BFP26">
        <v>0</v>
      </c>
      <c r="BFQ26">
        <v>0</v>
      </c>
      <c r="BFR26">
        <v>0</v>
      </c>
      <c r="BFS26">
        <v>0</v>
      </c>
      <c r="BFT26">
        <v>0</v>
      </c>
      <c r="BFU26">
        <v>0</v>
      </c>
      <c r="BFV26">
        <v>0</v>
      </c>
      <c r="BFW26">
        <v>0</v>
      </c>
      <c r="BFX26">
        <v>0</v>
      </c>
      <c r="BFY26">
        <v>0</v>
      </c>
    </row>
    <row r="27" spans="1:1533" ht="18.75" customHeight="1" x14ac:dyDescent="0.25">
      <c r="A27" t="s">
        <v>3265</v>
      </c>
      <c r="B27" t="s">
        <v>3279</v>
      </c>
      <c r="C27" s="120">
        <v>130</v>
      </c>
      <c r="D27" s="120">
        <v>45</v>
      </c>
      <c r="E27">
        <v>0</v>
      </c>
      <c r="F27">
        <v>0</v>
      </c>
      <c r="G27">
        <v>0</v>
      </c>
      <c r="H27" t="s">
        <v>2404</v>
      </c>
      <c r="I27" t="s">
        <v>2403</v>
      </c>
      <c r="J27" t="s">
        <v>2403</v>
      </c>
      <c r="K27" t="s">
        <v>2403</v>
      </c>
      <c r="L27" t="s">
        <v>2403</v>
      </c>
      <c r="M27" t="s">
        <v>1883</v>
      </c>
      <c r="N27" t="s">
        <v>2403</v>
      </c>
      <c r="O27" t="s">
        <v>1883</v>
      </c>
      <c r="P27" t="s">
        <v>1883</v>
      </c>
      <c r="Q27" t="s">
        <v>2403</v>
      </c>
      <c r="R27" t="s">
        <v>1883</v>
      </c>
      <c r="S27" t="s">
        <v>2403</v>
      </c>
      <c r="T27" t="s">
        <v>2404</v>
      </c>
      <c r="U27" t="s">
        <v>2424</v>
      </c>
      <c r="V27" t="s">
        <v>2827</v>
      </c>
      <c r="W27" t="s">
        <v>309</v>
      </c>
      <c r="X27">
        <v>900</v>
      </c>
      <c r="Y27">
        <v>43619</v>
      </c>
      <c r="Z27">
        <v>378</v>
      </c>
      <c r="AA27">
        <v>0</v>
      </c>
      <c r="AB27" s="120">
        <v>0</v>
      </c>
      <c r="AC27" s="58" t="s">
        <v>272</v>
      </c>
      <c r="AD27" s="120">
        <v>25</v>
      </c>
      <c r="AE27" s="120">
        <v>0</v>
      </c>
      <c r="AF27" s="120">
        <v>43646</v>
      </c>
      <c r="AG27">
        <v>45</v>
      </c>
      <c r="AH27" s="120">
        <v>0</v>
      </c>
      <c r="AI27" s="120">
        <v>0</v>
      </c>
      <c r="AJ27" s="58" t="s">
        <v>271</v>
      </c>
      <c r="AK27" s="120">
        <v>0.17899999999999999</v>
      </c>
      <c r="AL27" s="119">
        <v>0</v>
      </c>
      <c r="AM27">
        <v>50</v>
      </c>
      <c r="AN27">
        <v>47268</v>
      </c>
      <c r="AO27" s="114">
        <v>0.21998390765735731</v>
      </c>
      <c r="AP27" s="120">
        <v>4994.37</v>
      </c>
      <c r="AQ27" s="120">
        <v>7395.45999999998</v>
      </c>
      <c r="AR27" s="58">
        <v>12389.82999999998</v>
      </c>
      <c r="AS27" s="114">
        <v>103.24</v>
      </c>
      <c r="AT27" s="120">
        <v>104.27</v>
      </c>
      <c r="AU27" s="120" t="s">
        <v>1910</v>
      </c>
      <c r="AV27" s="120" t="s">
        <v>2119</v>
      </c>
      <c r="AW27" s="120" t="s">
        <v>2738</v>
      </c>
      <c r="AX27" s="120">
        <v>19</v>
      </c>
      <c r="AY27">
        <v>0</v>
      </c>
      <c r="AZ27">
        <v>43608</v>
      </c>
      <c r="BA27">
        <v>100</v>
      </c>
      <c r="BB27" s="120">
        <v>2</v>
      </c>
      <c r="BC27">
        <v>1</v>
      </c>
      <c r="BD27" s="58" t="s">
        <v>415</v>
      </c>
      <c r="BE27" s="120">
        <v>436</v>
      </c>
      <c r="BF27">
        <v>62</v>
      </c>
      <c r="BG27">
        <v>43615</v>
      </c>
      <c r="BH27">
        <v>120</v>
      </c>
      <c r="BI27" s="120">
        <v>0</v>
      </c>
      <c r="BJ27" s="120">
        <v>50</v>
      </c>
      <c r="BK27" s="58">
        <v>43466</v>
      </c>
      <c r="BL27">
        <v>0</v>
      </c>
      <c r="BM27" s="120">
        <v>0</v>
      </c>
      <c r="BN27" s="120">
        <v>0</v>
      </c>
      <c r="BO27" s="58" t="s">
        <v>3259</v>
      </c>
      <c r="BP27" t="s">
        <v>2403</v>
      </c>
      <c r="BQ27" t="s">
        <v>2403</v>
      </c>
      <c r="BR27" t="s">
        <v>2403</v>
      </c>
      <c r="BS27">
        <v>111112880</v>
      </c>
      <c r="BT27" s="366">
        <v>26511</v>
      </c>
      <c r="BU27" s="58" t="s">
        <v>3260</v>
      </c>
      <c r="BV27" t="s">
        <v>3261</v>
      </c>
      <c r="BW27" t="s">
        <v>1633</v>
      </c>
      <c r="BX27">
        <v>76537</v>
      </c>
      <c r="BY27" t="s">
        <v>3260</v>
      </c>
      <c r="BZ27" t="s">
        <v>3261</v>
      </c>
      <c r="CA27">
        <v>76537</v>
      </c>
      <c r="CB27" t="s">
        <v>1633</v>
      </c>
      <c r="CC27" t="s">
        <v>316</v>
      </c>
      <c r="CD27" t="s">
        <v>3263</v>
      </c>
      <c r="CE27">
        <v>0</v>
      </c>
      <c r="CF27">
        <v>0</v>
      </c>
      <c r="CG27">
        <v>0</v>
      </c>
      <c r="CH27">
        <v>0</v>
      </c>
      <c r="CI27">
        <v>0</v>
      </c>
      <c r="CJ27">
        <v>0</v>
      </c>
      <c r="CK27">
        <v>0</v>
      </c>
      <c r="CL27" s="118">
        <v>0</v>
      </c>
      <c r="CM27" s="118">
        <v>5126390545</v>
      </c>
      <c r="CN27" s="118" t="s">
        <v>3262</v>
      </c>
      <c r="CO27" t="s">
        <v>3264</v>
      </c>
      <c r="CP27" t="s">
        <v>2403</v>
      </c>
      <c r="CQ27" t="s">
        <v>2403</v>
      </c>
      <c r="CR27" t="s">
        <v>2403</v>
      </c>
      <c r="CS27" t="s">
        <v>3260</v>
      </c>
      <c r="CT27" t="s">
        <v>3261</v>
      </c>
      <c r="CU27" t="s">
        <v>1633</v>
      </c>
      <c r="CV27">
        <v>76537</v>
      </c>
      <c r="CW27">
        <v>111112271</v>
      </c>
      <c r="CX27" s="366">
        <v>28725</v>
      </c>
      <c r="CY27" s="58" t="s">
        <v>3260</v>
      </c>
      <c r="CZ27" t="s">
        <v>3261</v>
      </c>
      <c r="DA27">
        <v>76537</v>
      </c>
      <c r="DB27" t="s">
        <v>1633</v>
      </c>
      <c r="DC27" t="s">
        <v>316</v>
      </c>
      <c r="DD27">
        <v>0</v>
      </c>
      <c r="DE27">
        <v>0</v>
      </c>
      <c r="DF27">
        <v>0</v>
      </c>
      <c r="DG27">
        <v>0</v>
      </c>
      <c r="DH27">
        <v>0</v>
      </c>
      <c r="DI27">
        <v>0</v>
      </c>
      <c r="DJ27">
        <v>0</v>
      </c>
      <c r="DK27">
        <v>0</v>
      </c>
      <c r="DL27" s="118">
        <v>0</v>
      </c>
      <c r="DM27" s="118">
        <v>0</v>
      </c>
      <c r="DN27" s="118" t="s">
        <v>3262</v>
      </c>
      <c r="DO27">
        <v>0</v>
      </c>
      <c r="DP27">
        <v>0</v>
      </c>
      <c r="DQ27">
        <v>0</v>
      </c>
      <c r="DR27">
        <v>0</v>
      </c>
      <c r="DS27">
        <v>0</v>
      </c>
      <c r="DT27">
        <v>0</v>
      </c>
      <c r="DU27">
        <v>0</v>
      </c>
      <c r="DV27">
        <v>0</v>
      </c>
      <c r="DW27">
        <v>0</v>
      </c>
      <c r="DX27" s="366">
        <v>0</v>
      </c>
      <c r="DY27" s="58">
        <v>0</v>
      </c>
      <c r="DZ27">
        <v>0</v>
      </c>
      <c r="EA27">
        <v>0</v>
      </c>
      <c r="EB27">
        <v>0</v>
      </c>
      <c r="EC27">
        <v>0</v>
      </c>
      <c r="ED27">
        <v>0</v>
      </c>
      <c r="EE27">
        <v>0</v>
      </c>
      <c r="EF27">
        <v>0</v>
      </c>
      <c r="EG27">
        <v>0</v>
      </c>
      <c r="EH27">
        <v>0</v>
      </c>
      <c r="EI27">
        <v>0</v>
      </c>
      <c r="EJ27">
        <v>0</v>
      </c>
      <c r="EK27">
        <v>0</v>
      </c>
      <c r="EL27" s="118">
        <v>0</v>
      </c>
      <c r="EM27" s="118">
        <v>0</v>
      </c>
      <c r="EN27" s="118">
        <v>0</v>
      </c>
      <c r="EO27">
        <v>1278</v>
      </c>
      <c r="EP27">
        <v>4185.3701171875</v>
      </c>
      <c r="EQ27" s="119">
        <v>1</v>
      </c>
      <c r="ER27">
        <v>1</v>
      </c>
      <c r="ES27" t="s">
        <v>3267</v>
      </c>
      <c r="ET27">
        <v>0</v>
      </c>
      <c r="EU27">
        <v>0</v>
      </c>
      <c r="EV27">
        <v>0</v>
      </c>
      <c r="EW27">
        <v>0</v>
      </c>
      <c r="EX27">
        <v>0</v>
      </c>
      <c r="EY27">
        <v>0</v>
      </c>
      <c r="EZ27">
        <v>0</v>
      </c>
      <c r="FA27">
        <v>0</v>
      </c>
      <c r="FB27">
        <v>0</v>
      </c>
      <c r="FC27">
        <v>0</v>
      </c>
      <c r="FD27">
        <v>0</v>
      </c>
      <c r="FE27">
        <v>0</v>
      </c>
      <c r="FF27">
        <v>0</v>
      </c>
      <c r="FG27">
        <v>0</v>
      </c>
      <c r="FH27">
        <v>0</v>
      </c>
      <c r="FI27">
        <v>0</v>
      </c>
      <c r="FJ27">
        <v>0</v>
      </c>
      <c r="FK27">
        <v>0</v>
      </c>
      <c r="FL27">
        <v>0</v>
      </c>
      <c r="FM27">
        <v>4185.37</v>
      </c>
      <c r="FN27" s="119">
        <v>0</v>
      </c>
      <c r="FO27" s="119">
        <v>0</v>
      </c>
      <c r="FP27" s="119">
        <v>0</v>
      </c>
      <c r="FQ27" s="119">
        <v>0</v>
      </c>
      <c r="FR27" s="119">
        <v>0</v>
      </c>
      <c r="FS27" s="119">
        <v>0</v>
      </c>
      <c r="FT27" s="119">
        <v>0</v>
      </c>
      <c r="FU27" s="119">
        <v>0</v>
      </c>
      <c r="FV27" s="119">
        <v>0</v>
      </c>
      <c r="FW27" s="119">
        <v>0</v>
      </c>
      <c r="FX27" s="119">
        <v>0</v>
      </c>
      <c r="FY27" s="119">
        <v>0</v>
      </c>
      <c r="FZ27" s="119">
        <v>0</v>
      </c>
      <c r="GA27" s="119">
        <v>0</v>
      </c>
      <c r="GB27" s="119">
        <v>0</v>
      </c>
      <c r="GC27" s="119">
        <v>0</v>
      </c>
      <c r="GD27" s="119">
        <v>0</v>
      </c>
      <c r="GE27" s="119">
        <v>0</v>
      </c>
      <c r="GF27" s="119">
        <v>0</v>
      </c>
      <c r="GG27" s="119">
        <v>0</v>
      </c>
      <c r="GH27" t="s">
        <v>2403</v>
      </c>
      <c r="GI27">
        <v>0</v>
      </c>
      <c r="GJ27">
        <v>0</v>
      </c>
      <c r="GK27">
        <v>0</v>
      </c>
      <c r="GL27" t="s">
        <v>2403</v>
      </c>
      <c r="GM27">
        <v>0</v>
      </c>
      <c r="GN27" s="58" t="s">
        <v>2404</v>
      </c>
      <c r="GO27" t="s">
        <v>3266</v>
      </c>
      <c r="GP27" t="s">
        <v>3268</v>
      </c>
      <c r="GQ27" s="128">
        <v>0</v>
      </c>
      <c r="GR27" s="128">
        <v>0</v>
      </c>
      <c r="GS27" s="128">
        <v>0</v>
      </c>
      <c r="GT27" s="128" t="s">
        <v>3260</v>
      </c>
      <c r="GU27">
        <v>4185.37</v>
      </c>
      <c r="GV27" s="119">
        <v>0</v>
      </c>
      <c r="GW27" s="119">
        <v>0</v>
      </c>
      <c r="GX27" s="119">
        <v>0</v>
      </c>
      <c r="GY27" s="119">
        <v>0</v>
      </c>
      <c r="GZ27">
        <v>0</v>
      </c>
      <c r="HA27">
        <v>0</v>
      </c>
      <c r="HB27">
        <v>0</v>
      </c>
      <c r="HC27">
        <v>4185.3701171875</v>
      </c>
      <c r="HD27" s="120">
        <v>158550</v>
      </c>
      <c r="HE27" s="119">
        <v>69790</v>
      </c>
      <c r="HF27" t="s">
        <v>3261</v>
      </c>
      <c r="HG27" t="s">
        <v>251</v>
      </c>
      <c r="HH27" t="s">
        <v>2403</v>
      </c>
      <c r="HI27">
        <v>158550</v>
      </c>
      <c r="HJ27" s="119" t="s">
        <v>2403</v>
      </c>
      <c r="HK27">
        <v>0</v>
      </c>
      <c r="HL27">
        <v>0</v>
      </c>
      <c r="HM27">
        <v>0</v>
      </c>
      <c r="HN27">
        <v>0</v>
      </c>
      <c r="HO27" t="s">
        <v>3280</v>
      </c>
      <c r="HP27" t="s">
        <v>2403</v>
      </c>
      <c r="HQ27">
        <v>0</v>
      </c>
      <c r="HR27" t="s">
        <v>1633</v>
      </c>
      <c r="HS27" t="s">
        <v>3267</v>
      </c>
      <c r="HT27">
        <v>0</v>
      </c>
      <c r="HU27">
        <v>0</v>
      </c>
      <c r="HV27">
        <v>0</v>
      </c>
      <c r="HW27" t="s">
        <v>2045</v>
      </c>
      <c r="HX27">
        <v>0</v>
      </c>
      <c r="HY27">
        <v>0</v>
      </c>
      <c r="HZ27">
        <v>0</v>
      </c>
      <c r="IA27">
        <v>76537</v>
      </c>
      <c r="IB27" t="s">
        <v>2403</v>
      </c>
      <c r="IC27">
        <v>0</v>
      </c>
      <c r="ID27">
        <v>0</v>
      </c>
      <c r="IE27">
        <v>0</v>
      </c>
      <c r="IF27">
        <v>0</v>
      </c>
      <c r="IG27">
        <v>0</v>
      </c>
      <c r="IH27">
        <v>0</v>
      </c>
      <c r="II27">
        <v>0</v>
      </c>
      <c r="IJ27">
        <v>0</v>
      </c>
      <c r="IK27">
        <v>0</v>
      </c>
      <c r="IL27">
        <v>0</v>
      </c>
      <c r="IM27" s="128">
        <v>0</v>
      </c>
      <c r="IN27" s="128">
        <v>0</v>
      </c>
      <c r="IO27" s="128">
        <v>0</v>
      </c>
      <c r="IP27" s="128">
        <v>0</v>
      </c>
      <c r="IQ27">
        <v>0</v>
      </c>
      <c r="IR27" s="119">
        <v>0</v>
      </c>
      <c r="IS27" s="119">
        <v>0</v>
      </c>
      <c r="IT27" s="119">
        <v>0</v>
      </c>
      <c r="IU27" s="119">
        <v>0</v>
      </c>
      <c r="IV27" s="119">
        <v>0</v>
      </c>
      <c r="IW27">
        <v>0</v>
      </c>
      <c r="IX27">
        <v>0</v>
      </c>
      <c r="IY27">
        <v>0</v>
      </c>
      <c r="IZ27">
        <v>0</v>
      </c>
      <c r="JA27">
        <v>0</v>
      </c>
      <c r="JB27" s="119">
        <v>0</v>
      </c>
      <c r="JC27">
        <v>0</v>
      </c>
      <c r="JD27">
        <v>0</v>
      </c>
      <c r="JE27">
        <v>0</v>
      </c>
      <c r="JF27">
        <v>0</v>
      </c>
      <c r="JG27">
        <v>0</v>
      </c>
      <c r="JH27">
        <v>0</v>
      </c>
      <c r="JI27">
        <v>0</v>
      </c>
      <c r="JJ27">
        <v>0</v>
      </c>
      <c r="JK27">
        <v>0</v>
      </c>
      <c r="JL27">
        <v>0</v>
      </c>
      <c r="JM27">
        <v>0</v>
      </c>
      <c r="JN27">
        <v>0</v>
      </c>
      <c r="JO27">
        <v>0</v>
      </c>
      <c r="JP27">
        <v>0</v>
      </c>
      <c r="JQ27">
        <v>0</v>
      </c>
      <c r="JR27">
        <v>0</v>
      </c>
      <c r="JS27">
        <v>0</v>
      </c>
      <c r="JT27">
        <v>0</v>
      </c>
      <c r="JU27">
        <v>0</v>
      </c>
      <c r="JV27">
        <v>0</v>
      </c>
      <c r="JW27">
        <v>0</v>
      </c>
      <c r="JX27">
        <v>0</v>
      </c>
      <c r="JY27">
        <v>0</v>
      </c>
      <c r="JZ27">
        <v>0</v>
      </c>
      <c r="KA27">
        <v>0</v>
      </c>
      <c r="KB27">
        <v>0</v>
      </c>
      <c r="KC27">
        <v>0</v>
      </c>
      <c r="KD27">
        <v>0</v>
      </c>
      <c r="KE27">
        <v>0</v>
      </c>
      <c r="KF27">
        <v>0</v>
      </c>
      <c r="KG27">
        <v>0</v>
      </c>
      <c r="KH27">
        <v>0</v>
      </c>
      <c r="KI27" s="128">
        <v>0</v>
      </c>
      <c r="KJ27" s="128">
        <v>0</v>
      </c>
      <c r="KK27" s="128">
        <v>0</v>
      </c>
      <c r="KL27" s="128">
        <v>0</v>
      </c>
      <c r="KM27">
        <v>0</v>
      </c>
      <c r="KN27" s="119">
        <v>0</v>
      </c>
      <c r="KO27" s="119">
        <v>0</v>
      </c>
      <c r="KP27" s="119">
        <v>0</v>
      </c>
      <c r="KQ27" s="119">
        <v>0</v>
      </c>
      <c r="KR27" s="121">
        <v>0</v>
      </c>
      <c r="KS27">
        <v>0</v>
      </c>
      <c r="KT27" s="119">
        <v>0</v>
      </c>
      <c r="KU27">
        <v>0</v>
      </c>
      <c r="KV27">
        <v>0</v>
      </c>
      <c r="KW27">
        <v>0</v>
      </c>
      <c r="KX27" s="119">
        <v>0</v>
      </c>
      <c r="KY27">
        <v>0</v>
      </c>
      <c r="KZ27">
        <v>0</v>
      </c>
      <c r="LA27">
        <v>0</v>
      </c>
      <c r="LB27">
        <v>0</v>
      </c>
      <c r="LC27">
        <v>0</v>
      </c>
      <c r="LD27">
        <v>0</v>
      </c>
      <c r="LE27">
        <v>0</v>
      </c>
      <c r="LF27">
        <v>0</v>
      </c>
      <c r="LG27">
        <v>0</v>
      </c>
      <c r="LH27">
        <v>0</v>
      </c>
      <c r="LI27">
        <v>0</v>
      </c>
      <c r="LJ27">
        <v>0</v>
      </c>
      <c r="LK27">
        <v>0</v>
      </c>
      <c r="LL27">
        <v>0</v>
      </c>
      <c r="LM27">
        <v>0</v>
      </c>
      <c r="LN27">
        <v>0</v>
      </c>
      <c r="LO27">
        <v>0</v>
      </c>
      <c r="LP27">
        <v>0</v>
      </c>
      <c r="LQ27">
        <v>0</v>
      </c>
      <c r="LR27">
        <v>0</v>
      </c>
      <c r="LS27">
        <v>0</v>
      </c>
      <c r="LT27">
        <v>0</v>
      </c>
      <c r="LU27">
        <v>0</v>
      </c>
      <c r="LV27">
        <v>0</v>
      </c>
      <c r="LW27">
        <v>0</v>
      </c>
      <c r="LX27">
        <v>0</v>
      </c>
      <c r="LY27">
        <v>0</v>
      </c>
      <c r="LZ27">
        <v>0</v>
      </c>
      <c r="MA27">
        <v>0</v>
      </c>
      <c r="MB27">
        <v>0</v>
      </c>
      <c r="MC27">
        <v>0</v>
      </c>
      <c r="MD27">
        <v>0</v>
      </c>
      <c r="ME27" s="128">
        <v>0</v>
      </c>
      <c r="MF27" s="128">
        <v>0</v>
      </c>
      <c r="MG27" s="128">
        <v>0</v>
      </c>
      <c r="MH27" s="128">
        <v>0</v>
      </c>
      <c r="MI27">
        <v>0</v>
      </c>
      <c r="MJ27" s="119">
        <v>0</v>
      </c>
      <c r="MK27" s="119">
        <v>0</v>
      </c>
      <c r="ML27" s="119">
        <v>0</v>
      </c>
      <c r="MM27" s="119">
        <v>0</v>
      </c>
      <c r="MN27" s="121">
        <v>0</v>
      </c>
      <c r="MO27" s="119">
        <v>0</v>
      </c>
      <c r="MP27">
        <v>0</v>
      </c>
      <c r="MQ27">
        <v>0</v>
      </c>
      <c r="MR27">
        <v>0</v>
      </c>
      <c r="MS27">
        <v>0</v>
      </c>
      <c r="MT27" s="119">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s="116">
        <v>0</v>
      </c>
      <c r="NS27" s="116">
        <v>0</v>
      </c>
      <c r="NT27" s="116">
        <v>0</v>
      </c>
      <c r="NU27" s="116">
        <v>0</v>
      </c>
      <c r="NV27" s="116">
        <v>0</v>
      </c>
      <c r="NW27" s="116">
        <v>0</v>
      </c>
      <c r="NX27" s="116">
        <v>0</v>
      </c>
      <c r="NY27" s="116">
        <v>0</v>
      </c>
      <c r="NZ27" s="116">
        <v>0</v>
      </c>
      <c r="OA27" s="128">
        <v>0</v>
      </c>
      <c r="OB27" s="128">
        <v>0</v>
      </c>
      <c r="OC27" s="128">
        <v>0</v>
      </c>
      <c r="OD27" s="128">
        <v>0</v>
      </c>
      <c r="OE27">
        <v>0</v>
      </c>
      <c r="OF27" s="119">
        <v>0</v>
      </c>
      <c r="OG27" s="119">
        <v>0</v>
      </c>
      <c r="OH27" s="119">
        <v>0</v>
      </c>
      <c r="OI27" s="119">
        <v>0</v>
      </c>
      <c r="OJ27" s="121">
        <v>0</v>
      </c>
      <c r="OK27" s="119">
        <v>0</v>
      </c>
      <c r="OL27">
        <v>0</v>
      </c>
      <c r="OM27">
        <v>0</v>
      </c>
      <c r="ON27">
        <v>0</v>
      </c>
      <c r="OO27">
        <v>0</v>
      </c>
      <c r="OP27" s="119">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s="128">
        <v>0</v>
      </c>
      <c r="PX27" s="128">
        <v>0</v>
      </c>
      <c r="PY27" s="128">
        <v>0</v>
      </c>
      <c r="PZ27" s="128">
        <v>0</v>
      </c>
      <c r="QA27">
        <v>0</v>
      </c>
      <c r="QB27" s="119">
        <v>0</v>
      </c>
      <c r="QC27" s="119">
        <v>0</v>
      </c>
      <c r="QD27" s="119">
        <v>0</v>
      </c>
      <c r="QE27" s="119">
        <v>0</v>
      </c>
      <c r="QF27" s="121">
        <v>0</v>
      </c>
      <c r="QG27" s="119">
        <v>0</v>
      </c>
      <c r="QH27">
        <v>0</v>
      </c>
      <c r="QI27">
        <v>0</v>
      </c>
      <c r="QJ27">
        <v>0</v>
      </c>
      <c r="QK27">
        <v>0</v>
      </c>
      <c r="QL27" s="119">
        <v>0</v>
      </c>
      <c r="QM27">
        <v>0</v>
      </c>
      <c r="QN27">
        <v>0</v>
      </c>
      <c r="QO27">
        <v>0</v>
      </c>
      <c r="QP27">
        <v>0</v>
      </c>
      <c r="QQ27">
        <v>0</v>
      </c>
      <c r="QR27">
        <v>0</v>
      </c>
      <c r="QS27">
        <v>0</v>
      </c>
      <c r="QT27">
        <v>0</v>
      </c>
      <c r="QU27">
        <v>0</v>
      </c>
      <c r="QV27">
        <v>0</v>
      </c>
      <c r="QW27">
        <v>0</v>
      </c>
      <c r="QX27">
        <v>0</v>
      </c>
      <c r="QY27">
        <v>0</v>
      </c>
      <c r="QZ27">
        <v>0</v>
      </c>
      <c r="RA27">
        <v>0</v>
      </c>
      <c r="RB27">
        <v>0</v>
      </c>
      <c r="RC27">
        <v>0</v>
      </c>
      <c r="RD27">
        <v>0</v>
      </c>
      <c r="RE27">
        <v>0</v>
      </c>
      <c r="RF27">
        <v>0</v>
      </c>
      <c r="RG27">
        <v>0</v>
      </c>
      <c r="RH27">
        <v>0</v>
      </c>
      <c r="RI27">
        <v>0</v>
      </c>
      <c r="RJ27" s="116">
        <v>0</v>
      </c>
      <c r="RK27" s="116">
        <v>0</v>
      </c>
      <c r="RL27" s="116">
        <v>0</v>
      </c>
      <c r="RM27" s="116">
        <v>0</v>
      </c>
      <c r="RN27" s="116">
        <v>0</v>
      </c>
      <c r="RO27" s="116">
        <v>0</v>
      </c>
      <c r="RP27" s="116">
        <v>0</v>
      </c>
      <c r="RQ27" s="116">
        <v>0</v>
      </c>
      <c r="RR27" s="116">
        <v>0</v>
      </c>
      <c r="RS27" s="128">
        <v>0</v>
      </c>
      <c r="RT27" s="128">
        <v>0</v>
      </c>
      <c r="RU27" s="128">
        <v>0</v>
      </c>
      <c r="RV27" s="128">
        <v>0</v>
      </c>
      <c r="RW27">
        <v>0</v>
      </c>
      <c r="RX27" s="119">
        <v>0</v>
      </c>
      <c r="RY27" s="119">
        <v>0</v>
      </c>
      <c r="RZ27" s="119">
        <v>0</v>
      </c>
      <c r="SA27" s="119">
        <v>0</v>
      </c>
      <c r="SB27" s="121">
        <v>0</v>
      </c>
      <c r="SC27" s="119">
        <v>0</v>
      </c>
      <c r="SD27">
        <v>0</v>
      </c>
      <c r="SE27">
        <v>0</v>
      </c>
      <c r="SF27">
        <v>0</v>
      </c>
      <c r="SG27">
        <v>0</v>
      </c>
      <c r="SH27" s="119">
        <v>0</v>
      </c>
      <c r="SI27">
        <v>0</v>
      </c>
      <c r="SJ27">
        <v>0</v>
      </c>
      <c r="SK27">
        <v>0</v>
      </c>
      <c r="SL27">
        <v>0</v>
      </c>
      <c r="SM27">
        <v>0</v>
      </c>
      <c r="SN27">
        <v>0</v>
      </c>
      <c r="SO27">
        <v>0</v>
      </c>
      <c r="SP27">
        <v>0</v>
      </c>
      <c r="SQ27">
        <v>0</v>
      </c>
      <c r="SR27">
        <v>0</v>
      </c>
      <c r="SS27">
        <v>0</v>
      </c>
      <c r="ST27">
        <v>0</v>
      </c>
      <c r="SU27">
        <v>0</v>
      </c>
      <c r="SV27">
        <v>0</v>
      </c>
      <c r="SW27">
        <v>0</v>
      </c>
      <c r="SX27">
        <v>0</v>
      </c>
      <c r="SY27">
        <v>0</v>
      </c>
      <c r="SZ27">
        <v>0</v>
      </c>
      <c r="TA27">
        <v>0</v>
      </c>
      <c r="TB27">
        <v>0</v>
      </c>
      <c r="TC27">
        <v>0</v>
      </c>
      <c r="TD27">
        <v>0</v>
      </c>
      <c r="TE27">
        <v>0</v>
      </c>
      <c r="TF27" s="116">
        <v>0</v>
      </c>
      <c r="TG27" s="116">
        <v>0</v>
      </c>
      <c r="TH27" s="116">
        <v>0</v>
      </c>
      <c r="TI27" s="116">
        <v>0</v>
      </c>
      <c r="TJ27" s="116">
        <v>0</v>
      </c>
      <c r="TK27" s="116">
        <v>0</v>
      </c>
      <c r="TL27" s="116">
        <v>0</v>
      </c>
      <c r="TM27" s="116">
        <v>0</v>
      </c>
      <c r="TN27" s="116">
        <v>0</v>
      </c>
      <c r="TO27" s="128">
        <v>0</v>
      </c>
      <c r="TP27" s="128">
        <v>0</v>
      </c>
      <c r="TQ27" s="128">
        <v>0</v>
      </c>
      <c r="TR27" s="128">
        <v>0</v>
      </c>
      <c r="TS27">
        <v>0</v>
      </c>
      <c r="TT27" s="119">
        <v>0</v>
      </c>
      <c r="TU27" s="119">
        <v>0</v>
      </c>
      <c r="TV27" s="119">
        <v>0</v>
      </c>
      <c r="TW27" s="119">
        <v>0</v>
      </c>
      <c r="TX27" s="121">
        <v>0</v>
      </c>
      <c r="TY27" s="119">
        <v>0</v>
      </c>
      <c r="TZ27">
        <v>0</v>
      </c>
      <c r="UA27">
        <v>0</v>
      </c>
      <c r="UB27">
        <v>0</v>
      </c>
      <c r="UC27">
        <v>0</v>
      </c>
      <c r="UD27" s="119">
        <v>0</v>
      </c>
      <c r="UE27">
        <v>0</v>
      </c>
      <c r="UF27">
        <v>0</v>
      </c>
      <c r="UG27">
        <v>0</v>
      </c>
      <c r="UH27">
        <v>0</v>
      </c>
      <c r="UI27">
        <v>0</v>
      </c>
      <c r="UJ27">
        <v>0</v>
      </c>
      <c r="UK27">
        <v>0</v>
      </c>
      <c r="UL27">
        <v>0</v>
      </c>
      <c r="UM27">
        <v>0</v>
      </c>
      <c r="UN27">
        <v>0</v>
      </c>
      <c r="UO27">
        <v>0</v>
      </c>
      <c r="UP27">
        <v>0</v>
      </c>
      <c r="UQ27">
        <v>0</v>
      </c>
      <c r="UR27">
        <v>0</v>
      </c>
      <c r="US27">
        <v>0</v>
      </c>
      <c r="UT27">
        <v>0</v>
      </c>
      <c r="UU27">
        <v>0</v>
      </c>
      <c r="UV27">
        <v>0</v>
      </c>
      <c r="UW27">
        <v>0</v>
      </c>
      <c r="UX27">
        <v>0</v>
      </c>
      <c r="UY27">
        <v>0</v>
      </c>
      <c r="UZ27">
        <v>0</v>
      </c>
      <c r="VA27">
        <v>0</v>
      </c>
      <c r="VB27" s="116">
        <v>0</v>
      </c>
      <c r="VC27" s="116">
        <v>0</v>
      </c>
      <c r="VD27" s="116">
        <v>0</v>
      </c>
      <c r="VE27" s="116">
        <v>0</v>
      </c>
      <c r="VF27" s="116">
        <v>0</v>
      </c>
      <c r="VG27" s="116">
        <v>0</v>
      </c>
      <c r="VH27" s="116">
        <v>0</v>
      </c>
      <c r="VI27" s="116">
        <v>0</v>
      </c>
      <c r="VJ27" s="116">
        <v>0</v>
      </c>
      <c r="VK27" s="128">
        <v>0</v>
      </c>
      <c r="VL27" s="128">
        <v>0</v>
      </c>
      <c r="VM27" s="128">
        <v>0</v>
      </c>
      <c r="VN27" s="128">
        <v>0</v>
      </c>
      <c r="VO27">
        <v>0</v>
      </c>
      <c r="VP27" s="119">
        <v>0</v>
      </c>
      <c r="VQ27" s="119">
        <v>0</v>
      </c>
      <c r="VR27" s="119">
        <v>0</v>
      </c>
      <c r="VS27" s="119">
        <v>0</v>
      </c>
      <c r="VT27" s="121">
        <v>0</v>
      </c>
      <c r="VU27" s="119">
        <v>0</v>
      </c>
      <c r="VV27" s="119">
        <v>0</v>
      </c>
      <c r="VW27">
        <v>0</v>
      </c>
      <c r="VX27">
        <v>0</v>
      </c>
      <c r="VY27">
        <v>0</v>
      </c>
      <c r="VZ27" s="119">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s="116">
        <v>0</v>
      </c>
      <c r="WY27" s="116">
        <v>0</v>
      </c>
      <c r="WZ27" s="116">
        <v>0</v>
      </c>
      <c r="XA27" s="116">
        <v>0</v>
      </c>
      <c r="XB27" s="116">
        <v>0</v>
      </c>
      <c r="XC27" s="116">
        <v>0</v>
      </c>
      <c r="XD27" s="116">
        <v>0</v>
      </c>
      <c r="XE27" s="116">
        <v>0</v>
      </c>
      <c r="XF27" s="116">
        <v>0</v>
      </c>
      <c r="XG27" s="128">
        <v>0</v>
      </c>
      <c r="XH27" s="128">
        <v>0</v>
      </c>
      <c r="XI27" s="128">
        <v>0</v>
      </c>
      <c r="XJ27" s="128">
        <v>0</v>
      </c>
      <c r="XK27">
        <v>0</v>
      </c>
      <c r="XL27" s="119">
        <v>0</v>
      </c>
      <c r="XM27" s="119">
        <v>0</v>
      </c>
      <c r="XN27" s="119">
        <v>0</v>
      </c>
      <c r="XO27" s="119">
        <v>0</v>
      </c>
      <c r="XP27" s="121">
        <v>0</v>
      </c>
      <c r="XQ27" s="119">
        <v>0</v>
      </c>
      <c r="XR27" s="119">
        <v>0</v>
      </c>
      <c r="XS27">
        <v>0</v>
      </c>
      <c r="XT27">
        <v>0</v>
      </c>
      <c r="XU27">
        <v>0</v>
      </c>
      <c r="XV27" s="119">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S27">
        <v>0</v>
      </c>
      <c r="YT27">
        <v>0</v>
      </c>
      <c r="YU27">
        <v>0</v>
      </c>
      <c r="YV27">
        <v>0</v>
      </c>
      <c r="YW27">
        <v>0</v>
      </c>
      <c r="YX27">
        <v>0</v>
      </c>
      <c r="YY27">
        <v>0</v>
      </c>
      <c r="YZ27">
        <v>0</v>
      </c>
      <c r="ZA27">
        <v>0</v>
      </c>
      <c r="ZB27">
        <v>0</v>
      </c>
      <c r="ZC27" s="128">
        <v>0</v>
      </c>
      <c r="ZD27" s="128">
        <v>0</v>
      </c>
      <c r="ZE27" s="128">
        <v>0</v>
      </c>
      <c r="ZF27" s="128">
        <v>0</v>
      </c>
      <c r="ZG27">
        <v>0</v>
      </c>
      <c r="ZH27" s="119">
        <v>0</v>
      </c>
      <c r="ZI27" s="119">
        <v>0</v>
      </c>
      <c r="ZJ27" s="119">
        <v>0</v>
      </c>
      <c r="ZK27" s="119">
        <v>0</v>
      </c>
      <c r="ZL27" s="121">
        <v>0</v>
      </c>
      <c r="ZM27" s="119">
        <v>0</v>
      </c>
      <c r="ZN27" s="119">
        <v>0</v>
      </c>
      <c r="ZO27">
        <v>0</v>
      </c>
      <c r="ZP27">
        <v>0</v>
      </c>
      <c r="ZQ27">
        <v>0</v>
      </c>
      <c r="ZR27" s="119">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s="116">
        <v>0</v>
      </c>
      <c r="AAQ27" s="116">
        <v>0</v>
      </c>
      <c r="AAR27" s="116">
        <v>0</v>
      </c>
      <c r="AAS27" s="116">
        <v>0</v>
      </c>
      <c r="AAT27" s="116">
        <v>0</v>
      </c>
      <c r="AAU27" s="116">
        <v>0</v>
      </c>
      <c r="AAV27" s="116">
        <v>0</v>
      </c>
      <c r="AAW27" s="116">
        <v>0</v>
      </c>
      <c r="AAX27" s="116">
        <v>0</v>
      </c>
      <c r="AAY27" s="128">
        <v>0</v>
      </c>
      <c r="AAZ27" s="128">
        <v>0</v>
      </c>
      <c r="ABA27" s="128">
        <v>0</v>
      </c>
      <c r="ABB27" s="128">
        <v>0</v>
      </c>
      <c r="ABC27">
        <v>0</v>
      </c>
      <c r="ABD27" s="119">
        <v>0</v>
      </c>
      <c r="ABE27" s="119">
        <v>0</v>
      </c>
      <c r="ABF27" s="119">
        <v>0</v>
      </c>
      <c r="ABG27" s="119">
        <v>0</v>
      </c>
      <c r="ABH27" s="121">
        <v>0</v>
      </c>
      <c r="ABI27" s="119">
        <v>0</v>
      </c>
      <c r="ABJ27" s="119">
        <v>0</v>
      </c>
      <c r="ABK27">
        <v>0</v>
      </c>
      <c r="ABL27">
        <v>0</v>
      </c>
      <c r="ABM27">
        <v>0</v>
      </c>
      <c r="ABN27" s="119">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s="116">
        <v>0</v>
      </c>
      <c r="ACM27" s="116">
        <v>0</v>
      </c>
      <c r="ACN27" s="116">
        <v>0</v>
      </c>
      <c r="ACO27" s="116">
        <v>0</v>
      </c>
      <c r="ACP27" s="116">
        <v>0</v>
      </c>
      <c r="ACQ27" s="116">
        <v>0</v>
      </c>
      <c r="ACR27" s="116">
        <v>0</v>
      </c>
      <c r="ACS27" s="116">
        <v>0</v>
      </c>
      <c r="ACT27" s="116">
        <v>0</v>
      </c>
      <c r="ACU27" s="128">
        <v>0</v>
      </c>
      <c r="ACV27" s="128">
        <v>0</v>
      </c>
      <c r="ACW27" s="128">
        <v>0</v>
      </c>
      <c r="ACX27" s="128">
        <v>0</v>
      </c>
      <c r="ACY27">
        <v>0</v>
      </c>
      <c r="ACZ27" s="119">
        <v>0</v>
      </c>
      <c r="ADA27" s="119">
        <v>0</v>
      </c>
      <c r="ADB27" s="119">
        <v>0</v>
      </c>
      <c r="ADC27" s="119">
        <v>0</v>
      </c>
      <c r="ADD27" s="121">
        <v>0</v>
      </c>
      <c r="ADE27" s="119">
        <v>0</v>
      </c>
      <c r="ADF27" s="119">
        <v>0</v>
      </c>
      <c r="ADG27">
        <v>0</v>
      </c>
      <c r="ADH27">
        <v>0</v>
      </c>
      <c r="ADI27">
        <v>0</v>
      </c>
      <c r="ADJ27" s="119">
        <v>0</v>
      </c>
      <c r="ADK27">
        <v>0</v>
      </c>
      <c r="ADL27">
        <v>0</v>
      </c>
      <c r="ADM27">
        <v>0</v>
      </c>
      <c r="ADN27">
        <v>0</v>
      </c>
      <c r="ADO27">
        <v>0</v>
      </c>
      <c r="ADP27">
        <v>0</v>
      </c>
      <c r="ADQ27">
        <v>0</v>
      </c>
      <c r="ADR27">
        <v>0</v>
      </c>
      <c r="ADS27">
        <v>0</v>
      </c>
      <c r="ADT27">
        <v>0</v>
      </c>
      <c r="ADU27">
        <v>0</v>
      </c>
      <c r="ADV27">
        <v>0</v>
      </c>
      <c r="ADW27">
        <v>0</v>
      </c>
      <c r="ADX27">
        <v>0</v>
      </c>
      <c r="ADY27">
        <v>0</v>
      </c>
      <c r="ADZ27">
        <v>0</v>
      </c>
      <c r="AEA27">
        <v>0</v>
      </c>
      <c r="AEB27">
        <v>0</v>
      </c>
      <c r="AEC27">
        <v>0</v>
      </c>
      <c r="AED27">
        <v>0</v>
      </c>
      <c r="AEE27">
        <v>0</v>
      </c>
      <c r="AEF27">
        <v>0</v>
      </c>
      <c r="AEG27">
        <v>0</v>
      </c>
      <c r="AEH27" s="116">
        <v>0</v>
      </c>
      <c r="AEI27" s="116">
        <v>0</v>
      </c>
      <c r="AEJ27" s="116">
        <v>0</v>
      </c>
      <c r="AEK27" s="116">
        <v>0</v>
      </c>
      <c r="AEL27" s="116">
        <v>0</v>
      </c>
      <c r="AEM27" s="116">
        <v>0</v>
      </c>
      <c r="AEN27" s="116">
        <v>0</v>
      </c>
      <c r="AEO27" s="116">
        <v>0</v>
      </c>
      <c r="AEP27" s="116">
        <v>0</v>
      </c>
      <c r="AEQ27" s="128">
        <v>0</v>
      </c>
      <c r="AER27" s="128">
        <v>0</v>
      </c>
      <c r="AES27" s="128">
        <v>0</v>
      </c>
      <c r="AET27" s="128">
        <v>0</v>
      </c>
      <c r="AEU27">
        <v>0</v>
      </c>
      <c r="AEV27" s="119">
        <v>0</v>
      </c>
      <c r="AEW27" s="119">
        <v>0</v>
      </c>
      <c r="AEX27" s="119">
        <v>0</v>
      </c>
      <c r="AEY27" s="119">
        <v>0</v>
      </c>
      <c r="AEZ27" s="121">
        <v>0</v>
      </c>
      <c r="AFA27" s="119">
        <v>0</v>
      </c>
      <c r="AFB27" s="119">
        <v>0</v>
      </c>
      <c r="AFC27">
        <v>0</v>
      </c>
      <c r="AFD27">
        <v>0</v>
      </c>
      <c r="AFE27">
        <v>0</v>
      </c>
      <c r="AFF27" s="119">
        <v>0</v>
      </c>
      <c r="AFG27">
        <v>0</v>
      </c>
      <c r="AFH27">
        <v>0</v>
      </c>
      <c r="AFI27">
        <v>0</v>
      </c>
      <c r="AFJ27">
        <v>0</v>
      </c>
      <c r="AFK27">
        <v>0</v>
      </c>
      <c r="AFL27">
        <v>0</v>
      </c>
      <c r="AFM27">
        <v>0</v>
      </c>
      <c r="AFN27">
        <v>0</v>
      </c>
      <c r="AFO27">
        <v>0</v>
      </c>
      <c r="AFP27">
        <v>0</v>
      </c>
      <c r="AFQ27">
        <v>0</v>
      </c>
      <c r="AFR27">
        <v>0</v>
      </c>
      <c r="AFS27">
        <v>0</v>
      </c>
      <c r="AFT27">
        <v>0</v>
      </c>
      <c r="AFU27">
        <v>0</v>
      </c>
      <c r="AFV27">
        <v>0</v>
      </c>
      <c r="AFW27">
        <v>0</v>
      </c>
      <c r="AFX27">
        <v>0</v>
      </c>
      <c r="AFY27">
        <v>0</v>
      </c>
      <c r="AFZ27">
        <v>0</v>
      </c>
      <c r="AGA27">
        <v>0</v>
      </c>
      <c r="AGB27">
        <v>0</v>
      </c>
      <c r="AGC27">
        <v>0</v>
      </c>
      <c r="AGD27" s="116">
        <v>0</v>
      </c>
      <c r="AGE27" s="116">
        <v>0</v>
      </c>
      <c r="AGF27" s="116">
        <v>0</v>
      </c>
      <c r="AGG27" s="116">
        <v>0</v>
      </c>
      <c r="AGH27" s="116">
        <v>0</v>
      </c>
      <c r="AGI27" s="116">
        <v>0</v>
      </c>
      <c r="AGJ27" s="116">
        <v>0</v>
      </c>
      <c r="AGK27" s="116">
        <v>0</v>
      </c>
      <c r="AGL27" s="116">
        <v>0</v>
      </c>
      <c r="AGM27" s="128">
        <v>0</v>
      </c>
      <c r="AGN27" s="128">
        <v>0</v>
      </c>
      <c r="AGO27" s="128">
        <v>0</v>
      </c>
      <c r="AGP27" s="128">
        <v>0</v>
      </c>
      <c r="AGQ27">
        <v>0</v>
      </c>
      <c r="AGR27" s="119">
        <v>0</v>
      </c>
      <c r="AGS27" s="119">
        <v>0</v>
      </c>
      <c r="AGT27" s="119">
        <v>0</v>
      </c>
      <c r="AGU27" s="119">
        <v>0</v>
      </c>
      <c r="AGV27" s="121">
        <v>0</v>
      </c>
      <c r="AGW27" s="119">
        <v>0</v>
      </c>
      <c r="AGX27" s="119">
        <v>0</v>
      </c>
      <c r="AGY27">
        <v>0</v>
      </c>
      <c r="AGZ27">
        <v>0</v>
      </c>
      <c r="AHA27">
        <v>0</v>
      </c>
      <c r="AHB27" s="119">
        <v>0</v>
      </c>
      <c r="AHC27">
        <v>0</v>
      </c>
      <c r="AHD27">
        <v>0</v>
      </c>
      <c r="AHE27">
        <v>0</v>
      </c>
      <c r="AHF27">
        <v>0</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A27">
        <v>0</v>
      </c>
      <c r="AIB27">
        <v>0</v>
      </c>
      <c r="AIC27">
        <v>0</v>
      </c>
      <c r="AID27">
        <v>0</v>
      </c>
      <c r="AIE27">
        <v>0</v>
      </c>
      <c r="AIF27">
        <v>0</v>
      </c>
      <c r="AIG27">
        <v>0</v>
      </c>
      <c r="AIH27">
        <v>0</v>
      </c>
      <c r="AII27" s="128">
        <v>0</v>
      </c>
      <c r="AIJ27" s="128">
        <v>0</v>
      </c>
      <c r="AIK27" s="128">
        <v>0</v>
      </c>
      <c r="AIL27" s="128">
        <v>0</v>
      </c>
      <c r="AIM27">
        <v>0</v>
      </c>
      <c r="AIN27" s="119">
        <v>0</v>
      </c>
      <c r="AIO27" s="119">
        <v>0</v>
      </c>
      <c r="AIP27" s="119">
        <v>0</v>
      </c>
      <c r="AIQ27" s="119">
        <v>0</v>
      </c>
      <c r="AIR27" s="121">
        <v>0</v>
      </c>
      <c r="AIS27" s="119">
        <v>0</v>
      </c>
      <c r="AIT27" s="119">
        <v>0</v>
      </c>
      <c r="AIU27">
        <v>0</v>
      </c>
      <c r="AIV27">
        <v>0</v>
      </c>
      <c r="AIW27">
        <v>0</v>
      </c>
      <c r="AIX27" s="119">
        <v>0</v>
      </c>
      <c r="AIY27">
        <v>0</v>
      </c>
      <c r="AIZ27">
        <v>0</v>
      </c>
      <c r="AJA27">
        <v>0</v>
      </c>
      <c r="AJB27">
        <v>0</v>
      </c>
      <c r="AJC27">
        <v>0</v>
      </c>
      <c r="AJD27">
        <v>0</v>
      </c>
      <c r="AJE27">
        <v>0</v>
      </c>
      <c r="AJF27">
        <v>0</v>
      </c>
      <c r="AJG27">
        <v>0</v>
      </c>
      <c r="AJH27">
        <v>0</v>
      </c>
      <c r="AJI27">
        <v>0</v>
      </c>
      <c r="AJJ27">
        <v>0</v>
      </c>
      <c r="AJK27">
        <v>0</v>
      </c>
      <c r="AJL27">
        <v>0</v>
      </c>
      <c r="AJM27">
        <v>0</v>
      </c>
      <c r="AJN27">
        <v>0</v>
      </c>
      <c r="AJO27">
        <v>0</v>
      </c>
      <c r="AJP27">
        <v>0</v>
      </c>
      <c r="AJQ27">
        <v>0</v>
      </c>
      <c r="AJR27">
        <v>0</v>
      </c>
      <c r="AJS27">
        <v>0</v>
      </c>
      <c r="AJT27">
        <v>0</v>
      </c>
      <c r="AJU27">
        <v>0</v>
      </c>
      <c r="AJV27" s="116">
        <v>0</v>
      </c>
      <c r="AJW27" s="116">
        <v>0</v>
      </c>
      <c r="AJX27" s="116">
        <v>0</v>
      </c>
      <c r="AJY27" s="116">
        <v>0</v>
      </c>
      <c r="AJZ27" s="116">
        <v>0</v>
      </c>
      <c r="AKA27" s="116">
        <v>0</v>
      </c>
      <c r="AKB27" s="116">
        <v>0</v>
      </c>
      <c r="AKC27" s="116">
        <v>0</v>
      </c>
      <c r="AKD27" s="116">
        <v>0</v>
      </c>
      <c r="AKE27" s="128">
        <v>0</v>
      </c>
      <c r="AKF27" s="128">
        <v>0</v>
      </c>
      <c r="AKG27" s="128">
        <v>0</v>
      </c>
      <c r="AKH27" s="128">
        <v>0</v>
      </c>
      <c r="AKI27">
        <v>0</v>
      </c>
      <c r="AKJ27" s="119">
        <v>0</v>
      </c>
      <c r="AKK27" s="119">
        <v>0</v>
      </c>
      <c r="AKL27" s="119">
        <v>0</v>
      </c>
      <c r="AKM27" s="119">
        <v>0</v>
      </c>
      <c r="AKN27" s="121">
        <v>0</v>
      </c>
      <c r="AKO27" s="119">
        <v>0</v>
      </c>
      <c r="AKP27" s="119">
        <v>0</v>
      </c>
      <c r="AKQ27">
        <v>0</v>
      </c>
      <c r="AKR27">
        <v>0</v>
      </c>
      <c r="AKS27">
        <v>0</v>
      </c>
      <c r="AKT27" s="119">
        <v>0</v>
      </c>
      <c r="AKU27">
        <v>0</v>
      </c>
      <c r="AKV27">
        <v>0</v>
      </c>
      <c r="AKW27">
        <v>0</v>
      </c>
      <c r="AKX27">
        <v>0</v>
      </c>
      <c r="AKY27">
        <v>0</v>
      </c>
      <c r="AKZ27">
        <v>0</v>
      </c>
      <c r="ALA27">
        <v>0</v>
      </c>
      <c r="ALB27">
        <v>0</v>
      </c>
      <c r="ALC27">
        <v>0</v>
      </c>
      <c r="ALD27">
        <v>0</v>
      </c>
      <c r="ALE27">
        <v>0</v>
      </c>
      <c r="ALF27">
        <v>0</v>
      </c>
      <c r="ALG27">
        <v>0</v>
      </c>
      <c r="ALH27">
        <v>0</v>
      </c>
      <c r="ALI27">
        <v>0</v>
      </c>
      <c r="ALJ27">
        <v>0</v>
      </c>
      <c r="ALK27">
        <v>0</v>
      </c>
      <c r="ALL27">
        <v>0</v>
      </c>
      <c r="ALM27">
        <v>0</v>
      </c>
      <c r="ALN27">
        <v>0</v>
      </c>
      <c r="ALO27">
        <v>0</v>
      </c>
      <c r="ALP27">
        <v>0</v>
      </c>
      <c r="ALQ27">
        <v>0</v>
      </c>
      <c r="ALR27" s="116">
        <v>0</v>
      </c>
      <c r="ALS27" s="116">
        <v>0</v>
      </c>
      <c r="ALT27" s="116">
        <v>0</v>
      </c>
      <c r="ALU27" s="116">
        <v>0</v>
      </c>
      <c r="ALV27" s="116">
        <v>0</v>
      </c>
      <c r="ALW27" s="116">
        <v>0</v>
      </c>
      <c r="ALX27" s="116">
        <v>0</v>
      </c>
      <c r="ALY27" s="116">
        <v>0</v>
      </c>
      <c r="ALZ27" s="116">
        <v>0</v>
      </c>
      <c r="AMA27" s="128">
        <v>0</v>
      </c>
      <c r="AMB27" s="128">
        <v>0</v>
      </c>
      <c r="AMC27" s="128">
        <v>0</v>
      </c>
      <c r="AMD27" s="128">
        <v>0</v>
      </c>
      <c r="AME27">
        <v>0</v>
      </c>
      <c r="AMF27" s="119">
        <v>0</v>
      </c>
      <c r="AMG27" s="119">
        <v>0</v>
      </c>
      <c r="AMH27" s="119">
        <v>0</v>
      </c>
      <c r="AMI27" s="119">
        <v>0</v>
      </c>
      <c r="AMJ27" s="121">
        <v>0</v>
      </c>
      <c r="AMK27" s="119">
        <v>0</v>
      </c>
      <c r="AML27" s="119">
        <v>0</v>
      </c>
      <c r="AMM27">
        <v>0</v>
      </c>
      <c r="AMN27">
        <v>0</v>
      </c>
      <c r="AMO27">
        <v>0</v>
      </c>
      <c r="AMP27" s="119">
        <v>0</v>
      </c>
      <c r="AMQ27">
        <v>0</v>
      </c>
      <c r="AMR27">
        <v>0</v>
      </c>
      <c r="AMS27">
        <v>0</v>
      </c>
      <c r="AMT27">
        <v>0</v>
      </c>
      <c r="AMU27">
        <v>0</v>
      </c>
      <c r="AMV27">
        <v>0</v>
      </c>
      <c r="AMW27">
        <v>0</v>
      </c>
      <c r="AMX27">
        <v>0</v>
      </c>
      <c r="AMY27">
        <v>0</v>
      </c>
      <c r="AMZ27">
        <v>0</v>
      </c>
      <c r="ANA27">
        <v>0</v>
      </c>
      <c r="ANB27">
        <v>0</v>
      </c>
      <c r="ANC27">
        <v>0</v>
      </c>
      <c r="AND27">
        <v>0</v>
      </c>
      <c r="ANE27">
        <v>0</v>
      </c>
      <c r="ANF27">
        <v>0</v>
      </c>
      <c r="ANG27">
        <v>0</v>
      </c>
      <c r="ANH27">
        <v>0</v>
      </c>
      <c r="ANI27">
        <v>0</v>
      </c>
      <c r="ANJ27">
        <v>0</v>
      </c>
      <c r="ANK27">
        <v>0</v>
      </c>
      <c r="ANL27">
        <v>0</v>
      </c>
      <c r="ANM27">
        <v>0</v>
      </c>
      <c r="ANN27" s="116">
        <v>0</v>
      </c>
      <c r="ANO27" s="116">
        <v>0</v>
      </c>
      <c r="ANP27" s="116">
        <v>0</v>
      </c>
      <c r="ANQ27" s="116">
        <v>0</v>
      </c>
      <c r="ANR27" s="116">
        <v>0</v>
      </c>
      <c r="ANS27" s="116">
        <v>0</v>
      </c>
      <c r="ANT27" s="116">
        <v>0</v>
      </c>
      <c r="ANU27" s="116">
        <v>0</v>
      </c>
      <c r="ANV27" s="116">
        <v>0</v>
      </c>
      <c r="ANW27" s="128">
        <v>0</v>
      </c>
      <c r="ANX27" s="128">
        <v>0</v>
      </c>
      <c r="ANY27" s="128">
        <v>0</v>
      </c>
      <c r="ANZ27" s="128">
        <v>0</v>
      </c>
      <c r="AOA27">
        <v>0</v>
      </c>
      <c r="AOB27" s="119">
        <v>0</v>
      </c>
      <c r="AOC27" s="119">
        <v>0</v>
      </c>
      <c r="AOD27" s="119">
        <v>0</v>
      </c>
      <c r="AOE27" s="119">
        <v>0</v>
      </c>
      <c r="AOF27" s="121">
        <v>0</v>
      </c>
      <c r="AOG27" s="119">
        <v>0</v>
      </c>
      <c r="AOH27" s="119">
        <v>0</v>
      </c>
      <c r="AOI27">
        <v>0</v>
      </c>
      <c r="AOJ27">
        <v>0</v>
      </c>
      <c r="AOK27">
        <v>0</v>
      </c>
      <c r="AOL27" s="119">
        <v>0</v>
      </c>
      <c r="AOM27">
        <v>0</v>
      </c>
      <c r="AON27">
        <v>0</v>
      </c>
      <c r="AOO27">
        <v>0</v>
      </c>
      <c r="AOP27">
        <v>0</v>
      </c>
      <c r="AOQ27">
        <v>0</v>
      </c>
      <c r="AOR27">
        <v>0</v>
      </c>
      <c r="AOS27">
        <v>0</v>
      </c>
      <c r="AOT27">
        <v>0</v>
      </c>
      <c r="AOU27">
        <v>0</v>
      </c>
      <c r="AOV27">
        <v>0</v>
      </c>
      <c r="AOW27">
        <v>0</v>
      </c>
      <c r="AOX27">
        <v>0</v>
      </c>
      <c r="AOY27">
        <v>0</v>
      </c>
      <c r="AOZ27">
        <v>0</v>
      </c>
      <c r="APA27">
        <v>0</v>
      </c>
      <c r="APB27">
        <v>0</v>
      </c>
      <c r="APC27">
        <v>0</v>
      </c>
      <c r="APD27">
        <v>0</v>
      </c>
      <c r="APE27">
        <v>0</v>
      </c>
      <c r="APF27">
        <v>0</v>
      </c>
      <c r="APG27">
        <v>0</v>
      </c>
      <c r="APH27">
        <v>0</v>
      </c>
      <c r="API27">
        <v>0</v>
      </c>
      <c r="APJ27" s="116">
        <v>0</v>
      </c>
      <c r="APK27" s="116">
        <v>0</v>
      </c>
      <c r="APL27" s="116">
        <v>0</v>
      </c>
      <c r="APM27" s="116">
        <v>0</v>
      </c>
      <c r="APN27" s="116">
        <v>0</v>
      </c>
      <c r="APO27" s="116">
        <v>0</v>
      </c>
      <c r="APP27" s="116">
        <v>0</v>
      </c>
      <c r="APQ27" s="116">
        <v>0</v>
      </c>
      <c r="APR27" s="116">
        <v>0</v>
      </c>
      <c r="APS27" s="128">
        <v>0</v>
      </c>
      <c r="APT27" s="128">
        <v>0</v>
      </c>
      <c r="APU27" s="128">
        <v>0</v>
      </c>
      <c r="APV27" s="128">
        <v>0</v>
      </c>
      <c r="APW27">
        <v>0</v>
      </c>
      <c r="APX27" s="119">
        <v>0</v>
      </c>
      <c r="APY27" s="119">
        <v>0</v>
      </c>
      <c r="APZ27" s="119">
        <v>0</v>
      </c>
      <c r="AQA27" s="119">
        <v>0</v>
      </c>
      <c r="AQB27" s="121">
        <v>0</v>
      </c>
      <c r="AQC27" s="119">
        <v>0</v>
      </c>
      <c r="AQD27" s="119">
        <v>0</v>
      </c>
      <c r="AQE27">
        <v>0</v>
      </c>
      <c r="AQF27">
        <v>0</v>
      </c>
      <c r="AQG27">
        <v>0</v>
      </c>
      <c r="AQH27" s="119">
        <v>0</v>
      </c>
      <c r="AQI27">
        <v>0</v>
      </c>
      <c r="AQJ27">
        <v>0</v>
      </c>
      <c r="AQK27">
        <v>0</v>
      </c>
      <c r="AQL27">
        <v>0</v>
      </c>
      <c r="AQM27">
        <v>0</v>
      </c>
      <c r="AQN27">
        <v>0</v>
      </c>
      <c r="AQO27">
        <v>0</v>
      </c>
      <c r="AQP27">
        <v>0</v>
      </c>
      <c r="AQQ27">
        <v>0</v>
      </c>
      <c r="AQR27">
        <v>0</v>
      </c>
      <c r="AQS27">
        <v>0</v>
      </c>
      <c r="AQT27">
        <v>0</v>
      </c>
      <c r="AQU27">
        <v>0</v>
      </c>
      <c r="AQV27">
        <v>0</v>
      </c>
      <c r="AQW27">
        <v>0</v>
      </c>
      <c r="AQX27">
        <v>0</v>
      </c>
      <c r="AQY27">
        <v>0</v>
      </c>
      <c r="AQZ27">
        <v>0</v>
      </c>
      <c r="ARA27">
        <v>0</v>
      </c>
      <c r="ARB27">
        <v>0</v>
      </c>
      <c r="ARC27">
        <v>0</v>
      </c>
      <c r="ARD27">
        <v>0</v>
      </c>
      <c r="ARE27">
        <v>0</v>
      </c>
      <c r="ARF27">
        <v>0</v>
      </c>
      <c r="ARG27">
        <v>0</v>
      </c>
      <c r="ARH27">
        <v>0</v>
      </c>
      <c r="ARI27">
        <v>0</v>
      </c>
      <c r="ARJ27">
        <v>0</v>
      </c>
      <c r="ARK27">
        <v>0</v>
      </c>
      <c r="ARL27">
        <v>0</v>
      </c>
      <c r="ARM27">
        <v>0</v>
      </c>
      <c r="ARN27">
        <v>0</v>
      </c>
      <c r="ARO27" s="128">
        <v>0</v>
      </c>
      <c r="ARP27" s="128">
        <v>0</v>
      </c>
      <c r="ARQ27" s="128">
        <v>0</v>
      </c>
      <c r="ARR27" s="128">
        <v>0</v>
      </c>
      <c r="ARS27">
        <v>0</v>
      </c>
      <c r="ART27" s="119">
        <v>0</v>
      </c>
      <c r="ARU27" s="119">
        <v>0</v>
      </c>
      <c r="ARV27" s="119">
        <v>0</v>
      </c>
      <c r="ARW27" s="119">
        <v>0</v>
      </c>
      <c r="ARX27" s="121">
        <v>0</v>
      </c>
      <c r="ARY27" s="119">
        <v>0</v>
      </c>
      <c r="ARZ27" s="119">
        <v>0</v>
      </c>
      <c r="ASA27">
        <v>0</v>
      </c>
      <c r="ASB27">
        <v>0</v>
      </c>
      <c r="ASC27">
        <v>0</v>
      </c>
      <c r="ASD27" s="119">
        <v>0</v>
      </c>
      <c r="ASE27">
        <v>0</v>
      </c>
      <c r="ASF27">
        <v>0</v>
      </c>
      <c r="ASG27">
        <v>0</v>
      </c>
      <c r="ASH27">
        <v>0</v>
      </c>
      <c r="ASI27">
        <v>0</v>
      </c>
      <c r="ASJ27">
        <v>0</v>
      </c>
      <c r="ASK27">
        <v>0</v>
      </c>
      <c r="ASL27">
        <v>0</v>
      </c>
      <c r="ASM27">
        <v>0</v>
      </c>
      <c r="ASN27">
        <v>0</v>
      </c>
      <c r="ASO27">
        <v>0</v>
      </c>
      <c r="ASP27">
        <v>0</v>
      </c>
      <c r="ASQ27">
        <v>0</v>
      </c>
      <c r="ASR27">
        <v>0</v>
      </c>
      <c r="ASS27">
        <v>0</v>
      </c>
      <c r="AST27">
        <v>0</v>
      </c>
      <c r="ASU27">
        <v>0</v>
      </c>
      <c r="ASV27">
        <v>0</v>
      </c>
      <c r="ASW27">
        <v>0</v>
      </c>
      <c r="ASX27">
        <v>0</v>
      </c>
      <c r="ASY27">
        <v>0</v>
      </c>
      <c r="ASZ27">
        <v>0</v>
      </c>
      <c r="ATA27">
        <v>0</v>
      </c>
      <c r="ATB27" s="116">
        <v>0</v>
      </c>
      <c r="ATC27" s="116">
        <v>0</v>
      </c>
      <c r="ATD27" s="116">
        <v>0</v>
      </c>
      <c r="ATE27" s="116">
        <v>0</v>
      </c>
      <c r="ATF27" s="116">
        <v>0</v>
      </c>
      <c r="ATG27" s="116">
        <v>0</v>
      </c>
      <c r="ATH27" s="116">
        <v>0</v>
      </c>
      <c r="ATI27" s="116">
        <v>0</v>
      </c>
      <c r="ATJ27" s="116">
        <v>0</v>
      </c>
      <c r="ATK27" s="128">
        <v>0</v>
      </c>
      <c r="ATL27" s="128">
        <v>0</v>
      </c>
      <c r="ATM27" s="128">
        <v>0</v>
      </c>
      <c r="ATN27" s="128">
        <v>0</v>
      </c>
      <c r="ATO27">
        <v>0</v>
      </c>
      <c r="ATP27" s="119">
        <v>0</v>
      </c>
      <c r="ATQ27" s="119">
        <v>0</v>
      </c>
      <c r="ATR27" s="119">
        <v>0</v>
      </c>
      <c r="ATS27" s="119">
        <v>0</v>
      </c>
      <c r="ATT27" s="121">
        <v>0</v>
      </c>
      <c r="ATU27" s="119">
        <v>0</v>
      </c>
      <c r="ATV27" s="119">
        <v>0</v>
      </c>
      <c r="ATW27">
        <v>0</v>
      </c>
      <c r="ATX27">
        <v>0</v>
      </c>
      <c r="ATY27">
        <v>0</v>
      </c>
      <c r="ATZ27" s="119">
        <v>0</v>
      </c>
      <c r="AUA27">
        <v>0</v>
      </c>
      <c r="AUB27">
        <v>0</v>
      </c>
      <c r="AUC27">
        <v>0</v>
      </c>
      <c r="AUD27">
        <v>0</v>
      </c>
      <c r="AUE27">
        <v>0</v>
      </c>
      <c r="AUF27">
        <v>0</v>
      </c>
      <c r="AUG27">
        <v>0</v>
      </c>
      <c r="AUH27">
        <v>0</v>
      </c>
      <c r="AUI27">
        <v>0</v>
      </c>
      <c r="AUJ27">
        <v>0</v>
      </c>
      <c r="AUK27">
        <v>0</v>
      </c>
      <c r="AUL27">
        <v>0</v>
      </c>
      <c r="AUM27">
        <v>0</v>
      </c>
      <c r="AUN27">
        <v>0</v>
      </c>
      <c r="AUO27">
        <v>0</v>
      </c>
      <c r="AUP27">
        <v>0</v>
      </c>
      <c r="AUQ27">
        <v>0</v>
      </c>
      <c r="AUR27">
        <v>0</v>
      </c>
      <c r="AUS27">
        <v>0</v>
      </c>
      <c r="AUT27">
        <v>0</v>
      </c>
      <c r="AUU27">
        <v>0</v>
      </c>
      <c r="AUV27">
        <v>0</v>
      </c>
      <c r="AUW27">
        <v>0</v>
      </c>
      <c r="AUX27" s="116">
        <v>0</v>
      </c>
      <c r="AUY27" s="116">
        <v>0</v>
      </c>
      <c r="AUZ27" s="116">
        <v>0</v>
      </c>
      <c r="AVA27" s="116">
        <v>0</v>
      </c>
      <c r="AVB27" s="116">
        <v>0</v>
      </c>
      <c r="AVC27" s="116">
        <v>0</v>
      </c>
      <c r="AVD27" s="116">
        <v>0</v>
      </c>
      <c r="AVE27" s="116">
        <v>0</v>
      </c>
      <c r="AVF27" s="116">
        <v>0</v>
      </c>
      <c r="AVG27" s="128">
        <v>0</v>
      </c>
      <c r="AVH27" s="128">
        <v>0</v>
      </c>
      <c r="AVI27" s="128">
        <v>0</v>
      </c>
      <c r="AVJ27" s="128">
        <v>0</v>
      </c>
      <c r="AVK27">
        <v>0</v>
      </c>
      <c r="AVL27" s="119">
        <v>0</v>
      </c>
      <c r="AVM27" s="119">
        <v>0</v>
      </c>
      <c r="AVN27" s="119">
        <v>0</v>
      </c>
      <c r="AVO27" s="119">
        <v>0</v>
      </c>
      <c r="AVP27" s="121">
        <v>0</v>
      </c>
      <c r="AVQ27" s="119">
        <v>0</v>
      </c>
      <c r="AVR27" s="119">
        <v>0</v>
      </c>
      <c r="AVS27">
        <v>0</v>
      </c>
      <c r="AVT27">
        <v>0</v>
      </c>
      <c r="AVU27">
        <v>0</v>
      </c>
      <c r="AVV27" s="119">
        <v>0</v>
      </c>
      <c r="AVW27">
        <v>0</v>
      </c>
      <c r="AVX27">
        <v>0</v>
      </c>
      <c r="AVY27">
        <v>0</v>
      </c>
      <c r="AVZ27">
        <v>0</v>
      </c>
      <c r="AWA27">
        <v>0</v>
      </c>
      <c r="AWB27">
        <v>0</v>
      </c>
      <c r="AWC27">
        <v>0</v>
      </c>
      <c r="AWD27">
        <v>0</v>
      </c>
      <c r="AWE27">
        <v>0</v>
      </c>
      <c r="AWF27">
        <v>0</v>
      </c>
      <c r="AWG27">
        <v>0</v>
      </c>
      <c r="AWH27">
        <v>0</v>
      </c>
      <c r="AWI27">
        <v>0</v>
      </c>
      <c r="AWJ27">
        <v>0</v>
      </c>
      <c r="AWK27">
        <v>0</v>
      </c>
      <c r="AWL27">
        <v>0</v>
      </c>
      <c r="AWM27">
        <v>0</v>
      </c>
      <c r="AWN27">
        <v>0</v>
      </c>
      <c r="AWO27">
        <v>0</v>
      </c>
      <c r="AWP27">
        <v>0</v>
      </c>
      <c r="AWQ27">
        <v>0</v>
      </c>
      <c r="AWR27">
        <v>0</v>
      </c>
      <c r="AWS27">
        <v>0</v>
      </c>
      <c r="AWT27" s="116">
        <v>0</v>
      </c>
      <c r="AWU27" s="116">
        <v>0</v>
      </c>
      <c r="AWV27" s="116">
        <v>0</v>
      </c>
      <c r="AWW27" s="116">
        <v>0</v>
      </c>
      <c r="AWX27" s="116">
        <v>0</v>
      </c>
      <c r="AWY27" s="116">
        <v>0</v>
      </c>
      <c r="AWZ27" s="116">
        <v>0</v>
      </c>
      <c r="AXA27" s="116">
        <v>0</v>
      </c>
      <c r="AXB27" s="116">
        <v>0</v>
      </c>
      <c r="AXC27" s="128">
        <v>0</v>
      </c>
      <c r="AXD27" s="128">
        <v>0</v>
      </c>
      <c r="AXE27" s="128">
        <v>0</v>
      </c>
      <c r="AXF27" s="128">
        <v>0</v>
      </c>
      <c r="AXG27">
        <v>0</v>
      </c>
      <c r="AXH27" s="119">
        <v>0</v>
      </c>
      <c r="AXI27" s="119">
        <v>0</v>
      </c>
      <c r="AXJ27" s="119">
        <v>0</v>
      </c>
      <c r="AXK27" s="119">
        <v>0</v>
      </c>
      <c r="AXL27" s="121">
        <v>0</v>
      </c>
      <c r="AXM27" s="119">
        <v>0</v>
      </c>
      <c r="AXN27" s="119">
        <v>0</v>
      </c>
      <c r="AXO27">
        <v>0</v>
      </c>
      <c r="AXP27">
        <v>0</v>
      </c>
      <c r="AXQ27">
        <v>0</v>
      </c>
      <c r="AXR27" s="119">
        <v>0</v>
      </c>
      <c r="AXS27">
        <v>0</v>
      </c>
      <c r="AXT27">
        <v>0</v>
      </c>
      <c r="AXU27">
        <v>0</v>
      </c>
      <c r="AXV27">
        <v>0</v>
      </c>
      <c r="AXW27">
        <v>0</v>
      </c>
      <c r="AXX27">
        <v>0</v>
      </c>
      <c r="AXY27">
        <v>0</v>
      </c>
      <c r="AXZ27">
        <v>0</v>
      </c>
      <c r="AYA27">
        <v>0</v>
      </c>
      <c r="AYB27">
        <v>0</v>
      </c>
      <c r="AYC27">
        <v>0</v>
      </c>
      <c r="AYD27">
        <v>0</v>
      </c>
      <c r="AYE27">
        <v>0</v>
      </c>
      <c r="AYF27">
        <v>0</v>
      </c>
      <c r="AYG27">
        <v>0</v>
      </c>
      <c r="AYH27">
        <v>0</v>
      </c>
      <c r="AYI27">
        <v>0</v>
      </c>
      <c r="AYJ27">
        <v>0</v>
      </c>
      <c r="AYK27">
        <v>0</v>
      </c>
      <c r="AYL27">
        <v>0</v>
      </c>
      <c r="AYM27">
        <v>0</v>
      </c>
      <c r="AYN27">
        <v>0</v>
      </c>
      <c r="AYO27">
        <v>0</v>
      </c>
      <c r="AYP27" s="116">
        <v>0</v>
      </c>
      <c r="AYQ27" s="116">
        <v>0</v>
      </c>
      <c r="AYR27" s="116">
        <v>0</v>
      </c>
      <c r="AYS27" s="116">
        <v>0</v>
      </c>
      <c r="AYT27" s="116">
        <v>0</v>
      </c>
      <c r="AYU27" s="116">
        <v>0</v>
      </c>
      <c r="AYV27" s="116">
        <v>0</v>
      </c>
      <c r="AYW27" s="116">
        <v>0</v>
      </c>
      <c r="AYX27" s="116">
        <v>0</v>
      </c>
      <c r="AYY27" s="128">
        <v>0</v>
      </c>
      <c r="AYZ27" s="128">
        <v>0</v>
      </c>
      <c r="AZA27" s="128">
        <v>0</v>
      </c>
      <c r="AZB27" s="128">
        <v>0</v>
      </c>
      <c r="AZC27">
        <v>0</v>
      </c>
      <c r="AZD27" s="119">
        <v>0</v>
      </c>
      <c r="AZE27" s="119">
        <v>0</v>
      </c>
      <c r="AZF27" s="119">
        <v>0</v>
      </c>
      <c r="AZG27" s="119">
        <v>0</v>
      </c>
      <c r="AZH27" s="121">
        <v>0</v>
      </c>
      <c r="AZI27" s="119">
        <v>0</v>
      </c>
      <c r="AZJ27" s="119">
        <v>0</v>
      </c>
      <c r="AZK27">
        <v>0</v>
      </c>
      <c r="AZL27">
        <v>0</v>
      </c>
      <c r="AZM27">
        <v>0</v>
      </c>
      <c r="AZN27" s="119">
        <v>0</v>
      </c>
      <c r="AZO27">
        <v>0</v>
      </c>
      <c r="AZP27">
        <v>0</v>
      </c>
      <c r="AZQ27">
        <v>0</v>
      </c>
      <c r="AZR27">
        <v>0</v>
      </c>
      <c r="AZS27">
        <v>0</v>
      </c>
      <c r="AZT27">
        <v>0</v>
      </c>
      <c r="AZU27">
        <v>0</v>
      </c>
      <c r="AZV27">
        <v>0</v>
      </c>
      <c r="AZW27">
        <v>0</v>
      </c>
      <c r="AZX27">
        <v>0</v>
      </c>
      <c r="AZY27">
        <v>0</v>
      </c>
      <c r="AZZ27">
        <v>0</v>
      </c>
      <c r="BAA27">
        <v>0</v>
      </c>
      <c r="BAB27">
        <v>0</v>
      </c>
      <c r="BAC27">
        <v>0</v>
      </c>
      <c r="BAD27">
        <v>0</v>
      </c>
      <c r="BAE27">
        <v>0</v>
      </c>
      <c r="BAF27">
        <v>0</v>
      </c>
      <c r="BAG27">
        <v>0</v>
      </c>
      <c r="BAH27">
        <v>0</v>
      </c>
      <c r="BAI27">
        <v>0</v>
      </c>
      <c r="BAJ27">
        <v>0</v>
      </c>
      <c r="BAK27">
        <v>833650</v>
      </c>
      <c r="BAL27">
        <v>5750.37</v>
      </c>
      <c r="BAM27" s="120">
        <v>4788.37</v>
      </c>
      <c r="BAN27" s="120">
        <v>962</v>
      </c>
      <c r="BAO27" s="120">
        <v>225</v>
      </c>
      <c r="BAP27" s="120">
        <v>0</v>
      </c>
      <c r="BAQ27" s="120">
        <v>603</v>
      </c>
      <c r="BAR27" s="120" t="s">
        <v>3280</v>
      </c>
      <c r="BAS27" s="116">
        <v>0</v>
      </c>
      <c r="BAT27" s="116">
        <v>0</v>
      </c>
      <c r="BAU27" s="116">
        <v>0</v>
      </c>
      <c r="BAV27" s="116">
        <v>0</v>
      </c>
      <c r="BAW27" s="116">
        <v>0</v>
      </c>
      <c r="BAX27" s="116">
        <v>0</v>
      </c>
      <c r="BAY27" s="116">
        <v>0</v>
      </c>
      <c r="BAZ27" s="116">
        <v>0</v>
      </c>
      <c r="BBA27" s="116">
        <v>0</v>
      </c>
      <c r="BBB27" s="116">
        <v>0</v>
      </c>
      <c r="BBC27" s="116">
        <v>0</v>
      </c>
      <c r="BBD27" s="116">
        <v>0</v>
      </c>
      <c r="BBE27" s="116">
        <v>0</v>
      </c>
      <c r="BBF27" s="116">
        <v>0</v>
      </c>
      <c r="BBG27" s="116">
        <v>0</v>
      </c>
      <c r="BBH27" s="116">
        <v>0</v>
      </c>
      <c r="BBI27" s="116">
        <v>0</v>
      </c>
      <c r="BBJ27" s="116">
        <v>0</v>
      </c>
      <c r="BBK27" s="116">
        <v>0</v>
      </c>
      <c r="BBL27" s="116">
        <v>0</v>
      </c>
      <c r="BBM27" s="116">
        <v>0</v>
      </c>
      <c r="BBN27" s="116">
        <v>0</v>
      </c>
      <c r="BBO27" s="116">
        <v>0</v>
      </c>
      <c r="BBP27" s="116">
        <v>0</v>
      </c>
      <c r="BBQ27" s="116">
        <v>0</v>
      </c>
      <c r="BBR27" s="116">
        <v>0</v>
      </c>
      <c r="BBS27" s="116">
        <v>0</v>
      </c>
      <c r="BBT27" s="116">
        <v>0</v>
      </c>
      <c r="BBU27" s="116">
        <v>0</v>
      </c>
      <c r="BBV27" s="116">
        <v>0</v>
      </c>
      <c r="BBW27" s="116">
        <v>0</v>
      </c>
      <c r="BBX27" s="116">
        <v>0</v>
      </c>
      <c r="BBY27" s="116">
        <v>0</v>
      </c>
      <c r="BBZ27" s="116">
        <v>0</v>
      </c>
      <c r="BCA27" s="116">
        <v>0</v>
      </c>
      <c r="BCB27" s="116">
        <v>0</v>
      </c>
      <c r="BCC27" s="116">
        <v>0</v>
      </c>
      <c r="BCD27" s="116">
        <v>0</v>
      </c>
      <c r="BCE27" s="116">
        <v>0</v>
      </c>
      <c r="BCF27" s="116">
        <v>0</v>
      </c>
      <c r="BCG27" s="116">
        <v>0</v>
      </c>
      <c r="BCH27" s="116">
        <v>0</v>
      </c>
      <c r="BCI27" s="116">
        <v>0</v>
      </c>
      <c r="BCJ27" s="116">
        <v>0</v>
      </c>
      <c r="BCK27" s="116">
        <v>0</v>
      </c>
      <c r="BCL27" s="116">
        <v>0</v>
      </c>
      <c r="BCM27" s="116">
        <v>0</v>
      </c>
      <c r="BCN27" s="116">
        <v>0</v>
      </c>
      <c r="BCO27" s="116">
        <v>0</v>
      </c>
      <c r="BCP27" s="116">
        <v>1</v>
      </c>
      <c r="BCQ27" s="304">
        <v>1</v>
      </c>
      <c r="BCR27" s="304">
        <v>1</v>
      </c>
      <c r="BCS27" s="304">
        <v>1</v>
      </c>
      <c r="BCT27" s="304">
        <v>1</v>
      </c>
      <c r="BCU27" s="304">
        <v>2</v>
      </c>
      <c r="BCV27" s="304">
        <v>8</v>
      </c>
      <c r="BCW27" s="304">
        <v>8</v>
      </c>
      <c r="BCX27" s="304">
        <v>0</v>
      </c>
      <c r="BCY27" s="304">
        <v>1</v>
      </c>
      <c r="BCZ27" s="304">
        <v>1</v>
      </c>
      <c r="BDA27" s="304">
        <v>1</v>
      </c>
      <c r="BDB27" s="304">
        <v>1</v>
      </c>
      <c r="BDC27" s="304">
        <v>1</v>
      </c>
      <c r="BDD27" s="304">
        <v>2</v>
      </c>
      <c r="BDE27" s="304">
        <v>2</v>
      </c>
      <c r="BDF27" s="304">
        <v>7</v>
      </c>
      <c r="BDG27" s="304">
        <v>1</v>
      </c>
      <c r="BDH27" s="304">
        <v>0</v>
      </c>
      <c r="BDI27" s="304">
        <v>0</v>
      </c>
      <c r="BDJ27" s="304">
        <v>0</v>
      </c>
      <c r="BDK27" s="304">
        <v>0</v>
      </c>
      <c r="BDL27" s="304">
        <v>0</v>
      </c>
      <c r="BDM27" s="304">
        <v>0</v>
      </c>
      <c r="BDN27" s="304">
        <v>0</v>
      </c>
      <c r="BDO27" s="304">
        <v>0</v>
      </c>
      <c r="BDP27" s="304">
        <v>0</v>
      </c>
      <c r="BDQ27" s="304">
        <v>0</v>
      </c>
      <c r="BDR27" t="s">
        <v>2404</v>
      </c>
      <c r="BDS27">
        <v>0</v>
      </c>
      <c r="BDT27">
        <v>0</v>
      </c>
      <c r="BDU27">
        <v>0</v>
      </c>
      <c r="BDV27">
        <v>0</v>
      </c>
      <c r="BDW27">
        <v>0</v>
      </c>
      <c r="BDX27" t="s">
        <v>2404</v>
      </c>
      <c r="BDY27">
        <v>0</v>
      </c>
      <c r="BDZ27" t="s">
        <v>3269</v>
      </c>
      <c r="BEA27">
        <v>0</v>
      </c>
      <c r="BEB27">
        <v>0</v>
      </c>
      <c r="BEC27">
        <v>0</v>
      </c>
      <c r="BED27">
        <v>0</v>
      </c>
      <c r="BEE27" t="s">
        <v>3270</v>
      </c>
      <c r="BEF27" t="s">
        <v>3271</v>
      </c>
      <c r="BEG27">
        <v>0</v>
      </c>
      <c r="BEH27">
        <v>0</v>
      </c>
      <c r="BEI27">
        <v>0</v>
      </c>
      <c r="BEJ27">
        <v>0</v>
      </c>
      <c r="BEK27" t="s">
        <v>3269</v>
      </c>
      <c r="BEL27">
        <v>0</v>
      </c>
      <c r="BEM27" t="s">
        <v>3269</v>
      </c>
      <c r="BEN27" t="s">
        <v>3269</v>
      </c>
      <c r="BEO27" t="s">
        <v>3272</v>
      </c>
      <c r="BEP27" t="s">
        <v>3273</v>
      </c>
      <c r="BEQ27" t="s">
        <v>3274</v>
      </c>
      <c r="BER27" t="s">
        <v>3275</v>
      </c>
      <c r="BES27" t="s">
        <v>3276</v>
      </c>
      <c r="BET27" t="s">
        <v>3277</v>
      </c>
      <c r="BEU27">
        <v>0</v>
      </c>
      <c r="BEV27">
        <v>8000</v>
      </c>
      <c r="BEW27">
        <v>1500</v>
      </c>
      <c r="BEX27" t="s">
        <v>3269</v>
      </c>
      <c r="BEY27" t="s">
        <v>3270</v>
      </c>
      <c r="BEZ27" t="s">
        <v>3278</v>
      </c>
      <c r="BFA27" t="s">
        <v>3270</v>
      </c>
      <c r="BFB27" t="s">
        <v>3270</v>
      </c>
      <c r="BFC27">
        <v>0</v>
      </c>
      <c r="BFD27" t="b">
        <v>0</v>
      </c>
      <c r="BFE27" t="b">
        <v>0</v>
      </c>
      <c r="BFF27" t="b">
        <v>0</v>
      </c>
      <c r="BFG27" t="b">
        <v>0</v>
      </c>
      <c r="BFH27">
        <v>43602</v>
      </c>
      <c r="BFI27">
        <v>43608</v>
      </c>
      <c r="BFJ27">
        <v>6</v>
      </c>
      <c r="BFK27">
        <v>0</v>
      </c>
      <c r="BFL27">
        <v>0</v>
      </c>
      <c r="BFM27">
        <v>0</v>
      </c>
      <c r="BFN27">
        <v>0</v>
      </c>
      <c r="BFO27">
        <v>0</v>
      </c>
      <c r="BFP27">
        <v>0</v>
      </c>
      <c r="BFQ27">
        <v>0</v>
      </c>
      <c r="BFR27">
        <v>0</v>
      </c>
      <c r="BFS27">
        <v>0</v>
      </c>
      <c r="BFT27">
        <v>0</v>
      </c>
      <c r="BFU27">
        <v>0</v>
      </c>
      <c r="BFV27">
        <v>0</v>
      </c>
      <c r="BFW27">
        <v>0</v>
      </c>
      <c r="BFX27">
        <v>0</v>
      </c>
      <c r="BFY27">
        <v>0</v>
      </c>
    </row>
    <row r="28" spans="1:1533" ht="18.75" customHeight="1" x14ac:dyDescent="0.25">
      <c r="A28" t="s">
        <v>3285</v>
      </c>
      <c r="B28" t="s">
        <v>3289</v>
      </c>
      <c r="C28" s="120">
        <v>130</v>
      </c>
      <c r="D28" s="120">
        <v>45</v>
      </c>
      <c r="E28">
        <v>0</v>
      </c>
      <c r="F28">
        <v>0</v>
      </c>
      <c r="G28">
        <v>0</v>
      </c>
      <c r="H28" t="s">
        <v>2403</v>
      </c>
      <c r="I28" t="s">
        <v>2403</v>
      </c>
      <c r="J28" t="s">
        <v>2403</v>
      </c>
      <c r="K28" t="s">
        <v>2403</v>
      </c>
      <c r="L28" t="s">
        <v>2403</v>
      </c>
      <c r="M28" t="s">
        <v>1883</v>
      </c>
      <c r="N28" t="s">
        <v>2404</v>
      </c>
      <c r="O28" t="s">
        <v>1883</v>
      </c>
      <c r="P28" t="s">
        <v>1883</v>
      </c>
      <c r="Q28" t="s">
        <v>2403</v>
      </c>
      <c r="R28" t="s">
        <v>1883</v>
      </c>
      <c r="S28" t="s">
        <v>2403</v>
      </c>
      <c r="T28" t="s">
        <v>2404</v>
      </c>
      <c r="U28" t="s">
        <v>2424</v>
      </c>
      <c r="V28" t="s">
        <v>3286</v>
      </c>
      <c r="W28" t="s">
        <v>309</v>
      </c>
      <c r="X28">
        <v>900</v>
      </c>
      <c r="Y28">
        <v>43638</v>
      </c>
      <c r="Z28">
        <v>0</v>
      </c>
      <c r="AA28">
        <v>0</v>
      </c>
      <c r="AB28" s="120">
        <v>0</v>
      </c>
      <c r="AC28" s="58" t="s">
        <v>272</v>
      </c>
      <c r="AD28" s="120">
        <v>25</v>
      </c>
      <c r="AE28" s="120">
        <v>0</v>
      </c>
      <c r="AF28" s="120">
        <v>43665</v>
      </c>
      <c r="AG28">
        <v>45</v>
      </c>
      <c r="AH28" s="120">
        <v>0</v>
      </c>
      <c r="AI28" s="120">
        <v>0</v>
      </c>
      <c r="AJ28" s="58" t="s">
        <v>271</v>
      </c>
      <c r="AK28" s="120">
        <v>0.17988999999999999</v>
      </c>
      <c r="AL28" s="119">
        <v>0</v>
      </c>
      <c r="AM28">
        <v>50</v>
      </c>
      <c r="AN28">
        <v>47288</v>
      </c>
      <c r="AO28" s="114">
        <v>0.2179053218655449</v>
      </c>
      <c r="AP28" s="120">
        <v>5406.95</v>
      </c>
      <c r="AQ28" s="120">
        <v>7914.39</v>
      </c>
      <c r="AR28" s="58">
        <v>13321.34</v>
      </c>
      <c r="AS28" s="114">
        <v>111</v>
      </c>
      <c r="AT28" s="120">
        <v>112.34</v>
      </c>
      <c r="AU28" s="120" t="s">
        <v>1913</v>
      </c>
      <c r="AV28" s="120" t="s">
        <v>2119</v>
      </c>
      <c r="AW28" s="120" t="s">
        <v>271</v>
      </c>
      <c r="AX28" s="120">
        <v>19</v>
      </c>
      <c r="AY28">
        <v>0</v>
      </c>
      <c r="AZ28">
        <v>43628</v>
      </c>
      <c r="BA28">
        <v>100</v>
      </c>
      <c r="BB28" s="120">
        <v>1</v>
      </c>
      <c r="BC28">
        <v>1</v>
      </c>
      <c r="BD28" s="58" t="s">
        <v>415</v>
      </c>
      <c r="BE28" s="120">
        <v>436</v>
      </c>
      <c r="BF28">
        <v>64</v>
      </c>
      <c r="BG28">
        <v>43635</v>
      </c>
      <c r="BH28">
        <v>120</v>
      </c>
      <c r="BI28" s="120">
        <v>0</v>
      </c>
      <c r="BJ28" s="120">
        <v>50</v>
      </c>
      <c r="BK28" s="367">
        <v>43466</v>
      </c>
      <c r="BL28">
        <v>0</v>
      </c>
      <c r="BM28" s="120">
        <v>0</v>
      </c>
      <c r="BN28" s="120">
        <v>0</v>
      </c>
      <c r="BO28" s="58" t="s">
        <v>3281</v>
      </c>
      <c r="BP28" t="s">
        <v>2403</v>
      </c>
      <c r="BQ28" t="s">
        <v>2403</v>
      </c>
      <c r="BR28" t="s">
        <v>2403</v>
      </c>
      <c r="BS28">
        <v>460491024</v>
      </c>
      <c r="BT28" s="366">
        <v>27704</v>
      </c>
      <c r="BU28" s="58" t="s">
        <v>3282</v>
      </c>
      <c r="BV28" t="s">
        <v>3283</v>
      </c>
      <c r="BW28" t="s">
        <v>1633</v>
      </c>
      <c r="BX28">
        <v>78363</v>
      </c>
      <c r="BY28" t="s">
        <v>3282</v>
      </c>
      <c r="BZ28" t="s">
        <v>3283</v>
      </c>
      <c r="CA28">
        <v>78363</v>
      </c>
      <c r="CB28" t="s">
        <v>1633</v>
      </c>
      <c r="CC28" t="s">
        <v>2040</v>
      </c>
      <c r="CD28">
        <v>0</v>
      </c>
      <c r="CE28">
        <v>0</v>
      </c>
      <c r="CF28">
        <v>0</v>
      </c>
      <c r="CG28">
        <v>0</v>
      </c>
      <c r="CH28">
        <v>0</v>
      </c>
      <c r="CI28">
        <v>0</v>
      </c>
      <c r="CJ28">
        <v>0</v>
      </c>
      <c r="CK28">
        <v>0</v>
      </c>
      <c r="CL28" s="118">
        <v>3614557512</v>
      </c>
      <c r="CM28" s="118">
        <v>3614556347</v>
      </c>
      <c r="CN28" s="118" t="s">
        <v>3284</v>
      </c>
      <c r="CO28">
        <v>0</v>
      </c>
      <c r="CP28">
        <v>0</v>
      </c>
      <c r="CQ28">
        <v>0</v>
      </c>
      <c r="CR28">
        <v>0</v>
      </c>
      <c r="CS28">
        <v>0</v>
      </c>
      <c r="CT28">
        <v>0</v>
      </c>
      <c r="CU28">
        <v>0</v>
      </c>
      <c r="CV28">
        <v>0</v>
      </c>
      <c r="CW28">
        <v>0</v>
      </c>
      <c r="CX28" s="366">
        <v>0</v>
      </c>
      <c r="CY28" s="58">
        <v>0</v>
      </c>
      <c r="CZ28">
        <v>0</v>
      </c>
      <c r="DA28">
        <v>0</v>
      </c>
      <c r="DB28">
        <v>0</v>
      </c>
      <c r="DC28">
        <v>0</v>
      </c>
      <c r="DD28">
        <v>0</v>
      </c>
      <c r="DE28">
        <v>0</v>
      </c>
      <c r="DF28">
        <v>0</v>
      </c>
      <c r="DG28">
        <v>0</v>
      </c>
      <c r="DH28">
        <v>0</v>
      </c>
      <c r="DI28">
        <v>0</v>
      </c>
      <c r="DJ28">
        <v>0</v>
      </c>
      <c r="DK28">
        <v>0</v>
      </c>
      <c r="DL28" s="118">
        <v>0</v>
      </c>
      <c r="DM28" s="118">
        <v>0</v>
      </c>
      <c r="DN28" s="118" t="s">
        <v>3284</v>
      </c>
      <c r="DO28">
        <v>0</v>
      </c>
      <c r="DP28">
        <v>0</v>
      </c>
      <c r="DQ28">
        <v>0</v>
      </c>
      <c r="DR28">
        <v>0</v>
      </c>
      <c r="DS28">
        <v>0</v>
      </c>
      <c r="DT28">
        <v>0</v>
      </c>
      <c r="DU28">
        <v>0</v>
      </c>
      <c r="DV28">
        <v>0</v>
      </c>
      <c r="DW28">
        <v>0</v>
      </c>
      <c r="DX28" s="366">
        <v>0</v>
      </c>
      <c r="DY28" s="58">
        <v>0</v>
      </c>
      <c r="DZ28">
        <v>0</v>
      </c>
      <c r="EA28">
        <v>0</v>
      </c>
      <c r="EB28">
        <v>0</v>
      </c>
      <c r="EC28">
        <v>0</v>
      </c>
      <c r="ED28">
        <v>0</v>
      </c>
      <c r="EE28">
        <v>0</v>
      </c>
      <c r="EF28">
        <v>0</v>
      </c>
      <c r="EG28">
        <v>0</v>
      </c>
      <c r="EH28">
        <v>0</v>
      </c>
      <c r="EI28">
        <v>0</v>
      </c>
      <c r="EJ28">
        <v>0</v>
      </c>
      <c r="EK28">
        <v>0</v>
      </c>
      <c r="EL28" s="118">
        <v>0</v>
      </c>
      <c r="EM28" s="118">
        <v>0</v>
      </c>
      <c r="EN28" s="118">
        <v>0</v>
      </c>
      <c r="EO28">
        <v>900</v>
      </c>
      <c r="EP28">
        <v>5198.9501953125</v>
      </c>
      <c r="EQ28" s="119">
        <v>1</v>
      </c>
      <c r="ER28">
        <v>1</v>
      </c>
      <c r="ES28" t="s">
        <v>3287</v>
      </c>
      <c r="ET28">
        <v>0</v>
      </c>
      <c r="EU28">
        <v>0</v>
      </c>
      <c r="EV28">
        <v>0</v>
      </c>
      <c r="EW28">
        <v>0</v>
      </c>
      <c r="EX28">
        <v>0</v>
      </c>
      <c r="EY28">
        <v>0</v>
      </c>
      <c r="EZ28">
        <v>0</v>
      </c>
      <c r="FA28">
        <v>0</v>
      </c>
      <c r="FB28">
        <v>0</v>
      </c>
      <c r="FC28">
        <v>0</v>
      </c>
      <c r="FD28">
        <v>0</v>
      </c>
      <c r="FE28">
        <v>0</v>
      </c>
      <c r="FF28">
        <v>0</v>
      </c>
      <c r="FG28">
        <v>0</v>
      </c>
      <c r="FH28">
        <v>0</v>
      </c>
      <c r="FI28">
        <v>0</v>
      </c>
      <c r="FJ28">
        <v>0</v>
      </c>
      <c r="FK28">
        <v>0</v>
      </c>
      <c r="FL28">
        <v>0</v>
      </c>
      <c r="FM28">
        <v>5198.95</v>
      </c>
      <c r="FN28" s="119">
        <v>0</v>
      </c>
      <c r="FO28" s="119">
        <v>0</v>
      </c>
      <c r="FP28" s="119">
        <v>0</v>
      </c>
      <c r="FQ28" s="119">
        <v>0</v>
      </c>
      <c r="FR28" s="119">
        <v>0</v>
      </c>
      <c r="FS28" s="119">
        <v>0</v>
      </c>
      <c r="FT28" s="119">
        <v>0</v>
      </c>
      <c r="FU28" s="119">
        <v>0</v>
      </c>
      <c r="FV28" s="119">
        <v>0</v>
      </c>
      <c r="FW28" s="119">
        <v>0</v>
      </c>
      <c r="FX28" s="119">
        <v>0</v>
      </c>
      <c r="FY28" s="119">
        <v>0</v>
      </c>
      <c r="FZ28" s="119">
        <v>0</v>
      </c>
      <c r="GA28" s="119">
        <v>0</v>
      </c>
      <c r="GB28" s="119">
        <v>0</v>
      </c>
      <c r="GC28" s="119">
        <v>0</v>
      </c>
      <c r="GD28" s="119">
        <v>0</v>
      </c>
      <c r="GE28" s="119">
        <v>0</v>
      </c>
      <c r="GF28" s="119">
        <v>0</v>
      </c>
      <c r="GG28" s="119">
        <v>0</v>
      </c>
      <c r="GH28" t="s">
        <v>2403</v>
      </c>
      <c r="GI28">
        <v>0</v>
      </c>
      <c r="GJ28">
        <v>0</v>
      </c>
      <c r="GK28">
        <v>0</v>
      </c>
      <c r="GL28" t="s">
        <v>2403</v>
      </c>
      <c r="GM28">
        <v>0</v>
      </c>
      <c r="GN28" s="58" t="s">
        <v>2403</v>
      </c>
      <c r="GO28">
        <v>0</v>
      </c>
      <c r="GP28" t="s">
        <v>3288</v>
      </c>
      <c r="GQ28" s="128">
        <v>0</v>
      </c>
      <c r="GR28" s="128">
        <v>0</v>
      </c>
      <c r="GS28" s="128">
        <v>0</v>
      </c>
      <c r="GT28" s="128" t="s">
        <v>3282</v>
      </c>
      <c r="GU28">
        <v>5198.95</v>
      </c>
      <c r="GV28" s="119">
        <v>0</v>
      </c>
      <c r="GW28" s="119">
        <v>0</v>
      </c>
      <c r="GX28" s="119">
        <v>0</v>
      </c>
      <c r="GY28" s="119">
        <v>0</v>
      </c>
      <c r="GZ28">
        <v>0</v>
      </c>
      <c r="HA28">
        <v>0</v>
      </c>
      <c r="HB28">
        <v>0</v>
      </c>
      <c r="HC28">
        <v>5198.9501953125</v>
      </c>
      <c r="HD28" s="120">
        <v>151730</v>
      </c>
      <c r="HE28" s="119">
        <v>54230</v>
      </c>
      <c r="HF28" t="s">
        <v>3283</v>
      </c>
      <c r="HG28" t="s">
        <v>142</v>
      </c>
      <c r="HH28" t="s">
        <v>2403</v>
      </c>
      <c r="HI28">
        <v>151730</v>
      </c>
      <c r="HJ28" s="119" t="s">
        <v>2403</v>
      </c>
      <c r="HK28">
        <v>0</v>
      </c>
      <c r="HL28">
        <v>0</v>
      </c>
      <c r="HM28">
        <v>0</v>
      </c>
      <c r="HN28">
        <v>0</v>
      </c>
      <c r="HO28" t="s">
        <v>3296</v>
      </c>
      <c r="HP28" t="s">
        <v>2403</v>
      </c>
      <c r="HQ28">
        <v>0</v>
      </c>
      <c r="HR28" t="s">
        <v>1633</v>
      </c>
      <c r="HS28" t="s">
        <v>3287</v>
      </c>
      <c r="HT28">
        <v>0</v>
      </c>
      <c r="HU28">
        <v>0</v>
      </c>
      <c r="HV28">
        <v>0</v>
      </c>
      <c r="HW28">
        <v>2018</v>
      </c>
      <c r="HX28">
        <v>0</v>
      </c>
      <c r="HY28">
        <v>0</v>
      </c>
      <c r="HZ28">
        <v>0</v>
      </c>
      <c r="IA28">
        <v>78363</v>
      </c>
      <c r="IB28" t="s">
        <v>2403</v>
      </c>
      <c r="IC28">
        <v>0</v>
      </c>
      <c r="ID28">
        <v>0</v>
      </c>
      <c r="IE28">
        <v>0</v>
      </c>
      <c r="IF28">
        <v>0</v>
      </c>
      <c r="IG28">
        <v>0</v>
      </c>
      <c r="IH28">
        <v>0</v>
      </c>
      <c r="II28">
        <v>0</v>
      </c>
      <c r="IJ28">
        <v>0</v>
      </c>
      <c r="IK28">
        <v>0</v>
      </c>
      <c r="IL28">
        <v>0</v>
      </c>
      <c r="IM28" s="128">
        <v>0</v>
      </c>
      <c r="IN28" s="128">
        <v>0</v>
      </c>
      <c r="IO28" s="128">
        <v>0</v>
      </c>
      <c r="IP28" s="128">
        <v>0</v>
      </c>
      <c r="IQ28">
        <v>0</v>
      </c>
      <c r="IR28" s="119">
        <v>0</v>
      </c>
      <c r="IS28" s="119">
        <v>0</v>
      </c>
      <c r="IT28" s="119">
        <v>0</v>
      </c>
      <c r="IU28" s="119">
        <v>0</v>
      </c>
      <c r="IV28" s="119">
        <v>0</v>
      </c>
      <c r="IW28">
        <v>0</v>
      </c>
      <c r="IX28">
        <v>0</v>
      </c>
      <c r="IY28">
        <v>0</v>
      </c>
      <c r="IZ28">
        <v>0</v>
      </c>
      <c r="JA28">
        <v>0</v>
      </c>
      <c r="JB28" s="119">
        <v>0</v>
      </c>
      <c r="JC28">
        <v>0</v>
      </c>
      <c r="JD28">
        <v>0</v>
      </c>
      <c r="JE28">
        <v>0</v>
      </c>
      <c r="JF28">
        <v>0</v>
      </c>
      <c r="JG28">
        <v>0</v>
      </c>
      <c r="JH28">
        <v>0</v>
      </c>
      <c r="JI28">
        <v>0</v>
      </c>
      <c r="JJ28">
        <v>0</v>
      </c>
      <c r="JK28">
        <v>0</v>
      </c>
      <c r="JL28">
        <v>0</v>
      </c>
      <c r="JM28">
        <v>0</v>
      </c>
      <c r="JN28">
        <v>0</v>
      </c>
      <c r="JO28">
        <v>0</v>
      </c>
      <c r="JP28">
        <v>0</v>
      </c>
      <c r="JQ28">
        <v>0</v>
      </c>
      <c r="JR28">
        <v>0</v>
      </c>
      <c r="JS28">
        <v>0</v>
      </c>
      <c r="JT28">
        <v>0</v>
      </c>
      <c r="JU28">
        <v>0</v>
      </c>
      <c r="JV28">
        <v>0</v>
      </c>
      <c r="JW28">
        <v>0</v>
      </c>
      <c r="JX28">
        <v>0</v>
      </c>
      <c r="JY28">
        <v>0</v>
      </c>
      <c r="JZ28">
        <v>0</v>
      </c>
      <c r="KA28">
        <v>0</v>
      </c>
      <c r="KB28">
        <v>0</v>
      </c>
      <c r="KC28">
        <v>0</v>
      </c>
      <c r="KD28">
        <v>0</v>
      </c>
      <c r="KE28">
        <v>0</v>
      </c>
      <c r="KF28">
        <v>0</v>
      </c>
      <c r="KG28">
        <v>0</v>
      </c>
      <c r="KH28">
        <v>0</v>
      </c>
      <c r="KI28" s="128">
        <v>0</v>
      </c>
      <c r="KJ28" s="128">
        <v>0</v>
      </c>
      <c r="KK28" s="128">
        <v>0</v>
      </c>
      <c r="KL28" s="128">
        <v>0</v>
      </c>
      <c r="KM28">
        <v>0</v>
      </c>
      <c r="KN28" s="119">
        <v>0</v>
      </c>
      <c r="KO28" s="119">
        <v>0</v>
      </c>
      <c r="KP28" s="119">
        <v>0</v>
      </c>
      <c r="KQ28" s="119">
        <v>0</v>
      </c>
      <c r="KR28" s="121">
        <v>0</v>
      </c>
      <c r="KS28">
        <v>0</v>
      </c>
      <c r="KT28" s="119">
        <v>0</v>
      </c>
      <c r="KU28">
        <v>0</v>
      </c>
      <c r="KV28">
        <v>0</v>
      </c>
      <c r="KW28">
        <v>0</v>
      </c>
      <c r="KX28" s="119">
        <v>0</v>
      </c>
      <c r="KY28">
        <v>0</v>
      </c>
      <c r="KZ28">
        <v>0</v>
      </c>
      <c r="LA28">
        <v>0</v>
      </c>
      <c r="LB28">
        <v>0</v>
      </c>
      <c r="LC28">
        <v>0</v>
      </c>
      <c r="LD28">
        <v>0</v>
      </c>
      <c r="LE28">
        <v>0</v>
      </c>
      <c r="LF28">
        <v>0</v>
      </c>
      <c r="LG28">
        <v>0</v>
      </c>
      <c r="LH28">
        <v>0</v>
      </c>
      <c r="LI28">
        <v>0</v>
      </c>
      <c r="LJ28">
        <v>0</v>
      </c>
      <c r="LK28">
        <v>0</v>
      </c>
      <c r="LL28">
        <v>0</v>
      </c>
      <c r="LM28">
        <v>0</v>
      </c>
      <c r="LN28">
        <v>0</v>
      </c>
      <c r="LO28">
        <v>0</v>
      </c>
      <c r="LP28">
        <v>0</v>
      </c>
      <c r="LQ28">
        <v>0</v>
      </c>
      <c r="LR28">
        <v>0</v>
      </c>
      <c r="LS28">
        <v>0</v>
      </c>
      <c r="LT28">
        <v>0</v>
      </c>
      <c r="LU28">
        <v>0</v>
      </c>
      <c r="LV28">
        <v>0</v>
      </c>
      <c r="LW28">
        <v>0</v>
      </c>
      <c r="LX28">
        <v>0</v>
      </c>
      <c r="LY28">
        <v>0</v>
      </c>
      <c r="LZ28">
        <v>0</v>
      </c>
      <c r="MA28">
        <v>0</v>
      </c>
      <c r="MB28">
        <v>0</v>
      </c>
      <c r="MC28">
        <v>0</v>
      </c>
      <c r="MD28">
        <v>0</v>
      </c>
      <c r="ME28" s="128">
        <v>0</v>
      </c>
      <c r="MF28" s="128">
        <v>0</v>
      </c>
      <c r="MG28" s="128">
        <v>0</v>
      </c>
      <c r="MH28" s="128">
        <v>0</v>
      </c>
      <c r="MI28">
        <v>0</v>
      </c>
      <c r="MJ28" s="119">
        <v>0</v>
      </c>
      <c r="MK28" s="119">
        <v>0</v>
      </c>
      <c r="ML28" s="119">
        <v>0</v>
      </c>
      <c r="MM28" s="119">
        <v>0</v>
      </c>
      <c r="MN28" s="121">
        <v>0</v>
      </c>
      <c r="MO28" s="119">
        <v>0</v>
      </c>
      <c r="MP28">
        <v>0</v>
      </c>
      <c r="MQ28">
        <v>0</v>
      </c>
      <c r="MR28">
        <v>0</v>
      </c>
      <c r="MS28">
        <v>0</v>
      </c>
      <c r="MT28" s="119">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s="116">
        <v>0</v>
      </c>
      <c r="NS28" s="116">
        <v>0</v>
      </c>
      <c r="NT28" s="116">
        <v>0</v>
      </c>
      <c r="NU28" s="116">
        <v>0</v>
      </c>
      <c r="NV28" s="116">
        <v>0</v>
      </c>
      <c r="NW28" s="116">
        <v>0</v>
      </c>
      <c r="NX28" s="116">
        <v>0</v>
      </c>
      <c r="NY28" s="116">
        <v>0</v>
      </c>
      <c r="NZ28" s="116">
        <v>0</v>
      </c>
      <c r="OA28" s="128">
        <v>0</v>
      </c>
      <c r="OB28" s="128">
        <v>0</v>
      </c>
      <c r="OC28" s="128">
        <v>0</v>
      </c>
      <c r="OD28" s="128">
        <v>0</v>
      </c>
      <c r="OE28">
        <v>0</v>
      </c>
      <c r="OF28" s="119">
        <v>0</v>
      </c>
      <c r="OG28" s="119">
        <v>0</v>
      </c>
      <c r="OH28" s="119">
        <v>0</v>
      </c>
      <c r="OI28" s="119">
        <v>0</v>
      </c>
      <c r="OJ28" s="121">
        <v>0</v>
      </c>
      <c r="OK28" s="119">
        <v>0</v>
      </c>
      <c r="OL28">
        <v>0</v>
      </c>
      <c r="OM28">
        <v>0</v>
      </c>
      <c r="ON28">
        <v>0</v>
      </c>
      <c r="OO28">
        <v>0</v>
      </c>
      <c r="OP28" s="119">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s="128">
        <v>0</v>
      </c>
      <c r="PX28" s="128">
        <v>0</v>
      </c>
      <c r="PY28" s="128">
        <v>0</v>
      </c>
      <c r="PZ28" s="128">
        <v>0</v>
      </c>
      <c r="QA28">
        <v>0</v>
      </c>
      <c r="QB28" s="119">
        <v>0</v>
      </c>
      <c r="QC28" s="119">
        <v>0</v>
      </c>
      <c r="QD28" s="119">
        <v>0</v>
      </c>
      <c r="QE28" s="119">
        <v>0</v>
      </c>
      <c r="QF28" s="121">
        <v>0</v>
      </c>
      <c r="QG28" s="119">
        <v>0</v>
      </c>
      <c r="QH28">
        <v>0</v>
      </c>
      <c r="QI28">
        <v>0</v>
      </c>
      <c r="QJ28">
        <v>0</v>
      </c>
      <c r="QK28">
        <v>0</v>
      </c>
      <c r="QL28" s="119">
        <v>0</v>
      </c>
      <c r="QM28">
        <v>0</v>
      </c>
      <c r="QN28">
        <v>0</v>
      </c>
      <c r="QO28">
        <v>0</v>
      </c>
      <c r="QP28">
        <v>0</v>
      </c>
      <c r="QQ28">
        <v>0</v>
      </c>
      <c r="QR28">
        <v>0</v>
      </c>
      <c r="QS28">
        <v>0</v>
      </c>
      <c r="QT28">
        <v>0</v>
      </c>
      <c r="QU28">
        <v>0</v>
      </c>
      <c r="QV28">
        <v>0</v>
      </c>
      <c r="QW28">
        <v>0</v>
      </c>
      <c r="QX28">
        <v>0</v>
      </c>
      <c r="QY28">
        <v>0</v>
      </c>
      <c r="QZ28">
        <v>0</v>
      </c>
      <c r="RA28">
        <v>0</v>
      </c>
      <c r="RB28">
        <v>0</v>
      </c>
      <c r="RC28">
        <v>0</v>
      </c>
      <c r="RD28">
        <v>0</v>
      </c>
      <c r="RE28">
        <v>0</v>
      </c>
      <c r="RF28">
        <v>0</v>
      </c>
      <c r="RG28">
        <v>0</v>
      </c>
      <c r="RH28">
        <v>0</v>
      </c>
      <c r="RI28">
        <v>0</v>
      </c>
      <c r="RJ28" s="116">
        <v>0</v>
      </c>
      <c r="RK28" s="116">
        <v>0</v>
      </c>
      <c r="RL28" s="116">
        <v>0</v>
      </c>
      <c r="RM28" s="116">
        <v>0</v>
      </c>
      <c r="RN28" s="116">
        <v>0</v>
      </c>
      <c r="RO28" s="116">
        <v>0</v>
      </c>
      <c r="RP28" s="116">
        <v>0</v>
      </c>
      <c r="RQ28" s="116">
        <v>0</v>
      </c>
      <c r="RR28" s="116">
        <v>0</v>
      </c>
      <c r="RS28" s="128">
        <v>0</v>
      </c>
      <c r="RT28" s="128">
        <v>0</v>
      </c>
      <c r="RU28" s="128">
        <v>0</v>
      </c>
      <c r="RV28" s="128">
        <v>0</v>
      </c>
      <c r="RW28">
        <v>0</v>
      </c>
      <c r="RX28" s="119">
        <v>0</v>
      </c>
      <c r="RY28" s="119">
        <v>0</v>
      </c>
      <c r="RZ28" s="119">
        <v>0</v>
      </c>
      <c r="SA28" s="119">
        <v>0</v>
      </c>
      <c r="SB28" s="121">
        <v>0</v>
      </c>
      <c r="SC28" s="119">
        <v>0</v>
      </c>
      <c r="SD28">
        <v>0</v>
      </c>
      <c r="SE28">
        <v>0</v>
      </c>
      <c r="SF28">
        <v>0</v>
      </c>
      <c r="SG28">
        <v>0</v>
      </c>
      <c r="SH28" s="119">
        <v>0</v>
      </c>
      <c r="SI28">
        <v>0</v>
      </c>
      <c r="SJ28">
        <v>0</v>
      </c>
      <c r="SK28">
        <v>0</v>
      </c>
      <c r="SL28">
        <v>0</v>
      </c>
      <c r="SM28">
        <v>0</v>
      </c>
      <c r="SN28">
        <v>0</v>
      </c>
      <c r="SO28">
        <v>0</v>
      </c>
      <c r="SP28">
        <v>0</v>
      </c>
      <c r="SQ28">
        <v>0</v>
      </c>
      <c r="SR28">
        <v>0</v>
      </c>
      <c r="SS28">
        <v>0</v>
      </c>
      <c r="ST28">
        <v>0</v>
      </c>
      <c r="SU28">
        <v>0</v>
      </c>
      <c r="SV28">
        <v>0</v>
      </c>
      <c r="SW28">
        <v>0</v>
      </c>
      <c r="SX28">
        <v>0</v>
      </c>
      <c r="SY28">
        <v>0</v>
      </c>
      <c r="SZ28">
        <v>0</v>
      </c>
      <c r="TA28">
        <v>0</v>
      </c>
      <c r="TB28">
        <v>0</v>
      </c>
      <c r="TC28">
        <v>0</v>
      </c>
      <c r="TD28">
        <v>0</v>
      </c>
      <c r="TE28">
        <v>0</v>
      </c>
      <c r="TF28" s="116">
        <v>0</v>
      </c>
      <c r="TG28" s="116">
        <v>0</v>
      </c>
      <c r="TH28" s="116">
        <v>0</v>
      </c>
      <c r="TI28" s="116">
        <v>0</v>
      </c>
      <c r="TJ28" s="116">
        <v>0</v>
      </c>
      <c r="TK28" s="116">
        <v>0</v>
      </c>
      <c r="TL28" s="116">
        <v>0</v>
      </c>
      <c r="TM28" s="116">
        <v>0</v>
      </c>
      <c r="TN28" s="116">
        <v>0</v>
      </c>
      <c r="TO28" s="128">
        <v>0</v>
      </c>
      <c r="TP28" s="128">
        <v>0</v>
      </c>
      <c r="TQ28" s="128">
        <v>0</v>
      </c>
      <c r="TR28" s="128">
        <v>0</v>
      </c>
      <c r="TS28">
        <v>0</v>
      </c>
      <c r="TT28" s="119">
        <v>0</v>
      </c>
      <c r="TU28" s="119">
        <v>0</v>
      </c>
      <c r="TV28" s="119">
        <v>0</v>
      </c>
      <c r="TW28" s="119">
        <v>0</v>
      </c>
      <c r="TX28" s="121">
        <v>0</v>
      </c>
      <c r="TY28" s="119">
        <v>0</v>
      </c>
      <c r="TZ28">
        <v>0</v>
      </c>
      <c r="UA28">
        <v>0</v>
      </c>
      <c r="UB28">
        <v>0</v>
      </c>
      <c r="UC28">
        <v>0</v>
      </c>
      <c r="UD28" s="119">
        <v>0</v>
      </c>
      <c r="UE28">
        <v>0</v>
      </c>
      <c r="UF28">
        <v>0</v>
      </c>
      <c r="UG28">
        <v>0</v>
      </c>
      <c r="UH28">
        <v>0</v>
      </c>
      <c r="UI28">
        <v>0</v>
      </c>
      <c r="UJ28">
        <v>0</v>
      </c>
      <c r="UK28">
        <v>0</v>
      </c>
      <c r="UL28">
        <v>0</v>
      </c>
      <c r="UM28">
        <v>0</v>
      </c>
      <c r="UN28">
        <v>0</v>
      </c>
      <c r="UO28">
        <v>0</v>
      </c>
      <c r="UP28">
        <v>0</v>
      </c>
      <c r="UQ28">
        <v>0</v>
      </c>
      <c r="UR28">
        <v>0</v>
      </c>
      <c r="US28">
        <v>0</v>
      </c>
      <c r="UT28">
        <v>0</v>
      </c>
      <c r="UU28">
        <v>0</v>
      </c>
      <c r="UV28">
        <v>0</v>
      </c>
      <c r="UW28">
        <v>0</v>
      </c>
      <c r="UX28">
        <v>0</v>
      </c>
      <c r="UY28">
        <v>0</v>
      </c>
      <c r="UZ28">
        <v>0</v>
      </c>
      <c r="VA28">
        <v>0</v>
      </c>
      <c r="VB28" s="116">
        <v>0</v>
      </c>
      <c r="VC28" s="116">
        <v>0</v>
      </c>
      <c r="VD28" s="116">
        <v>0</v>
      </c>
      <c r="VE28" s="116">
        <v>0</v>
      </c>
      <c r="VF28" s="116">
        <v>0</v>
      </c>
      <c r="VG28" s="116">
        <v>0</v>
      </c>
      <c r="VH28" s="116">
        <v>0</v>
      </c>
      <c r="VI28" s="116">
        <v>0</v>
      </c>
      <c r="VJ28" s="116">
        <v>0</v>
      </c>
      <c r="VK28" s="128">
        <v>0</v>
      </c>
      <c r="VL28" s="128">
        <v>0</v>
      </c>
      <c r="VM28" s="128">
        <v>0</v>
      </c>
      <c r="VN28" s="128">
        <v>0</v>
      </c>
      <c r="VO28">
        <v>0</v>
      </c>
      <c r="VP28" s="119">
        <v>0</v>
      </c>
      <c r="VQ28" s="119">
        <v>0</v>
      </c>
      <c r="VR28" s="119">
        <v>0</v>
      </c>
      <c r="VS28" s="119">
        <v>0</v>
      </c>
      <c r="VT28" s="121">
        <v>0</v>
      </c>
      <c r="VU28" s="119">
        <v>0</v>
      </c>
      <c r="VV28" s="119">
        <v>0</v>
      </c>
      <c r="VW28">
        <v>0</v>
      </c>
      <c r="VX28">
        <v>0</v>
      </c>
      <c r="VY28">
        <v>0</v>
      </c>
      <c r="VZ28" s="119">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s="116">
        <v>0</v>
      </c>
      <c r="WY28" s="116">
        <v>0</v>
      </c>
      <c r="WZ28" s="116">
        <v>0</v>
      </c>
      <c r="XA28" s="116">
        <v>0</v>
      </c>
      <c r="XB28" s="116">
        <v>0</v>
      </c>
      <c r="XC28" s="116">
        <v>0</v>
      </c>
      <c r="XD28" s="116">
        <v>0</v>
      </c>
      <c r="XE28" s="116">
        <v>0</v>
      </c>
      <c r="XF28" s="116">
        <v>0</v>
      </c>
      <c r="XG28" s="128">
        <v>0</v>
      </c>
      <c r="XH28" s="128">
        <v>0</v>
      </c>
      <c r="XI28" s="128">
        <v>0</v>
      </c>
      <c r="XJ28" s="128">
        <v>0</v>
      </c>
      <c r="XK28">
        <v>0</v>
      </c>
      <c r="XL28" s="119">
        <v>0</v>
      </c>
      <c r="XM28" s="119">
        <v>0</v>
      </c>
      <c r="XN28" s="119">
        <v>0</v>
      </c>
      <c r="XO28" s="119">
        <v>0</v>
      </c>
      <c r="XP28" s="121">
        <v>0</v>
      </c>
      <c r="XQ28" s="119">
        <v>0</v>
      </c>
      <c r="XR28" s="119">
        <v>0</v>
      </c>
      <c r="XS28">
        <v>0</v>
      </c>
      <c r="XT28">
        <v>0</v>
      </c>
      <c r="XU28">
        <v>0</v>
      </c>
      <c r="XV28" s="119">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S28">
        <v>0</v>
      </c>
      <c r="YT28">
        <v>0</v>
      </c>
      <c r="YU28">
        <v>0</v>
      </c>
      <c r="YV28">
        <v>0</v>
      </c>
      <c r="YW28">
        <v>0</v>
      </c>
      <c r="YX28">
        <v>0</v>
      </c>
      <c r="YY28">
        <v>0</v>
      </c>
      <c r="YZ28">
        <v>0</v>
      </c>
      <c r="ZA28">
        <v>0</v>
      </c>
      <c r="ZB28">
        <v>0</v>
      </c>
      <c r="ZC28" s="128">
        <v>0</v>
      </c>
      <c r="ZD28" s="128">
        <v>0</v>
      </c>
      <c r="ZE28" s="128">
        <v>0</v>
      </c>
      <c r="ZF28" s="128">
        <v>0</v>
      </c>
      <c r="ZG28">
        <v>0</v>
      </c>
      <c r="ZH28" s="119">
        <v>0</v>
      </c>
      <c r="ZI28" s="119">
        <v>0</v>
      </c>
      <c r="ZJ28" s="119">
        <v>0</v>
      </c>
      <c r="ZK28" s="119">
        <v>0</v>
      </c>
      <c r="ZL28" s="121">
        <v>0</v>
      </c>
      <c r="ZM28" s="119">
        <v>0</v>
      </c>
      <c r="ZN28" s="119">
        <v>0</v>
      </c>
      <c r="ZO28">
        <v>0</v>
      </c>
      <c r="ZP28">
        <v>0</v>
      </c>
      <c r="ZQ28">
        <v>0</v>
      </c>
      <c r="ZR28" s="119">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s="116">
        <v>0</v>
      </c>
      <c r="AAQ28" s="116">
        <v>0</v>
      </c>
      <c r="AAR28" s="116">
        <v>0</v>
      </c>
      <c r="AAS28" s="116">
        <v>0</v>
      </c>
      <c r="AAT28" s="116">
        <v>0</v>
      </c>
      <c r="AAU28" s="116">
        <v>0</v>
      </c>
      <c r="AAV28" s="116">
        <v>0</v>
      </c>
      <c r="AAW28" s="116">
        <v>0</v>
      </c>
      <c r="AAX28" s="116">
        <v>0</v>
      </c>
      <c r="AAY28" s="128">
        <v>0</v>
      </c>
      <c r="AAZ28" s="128">
        <v>0</v>
      </c>
      <c r="ABA28" s="128">
        <v>0</v>
      </c>
      <c r="ABB28" s="128">
        <v>0</v>
      </c>
      <c r="ABC28">
        <v>0</v>
      </c>
      <c r="ABD28" s="119">
        <v>0</v>
      </c>
      <c r="ABE28" s="119">
        <v>0</v>
      </c>
      <c r="ABF28" s="119">
        <v>0</v>
      </c>
      <c r="ABG28" s="119">
        <v>0</v>
      </c>
      <c r="ABH28" s="121">
        <v>0</v>
      </c>
      <c r="ABI28" s="119">
        <v>0</v>
      </c>
      <c r="ABJ28" s="119">
        <v>0</v>
      </c>
      <c r="ABK28">
        <v>0</v>
      </c>
      <c r="ABL28">
        <v>0</v>
      </c>
      <c r="ABM28">
        <v>0</v>
      </c>
      <c r="ABN28" s="119">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s="116">
        <v>0</v>
      </c>
      <c r="ACM28" s="116">
        <v>0</v>
      </c>
      <c r="ACN28" s="116">
        <v>0</v>
      </c>
      <c r="ACO28" s="116">
        <v>0</v>
      </c>
      <c r="ACP28" s="116">
        <v>0</v>
      </c>
      <c r="ACQ28" s="116">
        <v>0</v>
      </c>
      <c r="ACR28" s="116">
        <v>0</v>
      </c>
      <c r="ACS28" s="116">
        <v>0</v>
      </c>
      <c r="ACT28" s="116">
        <v>0</v>
      </c>
      <c r="ACU28" s="128">
        <v>0</v>
      </c>
      <c r="ACV28" s="128">
        <v>0</v>
      </c>
      <c r="ACW28" s="128">
        <v>0</v>
      </c>
      <c r="ACX28" s="128">
        <v>0</v>
      </c>
      <c r="ACY28">
        <v>0</v>
      </c>
      <c r="ACZ28" s="119">
        <v>0</v>
      </c>
      <c r="ADA28" s="119">
        <v>0</v>
      </c>
      <c r="ADB28" s="119">
        <v>0</v>
      </c>
      <c r="ADC28" s="119">
        <v>0</v>
      </c>
      <c r="ADD28" s="121">
        <v>0</v>
      </c>
      <c r="ADE28" s="119">
        <v>0</v>
      </c>
      <c r="ADF28" s="119">
        <v>0</v>
      </c>
      <c r="ADG28">
        <v>0</v>
      </c>
      <c r="ADH28">
        <v>0</v>
      </c>
      <c r="ADI28">
        <v>0</v>
      </c>
      <c r="ADJ28" s="119">
        <v>0</v>
      </c>
      <c r="ADK28">
        <v>0</v>
      </c>
      <c r="ADL28">
        <v>0</v>
      </c>
      <c r="ADM28">
        <v>0</v>
      </c>
      <c r="ADN28">
        <v>0</v>
      </c>
      <c r="ADO28">
        <v>0</v>
      </c>
      <c r="ADP28">
        <v>0</v>
      </c>
      <c r="ADQ28">
        <v>0</v>
      </c>
      <c r="ADR28">
        <v>0</v>
      </c>
      <c r="ADS28">
        <v>0</v>
      </c>
      <c r="ADT28">
        <v>0</v>
      </c>
      <c r="ADU28">
        <v>0</v>
      </c>
      <c r="ADV28">
        <v>0</v>
      </c>
      <c r="ADW28">
        <v>0</v>
      </c>
      <c r="ADX28">
        <v>0</v>
      </c>
      <c r="ADY28">
        <v>0</v>
      </c>
      <c r="ADZ28">
        <v>0</v>
      </c>
      <c r="AEA28">
        <v>0</v>
      </c>
      <c r="AEB28">
        <v>0</v>
      </c>
      <c r="AEC28">
        <v>0</v>
      </c>
      <c r="AED28">
        <v>0</v>
      </c>
      <c r="AEE28">
        <v>0</v>
      </c>
      <c r="AEF28">
        <v>0</v>
      </c>
      <c r="AEG28">
        <v>0</v>
      </c>
      <c r="AEH28" s="116">
        <v>0</v>
      </c>
      <c r="AEI28" s="116">
        <v>0</v>
      </c>
      <c r="AEJ28" s="116">
        <v>0</v>
      </c>
      <c r="AEK28" s="116">
        <v>0</v>
      </c>
      <c r="AEL28" s="116">
        <v>0</v>
      </c>
      <c r="AEM28" s="116">
        <v>0</v>
      </c>
      <c r="AEN28" s="116">
        <v>0</v>
      </c>
      <c r="AEO28" s="116">
        <v>0</v>
      </c>
      <c r="AEP28" s="116">
        <v>0</v>
      </c>
      <c r="AEQ28" s="128">
        <v>0</v>
      </c>
      <c r="AER28" s="128">
        <v>0</v>
      </c>
      <c r="AES28" s="128">
        <v>0</v>
      </c>
      <c r="AET28" s="128">
        <v>0</v>
      </c>
      <c r="AEU28">
        <v>0</v>
      </c>
      <c r="AEV28" s="119">
        <v>0</v>
      </c>
      <c r="AEW28" s="119">
        <v>0</v>
      </c>
      <c r="AEX28" s="119">
        <v>0</v>
      </c>
      <c r="AEY28" s="119">
        <v>0</v>
      </c>
      <c r="AEZ28" s="121">
        <v>0</v>
      </c>
      <c r="AFA28" s="119">
        <v>0</v>
      </c>
      <c r="AFB28" s="119">
        <v>0</v>
      </c>
      <c r="AFC28">
        <v>0</v>
      </c>
      <c r="AFD28">
        <v>0</v>
      </c>
      <c r="AFE28">
        <v>0</v>
      </c>
      <c r="AFF28" s="119">
        <v>0</v>
      </c>
      <c r="AFG28">
        <v>0</v>
      </c>
      <c r="AFH28">
        <v>0</v>
      </c>
      <c r="AFI28">
        <v>0</v>
      </c>
      <c r="AFJ28">
        <v>0</v>
      </c>
      <c r="AFK28">
        <v>0</v>
      </c>
      <c r="AFL28">
        <v>0</v>
      </c>
      <c r="AFM28">
        <v>0</v>
      </c>
      <c r="AFN28">
        <v>0</v>
      </c>
      <c r="AFO28">
        <v>0</v>
      </c>
      <c r="AFP28">
        <v>0</v>
      </c>
      <c r="AFQ28">
        <v>0</v>
      </c>
      <c r="AFR28">
        <v>0</v>
      </c>
      <c r="AFS28">
        <v>0</v>
      </c>
      <c r="AFT28">
        <v>0</v>
      </c>
      <c r="AFU28">
        <v>0</v>
      </c>
      <c r="AFV28">
        <v>0</v>
      </c>
      <c r="AFW28">
        <v>0</v>
      </c>
      <c r="AFX28">
        <v>0</v>
      </c>
      <c r="AFY28">
        <v>0</v>
      </c>
      <c r="AFZ28">
        <v>0</v>
      </c>
      <c r="AGA28">
        <v>0</v>
      </c>
      <c r="AGB28">
        <v>0</v>
      </c>
      <c r="AGC28">
        <v>0</v>
      </c>
      <c r="AGD28" s="116">
        <v>0</v>
      </c>
      <c r="AGE28" s="116">
        <v>0</v>
      </c>
      <c r="AGF28" s="116">
        <v>0</v>
      </c>
      <c r="AGG28" s="116">
        <v>0</v>
      </c>
      <c r="AGH28" s="116">
        <v>0</v>
      </c>
      <c r="AGI28" s="116">
        <v>0</v>
      </c>
      <c r="AGJ28" s="116">
        <v>0</v>
      </c>
      <c r="AGK28" s="116">
        <v>0</v>
      </c>
      <c r="AGL28" s="116">
        <v>0</v>
      </c>
      <c r="AGM28" s="128">
        <v>0</v>
      </c>
      <c r="AGN28" s="128">
        <v>0</v>
      </c>
      <c r="AGO28" s="128">
        <v>0</v>
      </c>
      <c r="AGP28" s="128">
        <v>0</v>
      </c>
      <c r="AGQ28">
        <v>0</v>
      </c>
      <c r="AGR28" s="119">
        <v>0</v>
      </c>
      <c r="AGS28" s="119">
        <v>0</v>
      </c>
      <c r="AGT28" s="119">
        <v>0</v>
      </c>
      <c r="AGU28" s="119">
        <v>0</v>
      </c>
      <c r="AGV28" s="121">
        <v>0</v>
      </c>
      <c r="AGW28" s="119">
        <v>0</v>
      </c>
      <c r="AGX28" s="119">
        <v>0</v>
      </c>
      <c r="AGY28">
        <v>0</v>
      </c>
      <c r="AGZ28">
        <v>0</v>
      </c>
      <c r="AHA28">
        <v>0</v>
      </c>
      <c r="AHB28" s="119">
        <v>0</v>
      </c>
      <c r="AHC28">
        <v>0</v>
      </c>
      <c r="AHD28">
        <v>0</v>
      </c>
      <c r="AHE28">
        <v>0</v>
      </c>
      <c r="AHF28">
        <v>0</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A28">
        <v>0</v>
      </c>
      <c r="AIB28">
        <v>0</v>
      </c>
      <c r="AIC28">
        <v>0</v>
      </c>
      <c r="AID28">
        <v>0</v>
      </c>
      <c r="AIE28">
        <v>0</v>
      </c>
      <c r="AIF28">
        <v>0</v>
      </c>
      <c r="AIG28">
        <v>0</v>
      </c>
      <c r="AIH28">
        <v>0</v>
      </c>
      <c r="AII28" s="128">
        <v>0</v>
      </c>
      <c r="AIJ28" s="128">
        <v>0</v>
      </c>
      <c r="AIK28" s="128">
        <v>0</v>
      </c>
      <c r="AIL28" s="128">
        <v>0</v>
      </c>
      <c r="AIM28">
        <v>0</v>
      </c>
      <c r="AIN28" s="119">
        <v>0</v>
      </c>
      <c r="AIO28" s="119">
        <v>0</v>
      </c>
      <c r="AIP28" s="119">
        <v>0</v>
      </c>
      <c r="AIQ28" s="119">
        <v>0</v>
      </c>
      <c r="AIR28" s="121">
        <v>0</v>
      </c>
      <c r="AIS28" s="119">
        <v>0</v>
      </c>
      <c r="AIT28" s="119">
        <v>0</v>
      </c>
      <c r="AIU28">
        <v>0</v>
      </c>
      <c r="AIV28">
        <v>0</v>
      </c>
      <c r="AIW28">
        <v>0</v>
      </c>
      <c r="AIX28" s="119">
        <v>0</v>
      </c>
      <c r="AIY28">
        <v>0</v>
      </c>
      <c r="AIZ28">
        <v>0</v>
      </c>
      <c r="AJA28">
        <v>0</v>
      </c>
      <c r="AJB28">
        <v>0</v>
      </c>
      <c r="AJC28">
        <v>0</v>
      </c>
      <c r="AJD28">
        <v>0</v>
      </c>
      <c r="AJE28">
        <v>0</v>
      </c>
      <c r="AJF28">
        <v>0</v>
      </c>
      <c r="AJG28">
        <v>0</v>
      </c>
      <c r="AJH28">
        <v>0</v>
      </c>
      <c r="AJI28">
        <v>0</v>
      </c>
      <c r="AJJ28">
        <v>0</v>
      </c>
      <c r="AJK28">
        <v>0</v>
      </c>
      <c r="AJL28">
        <v>0</v>
      </c>
      <c r="AJM28">
        <v>0</v>
      </c>
      <c r="AJN28">
        <v>0</v>
      </c>
      <c r="AJO28">
        <v>0</v>
      </c>
      <c r="AJP28">
        <v>0</v>
      </c>
      <c r="AJQ28">
        <v>0</v>
      </c>
      <c r="AJR28">
        <v>0</v>
      </c>
      <c r="AJS28">
        <v>0</v>
      </c>
      <c r="AJT28">
        <v>0</v>
      </c>
      <c r="AJU28">
        <v>0</v>
      </c>
      <c r="AJV28" s="116">
        <v>0</v>
      </c>
      <c r="AJW28" s="116">
        <v>0</v>
      </c>
      <c r="AJX28" s="116">
        <v>0</v>
      </c>
      <c r="AJY28" s="116">
        <v>0</v>
      </c>
      <c r="AJZ28" s="116">
        <v>0</v>
      </c>
      <c r="AKA28" s="116">
        <v>0</v>
      </c>
      <c r="AKB28" s="116">
        <v>0</v>
      </c>
      <c r="AKC28" s="116">
        <v>0</v>
      </c>
      <c r="AKD28" s="116">
        <v>0</v>
      </c>
      <c r="AKE28" s="128">
        <v>0</v>
      </c>
      <c r="AKF28" s="128">
        <v>0</v>
      </c>
      <c r="AKG28" s="128">
        <v>0</v>
      </c>
      <c r="AKH28" s="128">
        <v>0</v>
      </c>
      <c r="AKI28">
        <v>0</v>
      </c>
      <c r="AKJ28" s="119">
        <v>0</v>
      </c>
      <c r="AKK28" s="119">
        <v>0</v>
      </c>
      <c r="AKL28" s="119">
        <v>0</v>
      </c>
      <c r="AKM28" s="119">
        <v>0</v>
      </c>
      <c r="AKN28" s="121">
        <v>0</v>
      </c>
      <c r="AKO28" s="119">
        <v>0</v>
      </c>
      <c r="AKP28" s="119">
        <v>0</v>
      </c>
      <c r="AKQ28">
        <v>0</v>
      </c>
      <c r="AKR28">
        <v>0</v>
      </c>
      <c r="AKS28">
        <v>0</v>
      </c>
      <c r="AKT28" s="119">
        <v>0</v>
      </c>
      <c r="AKU28">
        <v>0</v>
      </c>
      <c r="AKV28">
        <v>0</v>
      </c>
      <c r="AKW28">
        <v>0</v>
      </c>
      <c r="AKX28">
        <v>0</v>
      </c>
      <c r="AKY28">
        <v>0</v>
      </c>
      <c r="AKZ28">
        <v>0</v>
      </c>
      <c r="ALA28">
        <v>0</v>
      </c>
      <c r="ALB28">
        <v>0</v>
      </c>
      <c r="ALC28">
        <v>0</v>
      </c>
      <c r="ALD28">
        <v>0</v>
      </c>
      <c r="ALE28">
        <v>0</v>
      </c>
      <c r="ALF28">
        <v>0</v>
      </c>
      <c r="ALG28">
        <v>0</v>
      </c>
      <c r="ALH28">
        <v>0</v>
      </c>
      <c r="ALI28">
        <v>0</v>
      </c>
      <c r="ALJ28">
        <v>0</v>
      </c>
      <c r="ALK28">
        <v>0</v>
      </c>
      <c r="ALL28">
        <v>0</v>
      </c>
      <c r="ALM28">
        <v>0</v>
      </c>
      <c r="ALN28">
        <v>0</v>
      </c>
      <c r="ALO28">
        <v>0</v>
      </c>
      <c r="ALP28">
        <v>0</v>
      </c>
      <c r="ALQ28">
        <v>0</v>
      </c>
      <c r="ALR28" s="116">
        <v>0</v>
      </c>
      <c r="ALS28" s="116">
        <v>0</v>
      </c>
      <c r="ALT28" s="116">
        <v>0</v>
      </c>
      <c r="ALU28" s="116">
        <v>0</v>
      </c>
      <c r="ALV28" s="116">
        <v>0</v>
      </c>
      <c r="ALW28" s="116">
        <v>0</v>
      </c>
      <c r="ALX28" s="116">
        <v>0</v>
      </c>
      <c r="ALY28" s="116">
        <v>0</v>
      </c>
      <c r="ALZ28" s="116">
        <v>0</v>
      </c>
      <c r="AMA28" s="128">
        <v>0</v>
      </c>
      <c r="AMB28" s="128">
        <v>0</v>
      </c>
      <c r="AMC28" s="128">
        <v>0</v>
      </c>
      <c r="AMD28" s="128">
        <v>0</v>
      </c>
      <c r="AME28">
        <v>0</v>
      </c>
      <c r="AMF28" s="119">
        <v>0</v>
      </c>
      <c r="AMG28" s="119">
        <v>0</v>
      </c>
      <c r="AMH28" s="119">
        <v>0</v>
      </c>
      <c r="AMI28" s="119">
        <v>0</v>
      </c>
      <c r="AMJ28" s="121">
        <v>0</v>
      </c>
      <c r="AMK28" s="119">
        <v>0</v>
      </c>
      <c r="AML28" s="119">
        <v>0</v>
      </c>
      <c r="AMM28">
        <v>0</v>
      </c>
      <c r="AMN28">
        <v>0</v>
      </c>
      <c r="AMO28">
        <v>0</v>
      </c>
      <c r="AMP28" s="119">
        <v>0</v>
      </c>
      <c r="AMQ28">
        <v>0</v>
      </c>
      <c r="AMR28">
        <v>0</v>
      </c>
      <c r="AMS28">
        <v>0</v>
      </c>
      <c r="AMT28">
        <v>0</v>
      </c>
      <c r="AMU28">
        <v>0</v>
      </c>
      <c r="AMV28">
        <v>0</v>
      </c>
      <c r="AMW28">
        <v>0</v>
      </c>
      <c r="AMX28">
        <v>0</v>
      </c>
      <c r="AMY28">
        <v>0</v>
      </c>
      <c r="AMZ28">
        <v>0</v>
      </c>
      <c r="ANA28">
        <v>0</v>
      </c>
      <c r="ANB28">
        <v>0</v>
      </c>
      <c r="ANC28">
        <v>0</v>
      </c>
      <c r="AND28">
        <v>0</v>
      </c>
      <c r="ANE28">
        <v>0</v>
      </c>
      <c r="ANF28">
        <v>0</v>
      </c>
      <c r="ANG28">
        <v>0</v>
      </c>
      <c r="ANH28">
        <v>0</v>
      </c>
      <c r="ANI28">
        <v>0</v>
      </c>
      <c r="ANJ28">
        <v>0</v>
      </c>
      <c r="ANK28">
        <v>0</v>
      </c>
      <c r="ANL28">
        <v>0</v>
      </c>
      <c r="ANM28">
        <v>0</v>
      </c>
      <c r="ANN28" s="116">
        <v>0</v>
      </c>
      <c r="ANO28" s="116">
        <v>0</v>
      </c>
      <c r="ANP28" s="116">
        <v>0</v>
      </c>
      <c r="ANQ28" s="116">
        <v>0</v>
      </c>
      <c r="ANR28" s="116">
        <v>0</v>
      </c>
      <c r="ANS28" s="116">
        <v>0</v>
      </c>
      <c r="ANT28" s="116">
        <v>0</v>
      </c>
      <c r="ANU28" s="116">
        <v>0</v>
      </c>
      <c r="ANV28" s="116">
        <v>0</v>
      </c>
      <c r="ANW28" s="128">
        <v>0</v>
      </c>
      <c r="ANX28" s="128">
        <v>0</v>
      </c>
      <c r="ANY28" s="128">
        <v>0</v>
      </c>
      <c r="ANZ28" s="128">
        <v>0</v>
      </c>
      <c r="AOA28">
        <v>0</v>
      </c>
      <c r="AOB28" s="119">
        <v>0</v>
      </c>
      <c r="AOC28" s="119">
        <v>0</v>
      </c>
      <c r="AOD28" s="119">
        <v>0</v>
      </c>
      <c r="AOE28" s="119">
        <v>0</v>
      </c>
      <c r="AOF28" s="121">
        <v>0</v>
      </c>
      <c r="AOG28" s="119">
        <v>0</v>
      </c>
      <c r="AOH28" s="119">
        <v>0</v>
      </c>
      <c r="AOI28">
        <v>0</v>
      </c>
      <c r="AOJ28">
        <v>0</v>
      </c>
      <c r="AOK28">
        <v>0</v>
      </c>
      <c r="AOL28" s="119">
        <v>0</v>
      </c>
      <c r="AOM28">
        <v>0</v>
      </c>
      <c r="AON28">
        <v>0</v>
      </c>
      <c r="AOO28">
        <v>0</v>
      </c>
      <c r="AOP28">
        <v>0</v>
      </c>
      <c r="AOQ28">
        <v>0</v>
      </c>
      <c r="AOR28">
        <v>0</v>
      </c>
      <c r="AOS28">
        <v>0</v>
      </c>
      <c r="AOT28">
        <v>0</v>
      </c>
      <c r="AOU28">
        <v>0</v>
      </c>
      <c r="AOV28">
        <v>0</v>
      </c>
      <c r="AOW28">
        <v>0</v>
      </c>
      <c r="AOX28">
        <v>0</v>
      </c>
      <c r="AOY28">
        <v>0</v>
      </c>
      <c r="AOZ28">
        <v>0</v>
      </c>
      <c r="APA28">
        <v>0</v>
      </c>
      <c r="APB28">
        <v>0</v>
      </c>
      <c r="APC28">
        <v>0</v>
      </c>
      <c r="APD28">
        <v>0</v>
      </c>
      <c r="APE28">
        <v>0</v>
      </c>
      <c r="APF28">
        <v>0</v>
      </c>
      <c r="APG28">
        <v>0</v>
      </c>
      <c r="APH28">
        <v>0</v>
      </c>
      <c r="API28">
        <v>0</v>
      </c>
      <c r="APJ28" s="116">
        <v>0</v>
      </c>
      <c r="APK28" s="116">
        <v>0</v>
      </c>
      <c r="APL28" s="116">
        <v>0</v>
      </c>
      <c r="APM28" s="116">
        <v>0</v>
      </c>
      <c r="APN28" s="116">
        <v>0</v>
      </c>
      <c r="APO28" s="116">
        <v>0</v>
      </c>
      <c r="APP28" s="116">
        <v>0</v>
      </c>
      <c r="APQ28" s="116">
        <v>0</v>
      </c>
      <c r="APR28" s="116">
        <v>0</v>
      </c>
      <c r="APS28" s="128">
        <v>0</v>
      </c>
      <c r="APT28" s="128">
        <v>0</v>
      </c>
      <c r="APU28" s="128">
        <v>0</v>
      </c>
      <c r="APV28" s="128">
        <v>0</v>
      </c>
      <c r="APW28">
        <v>0</v>
      </c>
      <c r="APX28" s="119">
        <v>0</v>
      </c>
      <c r="APY28" s="119">
        <v>0</v>
      </c>
      <c r="APZ28" s="119">
        <v>0</v>
      </c>
      <c r="AQA28" s="119">
        <v>0</v>
      </c>
      <c r="AQB28" s="121">
        <v>0</v>
      </c>
      <c r="AQC28" s="119">
        <v>0</v>
      </c>
      <c r="AQD28" s="119">
        <v>0</v>
      </c>
      <c r="AQE28">
        <v>0</v>
      </c>
      <c r="AQF28">
        <v>0</v>
      </c>
      <c r="AQG28">
        <v>0</v>
      </c>
      <c r="AQH28" s="119">
        <v>0</v>
      </c>
      <c r="AQI28">
        <v>0</v>
      </c>
      <c r="AQJ28">
        <v>0</v>
      </c>
      <c r="AQK28">
        <v>0</v>
      </c>
      <c r="AQL28">
        <v>0</v>
      </c>
      <c r="AQM28">
        <v>0</v>
      </c>
      <c r="AQN28">
        <v>0</v>
      </c>
      <c r="AQO28">
        <v>0</v>
      </c>
      <c r="AQP28">
        <v>0</v>
      </c>
      <c r="AQQ28">
        <v>0</v>
      </c>
      <c r="AQR28">
        <v>0</v>
      </c>
      <c r="AQS28">
        <v>0</v>
      </c>
      <c r="AQT28">
        <v>0</v>
      </c>
      <c r="AQU28">
        <v>0</v>
      </c>
      <c r="AQV28">
        <v>0</v>
      </c>
      <c r="AQW28">
        <v>0</v>
      </c>
      <c r="AQX28">
        <v>0</v>
      </c>
      <c r="AQY28">
        <v>0</v>
      </c>
      <c r="AQZ28">
        <v>0</v>
      </c>
      <c r="ARA28">
        <v>0</v>
      </c>
      <c r="ARB28">
        <v>0</v>
      </c>
      <c r="ARC28">
        <v>0</v>
      </c>
      <c r="ARD28">
        <v>0</v>
      </c>
      <c r="ARE28">
        <v>0</v>
      </c>
      <c r="ARF28">
        <v>0</v>
      </c>
      <c r="ARG28">
        <v>0</v>
      </c>
      <c r="ARH28">
        <v>0</v>
      </c>
      <c r="ARI28">
        <v>0</v>
      </c>
      <c r="ARJ28">
        <v>0</v>
      </c>
      <c r="ARK28">
        <v>0</v>
      </c>
      <c r="ARL28">
        <v>0</v>
      </c>
      <c r="ARM28">
        <v>0</v>
      </c>
      <c r="ARN28">
        <v>0</v>
      </c>
      <c r="ARO28" s="128">
        <v>0</v>
      </c>
      <c r="ARP28" s="128">
        <v>0</v>
      </c>
      <c r="ARQ28" s="128">
        <v>0</v>
      </c>
      <c r="ARR28" s="128">
        <v>0</v>
      </c>
      <c r="ARS28">
        <v>0</v>
      </c>
      <c r="ART28" s="119">
        <v>0</v>
      </c>
      <c r="ARU28" s="119">
        <v>0</v>
      </c>
      <c r="ARV28" s="119">
        <v>0</v>
      </c>
      <c r="ARW28" s="119">
        <v>0</v>
      </c>
      <c r="ARX28" s="121">
        <v>0</v>
      </c>
      <c r="ARY28" s="119">
        <v>0</v>
      </c>
      <c r="ARZ28" s="119">
        <v>0</v>
      </c>
      <c r="ASA28">
        <v>0</v>
      </c>
      <c r="ASB28">
        <v>0</v>
      </c>
      <c r="ASC28">
        <v>0</v>
      </c>
      <c r="ASD28" s="119">
        <v>0</v>
      </c>
      <c r="ASE28">
        <v>0</v>
      </c>
      <c r="ASF28">
        <v>0</v>
      </c>
      <c r="ASG28">
        <v>0</v>
      </c>
      <c r="ASH28">
        <v>0</v>
      </c>
      <c r="ASI28">
        <v>0</v>
      </c>
      <c r="ASJ28">
        <v>0</v>
      </c>
      <c r="ASK28">
        <v>0</v>
      </c>
      <c r="ASL28">
        <v>0</v>
      </c>
      <c r="ASM28">
        <v>0</v>
      </c>
      <c r="ASN28">
        <v>0</v>
      </c>
      <c r="ASO28">
        <v>0</v>
      </c>
      <c r="ASP28">
        <v>0</v>
      </c>
      <c r="ASQ28">
        <v>0</v>
      </c>
      <c r="ASR28">
        <v>0</v>
      </c>
      <c r="ASS28">
        <v>0</v>
      </c>
      <c r="AST28">
        <v>0</v>
      </c>
      <c r="ASU28">
        <v>0</v>
      </c>
      <c r="ASV28">
        <v>0</v>
      </c>
      <c r="ASW28">
        <v>0</v>
      </c>
      <c r="ASX28">
        <v>0</v>
      </c>
      <c r="ASY28">
        <v>0</v>
      </c>
      <c r="ASZ28">
        <v>0</v>
      </c>
      <c r="ATA28">
        <v>0</v>
      </c>
      <c r="ATB28" s="116">
        <v>0</v>
      </c>
      <c r="ATC28" s="116">
        <v>0</v>
      </c>
      <c r="ATD28" s="116">
        <v>0</v>
      </c>
      <c r="ATE28" s="116">
        <v>0</v>
      </c>
      <c r="ATF28" s="116">
        <v>0</v>
      </c>
      <c r="ATG28" s="116">
        <v>0</v>
      </c>
      <c r="ATH28" s="116">
        <v>0</v>
      </c>
      <c r="ATI28" s="116">
        <v>0</v>
      </c>
      <c r="ATJ28" s="116">
        <v>0</v>
      </c>
      <c r="ATK28" s="128">
        <v>0</v>
      </c>
      <c r="ATL28" s="128">
        <v>0</v>
      </c>
      <c r="ATM28" s="128">
        <v>0</v>
      </c>
      <c r="ATN28" s="128">
        <v>0</v>
      </c>
      <c r="ATO28">
        <v>0</v>
      </c>
      <c r="ATP28" s="119">
        <v>0</v>
      </c>
      <c r="ATQ28" s="119">
        <v>0</v>
      </c>
      <c r="ATR28" s="119">
        <v>0</v>
      </c>
      <c r="ATS28" s="119">
        <v>0</v>
      </c>
      <c r="ATT28" s="121">
        <v>0</v>
      </c>
      <c r="ATU28" s="119">
        <v>0</v>
      </c>
      <c r="ATV28" s="119">
        <v>0</v>
      </c>
      <c r="ATW28">
        <v>0</v>
      </c>
      <c r="ATX28">
        <v>0</v>
      </c>
      <c r="ATY28">
        <v>0</v>
      </c>
      <c r="ATZ28" s="119">
        <v>0</v>
      </c>
      <c r="AUA28">
        <v>0</v>
      </c>
      <c r="AUB28">
        <v>0</v>
      </c>
      <c r="AUC28">
        <v>0</v>
      </c>
      <c r="AUD28">
        <v>0</v>
      </c>
      <c r="AUE28">
        <v>0</v>
      </c>
      <c r="AUF28">
        <v>0</v>
      </c>
      <c r="AUG28">
        <v>0</v>
      </c>
      <c r="AUH28">
        <v>0</v>
      </c>
      <c r="AUI28">
        <v>0</v>
      </c>
      <c r="AUJ28">
        <v>0</v>
      </c>
      <c r="AUK28">
        <v>0</v>
      </c>
      <c r="AUL28">
        <v>0</v>
      </c>
      <c r="AUM28">
        <v>0</v>
      </c>
      <c r="AUN28">
        <v>0</v>
      </c>
      <c r="AUO28">
        <v>0</v>
      </c>
      <c r="AUP28">
        <v>0</v>
      </c>
      <c r="AUQ28">
        <v>0</v>
      </c>
      <c r="AUR28">
        <v>0</v>
      </c>
      <c r="AUS28">
        <v>0</v>
      </c>
      <c r="AUT28">
        <v>0</v>
      </c>
      <c r="AUU28">
        <v>0</v>
      </c>
      <c r="AUV28">
        <v>0</v>
      </c>
      <c r="AUW28">
        <v>0</v>
      </c>
      <c r="AUX28" s="116">
        <v>0</v>
      </c>
      <c r="AUY28" s="116">
        <v>0</v>
      </c>
      <c r="AUZ28" s="116">
        <v>0</v>
      </c>
      <c r="AVA28" s="116">
        <v>0</v>
      </c>
      <c r="AVB28" s="116">
        <v>0</v>
      </c>
      <c r="AVC28" s="116">
        <v>0</v>
      </c>
      <c r="AVD28" s="116">
        <v>0</v>
      </c>
      <c r="AVE28" s="116">
        <v>0</v>
      </c>
      <c r="AVF28" s="116">
        <v>0</v>
      </c>
      <c r="AVG28" s="128">
        <v>0</v>
      </c>
      <c r="AVH28" s="128">
        <v>0</v>
      </c>
      <c r="AVI28" s="128">
        <v>0</v>
      </c>
      <c r="AVJ28" s="128">
        <v>0</v>
      </c>
      <c r="AVK28">
        <v>0</v>
      </c>
      <c r="AVL28" s="119">
        <v>0</v>
      </c>
      <c r="AVM28" s="119">
        <v>0</v>
      </c>
      <c r="AVN28" s="119">
        <v>0</v>
      </c>
      <c r="AVO28" s="119">
        <v>0</v>
      </c>
      <c r="AVP28" s="121">
        <v>0</v>
      </c>
      <c r="AVQ28" s="119">
        <v>0</v>
      </c>
      <c r="AVR28" s="119">
        <v>0</v>
      </c>
      <c r="AVS28">
        <v>0</v>
      </c>
      <c r="AVT28">
        <v>0</v>
      </c>
      <c r="AVU28">
        <v>0</v>
      </c>
      <c r="AVV28" s="119">
        <v>0</v>
      </c>
      <c r="AVW28">
        <v>0</v>
      </c>
      <c r="AVX28">
        <v>0</v>
      </c>
      <c r="AVY28">
        <v>0</v>
      </c>
      <c r="AVZ28">
        <v>0</v>
      </c>
      <c r="AWA28">
        <v>0</v>
      </c>
      <c r="AWB28">
        <v>0</v>
      </c>
      <c r="AWC28">
        <v>0</v>
      </c>
      <c r="AWD28">
        <v>0</v>
      </c>
      <c r="AWE28">
        <v>0</v>
      </c>
      <c r="AWF28">
        <v>0</v>
      </c>
      <c r="AWG28">
        <v>0</v>
      </c>
      <c r="AWH28">
        <v>0</v>
      </c>
      <c r="AWI28">
        <v>0</v>
      </c>
      <c r="AWJ28">
        <v>0</v>
      </c>
      <c r="AWK28">
        <v>0</v>
      </c>
      <c r="AWL28">
        <v>0</v>
      </c>
      <c r="AWM28">
        <v>0</v>
      </c>
      <c r="AWN28">
        <v>0</v>
      </c>
      <c r="AWO28">
        <v>0</v>
      </c>
      <c r="AWP28">
        <v>0</v>
      </c>
      <c r="AWQ28">
        <v>0</v>
      </c>
      <c r="AWR28">
        <v>0</v>
      </c>
      <c r="AWS28">
        <v>0</v>
      </c>
      <c r="AWT28" s="116">
        <v>0</v>
      </c>
      <c r="AWU28" s="116">
        <v>0</v>
      </c>
      <c r="AWV28" s="116">
        <v>0</v>
      </c>
      <c r="AWW28" s="116">
        <v>0</v>
      </c>
      <c r="AWX28" s="116">
        <v>0</v>
      </c>
      <c r="AWY28" s="116">
        <v>0</v>
      </c>
      <c r="AWZ28" s="116">
        <v>0</v>
      </c>
      <c r="AXA28" s="116">
        <v>0</v>
      </c>
      <c r="AXB28" s="116">
        <v>0</v>
      </c>
      <c r="AXC28" s="128">
        <v>0</v>
      </c>
      <c r="AXD28" s="128">
        <v>0</v>
      </c>
      <c r="AXE28" s="128">
        <v>0</v>
      </c>
      <c r="AXF28" s="128">
        <v>0</v>
      </c>
      <c r="AXG28">
        <v>0</v>
      </c>
      <c r="AXH28" s="119">
        <v>0</v>
      </c>
      <c r="AXI28" s="119">
        <v>0</v>
      </c>
      <c r="AXJ28" s="119">
        <v>0</v>
      </c>
      <c r="AXK28" s="119">
        <v>0</v>
      </c>
      <c r="AXL28" s="121">
        <v>0</v>
      </c>
      <c r="AXM28" s="119">
        <v>0</v>
      </c>
      <c r="AXN28" s="119">
        <v>0</v>
      </c>
      <c r="AXO28">
        <v>0</v>
      </c>
      <c r="AXP28">
        <v>0</v>
      </c>
      <c r="AXQ28">
        <v>0</v>
      </c>
      <c r="AXR28" s="119">
        <v>0</v>
      </c>
      <c r="AXS28">
        <v>0</v>
      </c>
      <c r="AXT28">
        <v>0</v>
      </c>
      <c r="AXU28">
        <v>0</v>
      </c>
      <c r="AXV28">
        <v>0</v>
      </c>
      <c r="AXW28">
        <v>0</v>
      </c>
      <c r="AXX28">
        <v>0</v>
      </c>
      <c r="AXY28">
        <v>0</v>
      </c>
      <c r="AXZ28">
        <v>0</v>
      </c>
      <c r="AYA28">
        <v>0</v>
      </c>
      <c r="AYB28">
        <v>0</v>
      </c>
      <c r="AYC28">
        <v>0</v>
      </c>
      <c r="AYD28">
        <v>0</v>
      </c>
      <c r="AYE28">
        <v>0</v>
      </c>
      <c r="AYF28">
        <v>0</v>
      </c>
      <c r="AYG28">
        <v>0</v>
      </c>
      <c r="AYH28">
        <v>0</v>
      </c>
      <c r="AYI28">
        <v>0</v>
      </c>
      <c r="AYJ28">
        <v>0</v>
      </c>
      <c r="AYK28">
        <v>0</v>
      </c>
      <c r="AYL28">
        <v>0</v>
      </c>
      <c r="AYM28">
        <v>0</v>
      </c>
      <c r="AYN28">
        <v>0</v>
      </c>
      <c r="AYO28">
        <v>0</v>
      </c>
      <c r="AYP28" s="116">
        <v>0</v>
      </c>
      <c r="AYQ28" s="116">
        <v>0</v>
      </c>
      <c r="AYR28" s="116">
        <v>0</v>
      </c>
      <c r="AYS28" s="116">
        <v>0</v>
      </c>
      <c r="AYT28" s="116">
        <v>0</v>
      </c>
      <c r="AYU28" s="116">
        <v>0</v>
      </c>
      <c r="AYV28" s="116">
        <v>0</v>
      </c>
      <c r="AYW28" s="116">
        <v>0</v>
      </c>
      <c r="AYX28" s="116">
        <v>0</v>
      </c>
      <c r="AYY28" s="128">
        <v>0</v>
      </c>
      <c r="AYZ28" s="128">
        <v>0</v>
      </c>
      <c r="AZA28" s="128">
        <v>0</v>
      </c>
      <c r="AZB28" s="128">
        <v>0</v>
      </c>
      <c r="AZC28">
        <v>0</v>
      </c>
      <c r="AZD28" s="119">
        <v>0</v>
      </c>
      <c r="AZE28" s="119">
        <v>0</v>
      </c>
      <c r="AZF28" s="119">
        <v>0</v>
      </c>
      <c r="AZG28" s="119">
        <v>0</v>
      </c>
      <c r="AZH28" s="121">
        <v>0</v>
      </c>
      <c r="AZI28" s="119">
        <v>0</v>
      </c>
      <c r="AZJ28" s="119">
        <v>0</v>
      </c>
      <c r="AZK28">
        <v>0</v>
      </c>
      <c r="AZL28">
        <v>0</v>
      </c>
      <c r="AZM28">
        <v>0</v>
      </c>
      <c r="AZN28" s="119">
        <v>0</v>
      </c>
      <c r="AZO28">
        <v>0</v>
      </c>
      <c r="AZP28">
        <v>0</v>
      </c>
      <c r="AZQ28">
        <v>0</v>
      </c>
      <c r="AZR28">
        <v>0</v>
      </c>
      <c r="AZS28">
        <v>0</v>
      </c>
      <c r="AZT28">
        <v>0</v>
      </c>
      <c r="AZU28">
        <v>0</v>
      </c>
      <c r="AZV28">
        <v>0</v>
      </c>
      <c r="AZW28">
        <v>0</v>
      </c>
      <c r="AZX28">
        <v>0</v>
      </c>
      <c r="AZY28">
        <v>0</v>
      </c>
      <c r="AZZ28">
        <v>0</v>
      </c>
      <c r="BAA28">
        <v>0</v>
      </c>
      <c r="BAB28">
        <v>0</v>
      </c>
      <c r="BAC28">
        <v>0</v>
      </c>
      <c r="BAD28">
        <v>0</v>
      </c>
      <c r="BAE28">
        <v>0</v>
      </c>
      <c r="BAF28">
        <v>0</v>
      </c>
      <c r="BAG28">
        <v>0</v>
      </c>
      <c r="BAH28">
        <v>0</v>
      </c>
      <c r="BAI28">
        <v>0</v>
      </c>
      <c r="BAJ28">
        <v>0</v>
      </c>
      <c r="BAK28">
        <v>1689973</v>
      </c>
      <c r="BAL28">
        <v>6162.95</v>
      </c>
      <c r="BAM28" s="120">
        <v>5198.95</v>
      </c>
      <c r="BAN28" s="120">
        <v>964</v>
      </c>
      <c r="BAO28" s="120">
        <v>0</v>
      </c>
      <c r="BAP28" s="120">
        <v>0</v>
      </c>
      <c r="BAQ28" s="120">
        <v>0</v>
      </c>
      <c r="BAR28" s="120" t="s">
        <v>3218</v>
      </c>
      <c r="BAS28" s="116">
        <v>0</v>
      </c>
      <c r="BAT28" s="116">
        <v>0</v>
      </c>
      <c r="BAU28" s="116">
        <v>0</v>
      </c>
      <c r="BAV28" s="116">
        <v>0</v>
      </c>
      <c r="BAW28" s="116">
        <v>0</v>
      </c>
      <c r="BAX28" s="116">
        <v>0</v>
      </c>
      <c r="BAY28" s="116">
        <v>0</v>
      </c>
      <c r="BAZ28" s="116">
        <v>0</v>
      </c>
      <c r="BBA28" s="116">
        <v>0</v>
      </c>
      <c r="BBB28" s="116">
        <v>0</v>
      </c>
      <c r="BBC28" s="116">
        <v>0</v>
      </c>
      <c r="BBD28" s="116">
        <v>0</v>
      </c>
      <c r="BBE28" s="116">
        <v>0</v>
      </c>
      <c r="BBF28" s="116">
        <v>0</v>
      </c>
      <c r="BBG28" s="116">
        <v>0</v>
      </c>
      <c r="BBH28" s="116">
        <v>0</v>
      </c>
      <c r="BBI28" s="116">
        <v>0</v>
      </c>
      <c r="BBJ28" s="116">
        <v>0</v>
      </c>
      <c r="BBK28" s="116">
        <v>0</v>
      </c>
      <c r="BBL28" s="116">
        <v>0</v>
      </c>
      <c r="BBM28" s="116">
        <v>0</v>
      </c>
      <c r="BBN28" s="116">
        <v>0</v>
      </c>
      <c r="BBO28" s="116">
        <v>0</v>
      </c>
      <c r="BBP28" s="116">
        <v>0</v>
      </c>
      <c r="BBQ28" s="116" t="s">
        <v>3296</v>
      </c>
      <c r="BBR28" s="116">
        <v>0</v>
      </c>
      <c r="BBS28" s="116">
        <v>0</v>
      </c>
      <c r="BBT28" s="116">
        <v>0</v>
      </c>
      <c r="BBU28" s="116">
        <v>0</v>
      </c>
      <c r="BBV28" s="116">
        <v>0</v>
      </c>
      <c r="BBW28" s="116">
        <v>0</v>
      </c>
      <c r="BBX28" s="116">
        <v>0</v>
      </c>
      <c r="BBY28" s="116">
        <v>0</v>
      </c>
      <c r="BBZ28" s="116">
        <v>0</v>
      </c>
      <c r="BCA28" s="116">
        <v>0</v>
      </c>
      <c r="BCB28" s="116">
        <v>0</v>
      </c>
      <c r="BCC28" s="116">
        <v>0</v>
      </c>
      <c r="BCD28" s="116">
        <v>0</v>
      </c>
      <c r="BCE28" s="116">
        <v>0</v>
      </c>
      <c r="BCF28" s="116">
        <v>0</v>
      </c>
      <c r="BCG28" s="116">
        <v>0</v>
      </c>
      <c r="BCH28" s="116">
        <v>0</v>
      </c>
      <c r="BCI28" s="116">
        <v>0</v>
      </c>
      <c r="BCJ28" s="116">
        <v>0</v>
      </c>
      <c r="BCK28" s="116">
        <v>0</v>
      </c>
      <c r="BCL28" s="116">
        <v>0</v>
      </c>
      <c r="BCM28" s="116">
        <v>0</v>
      </c>
      <c r="BCN28" s="116">
        <v>0</v>
      </c>
      <c r="BCO28" s="116">
        <v>0</v>
      </c>
      <c r="BCP28" s="116">
        <v>4</v>
      </c>
      <c r="BCQ28" s="304">
        <v>6</v>
      </c>
      <c r="BCR28" s="304">
        <v>0</v>
      </c>
      <c r="BCS28" s="304">
        <v>4</v>
      </c>
      <c r="BCT28" s="304">
        <v>9</v>
      </c>
      <c r="BCU28" s="304">
        <v>1</v>
      </c>
      <c r="BCV28" s="304">
        <v>0</v>
      </c>
      <c r="BCW28" s="304">
        <v>2</v>
      </c>
      <c r="BCX28" s="304">
        <v>4</v>
      </c>
      <c r="BCY28" s="304">
        <v>0</v>
      </c>
      <c r="BCZ28" s="304">
        <v>0</v>
      </c>
      <c r="BDA28" s="304">
        <v>0</v>
      </c>
      <c r="BDB28" s="304">
        <v>0</v>
      </c>
      <c r="BDC28" s="304">
        <v>0</v>
      </c>
      <c r="BDD28" s="304">
        <v>0</v>
      </c>
      <c r="BDE28" s="304">
        <v>0</v>
      </c>
      <c r="BDF28" s="304">
        <v>0</v>
      </c>
      <c r="BDG28" s="304">
        <v>0</v>
      </c>
      <c r="BDH28" s="304">
        <v>0</v>
      </c>
      <c r="BDI28" s="304">
        <v>0</v>
      </c>
      <c r="BDJ28" s="304">
        <v>0</v>
      </c>
      <c r="BDK28" s="304">
        <v>0</v>
      </c>
      <c r="BDL28" s="304">
        <v>0</v>
      </c>
      <c r="BDM28" s="304">
        <v>0</v>
      </c>
      <c r="BDN28" s="304">
        <v>0</v>
      </c>
      <c r="BDO28" s="304">
        <v>0</v>
      </c>
      <c r="BDP28" s="304">
        <v>0</v>
      </c>
      <c r="BDQ28" s="304">
        <v>0</v>
      </c>
      <c r="BDR28" t="s">
        <v>2404</v>
      </c>
      <c r="BDS28" t="s">
        <v>3269</v>
      </c>
      <c r="BDT28" t="s">
        <v>3269</v>
      </c>
      <c r="BDU28">
        <v>0</v>
      </c>
      <c r="BDV28" t="s">
        <v>3270</v>
      </c>
      <c r="BDW28" t="s">
        <v>3269</v>
      </c>
      <c r="BDX28" t="s">
        <v>3269</v>
      </c>
      <c r="BDY28">
        <v>0</v>
      </c>
      <c r="BDZ28" t="s">
        <v>3270</v>
      </c>
      <c r="BEA28">
        <v>0</v>
      </c>
      <c r="BEB28">
        <v>0</v>
      </c>
      <c r="BEC28">
        <v>0</v>
      </c>
      <c r="BED28" t="s">
        <v>3269</v>
      </c>
      <c r="BEE28" t="s">
        <v>2404</v>
      </c>
      <c r="BEF28" t="s">
        <v>2921</v>
      </c>
      <c r="BEG28">
        <v>0</v>
      </c>
      <c r="BEH28" t="s">
        <v>3269</v>
      </c>
      <c r="BEI28" t="s">
        <v>3290</v>
      </c>
      <c r="BEJ28" t="s">
        <v>3269</v>
      </c>
      <c r="BEK28" t="s">
        <v>3269</v>
      </c>
      <c r="BEL28">
        <v>0</v>
      </c>
      <c r="BEM28" t="s">
        <v>3269</v>
      </c>
      <c r="BEN28" t="s">
        <v>3269</v>
      </c>
      <c r="BEO28" t="s">
        <v>3291</v>
      </c>
      <c r="BEP28" t="s">
        <v>3292</v>
      </c>
      <c r="BEQ28">
        <v>10</v>
      </c>
      <c r="BER28">
        <v>0</v>
      </c>
      <c r="BES28">
        <v>0</v>
      </c>
      <c r="BET28">
        <v>0</v>
      </c>
      <c r="BEU28" t="s">
        <v>3293</v>
      </c>
      <c r="BEV28">
        <v>5000</v>
      </c>
      <c r="BEW28">
        <v>25000</v>
      </c>
      <c r="BEX28" t="s">
        <v>3269</v>
      </c>
      <c r="BEY28" t="s">
        <v>3270</v>
      </c>
      <c r="BEZ28" t="s">
        <v>3278</v>
      </c>
      <c r="BFA28" t="s">
        <v>2404</v>
      </c>
      <c r="BFB28" t="s">
        <v>2404</v>
      </c>
      <c r="BFC28" t="s">
        <v>3284</v>
      </c>
      <c r="BFD28" t="b">
        <v>0</v>
      </c>
      <c r="BFE28" t="b">
        <v>0</v>
      </c>
      <c r="BFF28" t="b">
        <v>0</v>
      </c>
      <c r="BFG28" t="b">
        <v>0</v>
      </c>
      <c r="BFH28">
        <v>43628</v>
      </c>
      <c r="BFI28">
        <v>43628</v>
      </c>
      <c r="BFJ28">
        <v>0</v>
      </c>
      <c r="BFK28" t="s">
        <v>3294</v>
      </c>
      <c r="BFL28" t="s">
        <v>3295</v>
      </c>
      <c r="BFM28">
        <v>0</v>
      </c>
      <c r="BFN28">
        <v>0</v>
      </c>
      <c r="BFO28">
        <v>0</v>
      </c>
      <c r="BFP28">
        <v>0</v>
      </c>
      <c r="BFQ28">
        <v>0</v>
      </c>
      <c r="BFR28">
        <v>0</v>
      </c>
      <c r="BFS28">
        <v>0</v>
      </c>
      <c r="BFT28">
        <v>0</v>
      </c>
      <c r="BFU28">
        <v>0</v>
      </c>
      <c r="BFV28">
        <v>0</v>
      </c>
      <c r="BFW28" t="s">
        <v>2403</v>
      </c>
      <c r="BFX28" t="s">
        <v>2403</v>
      </c>
      <c r="BFY28">
        <v>0</v>
      </c>
    </row>
    <row r="29" spans="1:1533" ht="18.75" customHeight="1" x14ac:dyDescent="0.25">
      <c r="A29" t="s">
        <v>3297</v>
      </c>
      <c r="B29" t="s">
        <v>3309</v>
      </c>
      <c r="C29" s="120">
        <v>130</v>
      </c>
      <c r="D29" s="120">
        <v>45</v>
      </c>
      <c r="E29">
        <v>0</v>
      </c>
      <c r="F29">
        <v>0</v>
      </c>
      <c r="G29">
        <v>0</v>
      </c>
      <c r="H29" t="s">
        <v>2403</v>
      </c>
      <c r="I29" t="s">
        <v>2403</v>
      </c>
      <c r="J29" t="s">
        <v>2403</v>
      </c>
      <c r="K29" t="s">
        <v>2403</v>
      </c>
      <c r="L29" t="s">
        <v>2403</v>
      </c>
      <c r="M29" t="s">
        <v>1883</v>
      </c>
      <c r="N29" t="s">
        <v>2403</v>
      </c>
      <c r="O29" t="s">
        <v>1883</v>
      </c>
      <c r="P29" t="s">
        <v>1883</v>
      </c>
      <c r="Q29" t="s">
        <v>2403</v>
      </c>
      <c r="R29" t="s">
        <v>1883</v>
      </c>
      <c r="S29" t="s">
        <v>2403</v>
      </c>
      <c r="T29" t="s">
        <v>2404</v>
      </c>
      <c r="U29" t="s">
        <v>2424</v>
      </c>
      <c r="V29" t="s">
        <v>3207</v>
      </c>
      <c r="W29" t="s">
        <v>309</v>
      </c>
      <c r="X29">
        <v>900</v>
      </c>
      <c r="Y29">
        <v>43640</v>
      </c>
      <c r="Z29">
        <v>441.75</v>
      </c>
      <c r="AA29">
        <v>0</v>
      </c>
      <c r="AB29" s="120">
        <v>0</v>
      </c>
      <c r="AC29" s="58" t="s">
        <v>272</v>
      </c>
      <c r="AD29" s="120">
        <v>25</v>
      </c>
      <c r="AE29" s="120">
        <v>0</v>
      </c>
      <c r="AF29" s="120">
        <v>43666</v>
      </c>
      <c r="AG29">
        <v>45</v>
      </c>
      <c r="AH29" s="120">
        <v>0</v>
      </c>
      <c r="AI29" s="120">
        <v>0</v>
      </c>
      <c r="AJ29" s="58" t="s">
        <v>271</v>
      </c>
      <c r="AK29" s="120">
        <v>0.17899999999999999</v>
      </c>
      <c r="AL29" s="119">
        <v>0</v>
      </c>
      <c r="AM29">
        <v>50</v>
      </c>
      <c r="AN29">
        <v>46011</v>
      </c>
      <c r="AO29" s="114">
        <v>0.202437018117128</v>
      </c>
      <c r="AP29" s="120">
        <v>12014.13</v>
      </c>
      <c r="AQ29" s="120">
        <v>9679.1600000000017</v>
      </c>
      <c r="AR29" s="58">
        <v>21693.29</v>
      </c>
      <c r="AS29" s="114">
        <v>278.12</v>
      </c>
      <c r="AT29" s="120">
        <v>278.05</v>
      </c>
      <c r="AU29" s="120" t="s">
        <v>1910</v>
      </c>
      <c r="AV29" s="120" t="s">
        <v>2119</v>
      </c>
      <c r="AW29" s="120" t="s">
        <v>271</v>
      </c>
      <c r="AX29" s="120">
        <v>19</v>
      </c>
      <c r="AY29">
        <v>0</v>
      </c>
      <c r="AZ29">
        <v>43630</v>
      </c>
      <c r="BA29">
        <v>100</v>
      </c>
      <c r="BB29" s="120">
        <v>1</v>
      </c>
      <c r="BC29">
        <v>1</v>
      </c>
      <c r="BD29" s="58" t="s">
        <v>415</v>
      </c>
      <c r="BE29" s="120">
        <v>436</v>
      </c>
      <c r="BF29">
        <v>95</v>
      </c>
      <c r="BG29">
        <v>43636</v>
      </c>
      <c r="BH29">
        <v>78</v>
      </c>
      <c r="BI29" s="120">
        <v>0</v>
      </c>
      <c r="BJ29" s="120">
        <v>50</v>
      </c>
      <c r="BK29" s="367">
        <v>43466</v>
      </c>
      <c r="BL29">
        <v>0</v>
      </c>
      <c r="BM29" s="120">
        <v>0</v>
      </c>
      <c r="BN29" s="120">
        <v>0</v>
      </c>
      <c r="BO29" s="58" t="s">
        <v>3308</v>
      </c>
      <c r="BP29" t="s">
        <v>2403</v>
      </c>
      <c r="BQ29" t="s">
        <v>2403</v>
      </c>
      <c r="BR29" t="s">
        <v>2403</v>
      </c>
      <c r="BS29">
        <v>454278642</v>
      </c>
      <c r="BT29" s="366">
        <v>22399</v>
      </c>
      <c r="BU29" s="58" t="s">
        <v>3298</v>
      </c>
      <c r="BV29" t="s">
        <v>118</v>
      </c>
      <c r="BW29" t="s">
        <v>1633</v>
      </c>
      <c r="BX29">
        <v>77075</v>
      </c>
      <c r="BY29" t="s">
        <v>3298</v>
      </c>
      <c r="BZ29" t="s">
        <v>118</v>
      </c>
      <c r="CA29">
        <v>77075</v>
      </c>
      <c r="CB29" t="s">
        <v>1633</v>
      </c>
      <c r="CC29" t="s">
        <v>2040</v>
      </c>
      <c r="CD29" t="s">
        <v>3306</v>
      </c>
      <c r="CE29">
        <v>0</v>
      </c>
      <c r="CF29">
        <v>0</v>
      </c>
      <c r="CG29" t="s">
        <v>3300</v>
      </c>
      <c r="CH29">
        <v>0</v>
      </c>
      <c r="CI29">
        <v>0</v>
      </c>
      <c r="CJ29">
        <v>0</v>
      </c>
      <c r="CK29">
        <v>2817820566</v>
      </c>
      <c r="CL29" s="118">
        <v>7135014044</v>
      </c>
      <c r="CM29" s="118">
        <v>2817820566</v>
      </c>
      <c r="CN29" s="118" t="s">
        <v>3299</v>
      </c>
      <c r="CO29">
        <v>0</v>
      </c>
      <c r="CP29">
        <v>0</v>
      </c>
      <c r="CQ29">
        <v>0</v>
      </c>
      <c r="CR29">
        <v>0</v>
      </c>
      <c r="CS29">
        <v>0</v>
      </c>
      <c r="CT29">
        <v>0</v>
      </c>
      <c r="CU29">
        <v>0</v>
      </c>
      <c r="CV29">
        <v>0</v>
      </c>
      <c r="CW29">
        <v>0</v>
      </c>
      <c r="CX29" s="366">
        <v>0</v>
      </c>
      <c r="CY29" s="58">
        <v>0</v>
      </c>
      <c r="CZ29">
        <v>0</v>
      </c>
      <c r="DA29">
        <v>0</v>
      </c>
      <c r="DB29">
        <v>0</v>
      </c>
      <c r="DC29">
        <v>0</v>
      </c>
      <c r="DD29">
        <v>0</v>
      </c>
      <c r="DE29">
        <v>0</v>
      </c>
      <c r="DF29">
        <v>0</v>
      </c>
      <c r="DG29">
        <v>0</v>
      </c>
      <c r="DH29">
        <v>0</v>
      </c>
      <c r="DI29">
        <v>0</v>
      </c>
      <c r="DJ29">
        <v>0</v>
      </c>
      <c r="DK29">
        <v>0</v>
      </c>
      <c r="DL29" s="118">
        <v>0</v>
      </c>
      <c r="DM29" s="118">
        <v>0</v>
      </c>
      <c r="DN29" s="118" t="s">
        <v>3299</v>
      </c>
      <c r="DO29">
        <v>0</v>
      </c>
      <c r="DP29">
        <v>0</v>
      </c>
      <c r="DQ29">
        <v>0</v>
      </c>
      <c r="DR29">
        <v>0</v>
      </c>
      <c r="DS29">
        <v>0</v>
      </c>
      <c r="DT29">
        <v>0</v>
      </c>
      <c r="DU29">
        <v>0</v>
      </c>
      <c r="DV29">
        <v>0</v>
      </c>
      <c r="DW29">
        <v>0</v>
      </c>
      <c r="DX29" s="366">
        <v>0</v>
      </c>
      <c r="DY29" s="58">
        <v>0</v>
      </c>
      <c r="DZ29">
        <v>0</v>
      </c>
      <c r="EA29">
        <v>0</v>
      </c>
      <c r="EB29">
        <v>0</v>
      </c>
      <c r="EC29">
        <v>0</v>
      </c>
      <c r="ED29">
        <v>0</v>
      </c>
      <c r="EE29">
        <v>0</v>
      </c>
      <c r="EF29">
        <v>0</v>
      </c>
      <c r="EG29">
        <v>0</v>
      </c>
      <c r="EH29">
        <v>0</v>
      </c>
      <c r="EI29">
        <v>0</v>
      </c>
      <c r="EJ29">
        <v>0</v>
      </c>
      <c r="EK29">
        <v>0</v>
      </c>
      <c r="EL29" s="118">
        <v>0</v>
      </c>
      <c r="EM29" s="118">
        <v>0</v>
      </c>
      <c r="EN29" s="118">
        <v>0</v>
      </c>
      <c r="EO29">
        <v>1341.75</v>
      </c>
      <c r="EP29">
        <v>11033.3798828125</v>
      </c>
      <c r="EQ29" s="119">
        <v>1</v>
      </c>
      <c r="ER29">
        <v>2</v>
      </c>
      <c r="ES29" t="s">
        <v>2508</v>
      </c>
      <c r="ET29" t="s">
        <v>712</v>
      </c>
      <c r="EU29">
        <v>0</v>
      </c>
      <c r="EV29">
        <v>0</v>
      </c>
      <c r="EW29">
        <v>0</v>
      </c>
      <c r="EX29">
        <v>0</v>
      </c>
      <c r="EY29">
        <v>0</v>
      </c>
      <c r="EZ29">
        <v>0</v>
      </c>
      <c r="FA29">
        <v>0</v>
      </c>
      <c r="FB29">
        <v>0</v>
      </c>
      <c r="FC29">
        <v>0</v>
      </c>
      <c r="FD29">
        <v>0</v>
      </c>
      <c r="FE29">
        <v>0</v>
      </c>
      <c r="FF29">
        <v>0</v>
      </c>
      <c r="FG29">
        <v>0</v>
      </c>
      <c r="FH29">
        <v>0</v>
      </c>
      <c r="FI29">
        <v>0</v>
      </c>
      <c r="FJ29">
        <v>0</v>
      </c>
      <c r="FK29">
        <v>0</v>
      </c>
      <c r="FL29">
        <v>0</v>
      </c>
      <c r="FM29">
        <v>6051.24</v>
      </c>
      <c r="FN29" s="119">
        <v>4982.1400000000003</v>
      </c>
      <c r="FO29" s="119">
        <v>0</v>
      </c>
      <c r="FP29" s="119">
        <v>0</v>
      </c>
      <c r="FQ29" s="119">
        <v>0</v>
      </c>
      <c r="FR29" s="119">
        <v>0</v>
      </c>
      <c r="FS29" s="119">
        <v>0</v>
      </c>
      <c r="FT29" s="119">
        <v>0</v>
      </c>
      <c r="FU29" s="119">
        <v>0</v>
      </c>
      <c r="FV29" s="119">
        <v>0</v>
      </c>
      <c r="FW29" s="119">
        <v>0</v>
      </c>
      <c r="FX29" s="119">
        <v>0</v>
      </c>
      <c r="FY29" s="119">
        <v>0</v>
      </c>
      <c r="FZ29" s="119">
        <v>0</v>
      </c>
      <c r="GA29" s="119">
        <v>0</v>
      </c>
      <c r="GB29" s="119">
        <v>0</v>
      </c>
      <c r="GC29" s="119">
        <v>0</v>
      </c>
      <c r="GD29" s="119">
        <v>0</v>
      </c>
      <c r="GE29" s="119">
        <v>0</v>
      </c>
      <c r="GF29" s="119">
        <v>0</v>
      </c>
      <c r="GG29" s="119">
        <v>0</v>
      </c>
      <c r="GH29" t="s">
        <v>2403</v>
      </c>
      <c r="GI29">
        <v>0</v>
      </c>
      <c r="GJ29">
        <v>0</v>
      </c>
      <c r="GK29">
        <v>0</v>
      </c>
      <c r="GL29" t="s">
        <v>2403</v>
      </c>
      <c r="GM29">
        <v>0</v>
      </c>
      <c r="GN29" s="58" t="s">
        <v>2403</v>
      </c>
      <c r="GO29">
        <v>0</v>
      </c>
      <c r="GP29" t="s">
        <v>3301</v>
      </c>
      <c r="GQ29" s="128" t="s">
        <v>3301</v>
      </c>
      <c r="GR29" s="128">
        <v>0</v>
      </c>
      <c r="GS29" s="128">
        <v>0</v>
      </c>
      <c r="GT29" s="128" t="s">
        <v>3298</v>
      </c>
      <c r="GU29">
        <v>6051.24</v>
      </c>
      <c r="GV29" s="119">
        <v>4982.1400000000003</v>
      </c>
      <c r="GW29" s="119">
        <v>0</v>
      </c>
      <c r="GX29" s="119">
        <v>0</v>
      </c>
      <c r="GY29" s="119">
        <v>0</v>
      </c>
      <c r="GZ29">
        <v>0</v>
      </c>
      <c r="HA29">
        <v>0</v>
      </c>
      <c r="HB29">
        <v>0</v>
      </c>
      <c r="HC29">
        <v>11033.3798828125</v>
      </c>
      <c r="HD29" s="120">
        <v>126382</v>
      </c>
      <c r="HE29" s="119">
        <v>27781</v>
      </c>
      <c r="HF29" t="s">
        <v>118</v>
      </c>
      <c r="HG29" t="s">
        <v>106</v>
      </c>
      <c r="HH29" t="s">
        <v>2403</v>
      </c>
      <c r="HI29">
        <v>126382</v>
      </c>
      <c r="HJ29" s="119" t="s">
        <v>2403</v>
      </c>
      <c r="HK29">
        <v>0</v>
      </c>
      <c r="HL29">
        <v>0</v>
      </c>
      <c r="HM29">
        <v>0</v>
      </c>
      <c r="HN29">
        <v>0</v>
      </c>
      <c r="HO29" t="s">
        <v>3307</v>
      </c>
      <c r="HP29" t="s">
        <v>2403</v>
      </c>
      <c r="HQ29">
        <v>0</v>
      </c>
      <c r="HR29" t="s">
        <v>1633</v>
      </c>
      <c r="HS29" t="s">
        <v>2508</v>
      </c>
      <c r="HT29" t="s">
        <v>712</v>
      </c>
      <c r="HU29">
        <v>0</v>
      </c>
      <c r="HV29">
        <v>0</v>
      </c>
      <c r="HW29" t="s">
        <v>2852</v>
      </c>
      <c r="HX29" t="s">
        <v>2780</v>
      </c>
      <c r="HY29">
        <v>0</v>
      </c>
      <c r="HZ29">
        <v>0</v>
      </c>
      <c r="IA29">
        <v>77075</v>
      </c>
      <c r="IB29" t="s">
        <v>2403</v>
      </c>
      <c r="IC29">
        <v>0</v>
      </c>
      <c r="ID29">
        <v>0</v>
      </c>
      <c r="IE29">
        <v>0</v>
      </c>
      <c r="IF29">
        <v>0</v>
      </c>
      <c r="IG29">
        <v>0</v>
      </c>
      <c r="IH29">
        <v>0</v>
      </c>
      <c r="II29">
        <v>0</v>
      </c>
      <c r="IJ29">
        <v>0</v>
      </c>
      <c r="IK29">
        <v>0</v>
      </c>
      <c r="IL29">
        <v>0</v>
      </c>
      <c r="IM29" s="128">
        <v>0</v>
      </c>
      <c r="IN29" s="128">
        <v>0</v>
      </c>
      <c r="IO29" s="128">
        <v>0</v>
      </c>
      <c r="IP29" s="128">
        <v>0</v>
      </c>
      <c r="IQ29">
        <v>0</v>
      </c>
      <c r="IR29" s="119">
        <v>0</v>
      </c>
      <c r="IS29" s="119">
        <v>0</v>
      </c>
      <c r="IT29" s="119">
        <v>0</v>
      </c>
      <c r="IU29" s="119">
        <v>0</v>
      </c>
      <c r="IV29" s="119">
        <v>0</v>
      </c>
      <c r="IW29">
        <v>0</v>
      </c>
      <c r="IX29">
        <v>0</v>
      </c>
      <c r="IY29">
        <v>0</v>
      </c>
      <c r="IZ29">
        <v>0</v>
      </c>
      <c r="JA29">
        <v>0</v>
      </c>
      <c r="JB29" s="119">
        <v>0</v>
      </c>
      <c r="JC29">
        <v>0</v>
      </c>
      <c r="JD29">
        <v>0</v>
      </c>
      <c r="JE29">
        <v>0</v>
      </c>
      <c r="JF29">
        <v>0</v>
      </c>
      <c r="JG29">
        <v>0</v>
      </c>
      <c r="JH29">
        <v>0</v>
      </c>
      <c r="JI29">
        <v>0</v>
      </c>
      <c r="JJ29">
        <v>0</v>
      </c>
      <c r="JK29">
        <v>0</v>
      </c>
      <c r="JL29">
        <v>0</v>
      </c>
      <c r="JM29">
        <v>0</v>
      </c>
      <c r="JN29">
        <v>0</v>
      </c>
      <c r="JO29">
        <v>0</v>
      </c>
      <c r="JP29">
        <v>0</v>
      </c>
      <c r="JQ29">
        <v>0</v>
      </c>
      <c r="JR29">
        <v>0</v>
      </c>
      <c r="JS29">
        <v>0</v>
      </c>
      <c r="JT29">
        <v>0</v>
      </c>
      <c r="JU29">
        <v>0</v>
      </c>
      <c r="JV29">
        <v>0</v>
      </c>
      <c r="JW29">
        <v>0</v>
      </c>
      <c r="JX29">
        <v>0</v>
      </c>
      <c r="JY29">
        <v>0</v>
      </c>
      <c r="JZ29">
        <v>0</v>
      </c>
      <c r="KA29">
        <v>0</v>
      </c>
      <c r="KB29">
        <v>0</v>
      </c>
      <c r="KC29">
        <v>0</v>
      </c>
      <c r="KD29">
        <v>0</v>
      </c>
      <c r="KE29">
        <v>0</v>
      </c>
      <c r="KF29">
        <v>0</v>
      </c>
      <c r="KG29">
        <v>0</v>
      </c>
      <c r="KH29">
        <v>0</v>
      </c>
      <c r="KI29" s="128">
        <v>0</v>
      </c>
      <c r="KJ29" s="128">
        <v>0</v>
      </c>
      <c r="KK29" s="128">
        <v>0</v>
      </c>
      <c r="KL29" s="128">
        <v>0</v>
      </c>
      <c r="KM29">
        <v>0</v>
      </c>
      <c r="KN29" s="119">
        <v>0</v>
      </c>
      <c r="KO29" s="119">
        <v>0</v>
      </c>
      <c r="KP29" s="119">
        <v>0</v>
      </c>
      <c r="KQ29" s="119">
        <v>0</v>
      </c>
      <c r="KR29" s="121">
        <v>0</v>
      </c>
      <c r="KS29">
        <v>0</v>
      </c>
      <c r="KT29" s="119">
        <v>0</v>
      </c>
      <c r="KU29">
        <v>0</v>
      </c>
      <c r="KV29">
        <v>0</v>
      </c>
      <c r="KW29">
        <v>0</v>
      </c>
      <c r="KX29" s="119">
        <v>0</v>
      </c>
      <c r="KY29">
        <v>0</v>
      </c>
      <c r="KZ29">
        <v>0</v>
      </c>
      <c r="LA29">
        <v>0</v>
      </c>
      <c r="LB29">
        <v>0</v>
      </c>
      <c r="LC29">
        <v>0</v>
      </c>
      <c r="LD29">
        <v>0</v>
      </c>
      <c r="LE29">
        <v>0</v>
      </c>
      <c r="LF29">
        <v>0</v>
      </c>
      <c r="LG29">
        <v>0</v>
      </c>
      <c r="LH29">
        <v>0</v>
      </c>
      <c r="LI29">
        <v>0</v>
      </c>
      <c r="LJ29">
        <v>0</v>
      </c>
      <c r="LK29">
        <v>0</v>
      </c>
      <c r="LL29">
        <v>0</v>
      </c>
      <c r="LM29">
        <v>0</v>
      </c>
      <c r="LN29">
        <v>0</v>
      </c>
      <c r="LO29">
        <v>0</v>
      </c>
      <c r="LP29">
        <v>0</v>
      </c>
      <c r="LQ29">
        <v>0</v>
      </c>
      <c r="LR29">
        <v>0</v>
      </c>
      <c r="LS29">
        <v>0</v>
      </c>
      <c r="LT29">
        <v>0</v>
      </c>
      <c r="LU29">
        <v>0</v>
      </c>
      <c r="LV29">
        <v>0</v>
      </c>
      <c r="LW29">
        <v>0</v>
      </c>
      <c r="LX29">
        <v>0</v>
      </c>
      <c r="LY29">
        <v>0</v>
      </c>
      <c r="LZ29">
        <v>0</v>
      </c>
      <c r="MA29">
        <v>0</v>
      </c>
      <c r="MB29">
        <v>0</v>
      </c>
      <c r="MC29">
        <v>0</v>
      </c>
      <c r="MD29">
        <v>0</v>
      </c>
      <c r="ME29" s="128">
        <v>0</v>
      </c>
      <c r="MF29" s="128">
        <v>0</v>
      </c>
      <c r="MG29" s="128">
        <v>0</v>
      </c>
      <c r="MH29" s="128">
        <v>0</v>
      </c>
      <c r="MI29">
        <v>0</v>
      </c>
      <c r="MJ29" s="119">
        <v>0</v>
      </c>
      <c r="MK29" s="119">
        <v>0</v>
      </c>
      <c r="ML29" s="119">
        <v>0</v>
      </c>
      <c r="MM29" s="119">
        <v>0</v>
      </c>
      <c r="MN29" s="121">
        <v>0</v>
      </c>
      <c r="MO29" s="119">
        <v>0</v>
      </c>
      <c r="MP29">
        <v>0</v>
      </c>
      <c r="MQ29">
        <v>0</v>
      </c>
      <c r="MR29">
        <v>0</v>
      </c>
      <c r="MS29">
        <v>0</v>
      </c>
      <c r="MT29" s="11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s="116">
        <v>0</v>
      </c>
      <c r="NS29" s="116">
        <v>0</v>
      </c>
      <c r="NT29" s="116">
        <v>0</v>
      </c>
      <c r="NU29" s="116">
        <v>0</v>
      </c>
      <c r="NV29" s="116">
        <v>0</v>
      </c>
      <c r="NW29" s="116">
        <v>0</v>
      </c>
      <c r="NX29" s="116">
        <v>0</v>
      </c>
      <c r="NY29" s="116">
        <v>0</v>
      </c>
      <c r="NZ29" s="116">
        <v>0</v>
      </c>
      <c r="OA29" s="128">
        <v>0</v>
      </c>
      <c r="OB29" s="128">
        <v>0</v>
      </c>
      <c r="OC29" s="128">
        <v>0</v>
      </c>
      <c r="OD29" s="128">
        <v>0</v>
      </c>
      <c r="OE29">
        <v>0</v>
      </c>
      <c r="OF29" s="119">
        <v>0</v>
      </c>
      <c r="OG29" s="119">
        <v>0</v>
      </c>
      <c r="OH29" s="119">
        <v>0</v>
      </c>
      <c r="OI29" s="119">
        <v>0</v>
      </c>
      <c r="OJ29" s="121">
        <v>0</v>
      </c>
      <c r="OK29" s="119">
        <v>0</v>
      </c>
      <c r="OL29">
        <v>0</v>
      </c>
      <c r="OM29">
        <v>0</v>
      </c>
      <c r="ON29">
        <v>0</v>
      </c>
      <c r="OO29">
        <v>0</v>
      </c>
      <c r="OP29" s="11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s="128">
        <v>0</v>
      </c>
      <c r="PX29" s="128">
        <v>0</v>
      </c>
      <c r="PY29" s="128">
        <v>0</v>
      </c>
      <c r="PZ29" s="128">
        <v>0</v>
      </c>
      <c r="QA29">
        <v>0</v>
      </c>
      <c r="QB29" s="119">
        <v>0</v>
      </c>
      <c r="QC29" s="119">
        <v>0</v>
      </c>
      <c r="QD29" s="119">
        <v>0</v>
      </c>
      <c r="QE29" s="119">
        <v>0</v>
      </c>
      <c r="QF29" s="121">
        <v>0</v>
      </c>
      <c r="QG29" s="119">
        <v>0</v>
      </c>
      <c r="QH29">
        <v>0</v>
      </c>
      <c r="QI29">
        <v>0</v>
      </c>
      <c r="QJ29">
        <v>0</v>
      </c>
      <c r="QK29">
        <v>0</v>
      </c>
      <c r="QL29" s="119">
        <v>0</v>
      </c>
      <c r="QM29">
        <v>0</v>
      </c>
      <c r="QN29">
        <v>0</v>
      </c>
      <c r="QO29">
        <v>0</v>
      </c>
      <c r="QP29">
        <v>0</v>
      </c>
      <c r="QQ29">
        <v>0</v>
      </c>
      <c r="QR29">
        <v>0</v>
      </c>
      <c r="QS29">
        <v>0</v>
      </c>
      <c r="QT29">
        <v>0</v>
      </c>
      <c r="QU29">
        <v>0</v>
      </c>
      <c r="QV29">
        <v>0</v>
      </c>
      <c r="QW29">
        <v>0</v>
      </c>
      <c r="QX29">
        <v>0</v>
      </c>
      <c r="QY29">
        <v>0</v>
      </c>
      <c r="QZ29">
        <v>0</v>
      </c>
      <c r="RA29">
        <v>0</v>
      </c>
      <c r="RB29">
        <v>0</v>
      </c>
      <c r="RC29">
        <v>0</v>
      </c>
      <c r="RD29">
        <v>0</v>
      </c>
      <c r="RE29">
        <v>0</v>
      </c>
      <c r="RF29">
        <v>0</v>
      </c>
      <c r="RG29">
        <v>0</v>
      </c>
      <c r="RH29">
        <v>0</v>
      </c>
      <c r="RI29">
        <v>0</v>
      </c>
      <c r="RJ29" s="116">
        <v>0</v>
      </c>
      <c r="RK29" s="116">
        <v>0</v>
      </c>
      <c r="RL29" s="116">
        <v>0</v>
      </c>
      <c r="RM29" s="116">
        <v>0</v>
      </c>
      <c r="RN29" s="116">
        <v>0</v>
      </c>
      <c r="RO29" s="116">
        <v>0</v>
      </c>
      <c r="RP29" s="116">
        <v>0</v>
      </c>
      <c r="RQ29" s="116">
        <v>0</v>
      </c>
      <c r="RR29" s="116">
        <v>0</v>
      </c>
      <c r="RS29" s="128">
        <v>0</v>
      </c>
      <c r="RT29" s="128">
        <v>0</v>
      </c>
      <c r="RU29" s="128">
        <v>0</v>
      </c>
      <c r="RV29" s="128">
        <v>0</v>
      </c>
      <c r="RW29">
        <v>0</v>
      </c>
      <c r="RX29" s="119">
        <v>0</v>
      </c>
      <c r="RY29" s="119">
        <v>0</v>
      </c>
      <c r="RZ29" s="119">
        <v>0</v>
      </c>
      <c r="SA29" s="119">
        <v>0</v>
      </c>
      <c r="SB29" s="121">
        <v>0</v>
      </c>
      <c r="SC29" s="119">
        <v>0</v>
      </c>
      <c r="SD29">
        <v>0</v>
      </c>
      <c r="SE29">
        <v>0</v>
      </c>
      <c r="SF29">
        <v>0</v>
      </c>
      <c r="SG29">
        <v>0</v>
      </c>
      <c r="SH29" s="119">
        <v>0</v>
      </c>
      <c r="SI29">
        <v>0</v>
      </c>
      <c r="SJ29">
        <v>0</v>
      </c>
      <c r="SK29">
        <v>0</v>
      </c>
      <c r="SL29">
        <v>0</v>
      </c>
      <c r="SM29">
        <v>0</v>
      </c>
      <c r="SN29">
        <v>0</v>
      </c>
      <c r="SO29">
        <v>0</v>
      </c>
      <c r="SP29">
        <v>0</v>
      </c>
      <c r="SQ29">
        <v>0</v>
      </c>
      <c r="SR29">
        <v>0</v>
      </c>
      <c r="SS29">
        <v>0</v>
      </c>
      <c r="ST29">
        <v>0</v>
      </c>
      <c r="SU29">
        <v>0</v>
      </c>
      <c r="SV29">
        <v>0</v>
      </c>
      <c r="SW29">
        <v>0</v>
      </c>
      <c r="SX29">
        <v>0</v>
      </c>
      <c r="SY29">
        <v>0</v>
      </c>
      <c r="SZ29">
        <v>0</v>
      </c>
      <c r="TA29">
        <v>0</v>
      </c>
      <c r="TB29">
        <v>0</v>
      </c>
      <c r="TC29">
        <v>0</v>
      </c>
      <c r="TD29">
        <v>0</v>
      </c>
      <c r="TE29">
        <v>0</v>
      </c>
      <c r="TF29" s="116">
        <v>0</v>
      </c>
      <c r="TG29" s="116">
        <v>0</v>
      </c>
      <c r="TH29" s="116">
        <v>0</v>
      </c>
      <c r="TI29" s="116">
        <v>0</v>
      </c>
      <c r="TJ29" s="116">
        <v>0</v>
      </c>
      <c r="TK29" s="116">
        <v>0</v>
      </c>
      <c r="TL29" s="116">
        <v>0</v>
      </c>
      <c r="TM29" s="116">
        <v>0</v>
      </c>
      <c r="TN29" s="116">
        <v>0</v>
      </c>
      <c r="TO29" s="128">
        <v>0</v>
      </c>
      <c r="TP29" s="128">
        <v>0</v>
      </c>
      <c r="TQ29" s="128">
        <v>0</v>
      </c>
      <c r="TR29" s="128">
        <v>0</v>
      </c>
      <c r="TS29">
        <v>0</v>
      </c>
      <c r="TT29" s="119">
        <v>0</v>
      </c>
      <c r="TU29" s="119">
        <v>0</v>
      </c>
      <c r="TV29" s="119">
        <v>0</v>
      </c>
      <c r="TW29" s="119">
        <v>0</v>
      </c>
      <c r="TX29" s="121">
        <v>0</v>
      </c>
      <c r="TY29" s="119">
        <v>0</v>
      </c>
      <c r="TZ29">
        <v>0</v>
      </c>
      <c r="UA29">
        <v>0</v>
      </c>
      <c r="UB29">
        <v>0</v>
      </c>
      <c r="UC29">
        <v>0</v>
      </c>
      <c r="UD29" s="119">
        <v>0</v>
      </c>
      <c r="UE29">
        <v>0</v>
      </c>
      <c r="UF29">
        <v>0</v>
      </c>
      <c r="UG29">
        <v>0</v>
      </c>
      <c r="UH29">
        <v>0</v>
      </c>
      <c r="UI29">
        <v>0</v>
      </c>
      <c r="UJ29">
        <v>0</v>
      </c>
      <c r="UK29">
        <v>0</v>
      </c>
      <c r="UL29">
        <v>0</v>
      </c>
      <c r="UM29">
        <v>0</v>
      </c>
      <c r="UN29">
        <v>0</v>
      </c>
      <c r="UO29">
        <v>0</v>
      </c>
      <c r="UP29">
        <v>0</v>
      </c>
      <c r="UQ29">
        <v>0</v>
      </c>
      <c r="UR29">
        <v>0</v>
      </c>
      <c r="US29">
        <v>0</v>
      </c>
      <c r="UT29">
        <v>0</v>
      </c>
      <c r="UU29">
        <v>0</v>
      </c>
      <c r="UV29">
        <v>0</v>
      </c>
      <c r="UW29">
        <v>0</v>
      </c>
      <c r="UX29">
        <v>0</v>
      </c>
      <c r="UY29">
        <v>0</v>
      </c>
      <c r="UZ29">
        <v>0</v>
      </c>
      <c r="VA29">
        <v>0</v>
      </c>
      <c r="VB29" s="116">
        <v>0</v>
      </c>
      <c r="VC29" s="116">
        <v>0</v>
      </c>
      <c r="VD29" s="116">
        <v>0</v>
      </c>
      <c r="VE29" s="116">
        <v>0</v>
      </c>
      <c r="VF29" s="116">
        <v>0</v>
      </c>
      <c r="VG29" s="116">
        <v>0</v>
      </c>
      <c r="VH29" s="116">
        <v>0</v>
      </c>
      <c r="VI29" s="116">
        <v>0</v>
      </c>
      <c r="VJ29" s="116">
        <v>0</v>
      </c>
      <c r="VK29" s="128">
        <v>0</v>
      </c>
      <c r="VL29" s="128">
        <v>0</v>
      </c>
      <c r="VM29" s="128">
        <v>0</v>
      </c>
      <c r="VN29" s="128">
        <v>0</v>
      </c>
      <c r="VO29">
        <v>0</v>
      </c>
      <c r="VP29" s="119">
        <v>0</v>
      </c>
      <c r="VQ29" s="119">
        <v>0</v>
      </c>
      <c r="VR29" s="119">
        <v>0</v>
      </c>
      <c r="VS29" s="119">
        <v>0</v>
      </c>
      <c r="VT29" s="121">
        <v>0</v>
      </c>
      <c r="VU29" s="119">
        <v>0</v>
      </c>
      <c r="VV29" s="119">
        <v>0</v>
      </c>
      <c r="VW29">
        <v>0</v>
      </c>
      <c r="VX29">
        <v>0</v>
      </c>
      <c r="VY29">
        <v>0</v>
      </c>
      <c r="VZ29" s="11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s="116">
        <v>0</v>
      </c>
      <c r="WY29" s="116">
        <v>0</v>
      </c>
      <c r="WZ29" s="116">
        <v>0</v>
      </c>
      <c r="XA29" s="116">
        <v>0</v>
      </c>
      <c r="XB29" s="116">
        <v>0</v>
      </c>
      <c r="XC29" s="116">
        <v>0</v>
      </c>
      <c r="XD29" s="116">
        <v>0</v>
      </c>
      <c r="XE29" s="116">
        <v>0</v>
      </c>
      <c r="XF29" s="116">
        <v>0</v>
      </c>
      <c r="XG29" s="128">
        <v>0</v>
      </c>
      <c r="XH29" s="128">
        <v>0</v>
      </c>
      <c r="XI29" s="128">
        <v>0</v>
      </c>
      <c r="XJ29" s="128">
        <v>0</v>
      </c>
      <c r="XK29">
        <v>0</v>
      </c>
      <c r="XL29" s="119">
        <v>0</v>
      </c>
      <c r="XM29" s="119">
        <v>0</v>
      </c>
      <c r="XN29" s="119">
        <v>0</v>
      </c>
      <c r="XO29" s="119">
        <v>0</v>
      </c>
      <c r="XP29" s="121">
        <v>0</v>
      </c>
      <c r="XQ29" s="119">
        <v>0</v>
      </c>
      <c r="XR29" s="119">
        <v>0</v>
      </c>
      <c r="XS29">
        <v>0</v>
      </c>
      <c r="XT29">
        <v>0</v>
      </c>
      <c r="XU29">
        <v>0</v>
      </c>
      <c r="XV29" s="11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S29">
        <v>0</v>
      </c>
      <c r="YT29">
        <v>0</v>
      </c>
      <c r="YU29">
        <v>0</v>
      </c>
      <c r="YV29">
        <v>0</v>
      </c>
      <c r="YW29">
        <v>0</v>
      </c>
      <c r="YX29">
        <v>0</v>
      </c>
      <c r="YY29">
        <v>0</v>
      </c>
      <c r="YZ29">
        <v>0</v>
      </c>
      <c r="ZA29">
        <v>0</v>
      </c>
      <c r="ZB29">
        <v>0</v>
      </c>
      <c r="ZC29" s="128">
        <v>0</v>
      </c>
      <c r="ZD29" s="128">
        <v>0</v>
      </c>
      <c r="ZE29" s="128">
        <v>0</v>
      </c>
      <c r="ZF29" s="128">
        <v>0</v>
      </c>
      <c r="ZG29">
        <v>0</v>
      </c>
      <c r="ZH29" s="119">
        <v>0</v>
      </c>
      <c r="ZI29" s="119">
        <v>0</v>
      </c>
      <c r="ZJ29" s="119">
        <v>0</v>
      </c>
      <c r="ZK29" s="119">
        <v>0</v>
      </c>
      <c r="ZL29" s="121">
        <v>0</v>
      </c>
      <c r="ZM29" s="119">
        <v>0</v>
      </c>
      <c r="ZN29" s="119">
        <v>0</v>
      </c>
      <c r="ZO29">
        <v>0</v>
      </c>
      <c r="ZP29">
        <v>0</v>
      </c>
      <c r="ZQ29">
        <v>0</v>
      </c>
      <c r="ZR29" s="11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s="116">
        <v>0</v>
      </c>
      <c r="AAQ29" s="116">
        <v>0</v>
      </c>
      <c r="AAR29" s="116">
        <v>0</v>
      </c>
      <c r="AAS29" s="116">
        <v>0</v>
      </c>
      <c r="AAT29" s="116">
        <v>0</v>
      </c>
      <c r="AAU29" s="116">
        <v>0</v>
      </c>
      <c r="AAV29" s="116">
        <v>0</v>
      </c>
      <c r="AAW29" s="116">
        <v>0</v>
      </c>
      <c r="AAX29" s="116">
        <v>0</v>
      </c>
      <c r="AAY29" s="128">
        <v>0</v>
      </c>
      <c r="AAZ29" s="128">
        <v>0</v>
      </c>
      <c r="ABA29" s="128">
        <v>0</v>
      </c>
      <c r="ABB29" s="128">
        <v>0</v>
      </c>
      <c r="ABC29">
        <v>0</v>
      </c>
      <c r="ABD29" s="119">
        <v>0</v>
      </c>
      <c r="ABE29" s="119">
        <v>0</v>
      </c>
      <c r="ABF29" s="119">
        <v>0</v>
      </c>
      <c r="ABG29" s="119">
        <v>0</v>
      </c>
      <c r="ABH29" s="121">
        <v>0</v>
      </c>
      <c r="ABI29" s="119">
        <v>0</v>
      </c>
      <c r="ABJ29" s="119">
        <v>0</v>
      </c>
      <c r="ABK29">
        <v>0</v>
      </c>
      <c r="ABL29">
        <v>0</v>
      </c>
      <c r="ABM29">
        <v>0</v>
      </c>
      <c r="ABN29" s="11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s="116">
        <v>0</v>
      </c>
      <c r="ACM29" s="116">
        <v>0</v>
      </c>
      <c r="ACN29" s="116">
        <v>0</v>
      </c>
      <c r="ACO29" s="116">
        <v>0</v>
      </c>
      <c r="ACP29" s="116">
        <v>0</v>
      </c>
      <c r="ACQ29" s="116">
        <v>0</v>
      </c>
      <c r="ACR29" s="116">
        <v>0</v>
      </c>
      <c r="ACS29" s="116">
        <v>0</v>
      </c>
      <c r="ACT29" s="116">
        <v>0</v>
      </c>
      <c r="ACU29" s="128">
        <v>0</v>
      </c>
      <c r="ACV29" s="128">
        <v>0</v>
      </c>
      <c r="ACW29" s="128">
        <v>0</v>
      </c>
      <c r="ACX29" s="128">
        <v>0</v>
      </c>
      <c r="ACY29">
        <v>0</v>
      </c>
      <c r="ACZ29" s="119">
        <v>0</v>
      </c>
      <c r="ADA29" s="119">
        <v>0</v>
      </c>
      <c r="ADB29" s="119">
        <v>0</v>
      </c>
      <c r="ADC29" s="119">
        <v>0</v>
      </c>
      <c r="ADD29" s="121">
        <v>0</v>
      </c>
      <c r="ADE29" s="119">
        <v>0</v>
      </c>
      <c r="ADF29" s="119">
        <v>0</v>
      </c>
      <c r="ADG29">
        <v>0</v>
      </c>
      <c r="ADH29">
        <v>0</v>
      </c>
      <c r="ADI29">
        <v>0</v>
      </c>
      <c r="ADJ29" s="119">
        <v>0</v>
      </c>
      <c r="ADK29">
        <v>0</v>
      </c>
      <c r="ADL29">
        <v>0</v>
      </c>
      <c r="ADM29">
        <v>0</v>
      </c>
      <c r="ADN29">
        <v>0</v>
      </c>
      <c r="ADO29">
        <v>0</v>
      </c>
      <c r="ADP29">
        <v>0</v>
      </c>
      <c r="ADQ29">
        <v>0</v>
      </c>
      <c r="ADR29">
        <v>0</v>
      </c>
      <c r="ADS29">
        <v>0</v>
      </c>
      <c r="ADT29">
        <v>0</v>
      </c>
      <c r="ADU29">
        <v>0</v>
      </c>
      <c r="ADV29">
        <v>0</v>
      </c>
      <c r="ADW29">
        <v>0</v>
      </c>
      <c r="ADX29">
        <v>0</v>
      </c>
      <c r="ADY29">
        <v>0</v>
      </c>
      <c r="ADZ29">
        <v>0</v>
      </c>
      <c r="AEA29">
        <v>0</v>
      </c>
      <c r="AEB29">
        <v>0</v>
      </c>
      <c r="AEC29">
        <v>0</v>
      </c>
      <c r="AED29">
        <v>0</v>
      </c>
      <c r="AEE29">
        <v>0</v>
      </c>
      <c r="AEF29">
        <v>0</v>
      </c>
      <c r="AEG29">
        <v>0</v>
      </c>
      <c r="AEH29" s="116">
        <v>0</v>
      </c>
      <c r="AEI29" s="116">
        <v>0</v>
      </c>
      <c r="AEJ29" s="116">
        <v>0</v>
      </c>
      <c r="AEK29" s="116">
        <v>0</v>
      </c>
      <c r="AEL29" s="116">
        <v>0</v>
      </c>
      <c r="AEM29" s="116">
        <v>0</v>
      </c>
      <c r="AEN29" s="116">
        <v>0</v>
      </c>
      <c r="AEO29" s="116">
        <v>0</v>
      </c>
      <c r="AEP29" s="116">
        <v>0</v>
      </c>
      <c r="AEQ29" s="128">
        <v>0</v>
      </c>
      <c r="AER29" s="128">
        <v>0</v>
      </c>
      <c r="AES29" s="128">
        <v>0</v>
      </c>
      <c r="AET29" s="128">
        <v>0</v>
      </c>
      <c r="AEU29">
        <v>0</v>
      </c>
      <c r="AEV29" s="119">
        <v>0</v>
      </c>
      <c r="AEW29" s="119">
        <v>0</v>
      </c>
      <c r="AEX29" s="119">
        <v>0</v>
      </c>
      <c r="AEY29" s="119">
        <v>0</v>
      </c>
      <c r="AEZ29" s="121">
        <v>0</v>
      </c>
      <c r="AFA29" s="119">
        <v>0</v>
      </c>
      <c r="AFB29" s="119">
        <v>0</v>
      </c>
      <c r="AFC29">
        <v>0</v>
      </c>
      <c r="AFD29">
        <v>0</v>
      </c>
      <c r="AFE29">
        <v>0</v>
      </c>
      <c r="AFF29" s="119">
        <v>0</v>
      </c>
      <c r="AFG29">
        <v>0</v>
      </c>
      <c r="AFH29">
        <v>0</v>
      </c>
      <c r="AFI29">
        <v>0</v>
      </c>
      <c r="AFJ29">
        <v>0</v>
      </c>
      <c r="AFK29">
        <v>0</v>
      </c>
      <c r="AFL29">
        <v>0</v>
      </c>
      <c r="AFM29">
        <v>0</v>
      </c>
      <c r="AFN29">
        <v>0</v>
      </c>
      <c r="AFO29">
        <v>0</v>
      </c>
      <c r="AFP29">
        <v>0</v>
      </c>
      <c r="AFQ29">
        <v>0</v>
      </c>
      <c r="AFR29">
        <v>0</v>
      </c>
      <c r="AFS29">
        <v>0</v>
      </c>
      <c r="AFT29">
        <v>0</v>
      </c>
      <c r="AFU29">
        <v>0</v>
      </c>
      <c r="AFV29">
        <v>0</v>
      </c>
      <c r="AFW29">
        <v>0</v>
      </c>
      <c r="AFX29">
        <v>0</v>
      </c>
      <c r="AFY29">
        <v>0</v>
      </c>
      <c r="AFZ29">
        <v>0</v>
      </c>
      <c r="AGA29">
        <v>0</v>
      </c>
      <c r="AGB29">
        <v>0</v>
      </c>
      <c r="AGC29">
        <v>0</v>
      </c>
      <c r="AGD29" s="116">
        <v>0</v>
      </c>
      <c r="AGE29" s="116">
        <v>0</v>
      </c>
      <c r="AGF29" s="116">
        <v>0</v>
      </c>
      <c r="AGG29" s="116">
        <v>0</v>
      </c>
      <c r="AGH29" s="116">
        <v>0</v>
      </c>
      <c r="AGI29" s="116">
        <v>0</v>
      </c>
      <c r="AGJ29" s="116">
        <v>0</v>
      </c>
      <c r="AGK29" s="116">
        <v>0</v>
      </c>
      <c r="AGL29" s="116">
        <v>0</v>
      </c>
      <c r="AGM29" s="128">
        <v>0</v>
      </c>
      <c r="AGN29" s="128">
        <v>0</v>
      </c>
      <c r="AGO29" s="128">
        <v>0</v>
      </c>
      <c r="AGP29" s="128">
        <v>0</v>
      </c>
      <c r="AGQ29">
        <v>0</v>
      </c>
      <c r="AGR29" s="119">
        <v>0</v>
      </c>
      <c r="AGS29" s="119">
        <v>0</v>
      </c>
      <c r="AGT29" s="119">
        <v>0</v>
      </c>
      <c r="AGU29" s="119">
        <v>0</v>
      </c>
      <c r="AGV29" s="121">
        <v>0</v>
      </c>
      <c r="AGW29" s="119">
        <v>0</v>
      </c>
      <c r="AGX29" s="119">
        <v>0</v>
      </c>
      <c r="AGY29">
        <v>0</v>
      </c>
      <c r="AGZ29">
        <v>0</v>
      </c>
      <c r="AHA29">
        <v>0</v>
      </c>
      <c r="AHB29" s="119">
        <v>0</v>
      </c>
      <c r="AHC29">
        <v>0</v>
      </c>
      <c r="AHD29">
        <v>0</v>
      </c>
      <c r="AHE29">
        <v>0</v>
      </c>
      <c r="AHF29">
        <v>0</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A29">
        <v>0</v>
      </c>
      <c r="AIB29">
        <v>0</v>
      </c>
      <c r="AIC29">
        <v>0</v>
      </c>
      <c r="AID29">
        <v>0</v>
      </c>
      <c r="AIE29">
        <v>0</v>
      </c>
      <c r="AIF29">
        <v>0</v>
      </c>
      <c r="AIG29">
        <v>0</v>
      </c>
      <c r="AIH29">
        <v>0</v>
      </c>
      <c r="AII29" s="128">
        <v>0</v>
      </c>
      <c r="AIJ29" s="128">
        <v>0</v>
      </c>
      <c r="AIK29" s="128">
        <v>0</v>
      </c>
      <c r="AIL29" s="128">
        <v>0</v>
      </c>
      <c r="AIM29">
        <v>0</v>
      </c>
      <c r="AIN29" s="119">
        <v>0</v>
      </c>
      <c r="AIO29" s="119">
        <v>0</v>
      </c>
      <c r="AIP29" s="119">
        <v>0</v>
      </c>
      <c r="AIQ29" s="119">
        <v>0</v>
      </c>
      <c r="AIR29" s="121">
        <v>0</v>
      </c>
      <c r="AIS29" s="119">
        <v>0</v>
      </c>
      <c r="AIT29" s="119">
        <v>0</v>
      </c>
      <c r="AIU29">
        <v>0</v>
      </c>
      <c r="AIV29">
        <v>0</v>
      </c>
      <c r="AIW29">
        <v>0</v>
      </c>
      <c r="AIX29" s="119">
        <v>0</v>
      </c>
      <c r="AIY29">
        <v>0</v>
      </c>
      <c r="AIZ29">
        <v>0</v>
      </c>
      <c r="AJA29">
        <v>0</v>
      </c>
      <c r="AJB29">
        <v>0</v>
      </c>
      <c r="AJC29">
        <v>0</v>
      </c>
      <c r="AJD29">
        <v>0</v>
      </c>
      <c r="AJE29">
        <v>0</v>
      </c>
      <c r="AJF29">
        <v>0</v>
      </c>
      <c r="AJG29">
        <v>0</v>
      </c>
      <c r="AJH29">
        <v>0</v>
      </c>
      <c r="AJI29">
        <v>0</v>
      </c>
      <c r="AJJ29">
        <v>0</v>
      </c>
      <c r="AJK29">
        <v>0</v>
      </c>
      <c r="AJL29">
        <v>0</v>
      </c>
      <c r="AJM29">
        <v>0</v>
      </c>
      <c r="AJN29">
        <v>0</v>
      </c>
      <c r="AJO29">
        <v>0</v>
      </c>
      <c r="AJP29">
        <v>0</v>
      </c>
      <c r="AJQ29">
        <v>0</v>
      </c>
      <c r="AJR29">
        <v>0</v>
      </c>
      <c r="AJS29">
        <v>0</v>
      </c>
      <c r="AJT29">
        <v>0</v>
      </c>
      <c r="AJU29">
        <v>0</v>
      </c>
      <c r="AJV29" s="116">
        <v>0</v>
      </c>
      <c r="AJW29" s="116">
        <v>0</v>
      </c>
      <c r="AJX29" s="116">
        <v>0</v>
      </c>
      <c r="AJY29" s="116">
        <v>0</v>
      </c>
      <c r="AJZ29" s="116">
        <v>0</v>
      </c>
      <c r="AKA29" s="116">
        <v>0</v>
      </c>
      <c r="AKB29" s="116">
        <v>0</v>
      </c>
      <c r="AKC29" s="116">
        <v>0</v>
      </c>
      <c r="AKD29" s="116">
        <v>0</v>
      </c>
      <c r="AKE29" s="128">
        <v>0</v>
      </c>
      <c r="AKF29" s="128">
        <v>0</v>
      </c>
      <c r="AKG29" s="128">
        <v>0</v>
      </c>
      <c r="AKH29" s="128">
        <v>0</v>
      </c>
      <c r="AKI29">
        <v>0</v>
      </c>
      <c r="AKJ29" s="119">
        <v>0</v>
      </c>
      <c r="AKK29" s="119">
        <v>0</v>
      </c>
      <c r="AKL29" s="119">
        <v>0</v>
      </c>
      <c r="AKM29" s="119">
        <v>0</v>
      </c>
      <c r="AKN29" s="121">
        <v>0</v>
      </c>
      <c r="AKO29" s="119">
        <v>0</v>
      </c>
      <c r="AKP29" s="119">
        <v>0</v>
      </c>
      <c r="AKQ29">
        <v>0</v>
      </c>
      <c r="AKR29">
        <v>0</v>
      </c>
      <c r="AKS29">
        <v>0</v>
      </c>
      <c r="AKT29" s="119">
        <v>0</v>
      </c>
      <c r="AKU29">
        <v>0</v>
      </c>
      <c r="AKV29">
        <v>0</v>
      </c>
      <c r="AKW29">
        <v>0</v>
      </c>
      <c r="AKX29">
        <v>0</v>
      </c>
      <c r="AKY29">
        <v>0</v>
      </c>
      <c r="AKZ29">
        <v>0</v>
      </c>
      <c r="ALA29">
        <v>0</v>
      </c>
      <c r="ALB29">
        <v>0</v>
      </c>
      <c r="ALC29">
        <v>0</v>
      </c>
      <c r="ALD29">
        <v>0</v>
      </c>
      <c r="ALE29">
        <v>0</v>
      </c>
      <c r="ALF29">
        <v>0</v>
      </c>
      <c r="ALG29">
        <v>0</v>
      </c>
      <c r="ALH29">
        <v>0</v>
      </c>
      <c r="ALI29">
        <v>0</v>
      </c>
      <c r="ALJ29">
        <v>0</v>
      </c>
      <c r="ALK29">
        <v>0</v>
      </c>
      <c r="ALL29">
        <v>0</v>
      </c>
      <c r="ALM29">
        <v>0</v>
      </c>
      <c r="ALN29">
        <v>0</v>
      </c>
      <c r="ALO29">
        <v>0</v>
      </c>
      <c r="ALP29">
        <v>0</v>
      </c>
      <c r="ALQ29">
        <v>0</v>
      </c>
      <c r="ALR29" s="116">
        <v>0</v>
      </c>
      <c r="ALS29" s="116">
        <v>0</v>
      </c>
      <c r="ALT29" s="116">
        <v>0</v>
      </c>
      <c r="ALU29" s="116">
        <v>0</v>
      </c>
      <c r="ALV29" s="116">
        <v>0</v>
      </c>
      <c r="ALW29" s="116">
        <v>0</v>
      </c>
      <c r="ALX29" s="116">
        <v>0</v>
      </c>
      <c r="ALY29" s="116">
        <v>0</v>
      </c>
      <c r="ALZ29" s="116">
        <v>0</v>
      </c>
      <c r="AMA29" s="128">
        <v>0</v>
      </c>
      <c r="AMB29" s="128">
        <v>0</v>
      </c>
      <c r="AMC29" s="128">
        <v>0</v>
      </c>
      <c r="AMD29" s="128">
        <v>0</v>
      </c>
      <c r="AME29">
        <v>0</v>
      </c>
      <c r="AMF29" s="119">
        <v>0</v>
      </c>
      <c r="AMG29" s="119">
        <v>0</v>
      </c>
      <c r="AMH29" s="119">
        <v>0</v>
      </c>
      <c r="AMI29" s="119">
        <v>0</v>
      </c>
      <c r="AMJ29" s="121">
        <v>0</v>
      </c>
      <c r="AMK29" s="119">
        <v>0</v>
      </c>
      <c r="AML29" s="119">
        <v>0</v>
      </c>
      <c r="AMM29">
        <v>0</v>
      </c>
      <c r="AMN29">
        <v>0</v>
      </c>
      <c r="AMO29">
        <v>0</v>
      </c>
      <c r="AMP29" s="119">
        <v>0</v>
      </c>
      <c r="AMQ29">
        <v>0</v>
      </c>
      <c r="AMR29">
        <v>0</v>
      </c>
      <c r="AMS29">
        <v>0</v>
      </c>
      <c r="AMT29">
        <v>0</v>
      </c>
      <c r="AMU29">
        <v>0</v>
      </c>
      <c r="AMV29">
        <v>0</v>
      </c>
      <c r="AMW29">
        <v>0</v>
      </c>
      <c r="AMX29">
        <v>0</v>
      </c>
      <c r="AMY29">
        <v>0</v>
      </c>
      <c r="AMZ29">
        <v>0</v>
      </c>
      <c r="ANA29">
        <v>0</v>
      </c>
      <c r="ANB29">
        <v>0</v>
      </c>
      <c r="ANC29">
        <v>0</v>
      </c>
      <c r="AND29">
        <v>0</v>
      </c>
      <c r="ANE29">
        <v>0</v>
      </c>
      <c r="ANF29">
        <v>0</v>
      </c>
      <c r="ANG29">
        <v>0</v>
      </c>
      <c r="ANH29">
        <v>0</v>
      </c>
      <c r="ANI29">
        <v>0</v>
      </c>
      <c r="ANJ29">
        <v>0</v>
      </c>
      <c r="ANK29">
        <v>0</v>
      </c>
      <c r="ANL29">
        <v>0</v>
      </c>
      <c r="ANM29">
        <v>0</v>
      </c>
      <c r="ANN29" s="116">
        <v>0</v>
      </c>
      <c r="ANO29" s="116">
        <v>0</v>
      </c>
      <c r="ANP29" s="116">
        <v>0</v>
      </c>
      <c r="ANQ29" s="116">
        <v>0</v>
      </c>
      <c r="ANR29" s="116">
        <v>0</v>
      </c>
      <c r="ANS29" s="116">
        <v>0</v>
      </c>
      <c r="ANT29" s="116">
        <v>0</v>
      </c>
      <c r="ANU29" s="116">
        <v>0</v>
      </c>
      <c r="ANV29" s="116">
        <v>0</v>
      </c>
      <c r="ANW29" s="128">
        <v>0</v>
      </c>
      <c r="ANX29" s="128">
        <v>0</v>
      </c>
      <c r="ANY29" s="128">
        <v>0</v>
      </c>
      <c r="ANZ29" s="128">
        <v>0</v>
      </c>
      <c r="AOA29">
        <v>0</v>
      </c>
      <c r="AOB29" s="119">
        <v>0</v>
      </c>
      <c r="AOC29" s="119">
        <v>0</v>
      </c>
      <c r="AOD29" s="119">
        <v>0</v>
      </c>
      <c r="AOE29" s="119">
        <v>0</v>
      </c>
      <c r="AOF29" s="121">
        <v>0</v>
      </c>
      <c r="AOG29" s="119">
        <v>0</v>
      </c>
      <c r="AOH29" s="119">
        <v>0</v>
      </c>
      <c r="AOI29">
        <v>0</v>
      </c>
      <c r="AOJ29">
        <v>0</v>
      </c>
      <c r="AOK29">
        <v>0</v>
      </c>
      <c r="AOL29" s="119">
        <v>0</v>
      </c>
      <c r="AOM29">
        <v>0</v>
      </c>
      <c r="AON29">
        <v>0</v>
      </c>
      <c r="AOO29">
        <v>0</v>
      </c>
      <c r="AOP29">
        <v>0</v>
      </c>
      <c r="AOQ29">
        <v>0</v>
      </c>
      <c r="AOR29">
        <v>0</v>
      </c>
      <c r="AOS29">
        <v>0</v>
      </c>
      <c r="AOT29">
        <v>0</v>
      </c>
      <c r="AOU29">
        <v>0</v>
      </c>
      <c r="AOV29">
        <v>0</v>
      </c>
      <c r="AOW29">
        <v>0</v>
      </c>
      <c r="AOX29">
        <v>0</v>
      </c>
      <c r="AOY29">
        <v>0</v>
      </c>
      <c r="AOZ29">
        <v>0</v>
      </c>
      <c r="APA29">
        <v>0</v>
      </c>
      <c r="APB29">
        <v>0</v>
      </c>
      <c r="APC29">
        <v>0</v>
      </c>
      <c r="APD29">
        <v>0</v>
      </c>
      <c r="APE29">
        <v>0</v>
      </c>
      <c r="APF29">
        <v>0</v>
      </c>
      <c r="APG29">
        <v>0</v>
      </c>
      <c r="APH29">
        <v>0</v>
      </c>
      <c r="API29">
        <v>0</v>
      </c>
      <c r="APJ29" s="116">
        <v>0</v>
      </c>
      <c r="APK29" s="116">
        <v>0</v>
      </c>
      <c r="APL29" s="116">
        <v>0</v>
      </c>
      <c r="APM29" s="116">
        <v>0</v>
      </c>
      <c r="APN29" s="116">
        <v>0</v>
      </c>
      <c r="APO29" s="116">
        <v>0</v>
      </c>
      <c r="APP29" s="116">
        <v>0</v>
      </c>
      <c r="APQ29" s="116">
        <v>0</v>
      </c>
      <c r="APR29" s="116">
        <v>0</v>
      </c>
      <c r="APS29" s="128">
        <v>0</v>
      </c>
      <c r="APT29" s="128">
        <v>0</v>
      </c>
      <c r="APU29" s="128">
        <v>0</v>
      </c>
      <c r="APV29" s="128">
        <v>0</v>
      </c>
      <c r="APW29">
        <v>0</v>
      </c>
      <c r="APX29" s="119">
        <v>0</v>
      </c>
      <c r="APY29" s="119">
        <v>0</v>
      </c>
      <c r="APZ29" s="119">
        <v>0</v>
      </c>
      <c r="AQA29" s="119">
        <v>0</v>
      </c>
      <c r="AQB29" s="121">
        <v>0</v>
      </c>
      <c r="AQC29" s="119">
        <v>0</v>
      </c>
      <c r="AQD29" s="119">
        <v>0</v>
      </c>
      <c r="AQE29">
        <v>0</v>
      </c>
      <c r="AQF29">
        <v>0</v>
      </c>
      <c r="AQG29">
        <v>0</v>
      </c>
      <c r="AQH29" s="119">
        <v>0</v>
      </c>
      <c r="AQI29">
        <v>0</v>
      </c>
      <c r="AQJ29">
        <v>0</v>
      </c>
      <c r="AQK29">
        <v>0</v>
      </c>
      <c r="AQL29">
        <v>0</v>
      </c>
      <c r="AQM29">
        <v>0</v>
      </c>
      <c r="AQN29">
        <v>0</v>
      </c>
      <c r="AQO29">
        <v>0</v>
      </c>
      <c r="AQP29">
        <v>0</v>
      </c>
      <c r="AQQ29">
        <v>0</v>
      </c>
      <c r="AQR29">
        <v>0</v>
      </c>
      <c r="AQS29">
        <v>0</v>
      </c>
      <c r="AQT29">
        <v>0</v>
      </c>
      <c r="AQU29">
        <v>0</v>
      </c>
      <c r="AQV29">
        <v>0</v>
      </c>
      <c r="AQW29">
        <v>0</v>
      </c>
      <c r="AQX29">
        <v>0</v>
      </c>
      <c r="AQY29">
        <v>0</v>
      </c>
      <c r="AQZ29">
        <v>0</v>
      </c>
      <c r="ARA29">
        <v>0</v>
      </c>
      <c r="ARB29">
        <v>0</v>
      </c>
      <c r="ARC29">
        <v>0</v>
      </c>
      <c r="ARD29">
        <v>0</v>
      </c>
      <c r="ARE29">
        <v>0</v>
      </c>
      <c r="ARF29">
        <v>0</v>
      </c>
      <c r="ARG29">
        <v>0</v>
      </c>
      <c r="ARH29">
        <v>0</v>
      </c>
      <c r="ARI29">
        <v>0</v>
      </c>
      <c r="ARJ29">
        <v>0</v>
      </c>
      <c r="ARK29">
        <v>0</v>
      </c>
      <c r="ARL29">
        <v>0</v>
      </c>
      <c r="ARM29">
        <v>0</v>
      </c>
      <c r="ARN29">
        <v>0</v>
      </c>
      <c r="ARO29" s="128">
        <v>0</v>
      </c>
      <c r="ARP29" s="128">
        <v>0</v>
      </c>
      <c r="ARQ29" s="128">
        <v>0</v>
      </c>
      <c r="ARR29" s="128">
        <v>0</v>
      </c>
      <c r="ARS29">
        <v>0</v>
      </c>
      <c r="ART29" s="119">
        <v>0</v>
      </c>
      <c r="ARU29" s="119">
        <v>0</v>
      </c>
      <c r="ARV29" s="119">
        <v>0</v>
      </c>
      <c r="ARW29" s="119">
        <v>0</v>
      </c>
      <c r="ARX29" s="121">
        <v>0</v>
      </c>
      <c r="ARY29" s="119">
        <v>0</v>
      </c>
      <c r="ARZ29" s="119">
        <v>0</v>
      </c>
      <c r="ASA29">
        <v>0</v>
      </c>
      <c r="ASB29">
        <v>0</v>
      </c>
      <c r="ASC29">
        <v>0</v>
      </c>
      <c r="ASD29" s="119">
        <v>0</v>
      </c>
      <c r="ASE29">
        <v>0</v>
      </c>
      <c r="ASF29">
        <v>0</v>
      </c>
      <c r="ASG29">
        <v>0</v>
      </c>
      <c r="ASH29">
        <v>0</v>
      </c>
      <c r="ASI29">
        <v>0</v>
      </c>
      <c r="ASJ29">
        <v>0</v>
      </c>
      <c r="ASK29">
        <v>0</v>
      </c>
      <c r="ASL29">
        <v>0</v>
      </c>
      <c r="ASM29">
        <v>0</v>
      </c>
      <c r="ASN29">
        <v>0</v>
      </c>
      <c r="ASO29">
        <v>0</v>
      </c>
      <c r="ASP29">
        <v>0</v>
      </c>
      <c r="ASQ29">
        <v>0</v>
      </c>
      <c r="ASR29">
        <v>0</v>
      </c>
      <c r="ASS29">
        <v>0</v>
      </c>
      <c r="AST29">
        <v>0</v>
      </c>
      <c r="ASU29">
        <v>0</v>
      </c>
      <c r="ASV29">
        <v>0</v>
      </c>
      <c r="ASW29">
        <v>0</v>
      </c>
      <c r="ASX29">
        <v>0</v>
      </c>
      <c r="ASY29">
        <v>0</v>
      </c>
      <c r="ASZ29">
        <v>0</v>
      </c>
      <c r="ATA29">
        <v>0</v>
      </c>
      <c r="ATB29" s="116">
        <v>0</v>
      </c>
      <c r="ATC29" s="116">
        <v>0</v>
      </c>
      <c r="ATD29" s="116">
        <v>0</v>
      </c>
      <c r="ATE29" s="116">
        <v>0</v>
      </c>
      <c r="ATF29" s="116">
        <v>0</v>
      </c>
      <c r="ATG29" s="116">
        <v>0</v>
      </c>
      <c r="ATH29" s="116">
        <v>0</v>
      </c>
      <c r="ATI29" s="116">
        <v>0</v>
      </c>
      <c r="ATJ29" s="116">
        <v>0</v>
      </c>
      <c r="ATK29" s="128">
        <v>0</v>
      </c>
      <c r="ATL29" s="128">
        <v>0</v>
      </c>
      <c r="ATM29" s="128">
        <v>0</v>
      </c>
      <c r="ATN29" s="128">
        <v>0</v>
      </c>
      <c r="ATO29">
        <v>0</v>
      </c>
      <c r="ATP29" s="119">
        <v>0</v>
      </c>
      <c r="ATQ29" s="119">
        <v>0</v>
      </c>
      <c r="ATR29" s="119">
        <v>0</v>
      </c>
      <c r="ATS29" s="119">
        <v>0</v>
      </c>
      <c r="ATT29" s="121">
        <v>0</v>
      </c>
      <c r="ATU29" s="119">
        <v>0</v>
      </c>
      <c r="ATV29" s="119">
        <v>0</v>
      </c>
      <c r="ATW29">
        <v>0</v>
      </c>
      <c r="ATX29">
        <v>0</v>
      </c>
      <c r="ATY29">
        <v>0</v>
      </c>
      <c r="ATZ29" s="119">
        <v>0</v>
      </c>
      <c r="AUA29">
        <v>0</v>
      </c>
      <c r="AUB29">
        <v>0</v>
      </c>
      <c r="AUC29">
        <v>0</v>
      </c>
      <c r="AUD29">
        <v>0</v>
      </c>
      <c r="AUE29">
        <v>0</v>
      </c>
      <c r="AUF29">
        <v>0</v>
      </c>
      <c r="AUG29">
        <v>0</v>
      </c>
      <c r="AUH29">
        <v>0</v>
      </c>
      <c r="AUI29">
        <v>0</v>
      </c>
      <c r="AUJ29">
        <v>0</v>
      </c>
      <c r="AUK29">
        <v>0</v>
      </c>
      <c r="AUL29">
        <v>0</v>
      </c>
      <c r="AUM29">
        <v>0</v>
      </c>
      <c r="AUN29">
        <v>0</v>
      </c>
      <c r="AUO29">
        <v>0</v>
      </c>
      <c r="AUP29">
        <v>0</v>
      </c>
      <c r="AUQ29">
        <v>0</v>
      </c>
      <c r="AUR29">
        <v>0</v>
      </c>
      <c r="AUS29">
        <v>0</v>
      </c>
      <c r="AUT29">
        <v>0</v>
      </c>
      <c r="AUU29">
        <v>0</v>
      </c>
      <c r="AUV29">
        <v>0</v>
      </c>
      <c r="AUW29">
        <v>0</v>
      </c>
      <c r="AUX29" s="116">
        <v>0</v>
      </c>
      <c r="AUY29" s="116">
        <v>0</v>
      </c>
      <c r="AUZ29" s="116">
        <v>0</v>
      </c>
      <c r="AVA29" s="116">
        <v>0</v>
      </c>
      <c r="AVB29" s="116">
        <v>0</v>
      </c>
      <c r="AVC29" s="116">
        <v>0</v>
      </c>
      <c r="AVD29" s="116">
        <v>0</v>
      </c>
      <c r="AVE29" s="116">
        <v>0</v>
      </c>
      <c r="AVF29" s="116">
        <v>0</v>
      </c>
      <c r="AVG29" s="128">
        <v>0</v>
      </c>
      <c r="AVH29" s="128">
        <v>0</v>
      </c>
      <c r="AVI29" s="128">
        <v>0</v>
      </c>
      <c r="AVJ29" s="128">
        <v>0</v>
      </c>
      <c r="AVK29">
        <v>0</v>
      </c>
      <c r="AVL29" s="119">
        <v>0</v>
      </c>
      <c r="AVM29" s="119">
        <v>0</v>
      </c>
      <c r="AVN29" s="119">
        <v>0</v>
      </c>
      <c r="AVO29" s="119">
        <v>0</v>
      </c>
      <c r="AVP29" s="121">
        <v>0</v>
      </c>
      <c r="AVQ29" s="119">
        <v>0</v>
      </c>
      <c r="AVR29" s="119">
        <v>0</v>
      </c>
      <c r="AVS29">
        <v>0</v>
      </c>
      <c r="AVT29">
        <v>0</v>
      </c>
      <c r="AVU29">
        <v>0</v>
      </c>
      <c r="AVV29" s="119">
        <v>0</v>
      </c>
      <c r="AVW29">
        <v>0</v>
      </c>
      <c r="AVX29">
        <v>0</v>
      </c>
      <c r="AVY29">
        <v>0</v>
      </c>
      <c r="AVZ29">
        <v>0</v>
      </c>
      <c r="AWA29">
        <v>0</v>
      </c>
      <c r="AWB29">
        <v>0</v>
      </c>
      <c r="AWC29">
        <v>0</v>
      </c>
      <c r="AWD29">
        <v>0</v>
      </c>
      <c r="AWE29">
        <v>0</v>
      </c>
      <c r="AWF29">
        <v>0</v>
      </c>
      <c r="AWG29">
        <v>0</v>
      </c>
      <c r="AWH29">
        <v>0</v>
      </c>
      <c r="AWI29">
        <v>0</v>
      </c>
      <c r="AWJ29">
        <v>0</v>
      </c>
      <c r="AWK29">
        <v>0</v>
      </c>
      <c r="AWL29">
        <v>0</v>
      </c>
      <c r="AWM29">
        <v>0</v>
      </c>
      <c r="AWN29">
        <v>0</v>
      </c>
      <c r="AWO29">
        <v>0</v>
      </c>
      <c r="AWP29">
        <v>0</v>
      </c>
      <c r="AWQ29">
        <v>0</v>
      </c>
      <c r="AWR29">
        <v>0</v>
      </c>
      <c r="AWS29">
        <v>0</v>
      </c>
      <c r="AWT29" s="116">
        <v>0</v>
      </c>
      <c r="AWU29" s="116">
        <v>0</v>
      </c>
      <c r="AWV29" s="116">
        <v>0</v>
      </c>
      <c r="AWW29" s="116">
        <v>0</v>
      </c>
      <c r="AWX29" s="116">
        <v>0</v>
      </c>
      <c r="AWY29" s="116">
        <v>0</v>
      </c>
      <c r="AWZ29" s="116">
        <v>0</v>
      </c>
      <c r="AXA29" s="116">
        <v>0</v>
      </c>
      <c r="AXB29" s="116">
        <v>0</v>
      </c>
      <c r="AXC29" s="128">
        <v>0</v>
      </c>
      <c r="AXD29" s="128">
        <v>0</v>
      </c>
      <c r="AXE29" s="128">
        <v>0</v>
      </c>
      <c r="AXF29" s="128">
        <v>0</v>
      </c>
      <c r="AXG29">
        <v>0</v>
      </c>
      <c r="AXH29" s="119">
        <v>0</v>
      </c>
      <c r="AXI29" s="119">
        <v>0</v>
      </c>
      <c r="AXJ29" s="119">
        <v>0</v>
      </c>
      <c r="AXK29" s="119">
        <v>0</v>
      </c>
      <c r="AXL29" s="121">
        <v>0</v>
      </c>
      <c r="AXM29" s="119">
        <v>0</v>
      </c>
      <c r="AXN29" s="119">
        <v>0</v>
      </c>
      <c r="AXO29">
        <v>0</v>
      </c>
      <c r="AXP29">
        <v>0</v>
      </c>
      <c r="AXQ29">
        <v>0</v>
      </c>
      <c r="AXR29" s="119">
        <v>0</v>
      </c>
      <c r="AXS29">
        <v>0</v>
      </c>
      <c r="AXT29">
        <v>0</v>
      </c>
      <c r="AXU29">
        <v>0</v>
      </c>
      <c r="AXV29">
        <v>0</v>
      </c>
      <c r="AXW29">
        <v>0</v>
      </c>
      <c r="AXX29">
        <v>0</v>
      </c>
      <c r="AXY29">
        <v>0</v>
      </c>
      <c r="AXZ29">
        <v>0</v>
      </c>
      <c r="AYA29">
        <v>0</v>
      </c>
      <c r="AYB29">
        <v>0</v>
      </c>
      <c r="AYC29">
        <v>0</v>
      </c>
      <c r="AYD29">
        <v>0</v>
      </c>
      <c r="AYE29">
        <v>0</v>
      </c>
      <c r="AYF29">
        <v>0</v>
      </c>
      <c r="AYG29">
        <v>0</v>
      </c>
      <c r="AYH29">
        <v>0</v>
      </c>
      <c r="AYI29">
        <v>0</v>
      </c>
      <c r="AYJ29">
        <v>0</v>
      </c>
      <c r="AYK29">
        <v>0</v>
      </c>
      <c r="AYL29">
        <v>0</v>
      </c>
      <c r="AYM29">
        <v>0</v>
      </c>
      <c r="AYN29">
        <v>0</v>
      </c>
      <c r="AYO29">
        <v>0</v>
      </c>
      <c r="AYP29" s="116">
        <v>0</v>
      </c>
      <c r="AYQ29" s="116">
        <v>0</v>
      </c>
      <c r="AYR29" s="116">
        <v>0</v>
      </c>
      <c r="AYS29" s="116">
        <v>0</v>
      </c>
      <c r="AYT29" s="116">
        <v>0</v>
      </c>
      <c r="AYU29" s="116">
        <v>0</v>
      </c>
      <c r="AYV29" s="116">
        <v>0</v>
      </c>
      <c r="AYW29" s="116">
        <v>0</v>
      </c>
      <c r="AYX29" s="116">
        <v>0</v>
      </c>
      <c r="AYY29" s="128">
        <v>0</v>
      </c>
      <c r="AYZ29" s="128">
        <v>0</v>
      </c>
      <c r="AZA29" s="128">
        <v>0</v>
      </c>
      <c r="AZB29" s="128">
        <v>0</v>
      </c>
      <c r="AZC29">
        <v>0</v>
      </c>
      <c r="AZD29" s="119">
        <v>0</v>
      </c>
      <c r="AZE29" s="119">
        <v>0</v>
      </c>
      <c r="AZF29" s="119">
        <v>0</v>
      </c>
      <c r="AZG29" s="119">
        <v>0</v>
      </c>
      <c r="AZH29" s="121">
        <v>0</v>
      </c>
      <c r="AZI29" s="119">
        <v>0</v>
      </c>
      <c r="AZJ29" s="119">
        <v>0</v>
      </c>
      <c r="AZK29">
        <v>0</v>
      </c>
      <c r="AZL29">
        <v>0</v>
      </c>
      <c r="AZM29">
        <v>0</v>
      </c>
      <c r="AZN29" s="119">
        <v>0</v>
      </c>
      <c r="AZO29">
        <v>0</v>
      </c>
      <c r="AZP29">
        <v>0</v>
      </c>
      <c r="AZQ29">
        <v>0</v>
      </c>
      <c r="AZR29">
        <v>0</v>
      </c>
      <c r="AZS29">
        <v>0</v>
      </c>
      <c r="AZT29">
        <v>0</v>
      </c>
      <c r="AZU29">
        <v>0</v>
      </c>
      <c r="AZV29">
        <v>0</v>
      </c>
      <c r="AZW29">
        <v>0</v>
      </c>
      <c r="AZX29">
        <v>0</v>
      </c>
      <c r="AZY29">
        <v>0</v>
      </c>
      <c r="AZZ29">
        <v>0</v>
      </c>
      <c r="BAA29">
        <v>0</v>
      </c>
      <c r="BAB29">
        <v>0</v>
      </c>
      <c r="BAC29">
        <v>0</v>
      </c>
      <c r="BAD29">
        <v>0</v>
      </c>
      <c r="BAE29">
        <v>0</v>
      </c>
      <c r="BAF29">
        <v>0</v>
      </c>
      <c r="BAG29">
        <v>0</v>
      </c>
      <c r="BAH29">
        <v>0</v>
      </c>
      <c r="BAI29">
        <v>0</v>
      </c>
      <c r="BAJ29">
        <v>0</v>
      </c>
      <c r="BAK29">
        <v>833650</v>
      </c>
      <c r="BAL29">
        <v>12770.13</v>
      </c>
      <c r="BAM29" s="120">
        <v>11775.13</v>
      </c>
      <c r="BAN29" s="120">
        <v>995</v>
      </c>
      <c r="BAO29" s="120">
        <v>300</v>
      </c>
      <c r="BAP29" s="120">
        <v>0</v>
      </c>
      <c r="BAQ29" s="120">
        <v>741.75</v>
      </c>
      <c r="BAR29" s="120" t="s">
        <v>3307</v>
      </c>
      <c r="BAS29" s="116">
        <v>0</v>
      </c>
      <c r="BAT29" s="116">
        <v>0</v>
      </c>
      <c r="BAU29" s="116">
        <v>0</v>
      </c>
      <c r="BAV29" s="116">
        <v>0</v>
      </c>
      <c r="BAW29" s="116">
        <v>0</v>
      </c>
      <c r="BAX29" s="116">
        <v>0</v>
      </c>
      <c r="BAY29" s="116">
        <v>0</v>
      </c>
      <c r="BAZ29" s="116">
        <v>0</v>
      </c>
      <c r="BBA29" s="116">
        <v>0</v>
      </c>
      <c r="BBB29" s="116">
        <v>0</v>
      </c>
      <c r="BBC29" s="116">
        <v>0</v>
      </c>
      <c r="BBD29" s="116">
        <v>0</v>
      </c>
      <c r="BBE29" s="116">
        <v>0</v>
      </c>
      <c r="BBF29" s="116">
        <v>0</v>
      </c>
      <c r="BBG29" s="116">
        <v>0</v>
      </c>
      <c r="BBH29" s="116">
        <v>0</v>
      </c>
      <c r="BBI29" s="116">
        <v>0</v>
      </c>
      <c r="BBJ29" s="116">
        <v>0</v>
      </c>
      <c r="BBK29" s="116">
        <v>0</v>
      </c>
      <c r="BBL29" s="116">
        <v>0</v>
      </c>
      <c r="BBM29" s="116">
        <v>0</v>
      </c>
      <c r="BBN29" s="116">
        <v>0</v>
      </c>
      <c r="BBO29" s="116">
        <v>0</v>
      </c>
      <c r="BBP29" s="116">
        <v>0</v>
      </c>
      <c r="BBQ29" s="116">
        <v>0</v>
      </c>
      <c r="BBR29" s="116">
        <v>0</v>
      </c>
      <c r="BBS29" s="116">
        <v>0</v>
      </c>
      <c r="BBT29" s="116">
        <v>0</v>
      </c>
      <c r="BBU29" s="116">
        <v>0</v>
      </c>
      <c r="BBV29" s="116">
        <v>0</v>
      </c>
      <c r="BBW29" s="116">
        <v>0</v>
      </c>
      <c r="BBX29" s="116">
        <v>0</v>
      </c>
      <c r="BBY29" s="116">
        <v>0</v>
      </c>
      <c r="BBZ29" s="116">
        <v>0</v>
      </c>
      <c r="BCA29" s="116">
        <v>0</v>
      </c>
      <c r="BCB29" s="116">
        <v>0</v>
      </c>
      <c r="BCC29" s="116">
        <v>0</v>
      </c>
      <c r="BCD29" s="116">
        <v>0</v>
      </c>
      <c r="BCE29" s="116">
        <v>0</v>
      </c>
      <c r="BCF29" s="116">
        <v>0</v>
      </c>
      <c r="BCG29" s="116">
        <v>0</v>
      </c>
      <c r="BCH29" s="116">
        <v>0</v>
      </c>
      <c r="BCI29" s="116">
        <v>0</v>
      </c>
      <c r="BCJ29" s="116">
        <v>0</v>
      </c>
      <c r="BCK29" s="116">
        <v>0</v>
      </c>
      <c r="BCL29" s="116">
        <v>0</v>
      </c>
      <c r="BCM29" s="116">
        <v>0</v>
      </c>
      <c r="BCN29" s="116">
        <v>0</v>
      </c>
      <c r="BCO29" s="116">
        <v>0</v>
      </c>
      <c r="BCP29" s="116">
        <v>4</v>
      </c>
      <c r="BCQ29" s="304">
        <v>5</v>
      </c>
      <c r="BCR29" s="304">
        <v>4</v>
      </c>
      <c r="BCS29" s="304">
        <v>2</v>
      </c>
      <c r="BCT29" s="304">
        <v>7</v>
      </c>
      <c r="BCU29" s="304">
        <v>8</v>
      </c>
      <c r="BCV29" s="304">
        <v>6</v>
      </c>
      <c r="BCW29" s="304">
        <v>4</v>
      </c>
      <c r="BCX29" s="304">
        <v>2</v>
      </c>
      <c r="BCY29" s="304">
        <v>0</v>
      </c>
      <c r="BCZ29" s="304">
        <v>0</v>
      </c>
      <c r="BDA29" s="304">
        <v>0</v>
      </c>
      <c r="BDB29" s="304">
        <v>0</v>
      </c>
      <c r="BDC29" s="304">
        <v>0</v>
      </c>
      <c r="BDD29" s="304">
        <v>0</v>
      </c>
      <c r="BDE29" s="304">
        <v>0</v>
      </c>
      <c r="BDF29" s="304">
        <v>0</v>
      </c>
      <c r="BDG29" s="304">
        <v>0</v>
      </c>
      <c r="BDH29" s="304">
        <v>0</v>
      </c>
      <c r="BDI29" s="304">
        <v>0</v>
      </c>
      <c r="BDJ29" s="304">
        <v>0</v>
      </c>
      <c r="BDK29" s="304">
        <v>0</v>
      </c>
      <c r="BDL29" s="304">
        <v>0</v>
      </c>
      <c r="BDM29" s="304">
        <v>0</v>
      </c>
      <c r="BDN29" s="304">
        <v>0</v>
      </c>
      <c r="BDO29" s="304">
        <v>0</v>
      </c>
      <c r="BDP29" s="304">
        <v>0</v>
      </c>
      <c r="BDQ29" s="304" t="s">
        <v>3317</v>
      </c>
      <c r="BDR29" t="s">
        <v>2404</v>
      </c>
      <c r="BDS29">
        <v>0</v>
      </c>
      <c r="BDT29">
        <v>0</v>
      </c>
      <c r="BDU29">
        <v>0</v>
      </c>
      <c r="BDV29" t="s">
        <v>2404</v>
      </c>
      <c r="BDW29">
        <v>0</v>
      </c>
      <c r="BDX29">
        <v>0</v>
      </c>
      <c r="BDY29">
        <v>0</v>
      </c>
      <c r="BDZ29">
        <v>0</v>
      </c>
      <c r="BEA29">
        <v>0</v>
      </c>
      <c r="BEB29">
        <v>0</v>
      </c>
      <c r="BEC29">
        <v>0</v>
      </c>
      <c r="BED29">
        <v>0</v>
      </c>
      <c r="BEE29">
        <v>0</v>
      </c>
      <c r="BEF29">
        <v>0</v>
      </c>
      <c r="BEG29">
        <v>0</v>
      </c>
      <c r="BEH29">
        <v>0</v>
      </c>
      <c r="BEI29">
        <v>0</v>
      </c>
      <c r="BEJ29">
        <v>0</v>
      </c>
      <c r="BEK29" t="s">
        <v>2404</v>
      </c>
      <c r="BEL29" t="s">
        <v>2876</v>
      </c>
      <c r="BEM29">
        <v>0</v>
      </c>
      <c r="BEN29" t="s">
        <v>2403</v>
      </c>
      <c r="BEO29" t="s">
        <v>3302</v>
      </c>
      <c r="BEP29" t="s">
        <v>712</v>
      </c>
      <c r="BEQ29" t="s">
        <v>3303</v>
      </c>
      <c r="BER29">
        <v>0</v>
      </c>
      <c r="BES29">
        <v>0</v>
      </c>
      <c r="BET29">
        <v>0</v>
      </c>
      <c r="BEU29" t="s">
        <v>3304</v>
      </c>
      <c r="BEV29">
        <v>1900</v>
      </c>
      <c r="BEW29" t="s">
        <v>3305</v>
      </c>
      <c r="BEX29" t="s">
        <v>3269</v>
      </c>
      <c r="BEY29" t="s">
        <v>3270</v>
      </c>
      <c r="BEZ29" t="s">
        <v>3278</v>
      </c>
      <c r="BFA29" t="s">
        <v>3270</v>
      </c>
      <c r="BFB29" t="s">
        <v>3270</v>
      </c>
      <c r="BFC29">
        <v>0</v>
      </c>
      <c r="BFD29" t="b">
        <v>1</v>
      </c>
      <c r="BFE29" t="b">
        <v>1</v>
      </c>
      <c r="BFF29" t="b">
        <v>0</v>
      </c>
      <c r="BFG29" t="b">
        <v>1</v>
      </c>
      <c r="BFH29">
        <v>43623</v>
      </c>
      <c r="BFI29">
        <v>43630</v>
      </c>
      <c r="BFJ29">
        <v>7</v>
      </c>
      <c r="BFK29">
        <v>0</v>
      </c>
      <c r="BFL29">
        <v>0</v>
      </c>
      <c r="BFM29">
        <v>0</v>
      </c>
      <c r="BFN29">
        <v>0</v>
      </c>
      <c r="BFO29">
        <v>0</v>
      </c>
      <c r="BFP29">
        <v>0</v>
      </c>
      <c r="BFQ29">
        <v>0</v>
      </c>
      <c r="BFR29">
        <v>0</v>
      </c>
      <c r="BFS29">
        <v>0</v>
      </c>
      <c r="BFT29">
        <v>0</v>
      </c>
      <c r="BFU29">
        <v>0</v>
      </c>
      <c r="BFV29">
        <v>0</v>
      </c>
      <c r="BFW29">
        <v>0</v>
      </c>
      <c r="BFX29">
        <v>0</v>
      </c>
      <c r="BFY29">
        <v>0</v>
      </c>
    </row>
    <row r="30" spans="1:1533" ht="22.5" customHeight="1" x14ac:dyDescent="0.25">
      <c r="A30" t="s">
        <v>3326</v>
      </c>
      <c r="B30" t="s">
        <v>3339</v>
      </c>
      <c r="C30" s="120">
        <v>130</v>
      </c>
      <c r="D30" s="120">
        <v>45</v>
      </c>
      <c r="E30">
        <v>0</v>
      </c>
      <c r="F30">
        <v>0</v>
      </c>
      <c r="G30">
        <v>0</v>
      </c>
      <c r="H30" t="s">
        <v>2403</v>
      </c>
      <c r="I30" t="s">
        <v>2403</v>
      </c>
      <c r="J30" t="s">
        <v>2403</v>
      </c>
      <c r="K30" t="s">
        <v>2403</v>
      </c>
      <c r="L30" t="s">
        <v>2403</v>
      </c>
      <c r="M30" t="s">
        <v>1883</v>
      </c>
      <c r="N30" t="s">
        <v>2403</v>
      </c>
      <c r="O30" t="s">
        <v>1883</v>
      </c>
      <c r="P30" t="s">
        <v>1883</v>
      </c>
      <c r="Q30" t="s">
        <v>2403</v>
      </c>
      <c r="R30" t="s">
        <v>1883</v>
      </c>
      <c r="S30" t="s">
        <v>2403</v>
      </c>
      <c r="T30" t="s">
        <v>2404</v>
      </c>
      <c r="U30" t="s">
        <v>2424</v>
      </c>
      <c r="V30">
        <v>0</v>
      </c>
      <c r="W30" t="s">
        <v>309</v>
      </c>
      <c r="X30">
        <v>900</v>
      </c>
      <c r="Y30">
        <v>43644</v>
      </c>
      <c r="Z30">
        <v>0</v>
      </c>
      <c r="AA30">
        <v>0</v>
      </c>
      <c r="AB30" s="120">
        <v>100</v>
      </c>
      <c r="AC30" s="58" t="s">
        <v>272</v>
      </c>
      <c r="AD30" s="120">
        <v>25</v>
      </c>
      <c r="AE30" s="120">
        <v>0</v>
      </c>
      <c r="AF30" s="120">
        <v>43671</v>
      </c>
      <c r="AG30">
        <v>45</v>
      </c>
      <c r="AH30" s="120">
        <v>0</v>
      </c>
      <c r="AI30" s="120">
        <v>0</v>
      </c>
      <c r="AJ30" s="58" t="s">
        <v>271</v>
      </c>
      <c r="AK30" s="120">
        <v>0.17899999999999999</v>
      </c>
      <c r="AL30" s="119">
        <v>0</v>
      </c>
      <c r="AM30">
        <v>50</v>
      </c>
      <c r="AN30">
        <v>47294</v>
      </c>
      <c r="AO30" s="114">
        <v>0.19649915231069759</v>
      </c>
      <c r="AP30" s="120">
        <v>10321.99</v>
      </c>
      <c r="AQ30" s="120">
        <v>13330.28999999997</v>
      </c>
      <c r="AR30" s="58">
        <v>23652.27999999997</v>
      </c>
      <c r="AS30" s="114">
        <v>197.1</v>
      </c>
      <c r="AT30" s="120">
        <v>197.38</v>
      </c>
      <c r="AU30" s="120" t="s">
        <v>1910</v>
      </c>
      <c r="AV30" s="120" t="s">
        <v>2119</v>
      </c>
      <c r="AW30" s="120" t="s">
        <v>271</v>
      </c>
      <c r="AX30" s="120">
        <v>19</v>
      </c>
      <c r="AY30">
        <v>0</v>
      </c>
      <c r="AZ30">
        <v>43634</v>
      </c>
      <c r="BA30">
        <v>100</v>
      </c>
      <c r="BB30" s="120">
        <v>1</v>
      </c>
      <c r="BC30">
        <v>1</v>
      </c>
      <c r="BD30" s="58" t="s">
        <v>415</v>
      </c>
      <c r="BE30" s="120">
        <v>336</v>
      </c>
      <c r="BF30">
        <v>76</v>
      </c>
      <c r="BG30">
        <v>43641</v>
      </c>
      <c r="BH30">
        <v>120</v>
      </c>
      <c r="BI30" s="120">
        <v>0</v>
      </c>
      <c r="BJ30" s="120">
        <v>50</v>
      </c>
      <c r="BK30" s="367">
        <v>43466</v>
      </c>
      <c r="BL30">
        <v>0</v>
      </c>
      <c r="BM30" s="120">
        <v>0</v>
      </c>
      <c r="BN30" s="120">
        <v>0</v>
      </c>
      <c r="BO30" s="58" t="s">
        <v>3323</v>
      </c>
      <c r="BP30" t="s">
        <v>2403</v>
      </c>
      <c r="BQ30" t="s">
        <v>2403</v>
      </c>
      <c r="BR30" t="s">
        <v>2403</v>
      </c>
      <c r="BS30">
        <v>455028365</v>
      </c>
      <c r="BT30" s="366">
        <v>20027</v>
      </c>
      <c r="BU30" s="58" t="s">
        <v>3324</v>
      </c>
      <c r="BV30" t="s">
        <v>118</v>
      </c>
      <c r="BW30" t="s">
        <v>1633</v>
      </c>
      <c r="BX30">
        <v>77011</v>
      </c>
      <c r="BY30" t="s">
        <v>3324</v>
      </c>
      <c r="BZ30" t="s">
        <v>118</v>
      </c>
      <c r="CA30">
        <v>77011</v>
      </c>
      <c r="CB30" t="s">
        <v>1633</v>
      </c>
      <c r="CC30" t="s">
        <v>2040</v>
      </c>
      <c r="CD30">
        <v>0</v>
      </c>
      <c r="CE30">
        <v>0</v>
      </c>
      <c r="CF30">
        <v>0</v>
      </c>
      <c r="CG30">
        <v>0</v>
      </c>
      <c r="CH30">
        <v>0</v>
      </c>
      <c r="CI30">
        <v>0</v>
      </c>
      <c r="CJ30">
        <v>0</v>
      </c>
      <c r="CK30">
        <v>8328164097</v>
      </c>
      <c r="CL30" s="118">
        <v>8328164413</v>
      </c>
      <c r="CM30" s="118">
        <v>8328164097</v>
      </c>
      <c r="CN30" s="118" t="s">
        <v>3325</v>
      </c>
      <c r="CO30">
        <v>0</v>
      </c>
      <c r="CP30">
        <v>0</v>
      </c>
      <c r="CQ30">
        <v>0</v>
      </c>
      <c r="CR30">
        <v>0</v>
      </c>
      <c r="CS30">
        <v>0</v>
      </c>
      <c r="CT30">
        <v>0</v>
      </c>
      <c r="CU30">
        <v>0</v>
      </c>
      <c r="CV30">
        <v>0</v>
      </c>
      <c r="CW30">
        <v>0</v>
      </c>
      <c r="CX30" s="366">
        <v>0</v>
      </c>
      <c r="CY30" s="58">
        <v>0</v>
      </c>
      <c r="CZ30">
        <v>0</v>
      </c>
      <c r="DA30">
        <v>0</v>
      </c>
      <c r="DB30">
        <v>0</v>
      </c>
      <c r="DC30">
        <v>0</v>
      </c>
      <c r="DD30">
        <v>0</v>
      </c>
      <c r="DE30">
        <v>0</v>
      </c>
      <c r="DF30">
        <v>0</v>
      </c>
      <c r="DG30">
        <v>0</v>
      </c>
      <c r="DH30">
        <v>0</v>
      </c>
      <c r="DI30">
        <v>0</v>
      </c>
      <c r="DJ30">
        <v>0</v>
      </c>
      <c r="DK30">
        <v>0</v>
      </c>
      <c r="DL30" s="118">
        <v>0</v>
      </c>
      <c r="DM30" s="118">
        <v>0</v>
      </c>
      <c r="DN30" s="118" t="s">
        <v>3325</v>
      </c>
      <c r="DO30">
        <v>0</v>
      </c>
      <c r="DP30">
        <v>0</v>
      </c>
      <c r="DQ30">
        <v>0</v>
      </c>
      <c r="DR30">
        <v>0</v>
      </c>
      <c r="DS30">
        <v>0</v>
      </c>
      <c r="DT30">
        <v>0</v>
      </c>
      <c r="DU30">
        <v>0</v>
      </c>
      <c r="DV30">
        <v>0</v>
      </c>
      <c r="DW30">
        <v>0</v>
      </c>
      <c r="DX30" s="366">
        <v>0</v>
      </c>
      <c r="DY30" s="58">
        <v>0</v>
      </c>
      <c r="DZ30">
        <v>0</v>
      </c>
      <c r="EA30">
        <v>0</v>
      </c>
      <c r="EB30">
        <v>0</v>
      </c>
      <c r="EC30">
        <v>0</v>
      </c>
      <c r="ED30">
        <v>0</v>
      </c>
      <c r="EE30">
        <v>0</v>
      </c>
      <c r="EF30">
        <v>0</v>
      </c>
      <c r="EG30">
        <v>0</v>
      </c>
      <c r="EH30">
        <v>0</v>
      </c>
      <c r="EI30">
        <v>0</v>
      </c>
      <c r="EJ30">
        <v>0</v>
      </c>
      <c r="EK30">
        <v>0</v>
      </c>
      <c r="EL30" s="118">
        <v>0</v>
      </c>
      <c r="EM30" s="118">
        <v>0</v>
      </c>
      <c r="EN30" s="118">
        <v>0</v>
      </c>
      <c r="EO30">
        <v>900</v>
      </c>
      <c r="EP30">
        <v>10001.9892578125</v>
      </c>
      <c r="EQ30" s="119">
        <v>2</v>
      </c>
      <c r="ER30">
        <v>2</v>
      </c>
      <c r="ES30" t="s">
        <v>2508</v>
      </c>
      <c r="ET30" t="s">
        <v>3329</v>
      </c>
      <c r="EU30">
        <v>0</v>
      </c>
      <c r="EV30">
        <v>0</v>
      </c>
      <c r="EW30">
        <v>0</v>
      </c>
      <c r="EX30">
        <v>0</v>
      </c>
      <c r="EY30">
        <v>0</v>
      </c>
      <c r="EZ30">
        <v>0</v>
      </c>
      <c r="FA30">
        <v>0</v>
      </c>
      <c r="FB30">
        <v>0</v>
      </c>
      <c r="FC30">
        <v>0</v>
      </c>
      <c r="FD30">
        <v>0</v>
      </c>
      <c r="FE30">
        <v>0</v>
      </c>
      <c r="FF30">
        <v>0</v>
      </c>
      <c r="FG30">
        <v>0</v>
      </c>
      <c r="FH30">
        <v>0</v>
      </c>
      <c r="FI30">
        <v>0</v>
      </c>
      <c r="FJ30">
        <v>0</v>
      </c>
      <c r="FK30">
        <v>0</v>
      </c>
      <c r="FL30">
        <v>0</v>
      </c>
      <c r="FM30">
        <v>9442.27</v>
      </c>
      <c r="FN30" s="119">
        <v>559.72</v>
      </c>
      <c r="FO30" s="119">
        <v>0</v>
      </c>
      <c r="FP30" s="119">
        <v>0</v>
      </c>
      <c r="FQ30" s="119">
        <v>0</v>
      </c>
      <c r="FR30" s="119">
        <v>0</v>
      </c>
      <c r="FS30" s="119">
        <v>0</v>
      </c>
      <c r="FT30" s="119">
        <v>0</v>
      </c>
      <c r="FU30" s="119">
        <v>0</v>
      </c>
      <c r="FV30" s="119">
        <v>0</v>
      </c>
      <c r="FW30" s="119">
        <v>0</v>
      </c>
      <c r="FX30" s="119">
        <v>0</v>
      </c>
      <c r="FY30" s="119">
        <v>0</v>
      </c>
      <c r="FZ30" s="119">
        <v>0</v>
      </c>
      <c r="GA30" s="119">
        <v>0</v>
      </c>
      <c r="GB30" s="119">
        <v>0</v>
      </c>
      <c r="GC30" s="119">
        <v>0</v>
      </c>
      <c r="GD30" s="119">
        <v>0</v>
      </c>
      <c r="GE30" s="119">
        <v>0</v>
      </c>
      <c r="GF30" s="119">
        <v>0</v>
      </c>
      <c r="GG30" s="119">
        <v>0</v>
      </c>
      <c r="GH30" t="s">
        <v>2403</v>
      </c>
      <c r="GI30">
        <v>0</v>
      </c>
      <c r="GJ30">
        <v>0</v>
      </c>
      <c r="GK30">
        <v>0</v>
      </c>
      <c r="GL30" t="s">
        <v>2403</v>
      </c>
      <c r="GM30">
        <v>0</v>
      </c>
      <c r="GN30" s="58" t="s">
        <v>2403</v>
      </c>
      <c r="GO30">
        <v>0</v>
      </c>
      <c r="GP30" t="s">
        <v>3328</v>
      </c>
      <c r="GQ30" s="128" t="s">
        <v>3330</v>
      </c>
      <c r="GR30" s="128">
        <v>0</v>
      </c>
      <c r="GS30" s="128">
        <v>0</v>
      </c>
      <c r="GT30" s="128" t="s">
        <v>3327</v>
      </c>
      <c r="GU30">
        <v>9442.27</v>
      </c>
      <c r="GV30" s="119">
        <v>559.72</v>
      </c>
      <c r="GW30" s="119">
        <v>0</v>
      </c>
      <c r="GX30" s="119">
        <v>0</v>
      </c>
      <c r="GY30" s="119">
        <v>0</v>
      </c>
      <c r="GZ30">
        <v>0</v>
      </c>
      <c r="HA30">
        <v>0</v>
      </c>
      <c r="HB30">
        <v>0</v>
      </c>
      <c r="HC30">
        <v>10001.9892578125</v>
      </c>
      <c r="HD30" s="120">
        <v>630179</v>
      </c>
      <c r="HE30" s="119">
        <v>210318</v>
      </c>
      <c r="HF30" t="s">
        <v>118</v>
      </c>
      <c r="HG30" t="s">
        <v>106</v>
      </c>
      <c r="HH30" t="s">
        <v>2403</v>
      </c>
      <c r="HI30">
        <v>630179</v>
      </c>
      <c r="HJ30" s="119" t="s">
        <v>2403</v>
      </c>
      <c r="HK30">
        <v>0</v>
      </c>
      <c r="HL30">
        <v>0</v>
      </c>
      <c r="HM30">
        <v>0</v>
      </c>
      <c r="HN30">
        <v>0</v>
      </c>
      <c r="HO30" t="s">
        <v>3340</v>
      </c>
      <c r="HP30" t="s">
        <v>2403</v>
      </c>
      <c r="HQ30">
        <v>0</v>
      </c>
      <c r="HR30" t="s">
        <v>1633</v>
      </c>
      <c r="HS30" t="s">
        <v>2508</v>
      </c>
      <c r="HT30" t="s">
        <v>3329</v>
      </c>
      <c r="HU30">
        <v>0</v>
      </c>
      <c r="HV30">
        <v>0</v>
      </c>
      <c r="HW30">
        <v>2018</v>
      </c>
      <c r="HX30">
        <v>2018</v>
      </c>
      <c r="HY30">
        <v>0</v>
      </c>
      <c r="HZ30">
        <v>0</v>
      </c>
      <c r="IA30">
        <v>77011</v>
      </c>
      <c r="IB30" t="s">
        <v>2403</v>
      </c>
      <c r="IC30">
        <v>0</v>
      </c>
      <c r="ID30">
        <v>0</v>
      </c>
      <c r="IE30">
        <v>0</v>
      </c>
      <c r="IF30">
        <v>0</v>
      </c>
      <c r="IG30">
        <v>0</v>
      </c>
      <c r="IH30">
        <v>0</v>
      </c>
      <c r="II30">
        <v>0</v>
      </c>
      <c r="IJ30">
        <v>0</v>
      </c>
      <c r="IK30">
        <v>0</v>
      </c>
      <c r="IL30">
        <v>0</v>
      </c>
      <c r="IM30" s="128">
        <v>0</v>
      </c>
      <c r="IN30" s="128">
        <v>0</v>
      </c>
      <c r="IO30" s="128">
        <v>0</v>
      </c>
      <c r="IP30" s="128">
        <v>0</v>
      </c>
      <c r="IQ30">
        <v>0</v>
      </c>
      <c r="IR30" s="119">
        <v>0</v>
      </c>
      <c r="IS30" s="119">
        <v>0</v>
      </c>
      <c r="IT30" s="119">
        <v>0</v>
      </c>
      <c r="IU30" s="119">
        <v>0</v>
      </c>
      <c r="IV30" s="119">
        <v>0</v>
      </c>
      <c r="IW30">
        <v>0</v>
      </c>
      <c r="IX30">
        <v>0</v>
      </c>
      <c r="IY30">
        <v>0</v>
      </c>
      <c r="IZ30">
        <v>0</v>
      </c>
      <c r="JA30">
        <v>0</v>
      </c>
      <c r="JB30" s="119">
        <v>0</v>
      </c>
      <c r="JC30">
        <v>0</v>
      </c>
      <c r="JD30">
        <v>0</v>
      </c>
      <c r="JE30">
        <v>0</v>
      </c>
      <c r="JF30">
        <v>0</v>
      </c>
      <c r="JG30">
        <v>0</v>
      </c>
      <c r="JH30">
        <v>0</v>
      </c>
      <c r="JI30">
        <v>0</v>
      </c>
      <c r="JJ30">
        <v>0</v>
      </c>
      <c r="JK30">
        <v>0</v>
      </c>
      <c r="JL30">
        <v>0</v>
      </c>
      <c r="JM30">
        <v>0</v>
      </c>
      <c r="JN30">
        <v>0</v>
      </c>
      <c r="JO30">
        <v>0</v>
      </c>
      <c r="JP30">
        <v>0</v>
      </c>
      <c r="JQ30">
        <v>0</v>
      </c>
      <c r="JR30">
        <v>0</v>
      </c>
      <c r="JS30">
        <v>0</v>
      </c>
      <c r="JT30">
        <v>0</v>
      </c>
      <c r="JU30">
        <v>0</v>
      </c>
      <c r="JV30">
        <v>0</v>
      </c>
      <c r="JW30">
        <v>0</v>
      </c>
      <c r="JX30">
        <v>0</v>
      </c>
      <c r="JY30">
        <v>0</v>
      </c>
      <c r="JZ30">
        <v>0</v>
      </c>
      <c r="KA30">
        <v>0</v>
      </c>
      <c r="KB30">
        <v>0</v>
      </c>
      <c r="KC30">
        <v>0</v>
      </c>
      <c r="KD30">
        <v>0</v>
      </c>
      <c r="KE30">
        <v>0</v>
      </c>
      <c r="KF30">
        <v>0</v>
      </c>
      <c r="KG30">
        <v>0</v>
      </c>
      <c r="KH30">
        <v>0</v>
      </c>
      <c r="KI30" s="128">
        <v>0</v>
      </c>
      <c r="KJ30" s="128">
        <v>0</v>
      </c>
      <c r="KK30" s="128">
        <v>0</v>
      </c>
      <c r="KL30" s="128">
        <v>0</v>
      </c>
      <c r="KM30">
        <v>0</v>
      </c>
      <c r="KN30" s="119">
        <v>0</v>
      </c>
      <c r="KO30" s="119">
        <v>0</v>
      </c>
      <c r="KP30" s="119">
        <v>0</v>
      </c>
      <c r="KQ30" s="119">
        <v>0</v>
      </c>
      <c r="KR30" s="121">
        <v>0</v>
      </c>
      <c r="KS30">
        <v>0</v>
      </c>
      <c r="KT30" s="119">
        <v>0</v>
      </c>
      <c r="KU30">
        <v>0</v>
      </c>
      <c r="KV30">
        <v>0</v>
      </c>
      <c r="KW30">
        <v>0</v>
      </c>
      <c r="KX30" s="119">
        <v>0</v>
      </c>
      <c r="KY30">
        <v>0</v>
      </c>
      <c r="KZ30">
        <v>0</v>
      </c>
      <c r="LA30">
        <v>0</v>
      </c>
      <c r="LB30">
        <v>0</v>
      </c>
      <c r="LC30">
        <v>0</v>
      </c>
      <c r="LD30">
        <v>0</v>
      </c>
      <c r="LE30">
        <v>0</v>
      </c>
      <c r="LF30">
        <v>0</v>
      </c>
      <c r="LG30">
        <v>0</v>
      </c>
      <c r="LH30">
        <v>0</v>
      </c>
      <c r="LI30">
        <v>0</v>
      </c>
      <c r="LJ30">
        <v>0</v>
      </c>
      <c r="LK30">
        <v>0</v>
      </c>
      <c r="LL30">
        <v>0</v>
      </c>
      <c r="LM30">
        <v>0</v>
      </c>
      <c r="LN30">
        <v>0</v>
      </c>
      <c r="LO30">
        <v>0</v>
      </c>
      <c r="LP30">
        <v>0</v>
      </c>
      <c r="LQ30">
        <v>0</v>
      </c>
      <c r="LR30">
        <v>0</v>
      </c>
      <c r="LS30">
        <v>0</v>
      </c>
      <c r="LT30">
        <v>0</v>
      </c>
      <c r="LU30">
        <v>0</v>
      </c>
      <c r="LV30">
        <v>0</v>
      </c>
      <c r="LW30">
        <v>0</v>
      </c>
      <c r="LX30">
        <v>0</v>
      </c>
      <c r="LY30">
        <v>0</v>
      </c>
      <c r="LZ30">
        <v>0</v>
      </c>
      <c r="MA30">
        <v>0</v>
      </c>
      <c r="MB30">
        <v>0</v>
      </c>
      <c r="MC30">
        <v>0</v>
      </c>
      <c r="MD30">
        <v>0</v>
      </c>
      <c r="ME30" s="128">
        <v>0</v>
      </c>
      <c r="MF30" s="128">
        <v>0</v>
      </c>
      <c r="MG30" s="128">
        <v>0</v>
      </c>
      <c r="MH30" s="128">
        <v>0</v>
      </c>
      <c r="MI30">
        <v>0</v>
      </c>
      <c r="MJ30" s="119">
        <v>0</v>
      </c>
      <c r="MK30" s="119">
        <v>0</v>
      </c>
      <c r="ML30" s="119">
        <v>0</v>
      </c>
      <c r="MM30" s="119">
        <v>0</v>
      </c>
      <c r="MN30" s="121">
        <v>0</v>
      </c>
      <c r="MO30" s="119">
        <v>0</v>
      </c>
      <c r="MP30">
        <v>0</v>
      </c>
      <c r="MQ30">
        <v>0</v>
      </c>
      <c r="MR30">
        <v>0</v>
      </c>
      <c r="MS30">
        <v>0</v>
      </c>
      <c r="MT30" s="119">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s="116">
        <v>0</v>
      </c>
      <c r="NS30" s="116">
        <v>0</v>
      </c>
      <c r="NT30" s="116">
        <v>0</v>
      </c>
      <c r="NU30" s="116">
        <v>0</v>
      </c>
      <c r="NV30" s="116">
        <v>0</v>
      </c>
      <c r="NW30" s="116">
        <v>0</v>
      </c>
      <c r="NX30" s="116">
        <v>0</v>
      </c>
      <c r="NY30" s="116">
        <v>0</v>
      </c>
      <c r="NZ30" s="116">
        <v>0</v>
      </c>
      <c r="OA30" s="128">
        <v>0</v>
      </c>
      <c r="OB30" s="128">
        <v>0</v>
      </c>
      <c r="OC30" s="128">
        <v>0</v>
      </c>
      <c r="OD30" s="128">
        <v>0</v>
      </c>
      <c r="OE30">
        <v>0</v>
      </c>
      <c r="OF30" s="119">
        <v>0</v>
      </c>
      <c r="OG30" s="119">
        <v>0</v>
      </c>
      <c r="OH30" s="119">
        <v>0</v>
      </c>
      <c r="OI30" s="119">
        <v>0</v>
      </c>
      <c r="OJ30" s="121">
        <v>0</v>
      </c>
      <c r="OK30" s="119">
        <v>0</v>
      </c>
      <c r="OL30">
        <v>0</v>
      </c>
      <c r="OM30">
        <v>0</v>
      </c>
      <c r="ON30">
        <v>0</v>
      </c>
      <c r="OO30">
        <v>0</v>
      </c>
      <c r="OP30" s="119">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s="128">
        <v>0</v>
      </c>
      <c r="PX30" s="128">
        <v>0</v>
      </c>
      <c r="PY30" s="128">
        <v>0</v>
      </c>
      <c r="PZ30" s="128">
        <v>0</v>
      </c>
      <c r="QA30">
        <v>0</v>
      </c>
      <c r="QB30" s="119">
        <v>0</v>
      </c>
      <c r="QC30" s="119">
        <v>0</v>
      </c>
      <c r="QD30" s="119">
        <v>0</v>
      </c>
      <c r="QE30" s="119">
        <v>0</v>
      </c>
      <c r="QF30" s="121">
        <v>0</v>
      </c>
      <c r="QG30" s="119">
        <v>0</v>
      </c>
      <c r="QH30">
        <v>0</v>
      </c>
      <c r="QI30">
        <v>0</v>
      </c>
      <c r="QJ30">
        <v>0</v>
      </c>
      <c r="QK30">
        <v>0</v>
      </c>
      <c r="QL30" s="119">
        <v>0</v>
      </c>
      <c r="QM30">
        <v>0</v>
      </c>
      <c r="QN30">
        <v>0</v>
      </c>
      <c r="QO30">
        <v>0</v>
      </c>
      <c r="QP30">
        <v>0</v>
      </c>
      <c r="QQ30">
        <v>0</v>
      </c>
      <c r="QR30">
        <v>0</v>
      </c>
      <c r="QS30">
        <v>0</v>
      </c>
      <c r="QT30">
        <v>0</v>
      </c>
      <c r="QU30">
        <v>0</v>
      </c>
      <c r="QV30">
        <v>0</v>
      </c>
      <c r="QW30">
        <v>0</v>
      </c>
      <c r="QX30">
        <v>0</v>
      </c>
      <c r="QY30">
        <v>0</v>
      </c>
      <c r="QZ30">
        <v>0</v>
      </c>
      <c r="RA30">
        <v>0</v>
      </c>
      <c r="RB30">
        <v>0</v>
      </c>
      <c r="RC30">
        <v>0</v>
      </c>
      <c r="RD30">
        <v>0</v>
      </c>
      <c r="RE30">
        <v>0</v>
      </c>
      <c r="RF30">
        <v>0</v>
      </c>
      <c r="RG30">
        <v>0</v>
      </c>
      <c r="RH30">
        <v>0</v>
      </c>
      <c r="RI30">
        <v>0</v>
      </c>
      <c r="RJ30" s="116">
        <v>0</v>
      </c>
      <c r="RK30" s="116">
        <v>0</v>
      </c>
      <c r="RL30" s="116">
        <v>0</v>
      </c>
      <c r="RM30" s="116">
        <v>0</v>
      </c>
      <c r="RN30" s="116">
        <v>0</v>
      </c>
      <c r="RO30" s="116">
        <v>0</v>
      </c>
      <c r="RP30" s="116">
        <v>0</v>
      </c>
      <c r="RQ30" s="116">
        <v>0</v>
      </c>
      <c r="RR30" s="116">
        <v>0</v>
      </c>
      <c r="RS30" s="128">
        <v>0</v>
      </c>
      <c r="RT30" s="128">
        <v>0</v>
      </c>
      <c r="RU30" s="128">
        <v>0</v>
      </c>
      <c r="RV30" s="128">
        <v>0</v>
      </c>
      <c r="RW30">
        <v>0</v>
      </c>
      <c r="RX30" s="119">
        <v>0</v>
      </c>
      <c r="RY30" s="119">
        <v>0</v>
      </c>
      <c r="RZ30" s="119">
        <v>0</v>
      </c>
      <c r="SA30" s="119">
        <v>0</v>
      </c>
      <c r="SB30" s="121">
        <v>0</v>
      </c>
      <c r="SC30" s="119">
        <v>0</v>
      </c>
      <c r="SD30">
        <v>0</v>
      </c>
      <c r="SE30">
        <v>0</v>
      </c>
      <c r="SF30">
        <v>0</v>
      </c>
      <c r="SG30">
        <v>0</v>
      </c>
      <c r="SH30" s="119">
        <v>0</v>
      </c>
      <c r="SI30">
        <v>0</v>
      </c>
      <c r="SJ30">
        <v>0</v>
      </c>
      <c r="SK30">
        <v>0</v>
      </c>
      <c r="SL30">
        <v>0</v>
      </c>
      <c r="SM30">
        <v>0</v>
      </c>
      <c r="SN30">
        <v>0</v>
      </c>
      <c r="SO30">
        <v>0</v>
      </c>
      <c r="SP30">
        <v>0</v>
      </c>
      <c r="SQ30">
        <v>0</v>
      </c>
      <c r="SR30">
        <v>0</v>
      </c>
      <c r="SS30">
        <v>0</v>
      </c>
      <c r="ST30">
        <v>0</v>
      </c>
      <c r="SU30">
        <v>0</v>
      </c>
      <c r="SV30">
        <v>0</v>
      </c>
      <c r="SW30">
        <v>0</v>
      </c>
      <c r="SX30">
        <v>0</v>
      </c>
      <c r="SY30">
        <v>0</v>
      </c>
      <c r="SZ30">
        <v>0</v>
      </c>
      <c r="TA30">
        <v>0</v>
      </c>
      <c r="TB30">
        <v>0</v>
      </c>
      <c r="TC30">
        <v>0</v>
      </c>
      <c r="TD30">
        <v>0</v>
      </c>
      <c r="TE30">
        <v>0</v>
      </c>
      <c r="TF30" s="116">
        <v>0</v>
      </c>
      <c r="TG30" s="116">
        <v>0</v>
      </c>
      <c r="TH30" s="116">
        <v>0</v>
      </c>
      <c r="TI30" s="116">
        <v>0</v>
      </c>
      <c r="TJ30" s="116">
        <v>0</v>
      </c>
      <c r="TK30" s="116">
        <v>0</v>
      </c>
      <c r="TL30" s="116">
        <v>0</v>
      </c>
      <c r="TM30" s="116">
        <v>0</v>
      </c>
      <c r="TN30" s="116">
        <v>0</v>
      </c>
      <c r="TO30" s="128">
        <v>0</v>
      </c>
      <c r="TP30" s="128">
        <v>0</v>
      </c>
      <c r="TQ30" s="128">
        <v>0</v>
      </c>
      <c r="TR30" s="128">
        <v>0</v>
      </c>
      <c r="TS30">
        <v>0</v>
      </c>
      <c r="TT30" s="119">
        <v>0</v>
      </c>
      <c r="TU30" s="119">
        <v>0</v>
      </c>
      <c r="TV30" s="119">
        <v>0</v>
      </c>
      <c r="TW30" s="119">
        <v>0</v>
      </c>
      <c r="TX30" s="121">
        <v>0</v>
      </c>
      <c r="TY30" s="119">
        <v>0</v>
      </c>
      <c r="TZ30">
        <v>0</v>
      </c>
      <c r="UA30">
        <v>0</v>
      </c>
      <c r="UB30">
        <v>0</v>
      </c>
      <c r="UC30">
        <v>0</v>
      </c>
      <c r="UD30" s="119">
        <v>0</v>
      </c>
      <c r="UE30">
        <v>0</v>
      </c>
      <c r="UF30">
        <v>0</v>
      </c>
      <c r="UG30">
        <v>0</v>
      </c>
      <c r="UH30">
        <v>0</v>
      </c>
      <c r="UI30">
        <v>0</v>
      </c>
      <c r="UJ30">
        <v>0</v>
      </c>
      <c r="UK30">
        <v>0</v>
      </c>
      <c r="UL30">
        <v>0</v>
      </c>
      <c r="UM30">
        <v>0</v>
      </c>
      <c r="UN30">
        <v>0</v>
      </c>
      <c r="UO30">
        <v>0</v>
      </c>
      <c r="UP30">
        <v>0</v>
      </c>
      <c r="UQ30">
        <v>0</v>
      </c>
      <c r="UR30">
        <v>0</v>
      </c>
      <c r="US30">
        <v>0</v>
      </c>
      <c r="UT30">
        <v>0</v>
      </c>
      <c r="UU30">
        <v>0</v>
      </c>
      <c r="UV30">
        <v>0</v>
      </c>
      <c r="UW30">
        <v>0</v>
      </c>
      <c r="UX30">
        <v>0</v>
      </c>
      <c r="UY30">
        <v>0</v>
      </c>
      <c r="UZ30">
        <v>0</v>
      </c>
      <c r="VA30">
        <v>0</v>
      </c>
      <c r="VB30" s="116">
        <v>0</v>
      </c>
      <c r="VC30" s="116">
        <v>0</v>
      </c>
      <c r="VD30" s="116">
        <v>0</v>
      </c>
      <c r="VE30" s="116">
        <v>0</v>
      </c>
      <c r="VF30" s="116">
        <v>0</v>
      </c>
      <c r="VG30" s="116">
        <v>0</v>
      </c>
      <c r="VH30" s="116">
        <v>0</v>
      </c>
      <c r="VI30" s="116">
        <v>0</v>
      </c>
      <c r="VJ30" s="116">
        <v>0</v>
      </c>
      <c r="VK30" s="128">
        <v>0</v>
      </c>
      <c r="VL30" s="128">
        <v>0</v>
      </c>
      <c r="VM30" s="128">
        <v>0</v>
      </c>
      <c r="VN30" s="128">
        <v>0</v>
      </c>
      <c r="VO30">
        <v>0</v>
      </c>
      <c r="VP30" s="119">
        <v>0</v>
      </c>
      <c r="VQ30" s="119">
        <v>0</v>
      </c>
      <c r="VR30" s="119">
        <v>0</v>
      </c>
      <c r="VS30" s="119">
        <v>0</v>
      </c>
      <c r="VT30" s="121">
        <v>0</v>
      </c>
      <c r="VU30" s="119">
        <v>0</v>
      </c>
      <c r="VV30" s="119">
        <v>0</v>
      </c>
      <c r="VW30">
        <v>0</v>
      </c>
      <c r="VX30">
        <v>0</v>
      </c>
      <c r="VY30">
        <v>0</v>
      </c>
      <c r="VZ30" s="119">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s="116">
        <v>0</v>
      </c>
      <c r="WY30" s="116">
        <v>0</v>
      </c>
      <c r="WZ30" s="116">
        <v>0</v>
      </c>
      <c r="XA30" s="116">
        <v>0</v>
      </c>
      <c r="XB30" s="116">
        <v>0</v>
      </c>
      <c r="XC30" s="116">
        <v>0</v>
      </c>
      <c r="XD30" s="116">
        <v>0</v>
      </c>
      <c r="XE30" s="116">
        <v>0</v>
      </c>
      <c r="XF30" s="116">
        <v>0</v>
      </c>
      <c r="XG30" s="128">
        <v>0</v>
      </c>
      <c r="XH30" s="128">
        <v>0</v>
      </c>
      <c r="XI30" s="128">
        <v>0</v>
      </c>
      <c r="XJ30" s="128">
        <v>0</v>
      </c>
      <c r="XK30">
        <v>0</v>
      </c>
      <c r="XL30" s="119">
        <v>0</v>
      </c>
      <c r="XM30" s="119">
        <v>0</v>
      </c>
      <c r="XN30" s="119">
        <v>0</v>
      </c>
      <c r="XO30" s="119">
        <v>0</v>
      </c>
      <c r="XP30" s="121">
        <v>0</v>
      </c>
      <c r="XQ30" s="119">
        <v>0</v>
      </c>
      <c r="XR30" s="119">
        <v>0</v>
      </c>
      <c r="XS30">
        <v>0</v>
      </c>
      <c r="XT30">
        <v>0</v>
      </c>
      <c r="XU30">
        <v>0</v>
      </c>
      <c r="XV30" s="119">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S30">
        <v>0</v>
      </c>
      <c r="YT30">
        <v>0</v>
      </c>
      <c r="YU30">
        <v>0</v>
      </c>
      <c r="YV30">
        <v>0</v>
      </c>
      <c r="YW30">
        <v>0</v>
      </c>
      <c r="YX30">
        <v>0</v>
      </c>
      <c r="YY30">
        <v>0</v>
      </c>
      <c r="YZ30">
        <v>0</v>
      </c>
      <c r="ZA30">
        <v>0</v>
      </c>
      <c r="ZB30">
        <v>0</v>
      </c>
      <c r="ZC30" s="128">
        <v>0</v>
      </c>
      <c r="ZD30" s="128">
        <v>0</v>
      </c>
      <c r="ZE30" s="128">
        <v>0</v>
      </c>
      <c r="ZF30" s="128">
        <v>0</v>
      </c>
      <c r="ZG30">
        <v>0</v>
      </c>
      <c r="ZH30" s="119">
        <v>0</v>
      </c>
      <c r="ZI30" s="119">
        <v>0</v>
      </c>
      <c r="ZJ30" s="119">
        <v>0</v>
      </c>
      <c r="ZK30" s="119">
        <v>0</v>
      </c>
      <c r="ZL30" s="121">
        <v>0</v>
      </c>
      <c r="ZM30" s="119">
        <v>0</v>
      </c>
      <c r="ZN30" s="119">
        <v>0</v>
      </c>
      <c r="ZO30">
        <v>0</v>
      </c>
      <c r="ZP30">
        <v>0</v>
      </c>
      <c r="ZQ30">
        <v>0</v>
      </c>
      <c r="ZR30" s="119">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s="116">
        <v>0</v>
      </c>
      <c r="AAQ30" s="116">
        <v>0</v>
      </c>
      <c r="AAR30" s="116">
        <v>0</v>
      </c>
      <c r="AAS30" s="116">
        <v>0</v>
      </c>
      <c r="AAT30" s="116">
        <v>0</v>
      </c>
      <c r="AAU30" s="116">
        <v>0</v>
      </c>
      <c r="AAV30" s="116">
        <v>0</v>
      </c>
      <c r="AAW30" s="116">
        <v>0</v>
      </c>
      <c r="AAX30" s="116">
        <v>0</v>
      </c>
      <c r="AAY30" s="128">
        <v>0</v>
      </c>
      <c r="AAZ30" s="128">
        <v>0</v>
      </c>
      <c r="ABA30" s="128">
        <v>0</v>
      </c>
      <c r="ABB30" s="128">
        <v>0</v>
      </c>
      <c r="ABC30">
        <v>0</v>
      </c>
      <c r="ABD30" s="119">
        <v>0</v>
      </c>
      <c r="ABE30" s="119">
        <v>0</v>
      </c>
      <c r="ABF30" s="119">
        <v>0</v>
      </c>
      <c r="ABG30" s="119">
        <v>0</v>
      </c>
      <c r="ABH30" s="121">
        <v>0</v>
      </c>
      <c r="ABI30" s="119">
        <v>0</v>
      </c>
      <c r="ABJ30" s="119">
        <v>0</v>
      </c>
      <c r="ABK30">
        <v>0</v>
      </c>
      <c r="ABL30">
        <v>0</v>
      </c>
      <c r="ABM30">
        <v>0</v>
      </c>
      <c r="ABN30" s="119">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s="116">
        <v>0</v>
      </c>
      <c r="ACM30" s="116">
        <v>0</v>
      </c>
      <c r="ACN30" s="116">
        <v>0</v>
      </c>
      <c r="ACO30" s="116">
        <v>0</v>
      </c>
      <c r="ACP30" s="116">
        <v>0</v>
      </c>
      <c r="ACQ30" s="116">
        <v>0</v>
      </c>
      <c r="ACR30" s="116">
        <v>0</v>
      </c>
      <c r="ACS30" s="116">
        <v>0</v>
      </c>
      <c r="ACT30" s="116">
        <v>0</v>
      </c>
      <c r="ACU30" s="128">
        <v>0</v>
      </c>
      <c r="ACV30" s="128">
        <v>0</v>
      </c>
      <c r="ACW30" s="128">
        <v>0</v>
      </c>
      <c r="ACX30" s="128">
        <v>0</v>
      </c>
      <c r="ACY30">
        <v>0</v>
      </c>
      <c r="ACZ30" s="119">
        <v>0</v>
      </c>
      <c r="ADA30" s="119">
        <v>0</v>
      </c>
      <c r="ADB30" s="119">
        <v>0</v>
      </c>
      <c r="ADC30" s="119">
        <v>0</v>
      </c>
      <c r="ADD30" s="121">
        <v>0</v>
      </c>
      <c r="ADE30" s="119">
        <v>0</v>
      </c>
      <c r="ADF30" s="119">
        <v>0</v>
      </c>
      <c r="ADG30">
        <v>0</v>
      </c>
      <c r="ADH30">
        <v>0</v>
      </c>
      <c r="ADI30">
        <v>0</v>
      </c>
      <c r="ADJ30" s="119">
        <v>0</v>
      </c>
      <c r="ADK30">
        <v>0</v>
      </c>
      <c r="ADL30">
        <v>0</v>
      </c>
      <c r="ADM30">
        <v>0</v>
      </c>
      <c r="ADN30">
        <v>0</v>
      </c>
      <c r="ADO30">
        <v>0</v>
      </c>
      <c r="ADP30">
        <v>0</v>
      </c>
      <c r="ADQ30">
        <v>0</v>
      </c>
      <c r="ADR30">
        <v>0</v>
      </c>
      <c r="ADS30">
        <v>0</v>
      </c>
      <c r="ADT30">
        <v>0</v>
      </c>
      <c r="ADU30">
        <v>0</v>
      </c>
      <c r="ADV30">
        <v>0</v>
      </c>
      <c r="ADW30">
        <v>0</v>
      </c>
      <c r="ADX30">
        <v>0</v>
      </c>
      <c r="ADY30">
        <v>0</v>
      </c>
      <c r="ADZ30">
        <v>0</v>
      </c>
      <c r="AEA30">
        <v>0</v>
      </c>
      <c r="AEB30">
        <v>0</v>
      </c>
      <c r="AEC30">
        <v>0</v>
      </c>
      <c r="AED30">
        <v>0</v>
      </c>
      <c r="AEE30">
        <v>0</v>
      </c>
      <c r="AEF30">
        <v>0</v>
      </c>
      <c r="AEG30">
        <v>0</v>
      </c>
      <c r="AEH30" s="116">
        <v>0</v>
      </c>
      <c r="AEI30" s="116">
        <v>0</v>
      </c>
      <c r="AEJ30" s="116">
        <v>0</v>
      </c>
      <c r="AEK30" s="116">
        <v>0</v>
      </c>
      <c r="AEL30" s="116">
        <v>0</v>
      </c>
      <c r="AEM30" s="116">
        <v>0</v>
      </c>
      <c r="AEN30" s="116">
        <v>0</v>
      </c>
      <c r="AEO30" s="116">
        <v>0</v>
      </c>
      <c r="AEP30" s="116">
        <v>0</v>
      </c>
      <c r="AEQ30" s="128">
        <v>0</v>
      </c>
      <c r="AER30" s="128">
        <v>0</v>
      </c>
      <c r="AES30" s="128">
        <v>0</v>
      </c>
      <c r="AET30" s="128">
        <v>0</v>
      </c>
      <c r="AEU30">
        <v>0</v>
      </c>
      <c r="AEV30" s="119">
        <v>0</v>
      </c>
      <c r="AEW30" s="119">
        <v>0</v>
      </c>
      <c r="AEX30" s="119">
        <v>0</v>
      </c>
      <c r="AEY30" s="119">
        <v>0</v>
      </c>
      <c r="AEZ30" s="121">
        <v>0</v>
      </c>
      <c r="AFA30" s="119">
        <v>0</v>
      </c>
      <c r="AFB30" s="119">
        <v>0</v>
      </c>
      <c r="AFC30">
        <v>0</v>
      </c>
      <c r="AFD30">
        <v>0</v>
      </c>
      <c r="AFE30">
        <v>0</v>
      </c>
      <c r="AFF30" s="119">
        <v>0</v>
      </c>
      <c r="AFG30">
        <v>0</v>
      </c>
      <c r="AFH30">
        <v>0</v>
      </c>
      <c r="AFI30">
        <v>0</v>
      </c>
      <c r="AFJ30">
        <v>0</v>
      </c>
      <c r="AFK30">
        <v>0</v>
      </c>
      <c r="AFL30">
        <v>0</v>
      </c>
      <c r="AFM30">
        <v>0</v>
      </c>
      <c r="AFN30">
        <v>0</v>
      </c>
      <c r="AFO30">
        <v>0</v>
      </c>
      <c r="AFP30">
        <v>0</v>
      </c>
      <c r="AFQ30">
        <v>0</v>
      </c>
      <c r="AFR30">
        <v>0</v>
      </c>
      <c r="AFS30">
        <v>0</v>
      </c>
      <c r="AFT30">
        <v>0</v>
      </c>
      <c r="AFU30">
        <v>0</v>
      </c>
      <c r="AFV30">
        <v>0</v>
      </c>
      <c r="AFW30">
        <v>0</v>
      </c>
      <c r="AFX30">
        <v>0</v>
      </c>
      <c r="AFY30">
        <v>0</v>
      </c>
      <c r="AFZ30">
        <v>0</v>
      </c>
      <c r="AGA30">
        <v>0</v>
      </c>
      <c r="AGB30">
        <v>0</v>
      </c>
      <c r="AGC30">
        <v>0</v>
      </c>
      <c r="AGD30" s="116">
        <v>0</v>
      </c>
      <c r="AGE30" s="116">
        <v>0</v>
      </c>
      <c r="AGF30" s="116">
        <v>0</v>
      </c>
      <c r="AGG30" s="116">
        <v>0</v>
      </c>
      <c r="AGH30" s="116">
        <v>0</v>
      </c>
      <c r="AGI30" s="116">
        <v>0</v>
      </c>
      <c r="AGJ30" s="116">
        <v>0</v>
      </c>
      <c r="AGK30" s="116">
        <v>0</v>
      </c>
      <c r="AGL30" s="116">
        <v>0</v>
      </c>
      <c r="AGM30" s="128">
        <v>0</v>
      </c>
      <c r="AGN30" s="128">
        <v>0</v>
      </c>
      <c r="AGO30" s="128">
        <v>0</v>
      </c>
      <c r="AGP30" s="128">
        <v>0</v>
      </c>
      <c r="AGQ30">
        <v>0</v>
      </c>
      <c r="AGR30" s="119">
        <v>0</v>
      </c>
      <c r="AGS30" s="119">
        <v>0</v>
      </c>
      <c r="AGT30" s="119">
        <v>0</v>
      </c>
      <c r="AGU30" s="119">
        <v>0</v>
      </c>
      <c r="AGV30" s="121">
        <v>0</v>
      </c>
      <c r="AGW30" s="119">
        <v>0</v>
      </c>
      <c r="AGX30" s="119">
        <v>0</v>
      </c>
      <c r="AGY30">
        <v>0</v>
      </c>
      <c r="AGZ30">
        <v>0</v>
      </c>
      <c r="AHA30">
        <v>0</v>
      </c>
      <c r="AHB30" s="119">
        <v>0</v>
      </c>
      <c r="AHC30">
        <v>0</v>
      </c>
      <c r="AHD30">
        <v>0</v>
      </c>
      <c r="AHE30">
        <v>0</v>
      </c>
      <c r="AHF30">
        <v>0</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A30">
        <v>0</v>
      </c>
      <c r="AIB30">
        <v>0</v>
      </c>
      <c r="AIC30">
        <v>0</v>
      </c>
      <c r="AID30">
        <v>0</v>
      </c>
      <c r="AIE30">
        <v>0</v>
      </c>
      <c r="AIF30">
        <v>0</v>
      </c>
      <c r="AIG30">
        <v>0</v>
      </c>
      <c r="AIH30">
        <v>0</v>
      </c>
      <c r="AII30" s="128">
        <v>0</v>
      </c>
      <c r="AIJ30" s="128">
        <v>0</v>
      </c>
      <c r="AIK30" s="128">
        <v>0</v>
      </c>
      <c r="AIL30" s="128">
        <v>0</v>
      </c>
      <c r="AIM30">
        <v>0</v>
      </c>
      <c r="AIN30" s="119">
        <v>0</v>
      </c>
      <c r="AIO30" s="119">
        <v>0</v>
      </c>
      <c r="AIP30" s="119">
        <v>0</v>
      </c>
      <c r="AIQ30" s="119">
        <v>0</v>
      </c>
      <c r="AIR30" s="121">
        <v>0</v>
      </c>
      <c r="AIS30" s="119">
        <v>0</v>
      </c>
      <c r="AIT30" s="119">
        <v>0</v>
      </c>
      <c r="AIU30">
        <v>0</v>
      </c>
      <c r="AIV30">
        <v>0</v>
      </c>
      <c r="AIW30">
        <v>0</v>
      </c>
      <c r="AIX30" s="119">
        <v>0</v>
      </c>
      <c r="AIY30">
        <v>0</v>
      </c>
      <c r="AIZ30">
        <v>0</v>
      </c>
      <c r="AJA30">
        <v>0</v>
      </c>
      <c r="AJB30">
        <v>0</v>
      </c>
      <c r="AJC30">
        <v>0</v>
      </c>
      <c r="AJD30">
        <v>0</v>
      </c>
      <c r="AJE30">
        <v>0</v>
      </c>
      <c r="AJF30">
        <v>0</v>
      </c>
      <c r="AJG30">
        <v>0</v>
      </c>
      <c r="AJH30">
        <v>0</v>
      </c>
      <c r="AJI30">
        <v>0</v>
      </c>
      <c r="AJJ30">
        <v>0</v>
      </c>
      <c r="AJK30">
        <v>0</v>
      </c>
      <c r="AJL30">
        <v>0</v>
      </c>
      <c r="AJM30">
        <v>0</v>
      </c>
      <c r="AJN30">
        <v>0</v>
      </c>
      <c r="AJO30">
        <v>0</v>
      </c>
      <c r="AJP30">
        <v>0</v>
      </c>
      <c r="AJQ30">
        <v>0</v>
      </c>
      <c r="AJR30">
        <v>0</v>
      </c>
      <c r="AJS30">
        <v>0</v>
      </c>
      <c r="AJT30">
        <v>0</v>
      </c>
      <c r="AJU30">
        <v>0</v>
      </c>
      <c r="AJV30" s="116">
        <v>0</v>
      </c>
      <c r="AJW30" s="116">
        <v>0</v>
      </c>
      <c r="AJX30" s="116">
        <v>0</v>
      </c>
      <c r="AJY30" s="116">
        <v>0</v>
      </c>
      <c r="AJZ30" s="116">
        <v>0</v>
      </c>
      <c r="AKA30" s="116">
        <v>0</v>
      </c>
      <c r="AKB30" s="116">
        <v>0</v>
      </c>
      <c r="AKC30" s="116">
        <v>0</v>
      </c>
      <c r="AKD30" s="116">
        <v>0</v>
      </c>
      <c r="AKE30" s="128">
        <v>0</v>
      </c>
      <c r="AKF30" s="128">
        <v>0</v>
      </c>
      <c r="AKG30" s="128">
        <v>0</v>
      </c>
      <c r="AKH30" s="128">
        <v>0</v>
      </c>
      <c r="AKI30">
        <v>0</v>
      </c>
      <c r="AKJ30" s="119">
        <v>0</v>
      </c>
      <c r="AKK30" s="119">
        <v>0</v>
      </c>
      <c r="AKL30" s="119">
        <v>0</v>
      </c>
      <c r="AKM30" s="119">
        <v>0</v>
      </c>
      <c r="AKN30" s="121">
        <v>0</v>
      </c>
      <c r="AKO30" s="119">
        <v>0</v>
      </c>
      <c r="AKP30" s="119">
        <v>0</v>
      </c>
      <c r="AKQ30">
        <v>0</v>
      </c>
      <c r="AKR30">
        <v>0</v>
      </c>
      <c r="AKS30">
        <v>0</v>
      </c>
      <c r="AKT30" s="119">
        <v>0</v>
      </c>
      <c r="AKU30">
        <v>0</v>
      </c>
      <c r="AKV30">
        <v>0</v>
      </c>
      <c r="AKW30">
        <v>0</v>
      </c>
      <c r="AKX30">
        <v>0</v>
      </c>
      <c r="AKY30">
        <v>0</v>
      </c>
      <c r="AKZ30">
        <v>0</v>
      </c>
      <c r="ALA30">
        <v>0</v>
      </c>
      <c r="ALB30">
        <v>0</v>
      </c>
      <c r="ALC30">
        <v>0</v>
      </c>
      <c r="ALD30">
        <v>0</v>
      </c>
      <c r="ALE30">
        <v>0</v>
      </c>
      <c r="ALF30">
        <v>0</v>
      </c>
      <c r="ALG30">
        <v>0</v>
      </c>
      <c r="ALH30">
        <v>0</v>
      </c>
      <c r="ALI30">
        <v>0</v>
      </c>
      <c r="ALJ30">
        <v>0</v>
      </c>
      <c r="ALK30">
        <v>0</v>
      </c>
      <c r="ALL30">
        <v>0</v>
      </c>
      <c r="ALM30">
        <v>0</v>
      </c>
      <c r="ALN30">
        <v>0</v>
      </c>
      <c r="ALO30">
        <v>0</v>
      </c>
      <c r="ALP30">
        <v>0</v>
      </c>
      <c r="ALQ30">
        <v>0</v>
      </c>
      <c r="ALR30" s="116">
        <v>0</v>
      </c>
      <c r="ALS30" s="116">
        <v>0</v>
      </c>
      <c r="ALT30" s="116">
        <v>0</v>
      </c>
      <c r="ALU30" s="116">
        <v>0</v>
      </c>
      <c r="ALV30" s="116">
        <v>0</v>
      </c>
      <c r="ALW30" s="116">
        <v>0</v>
      </c>
      <c r="ALX30" s="116">
        <v>0</v>
      </c>
      <c r="ALY30" s="116">
        <v>0</v>
      </c>
      <c r="ALZ30" s="116">
        <v>0</v>
      </c>
      <c r="AMA30" s="128">
        <v>0</v>
      </c>
      <c r="AMB30" s="128">
        <v>0</v>
      </c>
      <c r="AMC30" s="128">
        <v>0</v>
      </c>
      <c r="AMD30" s="128">
        <v>0</v>
      </c>
      <c r="AME30">
        <v>0</v>
      </c>
      <c r="AMF30" s="119">
        <v>0</v>
      </c>
      <c r="AMG30" s="119">
        <v>0</v>
      </c>
      <c r="AMH30" s="119">
        <v>0</v>
      </c>
      <c r="AMI30" s="119">
        <v>0</v>
      </c>
      <c r="AMJ30" s="121">
        <v>0</v>
      </c>
      <c r="AMK30" s="119">
        <v>0</v>
      </c>
      <c r="AML30" s="119">
        <v>0</v>
      </c>
      <c r="AMM30">
        <v>0</v>
      </c>
      <c r="AMN30">
        <v>0</v>
      </c>
      <c r="AMO30">
        <v>0</v>
      </c>
      <c r="AMP30" s="119">
        <v>0</v>
      </c>
      <c r="AMQ30">
        <v>0</v>
      </c>
      <c r="AMR30">
        <v>0</v>
      </c>
      <c r="AMS30">
        <v>0</v>
      </c>
      <c r="AMT30">
        <v>0</v>
      </c>
      <c r="AMU30">
        <v>0</v>
      </c>
      <c r="AMV30">
        <v>0</v>
      </c>
      <c r="AMW30">
        <v>0</v>
      </c>
      <c r="AMX30">
        <v>0</v>
      </c>
      <c r="AMY30">
        <v>0</v>
      </c>
      <c r="AMZ30">
        <v>0</v>
      </c>
      <c r="ANA30">
        <v>0</v>
      </c>
      <c r="ANB30">
        <v>0</v>
      </c>
      <c r="ANC30">
        <v>0</v>
      </c>
      <c r="AND30">
        <v>0</v>
      </c>
      <c r="ANE30">
        <v>0</v>
      </c>
      <c r="ANF30">
        <v>0</v>
      </c>
      <c r="ANG30">
        <v>0</v>
      </c>
      <c r="ANH30">
        <v>0</v>
      </c>
      <c r="ANI30">
        <v>0</v>
      </c>
      <c r="ANJ30">
        <v>0</v>
      </c>
      <c r="ANK30">
        <v>0</v>
      </c>
      <c r="ANL30">
        <v>0</v>
      </c>
      <c r="ANM30">
        <v>0</v>
      </c>
      <c r="ANN30" s="116">
        <v>0</v>
      </c>
      <c r="ANO30" s="116">
        <v>0</v>
      </c>
      <c r="ANP30" s="116">
        <v>0</v>
      </c>
      <c r="ANQ30" s="116">
        <v>0</v>
      </c>
      <c r="ANR30" s="116">
        <v>0</v>
      </c>
      <c r="ANS30" s="116">
        <v>0</v>
      </c>
      <c r="ANT30" s="116">
        <v>0</v>
      </c>
      <c r="ANU30" s="116">
        <v>0</v>
      </c>
      <c r="ANV30" s="116">
        <v>0</v>
      </c>
      <c r="ANW30" s="128">
        <v>0</v>
      </c>
      <c r="ANX30" s="128">
        <v>0</v>
      </c>
      <c r="ANY30" s="128">
        <v>0</v>
      </c>
      <c r="ANZ30" s="128">
        <v>0</v>
      </c>
      <c r="AOA30">
        <v>0</v>
      </c>
      <c r="AOB30" s="119">
        <v>0</v>
      </c>
      <c r="AOC30" s="119">
        <v>0</v>
      </c>
      <c r="AOD30" s="119">
        <v>0</v>
      </c>
      <c r="AOE30" s="119">
        <v>0</v>
      </c>
      <c r="AOF30" s="121">
        <v>0</v>
      </c>
      <c r="AOG30" s="119">
        <v>0</v>
      </c>
      <c r="AOH30" s="119">
        <v>0</v>
      </c>
      <c r="AOI30">
        <v>0</v>
      </c>
      <c r="AOJ30">
        <v>0</v>
      </c>
      <c r="AOK30">
        <v>0</v>
      </c>
      <c r="AOL30" s="119">
        <v>0</v>
      </c>
      <c r="AOM30">
        <v>0</v>
      </c>
      <c r="AON30">
        <v>0</v>
      </c>
      <c r="AOO30">
        <v>0</v>
      </c>
      <c r="AOP30">
        <v>0</v>
      </c>
      <c r="AOQ30">
        <v>0</v>
      </c>
      <c r="AOR30">
        <v>0</v>
      </c>
      <c r="AOS30">
        <v>0</v>
      </c>
      <c r="AOT30">
        <v>0</v>
      </c>
      <c r="AOU30">
        <v>0</v>
      </c>
      <c r="AOV30">
        <v>0</v>
      </c>
      <c r="AOW30">
        <v>0</v>
      </c>
      <c r="AOX30">
        <v>0</v>
      </c>
      <c r="AOY30">
        <v>0</v>
      </c>
      <c r="AOZ30">
        <v>0</v>
      </c>
      <c r="APA30">
        <v>0</v>
      </c>
      <c r="APB30">
        <v>0</v>
      </c>
      <c r="APC30">
        <v>0</v>
      </c>
      <c r="APD30">
        <v>0</v>
      </c>
      <c r="APE30">
        <v>0</v>
      </c>
      <c r="APF30">
        <v>0</v>
      </c>
      <c r="APG30">
        <v>0</v>
      </c>
      <c r="APH30">
        <v>0</v>
      </c>
      <c r="API30">
        <v>0</v>
      </c>
      <c r="APJ30" s="116">
        <v>0</v>
      </c>
      <c r="APK30" s="116">
        <v>0</v>
      </c>
      <c r="APL30" s="116">
        <v>0</v>
      </c>
      <c r="APM30" s="116">
        <v>0</v>
      </c>
      <c r="APN30" s="116">
        <v>0</v>
      </c>
      <c r="APO30" s="116">
        <v>0</v>
      </c>
      <c r="APP30" s="116">
        <v>0</v>
      </c>
      <c r="APQ30" s="116">
        <v>0</v>
      </c>
      <c r="APR30" s="116">
        <v>0</v>
      </c>
      <c r="APS30" s="128">
        <v>0</v>
      </c>
      <c r="APT30" s="128">
        <v>0</v>
      </c>
      <c r="APU30" s="128">
        <v>0</v>
      </c>
      <c r="APV30" s="128">
        <v>0</v>
      </c>
      <c r="APW30">
        <v>0</v>
      </c>
      <c r="APX30" s="119">
        <v>0</v>
      </c>
      <c r="APY30" s="119">
        <v>0</v>
      </c>
      <c r="APZ30" s="119">
        <v>0</v>
      </c>
      <c r="AQA30" s="119">
        <v>0</v>
      </c>
      <c r="AQB30" s="121">
        <v>0</v>
      </c>
      <c r="AQC30" s="119">
        <v>0</v>
      </c>
      <c r="AQD30" s="119">
        <v>0</v>
      </c>
      <c r="AQE30">
        <v>0</v>
      </c>
      <c r="AQF30">
        <v>0</v>
      </c>
      <c r="AQG30">
        <v>0</v>
      </c>
      <c r="AQH30" s="119">
        <v>0</v>
      </c>
      <c r="AQI30">
        <v>0</v>
      </c>
      <c r="AQJ30">
        <v>0</v>
      </c>
      <c r="AQK30">
        <v>0</v>
      </c>
      <c r="AQL30">
        <v>0</v>
      </c>
      <c r="AQM30">
        <v>0</v>
      </c>
      <c r="AQN30">
        <v>0</v>
      </c>
      <c r="AQO30">
        <v>0</v>
      </c>
      <c r="AQP30">
        <v>0</v>
      </c>
      <c r="AQQ30">
        <v>0</v>
      </c>
      <c r="AQR30">
        <v>0</v>
      </c>
      <c r="AQS30">
        <v>0</v>
      </c>
      <c r="AQT30">
        <v>0</v>
      </c>
      <c r="AQU30">
        <v>0</v>
      </c>
      <c r="AQV30">
        <v>0</v>
      </c>
      <c r="AQW30">
        <v>0</v>
      </c>
      <c r="AQX30">
        <v>0</v>
      </c>
      <c r="AQY30">
        <v>0</v>
      </c>
      <c r="AQZ30">
        <v>0</v>
      </c>
      <c r="ARA30">
        <v>0</v>
      </c>
      <c r="ARB30">
        <v>0</v>
      </c>
      <c r="ARC30">
        <v>0</v>
      </c>
      <c r="ARD30">
        <v>0</v>
      </c>
      <c r="ARE30">
        <v>0</v>
      </c>
      <c r="ARF30">
        <v>0</v>
      </c>
      <c r="ARG30">
        <v>0</v>
      </c>
      <c r="ARH30">
        <v>0</v>
      </c>
      <c r="ARI30">
        <v>0</v>
      </c>
      <c r="ARJ30">
        <v>0</v>
      </c>
      <c r="ARK30">
        <v>0</v>
      </c>
      <c r="ARL30">
        <v>0</v>
      </c>
      <c r="ARM30">
        <v>0</v>
      </c>
      <c r="ARN30">
        <v>0</v>
      </c>
      <c r="ARO30" s="128">
        <v>0</v>
      </c>
      <c r="ARP30" s="128">
        <v>0</v>
      </c>
      <c r="ARQ30" s="128">
        <v>0</v>
      </c>
      <c r="ARR30" s="128">
        <v>0</v>
      </c>
      <c r="ARS30">
        <v>0</v>
      </c>
      <c r="ART30" s="119">
        <v>0</v>
      </c>
      <c r="ARU30" s="119">
        <v>0</v>
      </c>
      <c r="ARV30" s="119">
        <v>0</v>
      </c>
      <c r="ARW30" s="119">
        <v>0</v>
      </c>
      <c r="ARX30" s="121">
        <v>0</v>
      </c>
      <c r="ARY30" s="119">
        <v>0</v>
      </c>
      <c r="ARZ30" s="119">
        <v>0</v>
      </c>
      <c r="ASA30">
        <v>0</v>
      </c>
      <c r="ASB30">
        <v>0</v>
      </c>
      <c r="ASC30">
        <v>0</v>
      </c>
      <c r="ASD30" s="119">
        <v>0</v>
      </c>
      <c r="ASE30">
        <v>0</v>
      </c>
      <c r="ASF30">
        <v>0</v>
      </c>
      <c r="ASG30">
        <v>0</v>
      </c>
      <c r="ASH30">
        <v>0</v>
      </c>
      <c r="ASI30">
        <v>0</v>
      </c>
      <c r="ASJ30">
        <v>0</v>
      </c>
      <c r="ASK30">
        <v>0</v>
      </c>
      <c r="ASL30">
        <v>0</v>
      </c>
      <c r="ASM30">
        <v>0</v>
      </c>
      <c r="ASN30">
        <v>0</v>
      </c>
      <c r="ASO30">
        <v>0</v>
      </c>
      <c r="ASP30">
        <v>0</v>
      </c>
      <c r="ASQ30">
        <v>0</v>
      </c>
      <c r="ASR30">
        <v>0</v>
      </c>
      <c r="ASS30">
        <v>0</v>
      </c>
      <c r="AST30">
        <v>0</v>
      </c>
      <c r="ASU30">
        <v>0</v>
      </c>
      <c r="ASV30">
        <v>0</v>
      </c>
      <c r="ASW30">
        <v>0</v>
      </c>
      <c r="ASX30">
        <v>0</v>
      </c>
      <c r="ASY30">
        <v>0</v>
      </c>
      <c r="ASZ30">
        <v>0</v>
      </c>
      <c r="ATA30">
        <v>0</v>
      </c>
      <c r="ATB30" s="116">
        <v>0</v>
      </c>
      <c r="ATC30" s="116">
        <v>0</v>
      </c>
      <c r="ATD30" s="116">
        <v>0</v>
      </c>
      <c r="ATE30" s="116">
        <v>0</v>
      </c>
      <c r="ATF30" s="116">
        <v>0</v>
      </c>
      <c r="ATG30" s="116">
        <v>0</v>
      </c>
      <c r="ATH30" s="116">
        <v>0</v>
      </c>
      <c r="ATI30" s="116">
        <v>0</v>
      </c>
      <c r="ATJ30" s="116">
        <v>0</v>
      </c>
      <c r="ATK30" s="128">
        <v>0</v>
      </c>
      <c r="ATL30" s="128">
        <v>0</v>
      </c>
      <c r="ATM30" s="128">
        <v>0</v>
      </c>
      <c r="ATN30" s="128">
        <v>0</v>
      </c>
      <c r="ATO30">
        <v>0</v>
      </c>
      <c r="ATP30" s="119">
        <v>0</v>
      </c>
      <c r="ATQ30" s="119">
        <v>0</v>
      </c>
      <c r="ATR30" s="119">
        <v>0</v>
      </c>
      <c r="ATS30" s="119">
        <v>0</v>
      </c>
      <c r="ATT30" s="121">
        <v>0</v>
      </c>
      <c r="ATU30" s="119">
        <v>0</v>
      </c>
      <c r="ATV30" s="119">
        <v>0</v>
      </c>
      <c r="ATW30">
        <v>0</v>
      </c>
      <c r="ATX30">
        <v>0</v>
      </c>
      <c r="ATY30">
        <v>0</v>
      </c>
      <c r="ATZ30" s="119">
        <v>0</v>
      </c>
      <c r="AUA30">
        <v>0</v>
      </c>
      <c r="AUB30">
        <v>0</v>
      </c>
      <c r="AUC30">
        <v>0</v>
      </c>
      <c r="AUD30">
        <v>0</v>
      </c>
      <c r="AUE30">
        <v>0</v>
      </c>
      <c r="AUF30">
        <v>0</v>
      </c>
      <c r="AUG30">
        <v>0</v>
      </c>
      <c r="AUH30">
        <v>0</v>
      </c>
      <c r="AUI30">
        <v>0</v>
      </c>
      <c r="AUJ30">
        <v>0</v>
      </c>
      <c r="AUK30">
        <v>0</v>
      </c>
      <c r="AUL30">
        <v>0</v>
      </c>
      <c r="AUM30">
        <v>0</v>
      </c>
      <c r="AUN30">
        <v>0</v>
      </c>
      <c r="AUO30">
        <v>0</v>
      </c>
      <c r="AUP30">
        <v>0</v>
      </c>
      <c r="AUQ30">
        <v>0</v>
      </c>
      <c r="AUR30">
        <v>0</v>
      </c>
      <c r="AUS30">
        <v>0</v>
      </c>
      <c r="AUT30">
        <v>0</v>
      </c>
      <c r="AUU30">
        <v>0</v>
      </c>
      <c r="AUV30">
        <v>0</v>
      </c>
      <c r="AUW30">
        <v>0</v>
      </c>
      <c r="AUX30" s="116">
        <v>0</v>
      </c>
      <c r="AUY30" s="116">
        <v>0</v>
      </c>
      <c r="AUZ30" s="116">
        <v>0</v>
      </c>
      <c r="AVA30" s="116">
        <v>0</v>
      </c>
      <c r="AVB30" s="116">
        <v>0</v>
      </c>
      <c r="AVC30" s="116">
        <v>0</v>
      </c>
      <c r="AVD30" s="116">
        <v>0</v>
      </c>
      <c r="AVE30" s="116">
        <v>0</v>
      </c>
      <c r="AVF30" s="116">
        <v>0</v>
      </c>
      <c r="AVG30" s="128">
        <v>0</v>
      </c>
      <c r="AVH30" s="128">
        <v>0</v>
      </c>
      <c r="AVI30" s="128">
        <v>0</v>
      </c>
      <c r="AVJ30" s="128">
        <v>0</v>
      </c>
      <c r="AVK30">
        <v>0</v>
      </c>
      <c r="AVL30" s="119">
        <v>0</v>
      </c>
      <c r="AVM30" s="119">
        <v>0</v>
      </c>
      <c r="AVN30" s="119">
        <v>0</v>
      </c>
      <c r="AVO30" s="119">
        <v>0</v>
      </c>
      <c r="AVP30" s="121">
        <v>0</v>
      </c>
      <c r="AVQ30" s="119">
        <v>0</v>
      </c>
      <c r="AVR30" s="119">
        <v>0</v>
      </c>
      <c r="AVS30">
        <v>0</v>
      </c>
      <c r="AVT30">
        <v>0</v>
      </c>
      <c r="AVU30">
        <v>0</v>
      </c>
      <c r="AVV30" s="119">
        <v>0</v>
      </c>
      <c r="AVW30">
        <v>0</v>
      </c>
      <c r="AVX30">
        <v>0</v>
      </c>
      <c r="AVY30">
        <v>0</v>
      </c>
      <c r="AVZ30">
        <v>0</v>
      </c>
      <c r="AWA30">
        <v>0</v>
      </c>
      <c r="AWB30">
        <v>0</v>
      </c>
      <c r="AWC30">
        <v>0</v>
      </c>
      <c r="AWD30">
        <v>0</v>
      </c>
      <c r="AWE30">
        <v>0</v>
      </c>
      <c r="AWF30">
        <v>0</v>
      </c>
      <c r="AWG30">
        <v>0</v>
      </c>
      <c r="AWH30">
        <v>0</v>
      </c>
      <c r="AWI30">
        <v>0</v>
      </c>
      <c r="AWJ30">
        <v>0</v>
      </c>
      <c r="AWK30">
        <v>0</v>
      </c>
      <c r="AWL30">
        <v>0</v>
      </c>
      <c r="AWM30">
        <v>0</v>
      </c>
      <c r="AWN30">
        <v>0</v>
      </c>
      <c r="AWO30">
        <v>0</v>
      </c>
      <c r="AWP30">
        <v>0</v>
      </c>
      <c r="AWQ30">
        <v>0</v>
      </c>
      <c r="AWR30">
        <v>0</v>
      </c>
      <c r="AWS30">
        <v>0</v>
      </c>
      <c r="AWT30" s="116">
        <v>0</v>
      </c>
      <c r="AWU30" s="116">
        <v>0</v>
      </c>
      <c r="AWV30" s="116">
        <v>0</v>
      </c>
      <c r="AWW30" s="116">
        <v>0</v>
      </c>
      <c r="AWX30" s="116">
        <v>0</v>
      </c>
      <c r="AWY30" s="116">
        <v>0</v>
      </c>
      <c r="AWZ30" s="116">
        <v>0</v>
      </c>
      <c r="AXA30" s="116">
        <v>0</v>
      </c>
      <c r="AXB30" s="116">
        <v>0</v>
      </c>
      <c r="AXC30" s="128">
        <v>0</v>
      </c>
      <c r="AXD30" s="128">
        <v>0</v>
      </c>
      <c r="AXE30" s="128">
        <v>0</v>
      </c>
      <c r="AXF30" s="128">
        <v>0</v>
      </c>
      <c r="AXG30">
        <v>0</v>
      </c>
      <c r="AXH30" s="119">
        <v>0</v>
      </c>
      <c r="AXI30" s="119">
        <v>0</v>
      </c>
      <c r="AXJ30" s="119">
        <v>0</v>
      </c>
      <c r="AXK30" s="119">
        <v>0</v>
      </c>
      <c r="AXL30" s="121">
        <v>0</v>
      </c>
      <c r="AXM30" s="119">
        <v>0</v>
      </c>
      <c r="AXN30" s="119">
        <v>0</v>
      </c>
      <c r="AXO30">
        <v>0</v>
      </c>
      <c r="AXP30">
        <v>0</v>
      </c>
      <c r="AXQ30">
        <v>0</v>
      </c>
      <c r="AXR30" s="119">
        <v>0</v>
      </c>
      <c r="AXS30">
        <v>0</v>
      </c>
      <c r="AXT30">
        <v>0</v>
      </c>
      <c r="AXU30">
        <v>0</v>
      </c>
      <c r="AXV30">
        <v>0</v>
      </c>
      <c r="AXW30">
        <v>0</v>
      </c>
      <c r="AXX30">
        <v>0</v>
      </c>
      <c r="AXY30">
        <v>0</v>
      </c>
      <c r="AXZ30">
        <v>0</v>
      </c>
      <c r="AYA30">
        <v>0</v>
      </c>
      <c r="AYB30">
        <v>0</v>
      </c>
      <c r="AYC30">
        <v>0</v>
      </c>
      <c r="AYD30">
        <v>0</v>
      </c>
      <c r="AYE30">
        <v>0</v>
      </c>
      <c r="AYF30">
        <v>0</v>
      </c>
      <c r="AYG30">
        <v>0</v>
      </c>
      <c r="AYH30">
        <v>0</v>
      </c>
      <c r="AYI30">
        <v>0</v>
      </c>
      <c r="AYJ30">
        <v>0</v>
      </c>
      <c r="AYK30">
        <v>0</v>
      </c>
      <c r="AYL30">
        <v>0</v>
      </c>
      <c r="AYM30">
        <v>0</v>
      </c>
      <c r="AYN30">
        <v>0</v>
      </c>
      <c r="AYO30">
        <v>0</v>
      </c>
      <c r="AYP30" s="116">
        <v>0</v>
      </c>
      <c r="AYQ30" s="116">
        <v>0</v>
      </c>
      <c r="AYR30" s="116">
        <v>0</v>
      </c>
      <c r="AYS30" s="116">
        <v>0</v>
      </c>
      <c r="AYT30" s="116">
        <v>0</v>
      </c>
      <c r="AYU30" s="116">
        <v>0</v>
      </c>
      <c r="AYV30" s="116">
        <v>0</v>
      </c>
      <c r="AYW30" s="116">
        <v>0</v>
      </c>
      <c r="AYX30" s="116">
        <v>0</v>
      </c>
      <c r="AYY30" s="128">
        <v>0</v>
      </c>
      <c r="AYZ30" s="128">
        <v>0</v>
      </c>
      <c r="AZA30" s="128">
        <v>0</v>
      </c>
      <c r="AZB30" s="128">
        <v>0</v>
      </c>
      <c r="AZC30">
        <v>0</v>
      </c>
      <c r="AZD30" s="119">
        <v>0</v>
      </c>
      <c r="AZE30" s="119">
        <v>0</v>
      </c>
      <c r="AZF30" s="119">
        <v>0</v>
      </c>
      <c r="AZG30" s="119">
        <v>0</v>
      </c>
      <c r="AZH30" s="121">
        <v>0</v>
      </c>
      <c r="AZI30" s="119">
        <v>0</v>
      </c>
      <c r="AZJ30" s="119">
        <v>0</v>
      </c>
      <c r="AZK30">
        <v>0</v>
      </c>
      <c r="AZL30">
        <v>0</v>
      </c>
      <c r="AZM30">
        <v>0</v>
      </c>
      <c r="AZN30" s="119">
        <v>0</v>
      </c>
      <c r="AZO30">
        <v>0</v>
      </c>
      <c r="AZP30">
        <v>0</v>
      </c>
      <c r="AZQ30">
        <v>0</v>
      </c>
      <c r="AZR30">
        <v>0</v>
      </c>
      <c r="AZS30">
        <v>0</v>
      </c>
      <c r="AZT30">
        <v>0</v>
      </c>
      <c r="AZU30">
        <v>0</v>
      </c>
      <c r="AZV30">
        <v>0</v>
      </c>
      <c r="AZW30">
        <v>0</v>
      </c>
      <c r="AZX30">
        <v>0</v>
      </c>
      <c r="AZY30">
        <v>0</v>
      </c>
      <c r="AZZ30">
        <v>0</v>
      </c>
      <c r="BAA30">
        <v>0</v>
      </c>
      <c r="BAB30">
        <v>0</v>
      </c>
      <c r="BAC30">
        <v>0</v>
      </c>
      <c r="BAD30">
        <v>0</v>
      </c>
      <c r="BAE30">
        <v>0</v>
      </c>
      <c r="BAF30">
        <v>0</v>
      </c>
      <c r="BAG30">
        <v>0</v>
      </c>
      <c r="BAH30">
        <v>0</v>
      </c>
      <c r="BAI30">
        <v>0</v>
      </c>
      <c r="BAJ30">
        <v>0</v>
      </c>
      <c r="BAK30">
        <v>833650</v>
      </c>
      <c r="BAL30">
        <v>10977.99</v>
      </c>
      <c r="BAM30" s="120">
        <v>10001.99</v>
      </c>
      <c r="BAN30" s="120">
        <v>976</v>
      </c>
      <c r="BAO30" s="120">
        <v>0</v>
      </c>
      <c r="BAP30" s="120">
        <v>0</v>
      </c>
      <c r="BAQ30" s="120">
        <v>0</v>
      </c>
      <c r="BAR30" s="120" t="s">
        <v>3340</v>
      </c>
      <c r="BAS30" s="116">
        <v>0</v>
      </c>
      <c r="BAT30" s="116">
        <v>0</v>
      </c>
      <c r="BAU30" s="116">
        <v>0</v>
      </c>
      <c r="BAV30" s="116">
        <v>0</v>
      </c>
      <c r="BAW30" s="116">
        <v>0</v>
      </c>
      <c r="BAX30" s="116">
        <v>0</v>
      </c>
      <c r="BAY30" s="116">
        <v>0</v>
      </c>
      <c r="BAZ30" s="116">
        <v>0</v>
      </c>
      <c r="BBA30" s="116">
        <v>0</v>
      </c>
      <c r="BBB30" s="116">
        <v>0</v>
      </c>
      <c r="BBC30" s="116">
        <v>0</v>
      </c>
      <c r="BBD30" s="116">
        <v>0</v>
      </c>
      <c r="BBE30" s="116">
        <v>0</v>
      </c>
      <c r="BBF30" s="116">
        <v>0</v>
      </c>
      <c r="BBG30" s="116">
        <v>0</v>
      </c>
      <c r="BBH30" s="116">
        <v>0</v>
      </c>
      <c r="BBI30" s="116">
        <v>0</v>
      </c>
      <c r="BBJ30" s="116">
        <v>0</v>
      </c>
      <c r="BBK30" s="116">
        <v>0</v>
      </c>
      <c r="BBL30" s="116">
        <v>0</v>
      </c>
      <c r="BBM30" s="116">
        <v>0</v>
      </c>
      <c r="BBN30" s="116">
        <v>0</v>
      </c>
      <c r="BBO30" s="116">
        <v>0</v>
      </c>
      <c r="BBP30" s="116">
        <v>0</v>
      </c>
      <c r="BBQ30" s="116">
        <v>0</v>
      </c>
      <c r="BBR30" s="116">
        <v>0</v>
      </c>
      <c r="BBS30" s="116">
        <v>0</v>
      </c>
      <c r="BBT30" s="116">
        <v>0</v>
      </c>
      <c r="BBU30" s="116">
        <v>0</v>
      </c>
      <c r="BBV30" s="116">
        <v>0</v>
      </c>
      <c r="BBW30" s="116">
        <v>0</v>
      </c>
      <c r="BBX30" s="116">
        <v>0</v>
      </c>
      <c r="BBY30" s="116">
        <v>0</v>
      </c>
      <c r="BBZ30" s="116">
        <v>0</v>
      </c>
      <c r="BCA30" s="116">
        <v>0</v>
      </c>
      <c r="BCB30" s="116">
        <v>0</v>
      </c>
      <c r="BCC30" s="116">
        <v>0</v>
      </c>
      <c r="BCD30" s="116">
        <v>0</v>
      </c>
      <c r="BCE30" s="116">
        <v>0</v>
      </c>
      <c r="BCF30" s="116">
        <v>0</v>
      </c>
      <c r="BCG30" s="116">
        <v>0</v>
      </c>
      <c r="BCH30" s="116">
        <v>0</v>
      </c>
      <c r="BCI30" s="116">
        <v>0</v>
      </c>
      <c r="BCJ30" s="116">
        <v>0</v>
      </c>
      <c r="BCK30" s="116">
        <v>0</v>
      </c>
      <c r="BCL30" s="116">
        <v>0</v>
      </c>
      <c r="BCM30" s="116">
        <v>0</v>
      </c>
      <c r="BCN30" s="116">
        <v>0</v>
      </c>
      <c r="BCO30" s="116">
        <v>0</v>
      </c>
      <c r="BCP30" s="116">
        <v>4</v>
      </c>
      <c r="BCQ30" s="304">
        <v>5</v>
      </c>
      <c r="BCR30" s="304">
        <v>5</v>
      </c>
      <c r="BCS30" s="304">
        <v>0</v>
      </c>
      <c r="BCT30" s="304">
        <v>2</v>
      </c>
      <c r="BCU30" s="304">
        <v>8</v>
      </c>
      <c r="BCV30" s="304">
        <v>3</v>
      </c>
      <c r="BCW30" s="304">
        <v>6</v>
      </c>
      <c r="BCX30" s="304">
        <v>5</v>
      </c>
      <c r="BCY30" s="304">
        <v>0</v>
      </c>
      <c r="BCZ30" s="304">
        <v>0</v>
      </c>
      <c r="BDA30" s="304">
        <v>0</v>
      </c>
      <c r="BDB30" s="304">
        <v>0</v>
      </c>
      <c r="BDC30" s="304">
        <v>0</v>
      </c>
      <c r="BDD30" s="304">
        <v>0</v>
      </c>
      <c r="BDE30" s="304">
        <v>0</v>
      </c>
      <c r="BDF30" s="304">
        <v>0</v>
      </c>
      <c r="BDG30" s="304">
        <v>0</v>
      </c>
      <c r="BDH30" s="304">
        <v>0</v>
      </c>
      <c r="BDI30" s="304">
        <v>0</v>
      </c>
      <c r="BDJ30" s="304">
        <v>0</v>
      </c>
      <c r="BDK30" s="304">
        <v>0</v>
      </c>
      <c r="BDL30" s="304">
        <v>0</v>
      </c>
      <c r="BDM30" s="304">
        <v>0</v>
      </c>
      <c r="BDN30" s="304">
        <v>0</v>
      </c>
      <c r="BDO30" s="304">
        <v>0</v>
      </c>
      <c r="BDP30" s="304">
        <v>0</v>
      </c>
      <c r="BDQ30" s="304">
        <v>0</v>
      </c>
      <c r="BDR30">
        <v>0</v>
      </c>
      <c r="BDS30" t="s">
        <v>2404</v>
      </c>
      <c r="BDT30">
        <v>0</v>
      </c>
      <c r="BDU30">
        <v>0</v>
      </c>
      <c r="BDV30" t="s">
        <v>2404</v>
      </c>
      <c r="BDW30">
        <v>0</v>
      </c>
      <c r="BDX30">
        <v>0</v>
      </c>
      <c r="BDY30">
        <v>0</v>
      </c>
      <c r="BDZ30" t="s">
        <v>3270</v>
      </c>
      <c r="BEA30" t="s">
        <v>3332</v>
      </c>
      <c r="BEB30">
        <v>0</v>
      </c>
      <c r="BEC30">
        <v>0</v>
      </c>
      <c r="BED30">
        <v>0</v>
      </c>
      <c r="BEE30" t="s">
        <v>3270</v>
      </c>
      <c r="BEF30" t="s">
        <v>3331</v>
      </c>
      <c r="BEG30">
        <v>0</v>
      </c>
      <c r="BEH30">
        <v>0</v>
      </c>
      <c r="BEI30">
        <v>0</v>
      </c>
      <c r="BEJ30">
        <v>0</v>
      </c>
      <c r="BEK30">
        <v>0</v>
      </c>
      <c r="BEL30">
        <v>0</v>
      </c>
      <c r="BEM30" t="s">
        <v>3269</v>
      </c>
      <c r="BEN30" t="s">
        <v>3269</v>
      </c>
      <c r="BEO30" t="s">
        <v>3333</v>
      </c>
      <c r="BEP30" t="s">
        <v>3334</v>
      </c>
      <c r="BEQ30" t="s">
        <v>3335</v>
      </c>
      <c r="BER30">
        <v>0</v>
      </c>
      <c r="BES30">
        <v>0</v>
      </c>
      <c r="BET30">
        <v>0</v>
      </c>
      <c r="BEU30" t="s">
        <v>3336</v>
      </c>
      <c r="BEV30" t="s">
        <v>3337</v>
      </c>
      <c r="BEW30">
        <v>12000</v>
      </c>
      <c r="BEX30" t="s">
        <v>3269</v>
      </c>
      <c r="BEY30" t="s">
        <v>3270</v>
      </c>
      <c r="BEZ30" t="s">
        <v>3278</v>
      </c>
      <c r="BFA30" t="s">
        <v>3270</v>
      </c>
      <c r="BFB30" t="s">
        <v>3270</v>
      </c>
      <c r="BFC30">
        <v>0</v>
      </c>
      <c r="BFD30" t="b">
        <v>1</v>
      </c>
      <c r="BFE30" t="b">
        <v>1</v>
      </c>
      <c r="BFF30" t="b">
        <v>0</v>
      </c>
      <c r="BFG30" t="b">
        <v>0</v>
      </c>
      <c r="BFH30">
        <v>43634</v>
      </c>
      <c r="BFI30">
        <v>43634</v>
      </c>
      <c r="BFJ30">
        <v>1</v>
      </c>
      <c r="BFK30" t="s">
        <v>3270</v>
      </c>
      <c r="BFL30" t="s">
        <v>3338</v>
      </c>
      <c r="BFM30">
        <v>0</v>
      </c>
      <c r="BFN30">
        <v>0</v>
      </c>
      <c r="BFO30">
        <v>0</v>
      </c>
      <c r="BFP30">
        <v>0</v>
      </c>
      <c r="BFQ30">
        <v>0</v>
      </c>
      <c r="BFR30">
        <v>0</v>
      </c>
      <c r="BFS30">
        <v>0</v>
      </c>
      <c r="BFT30">
        <v>0</v>
      </c>
      <c r="BFU30">
        <v>0</v>
      </c>
      <c r="BFV30">
        <v>0</v>
      </c>
      <c r="BFW30">
        <v>0</v>
      </c>
      <c r="BFX30">
        <v>0</v>
      </c>
      <c r="BFY30">
        <v>0</v>
      </c>
    </row>
    <row r="31" spans="1:1533" ht="18.75" customHeight="1" x14ac:dyDescent="0.25">
      <c r="A31" t="s">
        <v>3348</v>
      </c>
      <c r="B31" t="s">
        <v>3366</v>
      </c>
      <c r="C31" s="120">
        <v>130</v>
      </c>
      <c r="D31" s="120">
        <v>45</v>
      </c>
      <c r="E31">
        <v>0</v>
      </c>
      <c r="F31">
        <v>0</v>
      </c>
      <c r="G31">
        <v>0</v>
      </c>
      <c r="H31" t="s">
        <v>2403</v>
      </c>
      <c r="I31" t="s">
        <v>2403</v>
      </c>
      <c r="J31" t="s">
        <v>2403</v>
      </c>
      <c r="K31" t="s">
        <v>2403</v>
      </c>
      <c r="L31" t="s">
        <v>2404</v>
      </c>
      <c r="M31">
        <v>15901</v>
      </c>
      <c r="N31" t="s">
        <v>2403</v>
      </c>
      <c r="O31" t="s">
        <v>1883</v>
      </c>
      <c r="P31" t="s">
        <v>1883</v>
      </c>
      <c r="Q31" t="s">
        <v>2403</v>
      </c>
      <c r="R31" t="s">
        <v>1883</v>
      </c>
      <c r="S31" t="s">
        <v>2403</v>
      </c>
      <c r="T31" t="s">
        <v>2404</v>
      </c>
      <c r="U31" t="s">
        <v>2424</v>
      </c>
      <c r="V31">
        <v>0</v>
      </c>
      <c r="W31" t="s">
        <v>309</v>
      </c>
      <c r="X31">
        <v>900</v>
      </c>
      <c r="Y31">
        <v>43654</v>
      </c>
      <c r="Z31">
        <v>373</v>
      </c>
      <c r="AA31">
        <v>0</v>
      </c>
      <c r="AB31" s="120">
        <v>0</v>
      </c>
      <c r="AC31" s="58" t="s">
        <v>272</v>
      </c>
      <c r="AD31" s="120">
        <v>25</v>
      </c>
      <c r="AE31" s="120">
        <v>0</v>
      </c>
      <c r="AF31" s="120">
        <v>43681</v>
      </c>
      <c r="AG31">
        <v>45</v>
      </c>
      <c r="AH31" s="120">
        <v>0</v>
      </c>
      <c r="AI31" s="120">
        <v>0</v>
      </c>
      <c r="AJ31" s="58" t="s">
        <v>271</v>
      </c>
      <c r="AK31" s="120">
        <v>0.17899999999999999</v>
      </c>
      <c r="AL31" s="119">
        <v>0</v>
      </c>
      <c r="AM31">
        <v>50</v>
      </c>
      <c r="AN31">
        <v>47303</v>
      </c>
      <c r="AO31" s="114">
        <v>0.18869670604574917</v>
      </c>
      <c r="AP31" s="120">
        <v>21581.72</v>
      </c>
      <c r="AQ31" s="120">
        <v>26543.829999999965</v>
      </c>
      <c r="AR31" s="58">
        <v>48125.549999999967</v>
      </c>
      <c r="AS31" s="114">
        <v>401.06</v>
      </c>
      <c r="AT31" s="120">
        <v>399.41</v>
      </c>
      <c r="AU31" s="120" t="s">
        <v>1910</v>
      </c>
      <c r="AV31" s="120" t="s">
        <v>2119</v>
      </c>
      <c r="AW31" s="120" t="s">
        <v>271</v>
      </c>
      <c r="AX31" s="120">
        <v>19</v>
      </c>
      <c r="AY31">
        <v>0</v>
      </c>
      <c r="AZ31">
        <v>43643</v>
      </c>
      <c r="BA31">
        <v>100</v>
      </c>
      <c r="BB31" s="120">
        <v>2</v>
      </c>
      <c r="BC31">
        <v>1</v>
      </c>
      <c r="BD31" s="58" t="s">
        <v>415</v>
      </c>
      <c r="BE31" s="120">
        <v>436</v>
      </c>
      <c r="BF31">
        <v>72</v>
      </c>
      <c r="BG31">
        <v>43650</v>
      </c>
      <c r="BH31">
        <v>120</v>
      </c>
      <c r="BI31" s="120">
        <v>0</v>
      </c>
      <c r="BJ31" s="120">
        <v>50</v>
      </c>
      <c r="BK31" s="367">
        <v>43466</v>
      </c>
      <c r="BL31">
        <v>0</v>
      </c>
      <c r="BM31" s="120">
        <v>0</v>
      </c>
      <c r="BN31" s="120">
        <v>0</v>
      </c>
      <c r="BO31" s="58" t="s">
        <v>3349</v>
      </c>
      <c r="BP31" t="s">
        <v>2403</v>
      </c>
      <c r="BQ31" t="s">
        <v>2403</v>
      </c>
      <c r="BR31" t="s">
        <v>2403</v>
      </c>
      <c r="BS31">
        <v>451043623</v>
      </c>
      <c r="BT31" s="366">
        <v>20170</v>
      </c>
      <c r="BU31" s="58" t="s">
        <v>3350</v>
      </c>
      <c r="BV31" t="s">
        <v>3351</v>
      </c>
      <c r="BW31" t="s">
        <v>1633</v>
      </c>
      <c r="BX31">
        <v>78624</v>
      </c>
      <c r="BY31" t="s">
        <v>3350</v>
      </c>
      <c r="BZ31" t="s">
        <v>3351</v>
      </c>
      <c r="CA31">
        <v>78624</v>
      </c>
      <c r="CB31" t="s">
        <v>1633</v>
      </c>
      <c r="CC31" t="s">
        <v>316</v>
      </c>
      <c r="CD31">
        <v>0</v>
      </c>
      <c r="CE31">
        <v>0</v>
      </c>
      <c r="CF31">
        <v>0</v>
      </c>
      <c r="CG31">
        <v>0</v>
      </c>
      <c r="CH31">
        <v>0</v>
      </c>
      <c r="CI31">
        <v>0</v>
      </c>
      <c r="CJ31">
        <v>0</v>
      </c>
      <c r="CK31">
        <v>8309921338</v>
      </c>
      <c r="CL31" s="118">
        <v>8309921337</v>
      </c>
      <c r="CM31" s="118">
        <v>8309921338</v>
      </c>
      <c r="CN31" s="118" t="s">
        <v>3352</v>
      </c>
      <c r="CO31" t="s">
        <v>3353</v>
      </c>
      <c r="CP31" t="s">
        <v>2404</v>
      </c>
      <c r="CQ31" t="s">
        <v>2403</v>
      </c>
      <c r="CR31" t="s">
        <v>2403</v>
      </c>
      <c r="CS31" t="s">
        <v>3350</v>
      </c>
      <c r="CT31" t="s">
        <v>3351</v>
      </c>
      <c r="CU31" t="s">
        <v>1633</v>
      </c>
      <c r="CV31">
        <v>78624</v>
      </c>
      <c r="CW31">
        <v>862028641</v>
      </c>
      <c r="CX31" s="366">
        <v>18871</v>
      </c>
      <c r="CY31" s="58" t="s">
        <v>3350</v>
      </c>
      <c r="CZ31" t="s">
        <v>3351</v>
      </c>
      <c r="DA31">
        <v>78624</v>
      </c>
      <c r="DB31" t="s">
        <v>1633</v>
      </c>
      <c r="DC31" t="s">
        <v>316</v>
      </c>
      <c r="DD31">
        <v>0</v>
      </c>
      <c r="DE31">
        <v>0</v>
      </c>
      <c r="DF31">
        <v>0</v>
      </c>
      <c r="DG31">
        <v>0</v>
      </c>
      <c r="DH31">
        <v>0</v>
      </c>
      <c r="DI31">
        <v>0</v>
      </c>
      <c r="DJ31">
        <v>0</v>
      </c>
      <c r="DK31">
        <v>8309921338</v>
      </c>
      <c r="DL31" s="118">
        <v>0</v>
      </c>
      <c r="DM31" s="118">
        <v>0</v>
      </c>
      <c r="DN31" s="118" t="s">
        <v>3352</v>
      </c>
      <c r="DO31">
        <v>0</v>
      </c>
      <c r="DP31">
        <v>0</v>
      </c>
      <c r="DQ31">
        <v>0</v>
      </c>
      <c r="DR31">
        <v>0</v>
      </c>
      <c r="DS31">
        <v>0</v>
      </c>
      <c r="DT31">
        <v>0</v>
      </c>
      <c r="DU31">
        <v>0</v>
      </c>
      <c r="DV31">
        <v>0</v>
      </c>
      <c r="DW31">
        <v>0</v>
      </c>
      <c r="DX31" s="366">
        <v>0</v>
      </c>
      <c r="DY31" s="58">
        <v>0</v>
      </c>
      <c r="DZ31">
        <v>0</v>
      </c>
      <c r="EA31">
        <v>0</v>
      </c>
      <c r="EB31">
        <v>0</v>
      </c>
      <c r="EC31">
        <v>0</v>
      </c>
      <c r="ED31">
        <v>0</v>
      </c>
      <c r="EE31">
        <v>0</v>
      </c>
      <c r="EF31">
        <v>0</v>
      </c>
      <c r="EG31">
        <v>0</v>
      </c>
      <c r="EH31">
        <v>0</v>
      </c>
      <c r="EI31">
        <v>0</v>
      </c>
      <c r="EJ31">
        <v>0</v>
      </c>
      <c r="EK31">
        <v>0</v>
      </c>
      <c r="EL31" s="118">
        <v>0</v>
      </c>
      <c r="EM31" s="118">
        <v>0</v>
      </c>
      <c r="EN31" s="118">
        <v>0</v>
      </c>
      <c r="EO31">
        <v>1273</v>
      </c>
      <c r="EP31">
        <v>20992.720703125</v>
      </c>
      <c r="EQ31" s="119">
        <v>1</v>
      </c>
      <c r="ER31">
        <v>1</v>
      </c>
      <c r="ES31" t="s">
        <v>3356</v>
      </c>
      <c r="ET31">
        <v>0</v>
      </c>
      <c r="EU31">
        <v>0</v>
      </c>
      <c r="EV31">
        <v>0</v>
      </c>
      <c r="EW31">
        <v>0</v>
      </c>
      <c r="EX31">
        <v>0</v>
      </c>
      <c r="EY31">
        <v>0</v>
      </c>
      <c r="EZ31">
        <v>0</v>
      </c>
      <c r="FA31">
        <v>0</v>
      </c>
      <c r="FB31">
        <v>0</v>
      </c>
      <c r="FC31">
        <v>0</v>
      </c>
      <c r="FD31">
        <v>0</v>
      </c>
      <c r="FE31">
        <v>0</v>
      </c>
      <c r="FF31">
        <v>0</v>
      </c>
      <c r="FG31">
        <v>0</v>
      </c>
      <c r="FH31">
        <v>0</v>
      </c>
      <c r="FI31">
        <v>0</v>
      </c>
      <c r="FJ31">
        <v>0</v>
      </c>
      <c r="FK31">
        <v>0</v>
      </c>
      <c r="FL31">
        <v>0</v>
      </c>
      <c r="FM31">
        <v>20992.720000000001</v>
      </c>
      <c r="FN31" s="119">
        <v>0</v>
      </c>
      <c r="FO31" s="119">
        <v>0</v>
      </c>
      <c r="FP31" s="119">
        <v>0</v>
      </c>
      <c r="FQ31" s="119">
        <v>0</v>
      </c>
      <c r="FR31" s="119">
        <v>0</v>
      </c>
      <c r="FS31" s="119">
        <v>0</v>
      </c>
      <c r="FT31" s="119">
        <v>0</v>
      </c>
      <c r="FU31" s="119">
        <v>0</v>
      </c>
      <c r="FV31" s="119">
        <v>0</v>
      </c>
      <c r="FW31" s="119">
        <v>0</v>
      </c>
      <c r="FX31" s="119">
        <v>0</v>
      </c>
      <c r="FY31" s="119">
        <v>0</v>
      </c>
      <c r="FZ31" s="119">
        <v>0</v>
      </c>
      <c r="GA31" s="119">
        <v>0</v>
      </c>
      <c r="GB31" s="119">
        <v>0</v>
      </c>
      <c r="GC31" s="119">
        <v>0</v>
      </c>
      <c r="GD31" s="119">
        <v>0</v>
      </c>
      <c r="GE31" s="119">
        <v>0</v>
      </c>
      <c r="GF31" s="119">
        <v>0</v>
      </c>
      <c r="GG31" s="119">
        <v>0</v>
      </c>
      <c r="GH31" t="s">
        <v>2403</v>
      </c>
      <c r="GI31">
        <v>0</v>
      </c>
      <c r="GJ31">
        <v>0</v>
      </c>
      <c r="GK31">
        <v>0</v>
      </c>
      <c r="GL31" t="s">
        <v>2403</v>
      </c>
      <c r="GM31">
        <v>0</v>
      </c>
      <c r="GN31" s="58" t="s">
        <v>2403</v>
      </c>
      <c r="GO31">
        <v>0</v>
      </c>
      <c r="GP31" t="s">
        <v>3357</v>
      </c>
      <c r="GQ31" s="128">
        <v>0</v>
      </c>
      <c r="GR31" s="128">
        <v>0</v>
      </c>
      <c r="GS31" s="128">
        <v>0</v>
      </c>
      <c r="GT31" s="128" t="s">
        <v>3354</v>
      </c>
      <c r="GU31">
        <v>20992.720000000001</v>
      </c>
      <c r="GV31" s="119">
        <v>0</v>
      </c>
      <c r="GW31" s="119">
        <v>0</v>
      </c>
      <c r="GX31" s="119">
        <v>0</v>
      </c>
      <c r="GY31" s="119">
        <v>0</v>
      </c>
      <c r="GZ31">
        <v>0</v>
      </c>
      <c r="HA31">
        <v>0</v>
      </c>
      <c r="HB31">
        <v>0</v>
      </c>
      <c r="HC31">
        <v>20992.720703125</v>
      </c>
      <c r="HD31" s="120">
        <v>280760</v>
      </c>
      <c r="HE31" s="119">
        <v>82540</v>
      </c>
      <c r="HF31" t="s">
        <v>3355</v>
      </c>
      <c r="HG31" t="s">
        <v>91</v>
      </c>
      <c r="HH31" t="s">
        <v>2403</v>
      </c>
      <c r="HI31">
        <v>280760</v>
      </c>
      <c r="HJ31" s="119" t="s">
        <v>2403</v>
      </c>
      <c r="HK31">
        <v>0</v>
      </c>
      <c r="HL31">
        <v>0</v>
      </c>
      <c r="HM31">
        <v>0</v>
      </c>
      <c r="HN31">
        <v>0</v>
      </c>
      <c r="HO31" t="s">
        <v>3365</v>
      </c>
      <c r="HP31" t="s">
        <v>2403</v>
      </c>
      <c r="HQ31">
        <v>0</v>
      </c>
      <c r="HR31" t="s">
        <v>1633</v>
      </c>
      <c r="HS31" t="s">
        <v>3356</v>
      </c>
      <c r="HT31">
        <v>0</v>
      </c>
      <c r="HU31">
        <v>0</v>
      </c>
      <c r="HV31">
        <v>0</v>
      </c>
      <c r="HW31" t="s">
        <v>2780</v>
      </c>
      <c r="HX31">
        <v>0</v>
      </c>
      <c r="HY31">
        <v>0</v>
      </c>
      <c r="HZ31">
        <v>0</v>
      </c>
      <c r="IA31">
        <v>78624</v>
      </c>
      <c r="IB31" t="s">
        <v>2403</v>
      </c>
      <c r="IC31">
        <v>0</v>
      </c>
      <c r="ID31">
        <v>0</v>
      </c>
      <c r="IE31">
        <v>0</v>
      </c>
      <c r="IF31">
        <v>0</v>
      </c>
      <c r="IG31">
        <v>0</v>
      </c>
      <c r="IH31">
        <v>0</v>
      </c>
      <c r="II31">
        <v>0</v>
      </c>
      <c r="IJ31">
        <v>0</v>
      </c>
      <c r="IK31">
        <v>0</v>
      </c>
      <c r="IL31">
        <v>0</v>
      </c>
      <c r="IM31" s="128">
        <v>0</v>
      </c>
      <c r="IN31" s="128">
        <v>0</v>
      </c>
      <c r="IO31" s="128">
        <v>0</v>
      </c>
      <c r="IP31" s="128">
        <v>0</v>
      </c>
      <c r="IQ31">
        <v>0</v>
      </c>
      <c r="IR31" s="119">
        <v>0</v>
      </c>
      <c r="IS31" s="119">
        <v>0</v>
      </c>
      <c r="IT31" s="119">
        <v>0</v>
      </c>
      <c r="IU31" s="119">
        <v>0</v>
      </c>
      <c r="IV31" s="119">
        <v>0</v>
      </c>
      <c r="IW31">
        <v>0</v>
      </c>
      <c r="IX31">
        <v>0</v>
      </c>
      <c r="IY31">
        <v>0</v>
      </c>
      <c r="IZ31">
        <v>0</v>
      </c>
      <c r="JA31">
        <v>0</v>
      </c>
      <c r="JB31" s="119">
        <v>0</v>
      </c>
      <c r="JC31">
        <v>0</v>
      </c>
      <c r="JD31">
        <v>0</v>
      </c>
      <c r="JE31">
        <v>0</v>
      </c>
      <c r="JF31">
        <v>0</v>
      </c>
      <c r="JG31">
        <v>0</v>
      </c>
      <c r="JH31">
        <v>0</v>
      </c>
      <c r="JI31">
        <v>0</v>
      </c>
      <c r="JJ31">
        <v>0</v>
      </c>
      <c r="JK31">
        <v>0</v>
      </c>
      <c r="JL31">
        <v>0</v>
      </c>
      <c r="JM31">
        <v>0</v>
      </c>
      <c r="JN31">
        <v>0</v>
      </c>
      <c r="JO31">
        <v>0</v>
      </c>
      <c r="JP31">
        <v>0</v>
      </c>
      <c r="JQ31">
        <v>0</v>
      </c>
      <c r="JR31">
        <v>0</v>
      </c>
      <c r="JS31">
        <v>0</v>
      </c>
      <c r="JT31">
        <v>0</v>
      </c>
      <c r="JU31">
        <v>0</v>
      </c>
      <c r="JV31">
        <v>0</v>
      </c>
      <c r="JW31">
        <v>0</v>
      </c>
      <c r="JX31">
        <v>0</v>
      </c>
      <c r="JY31">
        <v>0</v>
      </c>
      <c r="JZ31">
        <v>0</v>
      </c>
      <c r="KA31">
        <v>0</v>
      </c>
      <c r="KB31">
        <v>0</v>
      </c>
      <c r="KC31">
        <v>0</v>
      </c>
      <c r="KD31">
        <v>0</v>
      </c>
      <c r="KE31">
        <v>0</v>
      </c>
      <c r="KF31">
        <v>0</v>
      </c>
      <c r="KG31">
        <v>0</v>
      </c>
      <c r="KH31">
        <v>0</v>
      </c>
      <c r="KI31" s="128">
        <v>0</v>
      </c>
      <c r="KJ31" s="128">
        <v>0</v>
      </c>
      <c r="KK31" s="128">
        <v>0</v>
      </c>
      <c r="KL31" s="128">
        <v>0</v>
      </c>
      <c r="KM31">
        <v>0</v>
      </c>
      <c r="KN31" s="119">
        <v>0</v>
      </c>
      <c r="KO31" s="119">
        <v>0</v>
      </c>
      <c r="KP31" s="119">
        <v>0</v>
      </c>
      <c r="KQ31" s="119">
        <v>0</v>
      </c>
      <c r="KR31" s="121">
        <v>0</v>
      </c>
      <c r="KS31">
        <v>0</v>
      </c>
      <c r="KT31" s="119">
        <v>0</v>
      </c>
      <c r="KU31">
        <v>0</v>
      </c>
      <c r="KV31">
        <v>0</v>
      </c>
      <c r="KW31">
        <v>0</v>
      </c>
      <c r="KX31" s="119">
        <v>0</v>
      </c>
      <c r="KY31">
        <v>0</v>
      </c>
      <c r="KZ31">
        <v>0</v>
      </c>
      <c r="LA31">
        <v>0</v>
      </c>
      <c r="LB31">
        <v>0</v>
      </c>
      <c r="LC31">
        <v>0</v>
      </c>
      <c r="LD31">
        <v>0</v>
      </c>
      <c r="LE31">
        <v>0</v>
      </c>
      <c r="LF31">
        <v>0</v>
      </c>
      <c r="LG31">
        <v>0</v>
      </c>
      <c r="LH31">
        <v>0</v>
      </c>
      <c r="LI31">
        <v>0</v>
      </c>
      <c r="LJ31">
        <v>0</v>
      </c>
      <c r="LK31">
        <v>0</v>
      </c>
      <c r="LL31">
        <v>0</v>
      </c>
      <c r="LM31">
        <v>0</v>
      </c>
      <c r="LN31">
        <v>0</v>
      </c>
      <c r="LO31">
        <v>0</v>
      </c>
      <c r="LP31">
        <v>0</v>
      </c>
      <c r="LQ31">
        <v>0</v>
      </c>
      <c r="LR31">
        <v>0</v>
      </c>
      <c r="LS31">
        <v>0</v>
      </c>
      <c r="LT31">
        <v>0</v>
      </c>
      <c r="LU31">
        <v>0</v>
      </c>
      <c r="LV31">
        <v>0</v>
      </c>
      <c r="LW31">
        <v>0</v>
      </c>
      <c r="LX31">
        <v>0</v>
      </c>
      <c r="LY31">
        <v>0</v>
      </c>
      <c r="LZ31">
        <v>0</v>
      </c>
      <c r="MA31">
        <v>0</v>
      </c>
      <c r="MB31">
        <v>0</v>
      </c>
      <c r="MC31">
        <v>0</v>
      </c>
      <c r="MD31">
        <v>0</v>
      </c>
      <c r="ME31" s="128">
        <v>0</v>
      </c>
      <c r="MF31" s="128">
        <v>0</v>
      </c>
      <c r="MG31" s="128">
        <v>0</v>
      </c>
      <c r="MH31" s="128">
        <v>0</v>
      </c>
      <c r="MI31">
        <v>0</v>
      </c>
      <c r="MJ31" s="119">
        <v>0</v>
      </c>
      <c r="MK31" s="119">
        <v>0</v>
      </c>
      <c r="ML31" s="119">
        <v>0</v>
      </c>
      <c r="MM31" s="119">
        <v>0</v>
      </c>
      <c r="MN31" s="121">
        <v>0</v>
      </c>
      <c r="MO31" s="119">
        <v>0</v>
      </c>
      <c r="MP31">
        <v>0</v>
      </c>
      <c r="MQ31">
        <v>0</v>
      </c>
      <c r="MR31">
        <v>0</v>
      </c>
      <c r="MS31">
        <v>0</v>
      </c>
      <c r="MT31" s="119">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s="116">
        <v>0</v>
      </c>
      <c r="NS31" s="116">
        <v>0</v>
      </c>
      <c r="NT31" s="116">
        <v>0</v>
      </c>
      <c r="NU31" s="116">
        <v>0</v>
      </c>
      <c r="NV31" s="116">
        <v>0</v>
      </c>
      <c r="NW31" s="116">
        <v>0</v>
      </c>
      <c r="NX31" s="116">
        <v>0</v>
      </c>
      <c r="NY31" s="116">
        <v>0</v>
      </c>
      <c r="NZ31" s="116">
        <v>0</v>
      </c>
      <c r="OA31" s="128">
        <v>0</v>
      </c>
      <c r="OB31" s="128">
        <v>0</v>
      </c>
      <c r="OC31" s="128">
        <v>0</v>
      </c>
      <c r="OD31" s="128">
        <v>0</v>
      </c>
      <c r="OE31">
        <v>0</v>
      </c>
      <c r="OF31" s="119">
        <v>0</v>
      </c>
      <c r="OG31" s="119">
        <v>0</v>
      </c>
      <c r="OH31" s="119">
        <v>0</v>
      </c>
      <c r="OI31" s="119">
        <v>0</v>
      </c>
      <c r="OJ31" s="121">
        <v>0</v>
      </c>
      <c r="OK31" s="119">
        <v>0</v>
      </c>
      <c r="OL31">
        <v>0</v>
      </c>
      <c r="OM31">
        <v>0</v>
      </c>
      <c r="ON31">
        <v>0</v>
      </c>
      <c r="OO31">
        <v>0</v>
      </c>
      <c r="OP31" s="119">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s="128">
        <v>0</v>
      </c>
      <c r="PX31" s="128">
        <v>0</v>
      </c>
      <c r="PY31" s="128">
        <v>0</v>
      </c>
      <c r="PZ31" s="128">
        <v>0</v>
      </c>
      <c r="QA31">
        <v>0</v>
      </c>
      <c r="QB31" s="119">
        <v>0</v>
      </c>
      <c r="QC31" s="119">
        <v>0</v>
      </c>
      <c r="QD31" s="119">
        <v>0</v>
      </c>
      <c r="QE31" s="119">
        <v>0</v>
      </c>
      <c r="QF31" s="121">
        <v>0</v>
      </c>
      <c r="QG31" s="119">
        <v>0</v>
      </c>
      <c r="QH31">
        <v>0</v>
      </c>
      <c r="QI31">
        <v>0</v>
      </c>
      <c r="QJ31">
        <v>0</v>
      </c>
      <c r="QK31">
        <v>0</v>
      </c>
      <c r="QL31" s="119">
        <v>0</v>
      </c>
      <c r="QM31">
        <v>0</v>
      </c>
      <c r="QN31">
        <v>0</v>
      </c>
      <c r="QO31">
        <v>0</v>
      </c>
      <c r="QP31">
        <v>0</v>
      </c>
      <c r="QQ31">
        <v>0</v>
      </c>
      <c r="QR31">
        <v>0</v>
      </c>
      <c r="QS31">
        <v>0</v>
      </c>
      <c r="QT31">
        <v>0</v>
      </c>
      <c r="QU31">
        <v>0</v>
      </c>
      <c r="QV31">
        <v>0</v>
      </c>
      <c r="QW31">
        <v>0</v>
      </c>
      <c r="QX31">
        <v>0</v>
      </c>
      <c r="QY31">
        <v>0</v>
      </c>
      <c r="QZ31">
        <v>0</v>
      </c>
      <c r="RA31">
        <v>0</v>
      </c>
      <c r="RB31">
        <v>0</v>
      </c>
      <c r="RC31">
        <v>0</v>
      </c>
      <c r="RD31">
        <v>0</v>
      </c>
      <c r="RE31">
        <v>0</v>
      </c>
      <c r="RF31">
        <v>0</v>
      </c>
      <c r="RG31">
        <v>0</v>
      </c>
      <c r="RH31">
        <v>0</v>
      </c>
      <c r="RI31">
        <v>0</v>
      </c>
      <c r="RJ31" s="116">
        <v>0</v>
      </c>
      <c r="RK31" s="116">
        <v>0</v>
      </c>
      <c r="RL31" s="116">
        <v>0</v>
      </c>
      <c r="RM31" s="116">
        <v>0</v>
      </c>
      <c r="RN31" s="116">
        <v>0</v>
      </c>
      <c r="RO31" s="116">
        <v>0</v>
      </c>
      <c r="RP31" s="116">
        <v>0</v>
      </c>
      <c r="RQ31" s="116">
        <v>0</v>
      </c>
      <c r="RR31" s="116">
        <v>0</v>
      </c>
      <c r="RS31" s="128">
        <v>0</v>
      </c>
      <c r="RT31" s="128">
        <v>0</v>
      </c>
      <c r="RU31" s="128">
        <v>0</v>
      </c>
      <c r="RV31" s="128">
        <v>0</v>
      </c>
      <c r="RW31">
        <v>0</v>
      </c>
      <c r="RX31" s="119">
        <v>0</v>
      </c>
      <c r="RY31" s="119">
        <v>0</v>
      </c>
      <c r="RZ31" s="119">
        <v>0</v>
      </c>
      <c r="SA31" s="119">
        <v>0</v>
      </c>
      <c r="SB31" s="121">
        <v>0</v>
      </c>
      <c r="SC31" s="119">
        <v>0</v>
      </c>
      <c r="SD31">
        <v>0</v>
      </c>
      <c r="SE31">
        <v>0</v>
      </c>
      <c r="SF31">
        <v>0</v>
      </c>
      <c r="SG31">
        <v>0</v>
      </c>
      <c r="SH31" s="119">
        <v>0</v>
      </c>
      <c r="SI31">
        <v>0</v>
      </c>
      <c r="SJ31">
        <v>0</v>
      </c>
      <c r="SK31">
        <v>0</v>
      </c>
      <c r="SL31">
        <v>0</v>
      </c>
      <c r="SM31">
        <v>0</v>
      </c>
      <c r="SN31">
        <v>0</v>
      </c>
      <c r="SO31">
        <v>0</v>
      </c>
      <c r="SP31">
        <v>0</v>
      </c>
      <c r="SQ31">
        <v>0</v>
      </c>
      <c r="SR31">
        <v>0</v>
      </c>
      <c r="SS31">
        <v>0</v>
      </c>
      <c r="ST31">
        <v>0</v>
      </c>
      <c r="SU31">
        <v>0</v>
      </c>
      <c r="SV31">
        <v>0</v>
      </c>
      <c r="SW31">
        <v>0</v>
      </c>
      <c r="SX31">
        <v>0</v>
      </c>
      <c r="SY31">
        <v>0</v>
      </c>
      <c r="SZ31">
        <v>0</v>
      </c>
      <c r="TA31">
        <v>0</v>
      </c>
      <c r="TB31">
        <v>0</v>
      </c>
      <c r="TC31">
        <v>0</v>
      </c>
      <c r="TD31">
        <v>0</v>
      </c>
      <c r="TE31">
        <v>0</v>
      </c>
      <c r="TF31" s="116">
        <v>0</v>
      </c>
      <c r="TG31" s="116">
        <v>0</v>
      </c>
      <c r="TH31" s="116">
        <v>0</v>
      </c>
      <c r="TI31" s="116">
        <v>0</v>
      </c>
      <c r="TJ31" s="116">
        <v>0</v>
      </c>
      <c r="TK31" s="116">
        <v>0</v>
      </c>
      <c r="TL31" s="116">
        <v>0</v>
      </c>
      <c r="TM31" s="116">
        <v>0</v>
      </c>
      <c r="TN31" s="116">
        <v>0</v>
      </c>
      <c r="TO31" s="128">
        <v>0</v>
      </c>
      <c r="TP31" s="128">
        <v>0</v>
      </c>
      <c r="TQ31" s="128">
        <v>0</v>
      </c>
      <c r="TR31" s="128">
        <v>0</v>
      </c>
      <c r="TS31">
        <v>0</v>
      </c>
      <c r="TT31" s="119">
        <v>0</v>
      </c>
      <c r="TU31" s="119">
        <v>0</v>
      </c>
      <c r="TV31" s="119">
        <v>0</v>
      </c>
      <c r="TW31" s="119">
        <v>0</v>
      </c>
      <c r="TX31" s="121">
        <v>0</v>
      </c>
      <c r="TY31" s="119">
        <v>0</v>
      </c>
      <c r="TZ31">
        <v>0</v>
      </c>
      <c r="UA31">
        <v>0</v>
      </c>
      <c r="UB31">
        <v>0</v>
      </c>
      <c r="UC31">
        <v>0</v>
      </c>
      <c r="UD31" s="119">
        <v>0</v>
      </c>
      <c r="UE31">
        <v>0</v>
      </c>
      <c r="UF31">
        <v>0</v>
      </c>
      <c r="UG31">
        <v>0</v>
      </c>
      <c r="UH31">
        <v>0</v>
      </c>
      <c r="UI31">
        <v>0</v>
      </c>
      <c r="UJ31">
        <v>0</v>
      </c>
      <c r="UK31">
        <v>0</v>
      </c>
      <c r="UL31">
        <v>0</v>
      </c>
      <c r="UM31">
        <v>0</v>
      </c>
      <c r="UN31">
        <v>0</v>
      </c>
      <c r="UO31">
        <v>0</v>
      </c>
      <c r="UP31">
        <v>0</v>
      </c>
      <c r="UQ31">
        <v>0</v>
      </c>
      <c r="UR31">
        <v>0</v>
      </c>
      <c r="US31">
        <v>0</v>
      </c>
      <c r="UT31">
        <v>0</v>
      </c>
      <c r="UU31">
        <v>0</v>
      </c>
      <c r="UV31">
        <v>0</v>
      </c>
      <c r="UW31">
        <v>0</v>
      </c>
      <c r="UX31">
        <v>0</v>
      </c>
      <c r="UY31">
        <v>0</v>
      </c>
      <c r="UZ31">
        <v>0</v>
      </c>
      <c r="VA31">
        <v>0</v>
      </c>
      <c r="VB31" s="116">
        <v>0</v>
      </c>
      <c r="VC31" s="116">
        <v>0</v>
      </c>
      <c r="VD31" s="116">
        <v>0</v>
      </c>
      <c r="VE31" s="116">
        <v>0</v>
      </c>
      <c r="VF31" s="116">
        <v>0</v>
      </c>
      <c r="VG31" s="116">
        <v>0</v>
      </c>
      <c r="VH31" s="116">
        <v>0</v>
      </c>
      <c r="VI31" s="116">
        <v>0</v>
      </c>
      <c r="VJ31" s="116">
        <v>0</v>
      </c>
      <c r="VK31" s="128">
        <v>0</v>
      </c>
      <c r="VL31" s="128">
        <v>0</v>
      </c>
      <c r="VM31" s="128">
        <v>0</v>
      </c>
      <c r="VN31" s="128">
        <v>0</v>
      </c>
      <c r="VO31">
        <v>0</v>
      </c>
      <c r="VP31" s="119">
        <v>0</v>
      </c>
      <c r="VQ31" s="119">
        <v>0</v>
      </c>
      <c r="VR31" s="119">
        <v>0</v>
      </c>
      <c r="VS31" s="119">
        <v>0</v>
      </c>
      <c r="VT31" s="121">
        <v>0</v>
      </c>
      <c r="VU31" s="119">
        <v>0</v>
      </c>
      <c r="VV31" s="119">
        <v>0</v>
      </c>
      <c r="VW31">
        <v>0</v>
      </c>
      <c r="VX31">
        <v>0</v>
      </c>
      <c r="VY31">
        <v>0</v>
      </c>
      <c r="VZ31" s="119">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s="116">
        <v>0</v>
      </c>
      <c r="WY31" s="116">
        <v>0</v>
      </c>
      <c r="WZ31" s="116">
        <v>0</v>
      </c>
      <c r="XA31" s="116">
        <v>0</v>
      </c>
      <c r="XB31" s="116">
        <v>0</v>
      </c>
      <c r="XC31" s="116">
        <v>0</v>
      </c>
      <c r="XD31" s="116">
        <v>0</v>
      </c>
      <c r="XE31" s="116">
        <v>0</v>
      </c>
      <c r="XF31" s="116">
        <v>0</v>
      </c>
      <c r="XG31" s="128">
        <v>0</v>
      </c>
      <c r="XH31" s="128">
        <v>0</v>
      </c>
      <c r="XI31" s="128">
        <v>0</v>
      </c>
      <c r="XJ31" s="128">
        <v>0</v>
      </c>
      <c r="XK31">
        <v>0</v>
      </c>
      <c r="XL31" s="119">
        <v>0</v>
      </c>
      <c r="XM31" s="119">
        <v>0</v>
      </c>
      <c r="XN31" s="119">
        <v>0</v>
      </c>
      <c r="XO31" s="119">
        <v>0</v>
      </c>
      <c r="XP31" s="121">
        <v>0</v>
      </c>
      <c r="XQ31" s="119">
        <v>0</v>
      </c>
      <c r="XR31" s="119">
        <v>0</v>
      </c>
      <c r="XS31">
        <v>0</v>
      </c>
      <c r="XT31">
        <v>0</v>
      </c>
      <c r="XU31">
        <v>0</v>
      </c>
      <c r="XV31" s="119">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S31">
        <v>0</v>
      </c>
      <c r="YT31">
        <v>0</v>
      </c>
      <c r="YU31">
        <v>0</v>
      </c>
      <c r="YV31">
        <v>0</v>
      </c>
      <c r="YW31">
        <v>0</v>
      </c>
      <c r="YX31">
        <v>0</v>
      </c>
      <c r="YY31">
        <v>0</v>
      </c>
      <c r="YZ31">
        <v>0</v>
      </c>
      <c r="ZA31">
        <v>0</v>
      </c>
      <c r="ZB31">
        <v>0</v>
      </c>
      <c r="ZC31" s="128">
        <v>0</v>
      </c>
      <c r="ZD31" s="128">
        <v>0</v>
      </c>
      <c r="ZE31" s="128">
        <v>0</v>
      </c>
      <c r="ZF31" s="128">
        <v>0</v>
      </c>
      <c r="ZG31">
        <v>0</v>
      </c>
      <c r="ZH31" s="119">
        <v>0</v>
      </c>
      <c r="ZI31" s="119">
        <v>0</v>
      </c>
      <c r="ZJ31" s="119">
        <v>0</v>
      </c>
      <c r="ZK31" s="119">
        <v>0</v>
      </c>
      <c r="ZL31" s="121">
        <v>0</v>
      </c>
      <c r="ZM31" s="119">
        <v>0</v>
      </c>
      <c r="ZN31" s="119">
        <v>0</v>
      </c>
      <c r="ZO31">
        <v>0</v>
      </c>
      <c r="ZP31">
        <v>0</v>
      </c>
      <c r="ZQ31">
        <v>0</v>
      </c>
      <c r="ZR31" s="119">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s="116">
        <v>0</v>
      </c>
      <c r="AAQ31" s="116">
        <v>0</v>
      </c>
      <c r="AAR31" s="116">
        <v>0</v>
      </c>
      <c r="AAS31" s="116">
        <v>0</v>
      </c>
      <c r="AAT31" s="116">
        <v>0</v>
      </c>
      <c r="AAU31" s="116">
        <v>0</v>
      </c>
      <c r="AAV31" s="116">
        <v>0</v>
      </c>
      <c r="AAW31" s="116">
        <v>0</v>
      </c>
      <c r="AAX31" s="116">
        <v>0</v>
      </c>
      <c r="AAY31" s="128">
        <v>0</v>
      </c>
      <c r="AAZ31" s="128">
        <v>0</v>
      </c>
      <c r="ABA31" s="128">
        <v>0</v>
      </c>
      <c r="ABB31" s="128">
        <v>0</v>
      </c>
      <c r="ABC31">
        <v>0</v>
      </c>
      <c r="ABD31" s="119">
        <v>0</v>
      </c>
      <c r="ABE31" s="119">
        <v>0</v>
      </c>
      <c r="ABF31" s="119">
        <v>0</v>
      </c>
      <c r="ABG31" s="119">
        <v>0</v>
      </c>
      <c r="ABH31" s="121">
        <v>0</v>
      </c>
      <c r="ABI31" s="119">
        <v>0</v>
      </c>
      <c r="ABJ31" s="119">
        <v>0</v>
      </c>
      <c r="ABK31">
        <v>0</v>
      </c>
      <c r="ABL31">
        <v>0</v>
      </c>
      <c r="ABM31">
        <v>0</v>
      </c>
      <c r="ABN31" s="119">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s="116">
        <v>0</v>
      </c>
      <c r="ACM31" s="116">
        <v>0</v>
      </c>
      <c r="ACN31" s="116">
        <v>0</v>
      </c>
      <c r="ACO31" s="116">
        <v>0</v>
      </c>
      <c r="ACP31" s="116">
        <v>0</v>
      </c>
      <c r="ACQ31" s="116">
        <v>0</v>
      </c>
      <c r="ACR31" s="116">
        <v>0</v>
      </c>
      <c r="ACS31" s="116">
        <v>0</v>
      </c>
      <c r="ACT31" s="116">
        <v>0</v>
      </c>
      <c r="ACU31" s="128">
        <v>0</v>
      </c>
      <c r="ACV31" s="128">
        <v>0</v>
      </c>
      <c r="ACW31" s="128">
        <v>0</v>
      </c>
      <c r="ACX31" s="128">
        <v>0</v>
      </c>
      <c r="ACY31">
        <v>0</v>
      </c>
      <c r="ACZ31" s="119">
        <v>0</v>
      </c>
      <c r="ADA31" s="119">
        <v>0</v>
      </c>
      <c r="ADB31" s="119">
        <v>0</v>
      </c>
      <c r="ADC31" s="119">
        <v>0</v>
      </c>
      <c r="ADD31" s="121">
        <v>0</v>
      </c>
      <c r="ADE31" s="119">
        <v>0</v>
      </c>
      <c r="ADF31" s="119">
        <v>0</v>
      </c>
      <c r="ADG31">
        <v>0</v>
      </c>
      <c r="ADH31">
        <v>0</v>
      </c>
      <c r="ADI31">
        <v>0</v>
      </c>
      <c r="ADJ31" s="119">
        <v>0</v>
      </c>
      <c r="ADK31">
        <v>0</v>
      </c>
      <c r="ADL31">
        <v>0</v>
      </c>
      <c r="ADM31">
        <v>0</v>
      </c>
      <c r="ADN31">
        <v>0</v>
      </c>
      <c r="ADO31">
        <v>0</v>
      </c>
      <c r="ADP31">
        <v>0</v>
      </c>
      <c r="ADQ31">
        <v>0</v>
      </c>
      <c r="ADR31">
        <v>0</v>
      </c>
      <c r="ADS31">
        <v>0</v>
      </c>
      <c r="ADT31">
        <v>0</v>
      </c>
      <c r="ADU31">
        <v>0</v>
      </c>
      <c r="ADV31">
        <v>0</v>
      </c>
      <c r="ADW31">
        <v>0</v>
      </c>
      <c r="ADX31">
        <v>0</v>
      </c>
      <c r="ADY31">
        <v>0</v>
      </c>
      <c r="ADZ31">
        <v>0</v>
      </c>
      <c r="AEA31">
        <v>0</v>
      </c>
      <c r="AEB31">
        <v>0</v>
      </c>
      <c r="AEC31">
        <v>0</v>
      </c>
      <c r="AED31">
        <v>0</v>
      </c>
      <c r="AEE31">
        <v>0</v>
      </c>
      <c r="AEF31">
        <v>0</v>
      </c>
      <c r="AEG31">
        <v>0</v>
      </c>
      <c r="AEH31" s="116">
        <v>0</v>
      </c>
      <c r="AEI31" s="116">
        <v>0</v>
      </c>
      <c r="AEJ31" s="116">
        <v>0</v>
      </c>
      <c r="AEK31" s="116">
        <v>0</v>
      </c>
      <c r="AEL31" s="116">
        <v>0</v>
      </c>
      <c r="AEM31" s="116">
        <v>0</v>
      </c>
      <c r="AEN31" s="116">
        <v>0</v>
      </c>
      <c r="AEO31" s="116">
        <v>0</v>
      </c>
      <c r="AEP31" s="116">
        <v>0</v>
      </c>
      <c r="AEQ31" s="128">
        <v>0</v>
      </c>
      <c r="AER31" s="128">
        <v>0</v>
      </c>
      <c r="AES31" s="128">
        <v>0</v>
      </c>
      <c r="AET31" s="128">
        <v>0</v>
      </c>
      <c r="AEU31">
        <v>0</v>
      </c>
      <c r="AEV31" s="119">
        <v>0</v>
      </c>
      <c r="AEW31" s="119">
        <v>0</v>
      </c>
      <c r="AEX31" s="119">
        <v>0</v>
      </c>
      <c r="AEY31" s="119">
        <v>0</v>
      </c>
      <c r="AEZ31" s="121">
        <v>0</v>
      </c>
      <c r="AFA31" s="119">
        <v>0</v>
      </c>
      <c r="AFB31" s="119">
        <v>0</v>
      </c>
      <c r="AFC31">
        <v>0</v>
      </c>
      <c r="AFD31">
        <v>0</v>
      </c>
      <c r="AFE31">
        <v>0</v>
      </c>
      <c r="AFF31" s="119">
        <v>0</v>
      </c>
      <c r="AFG31">
        <v>0</v>
      </c>
      <c r="AFH31">
        <v>0</v>
      </c>
      <c r="AFI31">
        <v>0</v>
      </c>
      <c r="AFJ31">
        <v>0</v>
      </c>
      <c r="AFK31">
        <v>0</v>
      </c>
      <c r="AFL31">
        <v>0</v>
      </c>
      <c r="AFM31">
        <v>0</v>
      </c>
      <c r="AFN31">
        <v>0</v>
      </c>
      <c r="AFO31">
        <v>0</v>
      </c>
      <c r="AFP31">
        <v>0</v>
      </c>
      <c r="AFQ31">
        <v>0</v>
      </c>
      <c r="AFR31">
        <v>0</v>
      </c>
      <c r="AFS31">
        <v>0</v>
      </c>
      <c r="AFT31">
        <v>0</v>
      </c>
      <c r="AFU31">
        <v>0</v>
      </c>
      <c r="AFV31">
        <v>0</v>
      </c>
      <c r="AFW31">
        <v>0</v>
      </c>
      <c r="AFX31">
        <v>0</v>
      </c>
      <c r="AFY31">
        <v>0</v>
      </c>
      <c r="AFZ31">
        <v>0</v>
      </c>
      <c r="AGA31">
        <v>0</v>
      </c>
      <c r="AGB31">
        <v>0</v>
      </c>
      <c r="AGC31">
        <v>0</v>
      </c>
      <c r="AGD31" s="116">
        <v>0</v>
      </c>
      <c r="AGE31" s="116">
        <v>0</v>
      </c>
      <c r="AGF31" s="116">
        <v>0</v>
      </c>
      <c r="AGG31" s="116">
        <v>0</v>
      </c>
      <c r="AGH31" s="116">
        <v>0</v>
      </c>
      <c r="AGI31" s="116">
        <v>0</v>
      </c>
      <c r="AGJ31" s="116">
        <v>0</v>
      </c>
      <c r="AGK31" s="116">
        <v>0</v>
      </c>
      <c r="AGL31" s="116">
        <v>0</v>
      </c>
      <c r="AGM31" s="128">
        <v>0</v>
      </c>
      <c r="AGN31" s="128">
        <v>0</v>
      </c>
      <c r="AGO31" s="128">
        <v>0</v>
      </c>
      <c r="AGP31" s="128">
        <v>0</v>
      </c>
      <c r="AGQ31">
        <v>0</v>
      </c>
      <c r="AGR31" s="119">
        <v>0</v>
      </c>
      <c r="AGS31" s="119">
        <v>0</v>
      </c>
      <c r="AGT31" s="119">
        <v>0</v>
      </c>
      <c r="AGU31" s="119">
        <v>0</v>
      </c>
      <c r="AGV31" s="121">
        <v>0</v>
      </c>
      <c r="AGW31" s="119">
        <v>0</v>
      </c>
      <c r="AGX31" s="119">
        <v>0</v>
      </c>
      <c r="AGY31">
        <v>0</v>
      </c>
      <c r="AGZ31">
        <v>0</v>
      </c>
      <c r="AHA31">
        <v>0</v>
      </c>
      <c r="AHB31" s="119">
        <v>0</v>
      </c>
      <c r="AHC31">
        <v>0</v>
      </c>
      <c r="AHD31">
        <v>0</v>
      </c>
      <c r="AHE31">
        <v>0</v>
      </c>
      <c r="AHF31">
        <v>0</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A31">
        <v>0</v>
      </c>
      <c r="AIB31">
        <v>0</v>
      </c>
      <c r="AIC31">
        <v>0</v>
      </c>
      <c r="AID31">
        <v>0</v>
      </c>
      <c r="AIE31">
        <v>0</v>
      </c>
      <c r="AIF31">
        <v>0</v>
      </c>
      <c r="AIG31">
        <v>0</v>
      </c>
      <c r="AIH31">
        <v>0</v>
      </c>
      <c r="AII31" s="128">
        <v>0</v>
      </c>
      <c r="AIJ31" s="128">
        <v>0</v>
      </c>
      <c r="AIK31" s="128">
        <v>0</v>
      </c>
      <c r="AIL31" s="128">
        <v>0</v>
      </c>
      <c r="AIM31">
        <v>0</v>
      </c>
      <c r="AIN31" s="119">
        <v>0</v>
      </c>
      <c r="AIO31" s="119">
        <v>0</v>
      </c>
      <c r="AIP31" s="119">
        <v>0</v>
      </c>
      <c r="AIQ31" s="119">
        <v>0</v>
      </c>
      <c r="AIR31" s="121">
        <v>0</v>
      </c>
      <c r="AIS31" s="119">
        <v>0</v>
      </c>
      <c r="AIT31" s="119">
        <v>0</v>
      </c>
      <c r="AIU31">
        <v>0</v>
      </c>
      <c r="AIV31">
        <v>0</v>
      </c>
      <c r="AIW31">
        <v>0</v>
      </c>
      <c r="AIX31" s="119">
        <v>0</v>
      </c>
      <c r="AIY31">
        <v>0</v>
      </c>
      <c r="AIZ31">
        <v>0</v>
      </c>
      <c r="AJA31">
        <v>0</v>
      </c>
      <c r="AJB31">
        <v>0</v>
      </c>
      <c r="AJC31">
        <v>0</v>
      </c>
      <c r="AJD31">
        <v>0</v>
      </c>
      <c r="AJE31">
        <v>0</v>
      </c>
      <c r="AJF31">
        <v>0</v>
      </c>
      <c r="AJG31">
        <v>0</v>
      </c>
      <c r="AJH31">
        <v>0</v>
      </c>
      <c r="AJI31">
        <v>0</v>
      </c>
      <c r="AJJ31">
        <v>0</v>
      </c>
      <c r="AJK31">
        <v>0</v>
      </c>
      <c r="AJL31">
        <v>0</v>
      </c>
      <c r="AJM31">
        <v>0</v>
      </c>
      <c r="AJN31">
        <v>0</v>
      </c>
      <c r="AJO31">
        <v>0</v>
      </c>
      <c r="AJP31">
        <v>0</v>
      </c>
      <c r="AJQ31">
        <v>0</v>
      </c>
      <c r="AJR31">
        <v>0</v>
      </c>
      <c r="AJS31">
        <v>0</v>
      </c>
      <c r="AJT31">
        <v>0</v>
      </c>
      <c r="AJU31">
        <v>0</v>
      </c>
      <c r="AJV31" s="116">
        <v>0</v>
      </c>
      <c r="AJW31" s="116">
        <v>0</v>
      </c>
      <c r="AJX31" s="116">
        <v>0</v>
      </c>
      <c r="AJY31" s="116">
        <v>0</v>
      </c>
      <c r="AJZ31" s="116">
        <v>0</v>
      </c>
      <c r="AKA31" s="116">
        <v>0</v>
      </c>
      <c r="AKB31" s="116">
        <v>0</v>
      </c>
      <c r="AKC31" s="116">
        <v>0</v>
      </c>
      <c r="AKD31" s="116">
        <v>0</v>
      </c>
      <c r="AKE31" s="128">
        <v>0</v>
      </c>
      <c r="AKF31" s="128">
        <v>0</v>
      </c>
      <c r="AKG31" s="128">
        <v>0</v>
      </c>
      <c r="AKH31" s="128">
        <v>0</v>
      </c>
      <c r="AKI31">
        <v>0</v>
      </c>
      <c r="AKJ31" s="119">
        <v>0</v>
      </c>
      <c r="AKK31" s="119">
        <v>0</v>
      </c>
      <c r="AKL31" s="119">
        <v>0</v>
      </c>
      <c r="AKM31" s="119">
        <v>0</v>
      </c>
      <c r="AKN31" s="121">
        <v>0</v>
      </c>
      <c r="AKO31" s="119">
        <v>0</v>
      </c>
      <c r="AKP31" s="119">
        <v>0</v>
      </c>
      <c r="AKQ31">
        <v>0</v>
      </c>
      <c r="AKR31">
        <v>0</v>
      </c>
      <c r="AKS31">
        <v>0</v>
      </c>
      <c r="AKT31" s="119">
        <v>0</v>
      </c>
      <c r="AKU31">
        <v>0</v>
      </c>
      <c r="AKV31">
        <v>0</v>
      </c>
      <c r="AKW31">
        <v>0</v>
      </c>
      <c r="AKX31">
        <v>0</v>
      </c>
      <c r="AKY31">
        <v>0</v>
      </c>
      <c r="AKZ31">
        <v>0</v>
      </c>
      <c r="ALA31">
        <v>0</v>
      </c>
      <c r="ALB31">
        <v>0</v>
      </c>
      <c r="ALC31">
        <v>0</v>
      </c>
      <c r="ALD31">
        <v>0</v>
      </c>
      <c r="ALE31">
        <v>0</v>
      </c>
      <c r="ALF31">
        <v>0</v>
      </c>
      <c r="ALG31">
        <v>0</v>
      </c>
      <c r="ALH31">
        <v>0</v>
      </c>
      <c r="ALI31">
        <v>0</v>
      </c>
      <c r="ALJ31">
        <v>0</v>
      </c>
      <c r="ALK31">
        <v>0</v>
      </c>
      <c r="ALL31">
        <v>0</v>
      </c>
      <c r="ALM31">
        <v>0</v>
      </c>
      <c r="ALN31">
        <v>0</v>
      </c>
      <c r="ALO31">
        <v>0</v>
      </c>
      <c r="ALP31">
        <v>0</v>
      </c>
      <c r="ALQ31">
        <v>0</v>
      </c>
      <c r="ALR31" s="116">
        <v>0</v>
      </c>
      <c r="ALS31" s="116">
        <v>0</v>
      </c>
      <c r="ALT31" s="116">
        <v>0</v>
      </c>
      <c r="ALU31" s="116">
        <v>0</v>
      </c>
      <c r="ALV31" s="116">
        <v>0</v>
      </c>
      <c r="ALW31" s="116">
        <v>0</v>
      </c>
      <c r="ALX31" s="116">
        <v>0</v>
      </c>
      <c r="ALY31" s="116">
        <v>0</v>
      </c>
      <c r="ALZ31" s="116">
        <v>0</v>
      </c>
      <c r="AMA31" s="128">
        <v>0</v>
      </c>
      <c r="AMB31" s="128">
        <v>0</v>
      </c>
      <c r="AMC31" s="128">
        <v>0</v>
      </c>
      <c r="AMD31" s="128">
        <v>0</v>
      </c>
      <c r="AME31">
        <v>0</v>
      </c>
      <c r="AMF31" s="119">
        <v>0</v>
      </c>
      <c r="AMG31" s="119">
        <v>0</v>
      </c>
      <c r="AMH31" s="119">
        <v>0</v>
      </c>
      <c r="AMI31" s="119">
        <v>0</v>
      </c>
      <c r="AMJ31" s="121">
        <v>0</v>
      </c>
      <c r="AMK31" s="119">
        <v>0</v>
      </c>
      <c r="AML31" s="119">
        <v>0</v>
      </c>
      <c r="AMM31">
        <v>0</v>
      </c>
      <c r="AMN31">
        <v>0</v>
      </c>
      <c r="AMO31">
        <v>0</v>
      </c>
      <c r="AMP31" s="119">
        <v>0</v>
      </c>
      <c r="AMQ31">
        <v>0</v>
      </c>
      <c r="AMR31">
        <v>0</v>
      </c>
      <c r="AMS31">
        <v>0</v>
      </c>
      <c r="AMT31">
        <v>0</v>
      </c>
      <c r="AMU31">
        <v>0</v>
      </c>
      <c r="AMV31">
        <v>0</v>
      </c>
      <c r="AMW31">
        <v>0</v>
      </c>
      <c r="AMX31">
        <v>0</v>
      </c>
      <c r="AMY31">
        <v>0</v>
      </c>
      <c r="AMZ31">
        <v>0</v>
      </c>
      <c r="ANA31">
        <v>0</v>
      </c>
      <c r="ANB31">
        <v>0</v>
      </c>
      <c r="ANC31">
        <v>0</v>
      </c>
      <c r="AND31">
        <v>0</v>
      </c>
      <c r="ANE31">
        <v>0</v>
      </c>
      <c r="ANF31">
        <v>0</v>
      </c>
      <c r="ANG31">
        <v>0</v>
      </c>
      <c r="ANH31">
        <v>0</v>
      </c>
      <c r="ANI31">
        <v>0</v>
      </c>
      <c r="ANJ31">
        <v>0</v>
      </c>
      <c r="ANK31">
        <v>0</v>
      </c>
      <c r="ANL31">
        <v>0</v>
      </c>
      <c r="ANM31">
        <v>0</v>
      </c>
      <c r="ANN31" s="116">
        <v>0</v>
      </c>
      <c r="ANO31" s="116">
        <v>0</v>
      </c>
      <c r="ANP31" s="116">
        <v>0</v>
      </c>
      <c r="ANQ31" s="116">
        <v>0</v>
      </c>
      <c r="ANR31" s="116">
        <v>0</v>
      </c>
      <c r="ANS31" s="116">
        <v>0</v>
      </c>
      <c r="ANT31" s="116">
        <v>0</v>
      </c>
      <c r="ANU31" s="116">
        <v>0</v>
      </c>
      <c r="ANV31" s="116">
        <v>0</v>
      </c>
      <c r="ANW31" s="128">
        <v>0</v>
      </c>
      <c r="ANX31" s="128">
        <v>0</v>
      </c>
      <c r="ANY31" s="128">
        <v>0</v>
      </c>
      <c r="ANZ31" s="128">
        <v>0</v>
      </c>
      <c r="AOA31">
        <v>0</v>
      </c>
      <c r="AOB31" s="119">
        <v>0</v>
      </c>
      <c r="AOC31" s="119">
        <v>0</v>
      </c>
      <c r="AOD31" s="119">
        <v>0</v>
      </c>
      <c r="AOE31" s="119">
        <v>0</v>
      </c>
      <c r="AOF31" s="121">
        <v>0</v>
      </c>
      <c r="AOG31" s="119">
        <v>0</v>
      </c>
      <c r="AOH31" s="119">
        <v>0</v>
      </c>
      <c r="AOI31">
        <v>0</v>
      </c>
      <c r="AOJ31">
        <v>0</v>
      </c>
      <c r="AOK31">
        <v>0</v>
      </c>
      <c r="AOL31" s="119">
        <v>0</v>
      </c>
      <c r="AOM31">
        <v>0</v>
      </c>
      <c r="AON31">
        <v>0</v>
      </c>
      <c r="AOO31">
        <v>0</v>
      </c>
      <c r="AOP31">
        <v>0</v>
      </c>
      <c r="AOQ31">
        <v>0</v>
      </c>
      <c r="AOR31">
        <v>0</v>
      </c>
      <c r="AOS31">
        <v>0</v>
      </c>
      <c r="AOT31">
        <v>0</v>
      </c>
      <c r="AOU31">
        <v>0</v>
      </c>
      <c r="AOV31">
        <v>0</v>
      </c>
      <c r="AOW31">
        <v>0</v>
      </c>
      <c r="AOX31">
        <v>0</v>
      </c>
      <c r="AOY31">
        <v>0</v>
      </c>
      <c r="AOZ31">
        <v>0</v>
      </c>
      <c r="APA31">
        <v>0</v>
      </c>
      <c r="APB31">
        <v>0</v>
      </c>
      <c r="APC31">
        <v>0</v>
      </c>
      <c r="APD31">
        <v>0</v>
      </c>
      <c r="APE31">
        <v>0</v>
      </c>
      <c r="APF31">
        <v>0</v>
      </c>
      <c r="APG31">
        <v>0</v>
      </c>
      <c r="APH31">
        <v>0</v>
      </c>
      <c r="API31">
        <v>0</v>
      </c>
      <c r="APJ31" s="116">
        <v>0</v>
      </c>
      <c r="APK31" s="116">
        <v>0</v>
      </c>
      <c r="APL31" s="116">
        <v>0</v>
      </c>
      <c r="APM31" s="116">
        <v>0</v>
      </c>
      <c r="APN31" s="116">
        <v>0</v>
      </c>
      <c r="APO31" s="116">
        <v>0</v>
      </c>
      <c r="APP31" s="116">
        <v>0</v>
      </c>
      <c r="APQ31" s="116">
        <v>0</v>
      </c>
      <c r="APR31" s="116">
        <v>0</v>
      </c>
      <c r="APS31" s="128">
        <v>0</v>
      </c>
      <c r="APT31" s="128">
        <v>0</v>
      </c>
      <c r="APU31" s="128">
        <v>0</v>
      </c>
      <c r="APV31" s="128">
        <v>0</v>
      </c>
      <c r="APW31">
        <v>0</v>
      </c>
      <c r="APX31" s="119">
        <v>0</v>
      </c>
      <c r="APY31" s="119">
        <v>0</v>
      </c>
      <c r="APZ31" s="119">
        <v>0</v>
      </c>
      <c r="AQA31" s="119">
        <v>0</v>
      </c>
      <c r="AQB31" s="121">
        <v>0</v>
      </c>
      <c r="AQC31" s="119">
        <v>0</v>
      </c>
      <c r="AQD31" s="119">
        <v>0</v>
      </c>
      <c r="AQE31">
        <v>0</v>
      </c>
      <c r="AQF31">
        <v>0</v>
      </c>
      <c r="AQG31">
        <v>0</v>
      </c>
      <c r="AQH31" s="119">
        <v>0</v>
      </c>
      <c r="AQI31">
        <v>0</v>
      </c>
      <c r="AQJ31">
        <v>0</v>
      </c>
      <c r="AQK31">
        <v>0</v>
      </c>
      <c r="AQL31">
        <v>0</v>
      </c>
      <c r="AQM31">
        <v>0</v>
      </c>
      <c r="AQN31">
        <v>0</v>
      </c>
      <c r="AQO31">
        <v>0</v>
      </c>
      <c r="AQP31">
        <v>0</v>
      </c>
      <c r="AQQ31">
        <v>0</v>
      </c>
      <c r="AQR31">
        <v>0</v>
      </c>
      <c r="AQS31">
        <v>0</v>
      </c>
      <c r="AQT31">
        <v>0</v>
      </c>
      <c r="AQU31">
        <v>0</v>
      </c>
      <c r="AQV31">
        <v>0</v>
      </c>
      <c r="AQW31">
        <v>0</v>
      </c>
      <c r="AQX31">
        <v>0</v>
      </c>
      <c r="AQY31">
        <v>0</v>
      </c>
      <c r="AQZ31">
        <v>0</v>
      </c>
      <c r="ARA31">
        <v>0</v>
      </c>
      <c r="ARB31">
        <v>0</v>
      </c>
      <c r="ARC31">
        <v>0</v>
      </c>
      <c r="ARD31">
        <v>0</v>
      </c>
      <c r="ARE31">
        <v>0</v>
      </c>
      <c r="ARF31">
        <v>0</v>
      </c>
      <c r="ARG31">
        <v>0</v>
      </c>
      <c r="ARH31">
        <v>0</v>
      </c>
      <c r="ARI31">
        <v>0</v>
      </c>
      <c r="ARJ31">
        <v>0</v>
      </c>
      <c r="ARK31">
        <v>0</v>
      </c>
      <c r="ARL31">
        <v>0</v>
      </c>
      <c r="ARM31">
        <v>0</v>
      </c>
      <c r="ARN31">
        <v>0</v>
      </c>
      <c r="ARO31" s="128">
        <v>0</v>
      </c>
      <c r="ARP31" s="128">
        <v>0</v>
      </c>
      <c r="ARQ31" s="128">
        <v>0</v>
      </c>
      <c r="ARR31" s="128">
        <v>0</v>
      </c>
      <c r="ARS31">
        <v>0</v>
      </c>
      <c r="ART31" s="119">
        <v>0</v>
      </c>
      <c r="ARU31" s="119">
        <v>0</v>
      </c>
      <c r="ARV31" s="119">
        <v>0</v>
      </c>
      <c r="ARW31" s="119">
        <v>0</v>
      </c>
      <c r="ARX31" s="121">
        <v>0</v>
      </c>
      <c r="ARY31" s="119">
        <v>0</v>
      </c>
      <c r="ARZ31" s="119">
        <v>0</v>
      </c>
      <c r="ASA31">
        <v>0</v>
      </c>
      <c r="ASB31">
        <v>0</v>
      </c>
      <c r="ASC31">
        <v>0</v>
      </c>
      <c r="ASD31" s="119">
        <v>0</v>
      </c>
      <c r="ASE31">
        <v>0</v>
      </c>
      <c r="ASF31">
        <v>0</v>
      </c>
      <c r="ASG31">
        <v>0</v>
      </c>
      <c r="ASH31">
        <v>0</v>
      </c>
      <c r="ASI31">
        <v>0</v>
      </c>
      <c r="ASJ31">
        <v>0</v>
      </c>
      <c r="ASK31">
        <v>0</v>
      </c>
      <c r="ASL31">
        <v>0</v>
      </c>
      <c r="ASM31">
        <v>0</v>
      </c>
      <c r="ASN31">
        <v>0</v>
      </c>
      <c r="ASO31">
        <v>0</v>
      </c>
      <c r="ASP31">
        <v>0</v>
      </c>
      <c r="ASQ31">
        <v>0</v>
      </c>
      <c r="ASR31">
        <v>0</v>
      </c>
      <c r="ASS31">
        <v>0</v>
      </c>
      <c r="AST31">
        <v>0</v>
      </c>
      <c r="ASU31">
        <v>0</v>
      </c>
      <c r="ASV31">
        <v>0</v>
      </c>
      <c r="ASW31">
        <v>0</v>
      </c>
      <c r="ASX31">
        <v>0</v>
      </c>
      <c r="ASY31">
        <v>0</v>
      </c>
      <c r="ASZ31">
        <v>0</v>
      </c>
      <c r="ATA31">
        <v>0</v>
      </c>
      <c r="ATB31" s="116">
        <v>0</v>
      </c>
      <c r="ATC31" s="116">
        <v>0</v>
      </c>
      <c r="ATD31" s="116">
        <v>0</v>
      </c>
      <c r="ATE31" s="116">
        <v>0</v>
      </c>
      <c r="ATF31" s="116">
        <v>0</v>
      </c>
      <c r="ATG31" s="116">
        <v>0</v>
      </c>
      <c r="ATH31" s="116">
        <v>0</v>
      </c>
      <c r="ATI31" s="116">
        <v>0</v>
      </c>
      <c r="ATJ31" s="116">
        <v>0</v>
      </c>
      <c r="ATK31" s="128">
        <v>0</v>
      </c>
      <c r="ATL31" s="128">
        <v>0</v>
      </c>
      <c r="ATM31" s="128">
        <v>0</v>
      </c>
      <c r="ATN31" s="128">
        <v>0</v>
      </c>
      <c r="ATO31">
        <v>0</v>
      </c>
      <c r="ATP31" s="119">
        <v>0</v>
      </c>
      <c r="ATQ31" s="119">
        <v>0</v>
      </c>
      <c r="ATR31" s="119">
        <v>0</v>
      </c>
      <c r="ATS31" s="119">
        <v>0</v>
      </c>
      <c r="ATT31" s="121">
        <v>0</v>
      </c>
      <c r="ATU31" s="119">
        <v>0</v>
      </c>
      <c r="ATV31" s="119">
        <v>0</v>
      </c>
      <c r="ATW31">
        <v>0</v>
      </c>
      <c r="ATX31">
        <v>0</v>
      </c>
      <c r="ATY31">
        <v>0</v>
      </c>
      <c r="ATZ31" s="119">
        <v>0</v>
      </c>
      <c r="AUA31">
        <v>0</v>
      </c>
      <c r="AUB31">
        <v>0</v>
      </c>
      <c r="AUC31">
        <v>0</v>
      </c>
      <c r="AUD31">
        <v>0</v>
      </c>
      <c r="AUE31">
        <v>0</v>
      </c>
      <c r="AUF31">
        <v>0</v>
      </c>
      <c r="AUG31">
        <v>0</v>
      </c>
      <c r="AUH31">
        <v>0</v>
      </c>
      <c r="AUI31">
        <v>0</v>
      </c>
      <c r="AUJ31">
        <v>0</v>
      </c>
      <c r="AUK31">
        <v>0</v>
      </c>
      <c r="AUL31">
        <v>0</v>
      </c>
      <c r="AUM31">
        <v>0</v>
      </c>
      <c r="AUN31">
        <v>0</v>
      </c>
      <c r="AUO31">
        <v>0</v>
      </c>
      <c r="AUP31">
        <v>0</v>
      </c>
      <c r="AUQ31">
        <v>0</v>
      </c>
      <c r="AUR31">
        <v>0</v>
      </c>
      <c r="AUS31">
        <v>0</v>
      </c>
      <c r="AUT31">
        <v>0</v>
      </c>
      <c r="AUU31">
        <v>0</v>
      </c>
      <c r="AUV31">
        <v>0</v>
      </c>
      <c r="AUW31">
        <v>0</v>
      </c>
      <c r="AUX31" s="116">
        <v>0</v>
      </c>
      <c r="AUY31" s="116">
        <v>0</v>
      </c>
      <c r="AUZ31" s="116">
        <v>0</v>
      </c>
      <c r="AVA31" s="116">
        <v>0</v>
      </c>
      <c r="AVB31" s="116">
        <v>0</v>
      </c>
      <c r="AVC31" s="116">
        <v>0</v>
      </c>
      <c r="AVD31" s="116">
        <v>0</v>
      </c>
      <c r="AVE31" s="116">
        <v>0</v>
      </c>
      <c r="AVF31" s="116">
        <v>0</v>
      </c>
      <c r="AVG31" s="128">
        <v>0</v>
      </c>
      <c r="AVH31" s="128">
        <v>0</v>
      </c>
      <c r="AVI31" s="128">
        <v>0</v>
      </c>
      <c r="AVJ31" s="128">
        <v>0</v>
      </c>
      <c r="AVK31">
        <v>0</v>
      </c>
      <c r="AVL31" s="119">
        <v>0</v>
      </c>
      <c r="AVM31" s="119">
        <v>0</v>
      </c>
      <c r="AVN31" s="119">
        <v>0</v>
      </c>
      <c r="AVO31" s="119">
        <v>0</v>
      </c>
      <c r="AVP31" s="121">
        <v>0</v>
      </c>
      <c r="AVQ31" s="119">
        <v>0</v>
      </c>
      <c r="AVR31" s="119">
        <v>0</v>
      </c>
      <c r="AVS31">
        <v>0</v>
      </c>
      <c r="AVT31">
        <v>0</v>
      </c>
      <c r="AVU31">
        <v>0</v>
      </c>
      <c r="AVV31" s="119">
        <v>0</v>
      </c>
      <c r="AVW31">
        <v>0</v>
      </c>
      <c r="AVX31">
        <v>0</v>
      </c>
      <c r="AVY31">
        <v>0</v>
      </c>
      <c r="AVZ31">
        <v>0</v>
      </c>
      <c r="AWA31">
        <v>0</v>
      </c>
      <c r="AWB31">
        <v>0</v>
      </c>
      <c r="AWC31">
        <v>0</v>
      </c>
      <c r="AWD31">
        <v>0</v>
      </c>
      <c r="AWE31">
        <v>0</v>
      </c>
      <c r="AWF31">
        <v>0</v>
      </c>
      <c r="AWG31">
        <v>0</v>
      </c>
      <c r="AWH31">
        <v>0</v>
      </c>
      <c r="AWI31">
        <v>0</v>
      </c>
      <c r="AWJ31">
        <v>0</v>
      </c>
      <c r="AWK31">
        <v>0</v>
      </c>
      <c r="AWL31">
        <v>0</v>
      </c>
      <c r="AWM31">
        <v>0</v>
      </c>
      <c r="AWN31">
        <v>0</v>
      </c>
      <c r="AWO31">
        <v>0</v>
      </c>
      <c r="AWP31">
        <v>0</v>
      </c>
      <c r="AWQ31">
        <v>0</v>
      </c>
      <c r="AWR31">
        <v>0</v>
      </c>
      <c r="AWS31">
        <v>0</v>
      </c>
      <c r="AWT31" s="116">
        <v>0</v>
      </c>
      <c r="AWU31" s="116">
        <v>0</v>
      </c>
      <c r="AWV31" s="116">
        <v>0</v>
      </c>
      <c r="AWW31" s="116">
        <v>0</v>
      </c>
      <c r="AWX31" s="116">
        <v>0</v>
      </c>
      <c r="AWY31" s="116">
        <v>0</v>
      </c>
      <c r="AWZ31" s="116">
        <v>0</v>
      </c>
      <c r="AXA31" s="116">
        <v>0</v>
      </c>
      <c r="AXB31" s="116">
        <v>0</v>
      </c>
      <c r="AXC31" s="128">
        <v>0</v>
      </c>
      <c r="AXD31" s="128">
        <v>0</v>
      </c>
      <c r="AXE31" s="128">
        <v>0</v>
      </c>
      <c r="AXF31" s="128">
        <v>0</v>
      </c>
      <c r="AXG31">
        <v>0</v>
      </c>
      <c r="AXH31" s="119">
        <v>0</v>
      </c>
      <c r="AXI31" s="119">
        <v>0</v>
      </c>
      <c r="AXJ31" s="119">
        <v>0</v>
      </c>
      <c r="AXK31" s="119">
        <v>0</v>
      </c>
      <c r="AXL31" s="121">
        <v>0</v>
      </c>
      <c r="AXM31" s="119">
        <v>0</v>
      </c>
      <c r="AXN31" s="119">
        <v>0</v>
      </c>
      <c r="AXO31">
        <v>0</v>
      </c>
      <c r="AXP31">
        <v>0</v>
      </c>
      <c r="AXQ31">
        <v>0</v>
      </c>
      <c r="AXR31" s="119">
        <v>0</v>
      </c>
      <c r="AXS31">
        <v>0</v>
      </c>
      <c r="AXT31">
        <v>0</v>
      </c>
      <c r="AXU31">
        <v>0</v>
      </c>
      <c r="AXV31">
        <v>0</v>
      </c>
      <c r="AXW31">
        <v>0</v>
      </c>
      <c r="AXX31">
        <v>0</v>
      </c>
      <c r="AXY31">
        <v>0</v>
      </c>
      <c r="AXZ31">
        <v>0</v>
      </c>
      <c r="AYA31">
        <v>0</v>
      </c>
      <c r="AYB31">
        <v>0</v>
      </c>
      <c r="AYC31">
        <v>0</v>
      </c>
      <c r="AYD31">
        <v>0</v>
      </c>
      <c r="AYE31">
        <v>0</v>
      </c>
      <c r="AYF31">
        <v>0</v>
      </c>
      <c r="AYG31">
        <v>0</v>
      </c>
      <c r="AYH31">
        <v>0</v>
      </c>
      <c r="AYI31">
        <v>0</v>
      </c>
      <c r="AYJ31">
        <v>0</v>
      </c>
      <c r="AYK31">
        <v>0</v>
      </c>
      <c r="AYL31">
        <v>0</v>
      </c>
      <c r="AYM31">
        <v>0</v>
      </c>
      <c r="AYN31">
        <v>0</v>
      </c>
      <c r="AYO31">
        <v>0</v>
      </c>
      <c r="AYP31" s="116">
        <v>0</v>
      </c>
      <c r="AYQ31" s="116">
        <v>0</v>
      </c>
      <c r="AYR31" s="116">
        <v>0</v>
      </c>
      <c r="AYS31" s="116">
        <v>0</v>
      </c>
      <c r="AYT31" s="116">
        <v>0</v>
      </c>
      <c r="AYU31" s="116">
        <v>0</v>
      </c>
      <c r="AYV31" s="116">
        <v>0</v>
      </c>
      <c r="AYW31" s="116">
        <v>0</v>
      </c>
      <c r="AYX31" s="116">
        <v>0</v>
      </c>
      <c r="AYY31" s="128">
        <v>0</v>
      </c>
      <c r="AYZ31" s="128">
        <v>0</v>
      </c>
      <c r="AZA31" s="128">
        <v>0</v>
      </c>
      <c r="AZB31" s="128">
        <v>0</v>
      </c>
      <c r="AZC31">
        <v>0</v>
      </c>
      <c r="AZD31" s="119">
        <v>0</v>
      </c>
      <c r="AZE31" s="119">
        <v>0</v>
      </c>
      <c r="AZF31" s="119">
        <v>0</v>
      </c>
      <c r="AZG31" s="119">
        <v>0</v>
      </c>
      <c r="AZH31" s="121">
        <v>0</v>
      </c>
      <c r="AZI31" s="119">
        <v>0</v>
      </c>
      <c r="AZJ31" s="119">
        <v>0</v>
      </c>
      <c r="AZK31">
        <v>0</v>
      </c>
      <c r="AZL31">
        <v>0</v>
      </c>
      <c r="AZM31">
        <v>0</v>
      </c>
      <c r="AZN31" s="119">
        <v>0</v>
      </c>
      <c r="AZO31">
        <v>0</v>
      </c>
      <c r="AZP31">
        <v>0</v>
      </c>
      <c r="AZQ31">
        <v>0</v>
      </c>
      <c r="AZR31">
        <v>0</v>
      </c>
      <c r="AZS31">
        <v>0</v>
      </c>
      <c r="AZT31">
        <v>0</v>
      </c>
      <c r="AZU31">
        <v>0</v>
      </c>
      <c r="AZV31">
        <v>0</v>
      </c>
      <c r="AZW31">
        <v>0</v>
      </c>
      <c r="AZX31">
        <v>0</v>
      </c>
      <c r="AZY31">
        <v>0</v>
      </c>
      <c r="AZZ31">
        <v>0</v>
      </c>
      <c r="BAA31">
        <v>0</v>
      </c>
      <c r="BAB31">
        <v>0</v>
      </c>
      <c r="BAC31">
        <v>0</v>
      </c>
      <c r="BAD31">
        <v>0</v>
      </c>
      <c r="BAE31">
        <v>0</v>
      </c>
      <c r="BAF31">
        <v>0</v>
      </c>
      <c r="BAG31">
        <v>0</v>
      </c>
      <c r="BAH31">
        <v>0</v>
      </c>
      <c r="BAI31">
        <v>0</v>
      </c>
      <c r="BAJ31">
        <v>0</v>
      </c>
      <c r="BAK31">
        <v>833650</v>
      </c>
      <c r="BAL31">
        <v>22337.72</v>
      </c>
      <c r="BAM31" s="120">
        <v>21365.72</v>
      </c>
      <c r="BAN31" s="120">
        <v>972</v>
      </c>
      <c r="BAO31" s="120">
        <v>0</v>
      </c>
      <c r="BAP31" s="120">
        <v>0</v>
      </c>
      <c r="BAQ31" s="120">
        <v>373</v>
      </c>
      <c r="BAR31" s="120" t="s">
        <v>3365</v>
      </c>
      <c r="BAS31" s="116">
        <v>0</v>
      </c>
      <c r="BAT31" s="116">
        <v>0</v>
      </c>
      <c r="BAU31" s="116">
        <v>0</v>
      </c>
      <c r="BAV31" s="116">
        <v>0</v>
      </c>
      <c r="BAW31" s="116">
        <v>0</v>
      </c>
      <c r="BAX31" s="116">
        <v>0</v>
      </c>
      <c r="BAY31" s="116">
        <v>0</v>
      </c>
      <c r="BAZ31" s="116">
        <v>0</v>
      </c>
      <c r="BBA31" s="116">
        <v>0</v>
      </c>
      <c r="BBB31" s="116">
        <v>0</v>
      </c>
      <c r="BBC31" s="116">
        <v>0</v>
      </c>
      <c r="BBD31" s="116">
        <v>0</v>
      </c>
      <c r="BBE31" s="116">
        <v>0</v>
      </c>
      <c r="BBF31" s="116">
        <v>0</v>
      </c>
      <c r="BBG31" s="116">
        <v>0</v>
      </c>
      <c r="BBH31" s="116">
        <v>0</v>
      </c>
      <c r="BBI31" s="116">
        <v>0</v>
      </c>
      <c r="BBJ31" s="116">
        <v>0</v>
      </c>
      <c r="BBK31" s="116">
        <v>0</v>
      </c>
      <c r="BBL31" s="116">
        <v>0</v>
      </c>
      <c r="BBM31" s="116">
        <v>0</v>
      </c>
      <c r="BBN31" s="116">
        <v>0</v>
      </c>
      <c r="BBO31" s="116">
        <v>0</v>
      </c>
      <c r="BBP31" s="116">
        <v>0</v>
      </c>
      <c r="BBQ31" s="116">
        <v>0</v>
      </c>
      <c r="BBR31" s="116">
        <v>0</v>
      </c>
      <c r="BBS31" s="116">
        <v>0</v>
      </c>
      <c r="BBT31" s="116">
        <v>0</v>
      </c>
      <c r="BBU31" s="116">
        <v>0</v>
      </c>
      <c r="BBV31" s="116">
        <v>0</v>
      </c>
      <c r="BBW31" s="116">
        <v>0</v>
      </c>
      <c r="BBX31" s="116">
        <v>0</v>
      </c>
      <c r="BBY31" s="116">
        <v>0</v>
      </c>
      <c r="BBZ31" s="116">
        <v>0</v>
      </c>
      <c r="BCA31" s="116">
        <v>0</v>
      </c>
      <c r="BCB31" s="116">
        <v>0</v>
      </c>
      <c r="BCC31" s="116">
        <v>0</v>
      </c>
      <c r="BCD31" s="116">
        <v>0</v>
      </c>
      <c r="BCE31" s="116">
        <v>0</v>
      </c>
      <c r="BCF31" s="116">
        <v>0</v>
      </c>
      <c r="BCG31" s="116">
        <v>0</v>
      </c>
      <c r="BCH31" s="116">
        <v>0</v>
      </c>
      <c r="BCI31" s="116">
        <v>0</v>
      </c>
      <c r="BCJ31" s="116">
        <v>0</v>
      </c>
      <c r="BCK31" s="116">
        <v>0</v>
      </c>
      <c r="BCL31" s="116">
        <v>0</v>
      </c>
      <c r="BCM31" s="116">
        <v>0</v>
      </c>
      <c r="BCN31" s="116">
        <v>0</v>
      </c>
      <c r="BCO31" s="116">
        <v>0</v>
      </c>
      <c r="BCP31" s="116">
        <v>4</v>
      </c>
      <c r="BCQ31" s="304">
        <v>5</v>
      </c>
      <c r="BCR31" s="304">
        <v>1</v>
      </c>
      <c r="BCS31" s="304">
        <v>0</v>
      </c>
      <c r="BCT31" s="304">
        <v>4</v>
      </c>
      <c r="BCU31" s="304">
        <v>3</v>
      </c>
      <c r="BCV31" s="304">
        <v>6</v>
      </c>
      <c r="BCW31" s="304">
        <v>2</v>
      </c>
      <c r="BCX31" s="304">
        <v>3</v>
      </c>
      <c r="BCY31" s="304">
        <v>8</v>
      </c>
      <c r="BCZ31" s="304">
        <v>6</v>
      </c>
      <c r="BDA31" s="304">
        <v>2</v>
      </c>
      <c r="BDB31" s="304">
        <v>0</v>
      </c>
      <c r="BDC31" s="304">
        <v>2</v>
      </c>
      <c r="BDD31" s="304">
        <v>8</v>
      </c>
      <c r="BDE31" s="304">
        <v>6</v>
      </c>
      <c r="BDF31" s="304">
        <v>4</v>
      </c>
      <c r="BDG31" s="304">
        <v>1</v>
      </c>
      <c r="BDH31" s="304">
        <v>0</v>
      </c>
      <c r="BDI31" s="304">
        <v>0</v>
      </c>
      <c r="BDJ31" s="304">
        <v>0</v>
      </c>
      <c r="BDK31" s="304">
        <v>0</v>
      </c>
      <c r="BDL31" s="304">
        <v>0</v>
      </c>
      <c r="BDM31" s="304">
        <v>0</v>
      </c>
      <c r="BDN31" s="304">
        <v>0</v>
      </c>
      <c r="BDO31" s="304">
        <v>0</v>
      </c>
      <c r="BDP31" s="304">
        <v>0</v>
      </c>
      <c r="BDQ31" s="304" t="s">
        <v>3367</v>
      </c>
      <c r="BDR31" t="s">
        <v>3270</v>
      </c>
      <c r="BDS31">
        <v>0</v>
      </c>
      <c r="BDT31">
        <v>0</v>
      </c>
      <c r="BDU31">
        <v>0</v>
      </c>
      <c r="BDV31" t="s">
        <v>3270</v>
      </c>
      <c r="BDW31">
        <v>0</v>
      </c>
      <c r="BDX31">
        <v>0</v>
      </c>
      <c r="BDY31">
        <v>0</v>
      </c>
      <c r="BDZ31" t="s">
        <v>3270</v>
      </c>
      <c r="BEA31" t="s">
        <v>3358</v>
      </c>
      <c r="BEB31">
        <v>0</v>
      </c>
      <c r="BEC31">
        <v>0</v>
      </c>
      <c r="BED31" t="s">
        <v>3269</v>
      </c>
      <c r="BEE31" t="s">
        <v>3270</v>
      </c>
      <c r="BEF31" t="s">
        <v>3359</v>
      </c>
      <c r="BEG31">
        <v>0</v>
      </c>
      <c r="BEH31">
        <v>0</v>
      </c>
      <c r="BEI31">
        <v>0</v>
      </c>
      <c r="BEJ31">
        <v>0</v>
      </c>
      <c r="BEK31" t="s">
        <v>3269</v>
      </c>
      <c r="BEL31">
        <v>0</v>
      </c>
      <c r="BEM31">
        <v>0</v>
      </c>
      <c r="BEN31" t="s">
        <v>3269</v>
      </c>
      <c r="BEO31" t="s">
        <v>3360</v>
      </c>
      <c r="BEP31" t="s">
        <v>3361</v>
      </c>
      <c r="BEQ31" t="s">
        <v>3362</v>
      </c>
      <c r="BER31" t="s">
        <v>3256</v>
      </c>
      <c r="BES31">
        <v>0</v>
      </c>
      <c r="BET31">
        <v>0</v>
      </c>
      <c r="BEU31">
        <v>0</v>
      </c>
      <c r="BEV31">
        <v>12000</v>
      </c>
      <c r="BEW31" t="s">
        <v>3363</v>
      </c>
      <c r="BEX31" t="s">
        <v>3269</v>
      </c>
      <c r="BEY31" t="s">
        <v>3270</v>
      </c>
      <c r="BEZ31" t="s">
        <v>3278</v>
      </c>
      <c r="BFA31" t="s">
        <v>3270</v>
      </c>
      <c r="BFB31" t="s">
        <v>3270</v>
      </c>
      <c r="BFC31">
        <v>0</v>
      </c>
      <c r="BFD31" t="b">
        <v>1</v>
      </c>
      <c r="BFE31" t="b">
        <v>1</v>
      </c>
      <c r="BFF31" t="b">
        <v>1</v>
      </c>
      <c r="BFG31" t="b">
        <v>1</v>
      </c>
      <c r="BFH31">
        <v>43643</v>
      </c>
      <c r="BFI31">
        <v>43643</v>
      </c>
      <c r="BFJ31">
        <v>1</v>
      </c>
      <c r="BFK31" t="s">
        <v>3294</v>
      </c>
      <c r="BFL31" t="s">
        <v>3364</v>
      </c>
      <c r="BFM31">
        <v>0</v>
      </c>
      <c r="BFN31">
        <v>0</v>
      </c>
      <c r="BFO31">
        <v>0</v>
      </c>
      <c r="BFP31">
        <v>0</v>
      </c>
      <c r="BFQ31">
        <v>0</v>
      </c>
      <c r="BFR31">
        <v>0</v>
      </c>
      <c r="BFS31">
        <v>0</v>
      </c>
      <c r="BFT31">
        <v>0</v>
      </c>
      <c r="BFU31">
        <v>0</v>
      </c>
      <c r="BFV31">
        <v>0</v>
      </c>
      <c r="BFW31">
        <v>0</v>
      </c>
      <c r="BFX31">
        <v>0</v>
      </c>
      <c r="BFY31">
        <v>0</v>
      </c>
    </row>
    <row r="32" spans="1:1533" x14ac:dyDescent="0.25">
      <c r="A32" t="s">
        <v>3375</v>
      </c>
      <c r="B32" t="s">
        <v>3379</v>
      </c>
      <c r="C32" s="120">
        <v>130</v>
      </c>
      <c r="D32" s="120">
        <v>45</v>
      </c>
      <c r="E32">
        <v>0</v>
      </c>
      <c r="F32">
        <v>0</v>
      </c>
      <c r="G32">
        <v>0</v>
      </c>
      <c r="H32" t="s">
        <v>2403</v>
      </c>
      <c r="I32" t="s">
        <v>2403</v>
      </c>
      <c r="J32" t="s">
        <v>2403</v>
      </c>
      <c r="K32" t="s">
        <v>2403</v>
      </c>
      <c r="L32" t="s">
        <v>2403</v>
      </c>
      <c r="M32" t="s">
        <v>1883</v>
      </c>
      <c r="N32" t="s">
        <v>2403</v>
      </c>
      <c r="O32" t="s">
        <v>1883</v>
      </c>
      <c r="P32" t="s">
        <v>1883</v>
      </c>
      <c r="Q32" t="s">
        <v>2403</v>
      </c>
      <c r="R32" t="s">
        <v>1883</v>
      </c>
      <c r="S32" t="s">
        <v>2403</v>
      </c>
      <c r="T32" t="s">
        <v>2404</v>
      </c>
      <c r="U32" t="s">
        <v>2424</v>
      </c>
      <c r="V32" t="s">
        <v>2827</v>
      </c>
      <c r="W32" t="s">
        <v>309</v>
      </c>
      <c r="X32">
        <v>900</v>
      </c>
      <c r="Y32">
        <v>43587</v>
      </c>
      <c r="Z32">
        <v>0</v>
      </c>
      <c r="AA32">
        <v>0</v>
      </c>
      <c r="AB32" s="120">
        <v>100</v>
      </c>
      <c r="AC32" s="58" t="s">
        <v>272</v>
      </c>
      <c r="AD32" s="120">
        <v>25</v>
      </c>
      <c r="AE32" s="120">
        <v>0</v>
      </c>
      <c r="AF32" s="120">
        <v>43619</v>
      </c>
      <c r="AG32">
        <v>45</v>
      </c>
      <c r="AH32" s="120">
        <v>0</v>
      </c>
      <c r="AI32" s="120">
        <v>0</v>
      </c>
      <c r="AJ32" s="58" t="s">
        <v>271</v>
      </c>
      <c r="AK32" s="120">
        <v>0.12</v>
      </c>
      <c r="AL32" s="119">
        <v>0</v>
      </c>
      <c r="AM32">
        <v>50</v>
      </c>
      <c r="AN32">
        <v>47241</v>
      </c>
      <c r="AO32" s="114">
        <v>0.13610032277788875</v>
      </c>
      <c r="AP32" s="120">
        <v>9906.81</v>
      </c>
      <c r="AQ32" s="120">
        <v>8278.2499999999618</v>
      </c>
      <c r="AR32" s="58">
        <v>18185.059999999961</v>
      </c>
      <c r="AS32" s="114">
        <v>151.55000000000001</v>
      </c>
      <c r="AT32" s="120">
        <v>150.61000000000001</v>
      </c>
      <c r="AU32" s="120" t="s">
        <v>1911</v>
      </c>
      <c r="AV32" s="120" t="s">
        <v>2119</v>
      </c>
      <c r="AW32" s="120" t="s">
        <v>271</v>
      </c>
      <c r="AX32" s="120">
        <v>19</v>
      </c>
      <c r="AY32">
        <v>0</v>
      </c>
      <c r="AZ32">
        <v>43580</v>
      </c>
      <c r="BA32">
        <v>100</v>
      </c>
      <c r="BB32" s="120">
        <v>2</v>
      </c>
      <c r="BC32">
        <v>1</v>
      </c>
      <c r="BD32" s="58" t="s">
        <v>415</v>
      </c>
      <c r="BE32" s="120">
        <v>336</v>
      </c>
      <c r="BF32">
        <v>76</v>
      </c>
      <c r="BG32">
        <v>43584</v>
      </c>
      <c r="BH32">
        <v>120</v>
      </c>
      <c r="BI32" s="120">
        <v>0</v>
      </c>
      <c r="BJ32" s="120">
        <v>50</v>
      </c>
      <c r="BK32" s="367">
        <v>43466</v>
      </c>
      <c r="BL32">
        <v>0</v>
      </c>
      <c r="BM32" s="120">
        <v>0</v>
      </c>
      <c r="BN32" s="120">
        <v>0</v>
      </c>
      <c r="BO32" s="58" t="s">
        <v>3370</v>
      </c>
      <c r="BP32" t="s">
        <v>2403</v>
      </c>
      <c r="BQ32" t="s">
        <v>2403</v>
      </c>
      <c r="BR32" t="s">
        <v>2403</v>
      </c>
      <c r="BS32">
        <v>444000000</v>
      </c>
      <c r="BT32" s="366">
        <v>24773</v>
      </c>
      <c r="BU32" s="58" t="s">
        <v>3371</v>
      </c>
      <c r="BV32" t="s">
        <v>3372</v>
      </c>
      <c r="BW32" t="s">
        <v>1633</v>
      </c>
      <c r="BX32">
        <v>77345</v>
      </c>
      <c r="BY32" t="s">
        <v>3371</v>
      </c>
      <c r="BZ32" t="s">
        <v>3372</v>
      </c>
      <c r="CA32">
        <v>77345</v>
      </c>
      <c r="CB32" t="s">
        <v>1633</v>
      </c>
      <c r="CC32" t="s">
        <v>2040</v>
      </c>
      <c r="CD32">
        <v>0</v>
      </c>
      <c r="CE32">
        <v>0</v>
      </c>
      <c r="CF32">
        <v>0</v>
      </c>
      <c r="CG32">
        <v>0</v>
      </c>
      <c r="CH32">
        <v>0</v>
      </c>
      <c r="CI32">
        <v>0</v>
      </c>
      <c r="CJ32">
        <v>0</v>
      </c>
      <c r="CK32">
        <v>0</v>
      </c>
      <c r="CL32" s="118">
        <v>0</v>
      </c>
      <c r="CM32" s="118">
        <v>2819956597</v>
      </c>
      <c r="CN32" s="118" t="s">
        <v>3373</v>
      </c>
      <c r="CO32" t="s">
        <v>3374</v>
      </c>
      <c r="CP32" t="s">
        <v>2403</v>
      </c>
      <c r="CQ32" t="s">
        <v>2403</v>
      </c>
      <c r="CR32" t="s">
        <v>2403</v>
      </c>
      <c r="CS32" t="s">
        <v>3371</v>
      </c>
      <c r="CT32" t="s">
        <v>3372</v>
      </c>
      <c r="CU32" t="s">
        <v>1633</v>
      </c>
      <c r="CV32">
        <v>77345</v>
      </c>
      <c r="CW32">
        <v>777000000</v>
      </c>
      <c r="CX32" s="366">
        <v>27204</v>
      </c>
      <c r="CY32" s="58" t="s">
        <v>3371</v>
      </c>
      <c r="CZ32" t="s">
        <v>3372</v>
      </c>
      <c r="DA32">
        <v>77345</v>
      </c>
      <c r="DB32" t="s">
        <v>1633</v>
      </c>
      <c r="DC32">
        <v>0</v>
      </c>
      <c r="DD32">
        <v>0</v>
      </c>
      <c r="DE32">
        <v>0</v>
      </c>
      <c r="DF32">
        <v>0</v>
      </c>
      <c r="DG32">
        <v>0</v>
      </c>
      <c r="DH32">
        <v>0</v>
      </c>
      <c r="DI32">
        <v>0</v>
      </c>
      <c r="DJ32">
        <v>0</v>
      </c>
      <c r="DK32">
        <v>8327778406</v>
      </c>
      <c r="DL32" s="118">
        <v>0</v>
      </c>
      <c r="DM32" s="118">
        <v>0</v>
      </c>
      <c r="DN32" s="118" t="s">
        <v>3373</v>
      </c>
      <c r="DO32">
        <v>0</v>
      </c>
      <c r="DP32">
        <v>0</v>
      </c>
      <c r="DQ32">
        <v>0</v>
      </c>
      <c r="DR32">
        <v>0</v>
      </c>
      <c r="DS32">
        <v>0</v>
      </c>
      <c r="DT32">
        <v>0</v>
      </c>
      <c r="DU32">
        <v>0</v>
      </c>
      <c r="DV32">
        <v>0</v>
      </c>
      <c r="DW32">
        <v>0</v>
      </c>
      <c r="DX32" s="366">
        <v>0</v>
      </c>
      <c r="DY32" s="58">
        <v>0</v>
      </c>
      <c r="DZ32">
        <v>0</v>
      </c>
      <c r="EA32">
        <v>0</v>
      </c>
      <c r="EB32">
        <v>0</v>
      </c>
      <c r="EC32">
        <v>0</v>
      </c>
      <c r="ED32">
        <v>0</v>
      </c>
      <c r="EE32">
        <v>0</v>
      </c>
      <c r="EF32">
        <v>0</v>
      </c>
      <c r="EG32">
        <v>0</v>
      </c>
      <c r="EH32">
        <v>0</v>
      </c>
      <c r="EI32">
        <v>0</v>
      </c>
      <c r="EJ32">
        <v>0</v>
      </c>
      <c r="EK32">
        <v>0</v>
      </c>
      <c r="EL32" s="118">
        <v>0</v>
      </c>
      <c r="EM32" s="118">
        <v>0</v>
      </c>
      <c r="EN32" s="118">
        <v>0</v>
      </c>
      <c r="EO32">
        <v>900</v>
      </c>
      <c r="EP32">
        <v>9586.8095703125</v>
      </c>
      <c r="EQ32" s="119">
        <v>1</v>
      </c>
      <c r="ER32">
        <v>2</v>
      </c>
      <c r="ES32" t="s">
        <v>2508</v>
      </c>
      <c r="ET32" t="s">
        <v>3377</v>
      </c>
      <c r="EU32">
        <v>0</v>
      </c>
      <c r="EV32">
        <v>0</v>
      </c>
      <c r="EW32">
        <v>0</v>
      </c>
      <c r="EX32">
        <v>0</v>
      </c>
      <c r="EY32">
        <v>0</v>
      </c>
      <c r="EZ32">
        <v>0</v>
      </c>
      <c r="FA32">
        <v>0</v>
      </c>
      <c r="FB32">
        <v>0</v>
      </c>
      <c r="FC32">
        <v>0</v>
      </c>
      <c r="FD32">
        <v>0</v>
      </c>
      <c r="FE32">
        <v>0</v>
      </c>
      <c r="FF32">
        <v>0</v>
      </c>
      <c r="FG32">
        <v>0</v>
      </c>
      <c r="FH32">
        <v>0</v>
      </c>
      <c r="FI32">
        <v>0</v>
      </c>
      <c r="FJ32">
        <v>0</v>
      </c>
      <c r="FK32">
        <v>0</v>
      </c>
      <c r="FL32">
        <v>0</v>
      </c>
      <c r="FM32">
        <v>4171.82</v>
      </c>
      <c r="FN32" s="119">
        <v>5414.99</v>
      </c>
      <c r="FO32" s="119">
        <v>0</v>
      </c>
      <c r="FP32" s="119">
        <v>0</v>
      </c>
      <c r="FQ32" s="119">
        <v>0</v>
      </c>
      <c r="FR32" s="119">
        <v>0</v>
      </c>
      <c r="FS32" s="119">
        <v>0</v>
      </c>
      <c r="FT32" s="119">
        <v>0</v>
      </c>
      <c r="FU32" s="119">
        <v>0</v>
      </c>
      <c r="FV32" s="119">
        <v>0</v>
      </c>
      <c r="FW32" s="119">
        <v>0</v>
      </c>
      <c r="FX32" s="119">
        <v>0</v>
      </c>
      <c r="FY32" s="119">
        <v>0</v>
      </c>
      <c r="FZ32" s="119">
        <v>0</v>
      </c>
      <c r="GA32" s="119">
        <v>0</v>
      </c>
      <c r="GB32" s="119">
        <v>0</v>
      </c>
      <c r="GC32" s="119">
        <v>0</v>
      </c>
      <c r="GD32" s="119">
        <v>0</v>
      </c>
      <c r="GE32" s="119">
        <v>0</v>
      </c>
      <c r="GF32" s="119">
        <v>0</v>
      </c>
      <c r="GG32" s="119">
        <v>0</v>
      </c>
      <c r="GH32" t="s">
        <v>2403</v>
      </c>
      <c r="GI32">
        <v>0</v>
      </c>
      <c r="GJ32">
        <v>0</v>
      </c>
      <c r="GK32">
        <v>0</v>
      </c>
      <c r="GL32" t="s">
        <v>2403</v>
      </c>
      <c r="GM32">
        <v>0</v>
      </c>
      <c r="GN32" s="58" t="s">
        <v>2403</v>
      </c>
      <c r="GO32">
        <v>0</v>
      </c>
      <c r="GP32" t="s">
        <v>3376</v>
      </c>
      <c r="GQ32" s="128" t="s">
        <v>3376</v>
      </c>
      <c r="GR32" s="128">
        <v>0</v>
      </c>
      <c r="GS32" s="128">
        <v>0</v>
      </c>
      <c r="GT32" s="128" t="s">
        <v>3371</v>
      </c>
      <c r="GU32">
        <v>4171.82</v>
      </c>
      <c r="GV32" s="119">
        <v>5414.99</v>
      </c>
      <c r="GW32" s="119">
        <v>0</v>
      </c>
      <c r="GX32" s="119">
        <v>0</v>
      </c>
      <c r="GY32" s="119">
        <v>0</v>
      </c>
      <c r="GZ32">
        <v>0</v>
      </c>
      <c r="HA32">
        <v>0</v>
      </c>
      <c r="HB32">
        <v>0</v>
      </c>
      <c r="HC32">
        <v>9586.8095703125</v>
      </c>
      <c r="HD32" s="120">
        <v>340265</v>
      </c>
      <c r="HE32" s="119">
        <v>107671</v>
      </c>
      <c r="HF32" t="s">
        <v>3372</v>
      </c>
      <c r="HG32" t="s">
        <v>106</v>
      </c>
      <c r="HH32" t="s">
        <v>2403</v>
      </c>
      <c r="HI32">
        <v>340265</v>
      </c>
      <c r="HJ32" s="119" t="s">
        <v>2403</v>
      </c>
      <c r="HK32">
        <v>0</v>
      </c>
      <c r="HL32">
        <v>0</v>
      </c>
      <c r="HM32">
        <v>0</v>
      </c>
      <c r="HN32">
        <v>0</v>
      </c>
      <c r="HO32" t="s">
        <v>3378</v>
      </c>
      <c r="HP32" t="s">
        <v>2403</v>
      </c>
      <c r="HQ32">
        <v>0</v>
      </c>
      <c r="HR32" t="s">
        <v>1633</v>
      </c>
      <c r="HS32" t="s">
        <v>2508</v>
      </c>
      <c r="HT32" t="s">
        <v>3377</v>
      </c>
      <c r="HU32">
        <v>0</v>
      </c>
      <c r="HV32">
        <v>0</v>
      </c>
      <c r="HW32">
        <v>2018</v>
      </c>
      <c r="HX32">
        <v>2018</v>
      </c>
      <c r="HY32">
        <v>0</v>
      </c>
      <c r="HZ32">
        <v>0</v>
      </c>
      <c r="IA32">
        <v>77345</v>
      </c>
      <c r="IB32" t="s">
        <v>2403</v>
      </c>
      <c r="IC32">
        <v>0</v>
      </c>
      <c r="ID32">
        <v>0</v>
      </c>
      <c r="IE32">
        <v>0</v>
      </c>
      <c r="IF32">
        <v>0</v>
      </c>
      <c r="IG32">
        <v>0</v>
      </c>
      <c r="IH32">
        <v>0</v>
      </c>
      <c r="II32">
        <v>0</v>
      </c>
      <c r="IJ32">
        <v>0</v>
      </c>
      <c r="IK32">
        <v>0</v>
      </c>
      <c r="IL32">
        <v>0</v>
      </c>
      <c r="IM32" s="128">
        <v>0</v>
      </c>
      <c r="IN32" s="128">
        <v>0</v>
      </c>
      <c r="IO32" s="128">
        <v>0</v>
      </c>
      <c r="IP32" s="128">
        <v>0</v>
      </c>
      <c r="IQ32">
        <v>0</v>
      </c>
      <c r="IR32" s="119">
        <v>0</v>
      </c>
      <c r="IS32" s="119">
        <v>0</v>
      </c>
      <c r="IT32" s="119">
        <v>0</v>
      </c>
      <c r="IU32" s="119">
        <v>0</v>
      </c>
      <c r="IV32" s="119">
        <v>0</v>
      </c>
      <c r="IW32">
        <v>0</v>
      </c>
      <c r="IX32">
        <v>0</v>
      </c>
      <c r="IY32">
        <v>0</v>
      </c>
      <c r="IZ32">
        <v>0</v>
      </c>
      <c r="JA32">
        <v>0</v>
      </c>
      <c r="JB32" s="119">
        <v>0</v>
      </c>
      <c r="JC32">
        <v>0</v>
      </c>
      <c r="JD32">
        <v>0</v>
      </c>
      <c r="JE32">
        <v>0</v>
      </c>
      <c r="JF32">
        <v>0</v>
      </c>
      <c r="JG32">
        <v>0</v>
      </c>
      <c r="JH32">
        <v>0</v>
      </c>
      <c r="JI32">
        <v>0</v>
      </c>
      <c r="JJ32">
        <v>0</v>
      </c>
      <c r="JK32">
        <v>0</v>
      </c>
      <c r="JL32">
        <v>0</v>
      </c>
      <c r="JM32">
        <v>0</v>
      </c>
      <c r="JN32">
        <v>0</v>
      </c>
      <c r="JO32">
        <v>0</v>
      </c>
      <c r="JP32">
        <v>0</v>
      </c>
      <c r="JQ32">
        <v>0</v>
      </c>
      <c r="JR32">
        <v>0</v>
      </c>
      <c r="JS32">
        <v>0</v>
      </c>
      <c r="JT32">
        <v>0</v>
      </c>
      <c r="JU32">
        <v>0</v>
      </c>
      <c r="JV32">
        <v>0</v>
      </c>
      <c r="JW32">
        <v>0</v>
      </c>
      <c r="JX32">
        <v>0</v>
      </c>
      <c r="JY32">
        <v>0</v>
      </c>
      <c r="JZ32">
        <v>0</v>
      </c>
      <c r="KA32">
        <v>0</v>
      </c>
      <c r="KB32">
        <v>0</v>
      </c>
      <c r="KC32">
        <v>0</v>
      </c>
      <c r="KD32">
        <v>0</v>
      </c>
      <c r="KE32">
        <v>0</v>
      </c>
      <c r="KF32">
        <v>0</v>
      </c>
      <c r="KG32">
        <v>0</v>
      </c>
      <c r="KH32">
        <v>0</v>
      </c>
      <c r="KI32" s="128">
        <v>0</v>
      </c>
      <c r="KJ32" s="128">
        <v>0</v>
      </c>
      <c r="KK32" s="128">
        <v>0</v>
      </c>
      <c r="KL32" s="128">
        <v>0</v>
      </c>
      <c r="KM32">
        <v>0</v>
      </c>
      <c r="KN32" s="119">
        <v>0</v>
      </c>
      <c r="KO32" s="119">
        <v>0</v>
      </c>
      <c r="KP32" s="119">
        <v>0</v>
      </c>
      <c r="KQ32" s="119">
        <v>0</v>
      </c>
      <c r="KR32" s="121">
        <v>0</v>
      </c>
      <c r="KS32">
        <v>0</v>
      </c>
      <c r="KT32" s="119">
        <v>0</v>
      </c>
      <c r="KU32">
        <v>0</v>
      </c>
      <c r="KV32">
        <v>0</v>
      </c>
      <c r="KW32">
        <v>0</v>
      </c>
      <c r="KX32" s="119">
        <v>0</v>
      </c>
      <c r="KY32">
        <v>0</v>
      </c>
      <c r="KZ32">
        <v>0</v>
      </c>
      <c r="LA32">
        <v>0</v>
      </c>
      <c r="LB32">
        <v>0</v>
      </c>
      <c r="LC32">
        <v>0</v>
      </c>
      <c r="LD32">
        <v>0</v>
      </c>
      <c r="LE32">
        <v>0</v>
      </c>
      <c r="LF32">
        <v>0</v>
      </c>
      <c r="LG32">
        <v>0</v>
      </c>
      <c r="LH32">
        <v>0</v>
      </c>
      <c r="LI32">
        <v>0</v>
      </c>
      <c r="LJ32">
        <v>0</v>
      </c>
      <c r="LK32">
        <v>0</v>
      </c>
      <c r="LL32">
        <v>0</v>
      </c>
      <c r="LM32">
        <v>0</v>
      </c>
      <c r="LN32">
        <v>0</v>
      </c>
      <c r="LO32">
        <v>0</v>
      </c>
      <c r="LP32">
        <v>0</v>
      </c>
      <c r="LQ32">
        <v>0</v>
      </c>
      <c r="LR32">
        <v>0</v>
      </c>
      <c r="LS32">
        <v>0</v>
      </c>
      <c r="LT32">
        <v>0</v>
      </c>
      <c r="LU32">
        <v>0</v>
      </c>
      <c r="LV32">
        <v>0</v>
      </c>
      <c r="LW32">
        <v>0</v>
      </c>
      <c r="LX32">
        <v>0</v>
      </c>
      <c r="LY32">
        <v>0</v>
      </c>
      <c r="LZ32">
        <v>0</v>
      </c>
      <c r="MA32">
        <v>0</v>
      </c>
      <c r="MB32">
        <v>0</v>
      </c>
      <c r="MC32">
        <v>0</v>
      </c>
      <c r="MD32">
        <v>0</v>
      </c>
      <c r="ME32" s="128">
        <v>0</v>
      </c>
      <c r="MF32" s="128">
        <v>0</v>
      </c>
      <c r="MG32" s="128">
        <v>0</v>
      </c>
      <c r="MH32" s="128">
        <v>0</v>
      </c>
      <c r="MI32">
        <v>0</v>
      </c>
      <c r="MJ32" s="119">
        <v>0</v>
      </c>
      <c r="MK32" s="119">
        <v>0</v>
      </c>
      <c r="ML32" s="119">
        <v>0</v>
      </c>
      <c r="MM32" s="119">
        <v>0</v>
      </c>
      <c r="MN32" s="121">
        <v>0</v>
      </c>
      <c r="MO32" s="119">
        <v>0</v>
      </c>
      <c r="MP32">
        <v>0</v>
      </c>
      <c r="MQ32">
        <v>0</v>
      </c>
      <c r="MR32">
        <v>0</v>
      </c>
      <c r="MS32">
        <v>0</v>
      </c>
      <c r="MT32" s="119">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s="116">
        <v>0</v>
      </c>
      <c r="NS32" s="116">
        <v>0</v>
      </c>
      <c r="NT32" s="116">
        <v>0</v>
      </c>
      <c r="NU32" s="116">
        <v>0</v>
      </c>
      <c r="NV32" s="116">
        <v>0</v>
      </c>
      <c r="NW32" s="116">
        <v>0</v>
      </c>
      <c r="NX32" s="116">
        <v>0</v>
      </c>
      <c r="NY32" s="116">
        <v>0</v>
      </c>
      <c r="NZ32" s="116">
        <v>0</v>
      </c>
      <c r="OA32" s="128">
        <v>0</v>
      </c>
      <c r="OB32" s="128">
        <v>0</v>
      </c>
      <c r="OC32" s="128">
        <v>0</v>
      </c>
      <c r="OD32" s="128">
        <v>0</v>
      </c>
      <c r="OE32">
        <v>0</v>
      </c>
      <c r="OF32" s="119">
        <v>0</v>
      </c>
      <c r="OG32" s="119">
        <v>0</v>
      </c>
      <c r="OH32" s="119">
        <v>0</v>
      </c>
      <c r="OI32" s="119">
        <v>0</v>
      </c>
      <c r="OJ32" s="121">
        <v>0</v>
      </c>
      <c r="OK32" s="119">
        <v>0</v>
      </c>
      <c r="OL32">
        <v>0</v>
      </c>
      <c r="OM32">
        <v>0</v>
      </c>
      <c r="ON32">
        <v>0</v>
      </c>
      <c r="OO32">
        <v>0</v>
      </c>
      <c r="OP32" s="119">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s="128">
        <v>0</v>
      </c>
      <c r="PX32" s="128">
        <v>0</v>
      </c>
      <c r="PY32" s="128">
        <v>0</v>
      </c>
      <c r="PZ32" s="128">
        <v>0</v>
      </c>
      <c r="QA32">
        <v>0</v>
      </c>
      <c r="QB32" s="119">
        <v>0</v>
      </c>
      <c r="QC32" s="119">
        <v>0</v>
      </c>
      <c r="QD32" s="119">
        <v>0</v>
      </c>
      <c r="QE32" s="119">
        <v>0</v>
      </c>
      <c r="QF32" s="121">
        <v>0</v>
      </c>
      <c r="QG32" s="119">
        <v>0</v>
      </c>
      <c r="QH32">
        <v>0</v>
      </c>
      <c r="QI32">
        <v>0</v>
      </c>
      <c r="QJ32">
        <v>0</v>
      </c>
      <c r="QK32">
        <v>0</v>
      </c>
      <c r="QL32" s="119">
        <v>0</v>
      </c>
      <c r="QM32">
        <v>0</v>
      </c>
      <c r="QN32">
        <v>0</v>
      </c>
      <c r="QO32">
        <v>0</v>
      </c>
      <c r="QP32">
        <v>0</v>
      </c>
      <c r="QQ32">
        <v>0</v>
      </c>
      <c r="QR32">
        <v>0</v>
      </c>
      <c r="QS32">
        <v>0</v>
      </c>
      <c r="QT32">
        <v>0</v>
      </c>
      <c r="QU32">
        <v>0</v>
      </c>
      <c r="QV32">
        <v>0</v>
      </c>
      <c r="QW32">
        <v>0</v>
      </c>
      <c r="QX32">
        <v>0</v>
      </c>
      <c r="QY32">
        <v>0</v>
      </c>
      <c r="QZ32">
        <v>0</v>
      </c>
      <c r="RA32">
        <v>0</v>
      </c>
      <c r="RB32">
        <v>0</v>
      </c>
      <c r="RC32">
        <v>0</v>
      </c>
      <c r="RD32">
        <v>0</v>
      </c>
      <c r="RE32">
        <v>0</v>
      </c>
      <c r="RF32">
        <v>0</v>
      </c>
      <c r="RG32">
        <v>0</v>
      </c>
      <c r="RH32">
        <v>0</v>
      </c>
      <c r="RI32">
        <v>0</v>
      </c>
      <c r="RJ32" s="116">
        <v>0</v>
      </c>
      <c r="RK32" s="116">
        <v>0</v>
      </c>
      <c r="RL32" s="116">
        <v>0</v>
      </c>
      <c r="RM32" s="116">
        <v>0</v>
      </c>
      <c r="RN32" s="116">
        <v>0</v>
      </c>
      <c r="RO32" s="116">
        <v>0</v>
      </c>
      <c r="RP32" s="116">
        <v>0</v>
      </c>
      <c r="RQ32" s="116">
        <v>0</v>
      </c>
      <c r="RR32" s="116">
        <v>0</v>
      </c>
      <c r="RS32" s="128">
        <v>0</v>
      </c>
      <c r="RT32" s="128">
        <v>0</v>
      </c>
      <c r="RU32" s="128">
        <v>0</v>
      </c>
      <c r="RV32" s="128">
        <v>0</v>
      </c>
      <c r="RW32">
        <v>0</v>
      </c>
      <c r="RX32" s="119">
        <v>0</v>
      </c>
      <c r="RY32" s="119">
        <v>0</v>
      </c>
      <c r="RZ32" s="119">
        <v>0</v>
      </c>
      <c r="SA32" s="119">
        <v>0</v>
      </c>
      <c r="SB32" s="121">
        <v>0</v>
      </c>
      <c r="SC32" s="119">
        <v>0</v>
      </c>
      <c r="SD32">
        <v>0</v>
      </c>
      <c r="SE32">
        <v>0</v>
      </c>
      <c r="SF32">
        <v>0</v>
      </c>
      <c r="SG32">
        <v>0</v>
      </c>
      <c r="SH32" s="119">
        <v>0</v>
      </c>
      <c r="SI32">
        <v>0</v>
      </c>
      <c r="SJ32">
        <v>0</v>
      </c>
      <c r="SK32">
        <v>0</v>
      </c>
      <c r="SL32">
        <v>0</v>
      </c>
      <c r="SM32">
        <v>0</v>
      </c>
      <c r="SN32">
        <v>0</v>
      </c>
      <c r="SO32">
        <v>0</v>
      </c>
      <c r="SP32">
        <v>0</v>
      </c>
      <c r="SQ32">
        <v>0</v>
      </c>
      <c r="SR32">
        <v>0</v>
      </c>
      <c r="SS32">
        <v>0</v>
      </c>
      <c r="ST32">
        <v>0</v>
      </c>
      <c r="SU32">
        <v>0</v>
      </c>
      <c r="SV32">
        <v>0</v>
      </c>
      <c r="SW32">
        <v>0</v>
      </c>
      <c r="SX32">
        <v>0</v>
      </c>
      <c r="SY32">
        <v>0</v>
      </c>
      <c r="SZ32">
        <v>0</v>
      </c>
      <c r="TA32">
        <v>0</v>
      </c>
      <c r="TB32">
        <v>0</v>
      </c>
      <c r="TC32">
        <v>0</v>
      </c>
      <c r="TD32">
        <v>0</v>
      </c>
      <c r="TE32">
        <v>0</v>
      </c>
      <c r="TF32" s="116">
        <v>0</v>
      </c>
      <c r="TG32" s="116">
        <v>0</v>
      </c>
      <c r="TH32" s="116">
        <v>0</v>
      </c>
      <c r="TI32" s="116">
        <v>0</v>
      </c>
      <c r="TJ32" s="116">
        <v>0</v>
      </c>
      <c r="TK32" s="116">
        <v>0</v>
      </c>
      <c r="TL32" s="116">
        <v>0</v>
      </c>
      <c r="TM32" s="116">
        <v>0</v>
      </c>
      <c r="TN32" s="116">
        <v>0</v>
      </c>
      <c r="TO32" s="128">
        <v>0</v>
      </c>
      <c r="TP32" s="128">
        <v>0</v>
      </c>
      <c r="TQ32" s="128">
        <v>0</v>
      </c>
      <c r="TR32" s="128">
        <v>0</v>
      </c>
      <c r="TS32">
        <v>0</v>
      </c>
      <c r="TT32" s="119">
        <v>0</v>
      </c>
      <c r="TU32" s="119">
        <v>0</v>
      </c>
      <c r="TV32" s="119">
        <v>0</v>
      </c>
      <c r="TW32" s="119">
        <v>0</v>
      </c>
      <c r="TX32" s="121">
        <v>0</v>
      </c>
      <c r="TY32" s="119">
        <v>0</v>
      </c>
      <c r="TZ32">
        <v>0</v>
      </c>
      <c r="UA32">
        <v>0</v>
      </c>
      <c r="UB32">
        <v>0</v>
      </c>
      <c r="UC32">
        <v>0</v>
      </c>
      <c r="UD32" s="119">
        <v>0</v>
      </c>
      <c r="UE32">
        <v>0</v>
      </c>
      <c r="UF32">
        <v>0</v>
      </c>
      <c r="UG32">
        <v>0</v>
      </c>
      <c r="UH32">
        <v>0</v>
      </c>
      <c r="UI32">
        <v>0</v>
      </c>
      <c r="UJ32">
        <v>0</v>
      </c>
      <c r="UK32">
        <v>0</v>
      </c>
      <c r="UL32">
        <v>0</v>
      </c>
      <c r="UM32">
        <v>0</v>
      </c>
      <c r="UN32">
        <v>0</v>
      </c>
      <c r="UO32">
        <v>0</v>
      </c>
      <c r="UP32">
        <v>0</v>
      </c>
      <c r="UQ32">
        <v>0</v>
      </c>
      <c r="UR32">
        <v>0</v>
      </c>
      <c r="US32">
        <v>0</v>
      </c>
      <c r="UT32">
        <v>0</v>
      </c>
      <c r="UU32">
        <v>0</v>
      </c>
      <c r="UV32">
        <v>0</v>
      </c>
      <c r="UW32">
        <v>0</v>
      </c>
      <c r="UX32">
        <v>0</v>
      </c>
      <c r="UY32">
        <v>0</v>
      </c>
      <c r="UZ32">
        <v>0</v>
      </c>
      <c r="VA32">
        <v>0</v>
      </c>
      <c r="VB32" s="116">
        <v>0</v>
      </c>
      <c r="VC32" s="116">
        <v>0</v>
      </c>
      <c r="VD32" s="116">
        <v>0</v>
      </c>
      <c r="VE32" s="116">
        <v>0</v>
      </c>
      <c r="VF32" s="116">
        <v>0</v>
      </c>
      <c r="VG32" s="116">
        <v>0</v>
      </c>
      <c r="VH32" s="116">
        <v>0</v>
      </c>
      <c r="VI32" s="116">
        <v>0</v>
      </c>
      <c r="VJ32" s="116">
        <v>0</v>
      </c>
      <c r="VK32" s="128">
        <v>0</v>
      </c>
      <c r="VL32" s="128">
        <v>0</v>
      </c>
      <c r="VM32" s="128">
        <v>0</v>
      </c>
      <c r="VN32" s="128">
        <v>0</v>
      </c>
      <c r="VO32">
        <v>0</v>
      </c>
      <c r="VP32" s="119">
        <v>0</v>
      </c>
      <c r="VQ32" s="119">
        <v>0</v>
      </c>
      <c r="VR32" s="119">
        <v>0</v>
      </c>
      <c r="VS32" s="119">
        <v>0</v>
      </c>
      <c r="VT32" s="121">
        <v>0</v>
      </c>
      <c r="VU32" s="119">
        <v>0</v>
      </c>
      <c r="VV32" s="119">
        <v>0</v>
      </c>
      <c r="VW32">
        <v>0</v>
      </c>
      <c r="VX32">
        <v>0</v>
      </c>
      <c r="VY32">
        <v>0</v>
      </c>
      <c r="VZ32" s="119">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s="116">
        <v>0</v>
      </c>
      <c r="WY32" s="116">
        <v>0</v>
      </c>
      <c r="WZ32" s="116">
        <v>0</v>
      </c>
      <c r="XA32" s="116">
        <v>0</v>
      </c>
      <c r="XB32" s="116">
        <v>0</v>
      </c>
      <c r="XC32" s="116">
        <v>0</v>
      </c>
      <c r="XD32" s="116">
        <v>0</v>
      </c>
      <c r="XE32" s="116">
        <v>0</v>
      </c>
      <c r="XF32" s="116">
        <v>0</v>
      </c>
      <c r="XG32" s="128">
        <v>0</v>
      </c>
      <c r="XH32" s="128">
        <v>0</v>
      </c>
      <c r="XI32" s="128">
        <v>0</v>
      </c>
      <c r="XJ32" s="128">
        <v>0</v>
      </c>
      <c r="XK32">
        <v>0</v>
      </c>
      <c r="XL32" s="119">
        <v>0</v>
      </c>
      <c r="XM32" s="119">
        <v>0</v>
      </c>
      <c r="XN32" s="119">
        <v>0</v>
      </c>
      <c r="XO32" s="119">
        <v>0</v>
      </c>
      <c r="XP32" s="121">
        <v>0</v>
      </c>
      <c r="XQ32" s="119">
        <v>0</v>
      </c>
      <c r="XR32" s="119">
        <v>0</v>
      </c>
      <c r="XS32">
        <v>0</v>
      </c>
      <c r="XT32">
        <v>0</v>
      </c>
      <c r="XU32">
        <v>0</v>
      </c>
      <c r="XV32" s="119">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S32">
        <v>0</v>
      </c>
      <c r="YT32">
        <v>0</v>
      </c>
      <c r="YU32">
        <v>0</v>
      </c>
      <c r="YV32">
        <v>0</v>
      </c>
      <c r="YW32">
        <v>0</v>
      </c>
      <c r="YX32">
        <v>0</v>
      </c>
      <c r="YY32">
        <v>0</v>
      </c>
      <c r="YZ32">
        <v>0</v>
      </c>
      <c r="ZA32">
        <v>0</v>
      </c>
      <c r="ZB32">
        <v>0</v>
      </c>
      <c r="ZC32" s="128">
        <v>0</v>
      </c>
      <c r="ZD32" s="128">
        <v>0</v>
      </c>
      <c r="ZE32" s="128">
        <v>0</v>
      </c>
      <c r="ZF32" s="128">
        <v>0</v>
      </c>
      <c r="ZG32">
        <v>0</v>
      </c>
      <c r="ZH32" s="119">
        <v>0</v>
      </c>
      <c r="ZI32" s="119">
        <v>0</v>
      </c>
      <c r="ZJ32" s="119">
        <v>0</v>
      </c>
      <c r="ZK32" s="119">
        <v>0</v>
      </c>
      <c r="ZL32" s="121">
        <v>0</v>
      </c>
      <c r="ZM32" s="119">
        <v>0</v>
      </c>
      <c r="ZN32" s="119">
        <v>0</v>
      </c>
      <c r="ZO32">
        <v>0</v>
      </c>
      <c r="ZP32">
        <v>0</v>
      </c>
      <c r="ZQ32">
        <v>0</v>
      </c>
      <c r="ZR32" s="119">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s="116">
        <v>0</v>
      </c>
      <c r="AAQ32" s="116">
        <v>0</v>
      </c>
      <c r="AAR32" s="116">
        <v>0</v>
      </c>
      <c r="AAS32" s="116">
        <v>0</v>
      </c>
      <c r="AAT32" s="116">
        <v>0</v>
      </c>
      <c r="AAU32" s="116">
        <v>0</v>
      </c>
      <c r="AAV32" s="116">
        <v>0</v>
      </c>
      <c r="AAW32" s="116">
        <v>0</v>
      </c>
      <c r="AAX32" s="116">
        <v>0</v>
      </c>
      <c r="AAY32" s="128">
        <v>0</v>
      </c>
      <c r="AAZ32" s="128">
        <v>0</v>
      </c>
      <c r="ABA32" s="128">
        <v>0</v>
      </c>
      <c r="ABB32" s="128">
        <v>0</v>
      </c>
      <c r="ABC32">
        <v>0</v>
      </c>
      <c r="ABD32" s="119">
        <v>0</v>
      </c>
      <c r="ABE32" s="119">
        <v>0</v>
      </c>
      <c r="ABF32" s="119">
        <v>0</v>
      </c>
      <c r="ABG32" s="119">
        <v>0</v>
      </c>
      <c r="ABH32" s="121">
        <v>0</v>
      </c>
      <c r="ABI32" s="119">
        <v>0</v>
      </c>
      <c r="ABJ32" s="119">
        <v>0</v>
      </c>
      <c r="ABK32">
        <v>0</v>
      </c>
      <c r="ABL32">
        <v>0</v>
      </c>
      <c r="ABM32">
        <v>0</v>
      </c>
      <c r="ABN32" s="119">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s="116">
        <v>0</v>
      </c>
      <c r="ACM32" s="116">
        <v>0</v>
      </c>
      <c r="ACN32" s="116">
        <v>0</v>
      </c>
      <c r="ACO32" s="116">
        <v>0</v>
      </c>
      <c r="ACP32" s="116">
        <v>0</v>
      </c>
      <c r="ACQ32" s="116">
        <v>0</v>
      </c>
      <c r="ACR32" s="116">
        <v>0</v>
      </c>
      <c r="ACS32" s="116">
        <v>0</v>
      </c>
      <c r="ACT32" s="116">
        <v>0</v>
      </c>
      <c r="ACU32" s="128">
        <v>0</v>
      </c>
      <c r="ACV32" s="128">
        <v>0</v>
      </c>
      <c r="ACW32" s="128">
        <v>0</v>
      </c>
      <c r="ACX32" s="128">
        <v>0</v>
      </c>
      <c r="ACY32">
        <v>0</v>
      </c>
      <c r="ACZ32" s="119">
        <v>0</v>
      </c>
      <c r="ADA32" s="119">
        <v>0</v>
      </c>
      <c r="ADB32" s="119">
        <v>0</v>
      </c>
      <c r="ADC32" s="119">
        <v>0</v>
      </c>
      <c r="ADD32" s="121">
        <v>0</v>
      </c>
      <c r="ADE32" s="119">
        <v>0</v>
      </c>
      <c r="ADF32" s="119">
        <v>0</v>
      </c>
      <c r="ADG32">
        <v>0</v>
      </c>
      <c r="ADH32">
        <v>0</v>
      </c>
      <c r="ADI32">
        <v>0</v>
      </c>
      <c r="ADJ32" s="119">
        <v>0</v>
      </c>
      <c r="ADK32">
        <v>0</v>
      </c>
      <c r="ADL32">
        <v>0</v>
      </c>
      <c r="ADM32">
        <v>0</v>
      </c>
      <c r="ADN32">
        <v>0</v>
      </c>
      <c r="ADO32">
        <v>0</v>
      </c>
      <c r="ADP32">
        <v>0</v>
      </c>
      <c r="ADQ32">
        <v>0</v>
      </c>
      <c r="ADR32">
        <v>0</v>
      </c>
      <c r="ADS32">
        <v>0</v>
      </c>
      <c r="ADT32">
        <v>0</v>
      </c>
      <c r="ADU32">
        <v>0</v>
      </c>
      <c r="ADV32">
        <v>0</v>
      </c>
      <c r="ADW32">
        <v>0</v>
      </c>
      <c r="ADX32">
        <v>0</v>
      </c>
      <c r="ADY32">
        <v>0</v>
      </c>
      <c r="ADZ32">
        <v>0</v>
      </c>
      <c r="AEA32">
        <v>0</v>
      </c>
      <c r="AEB32">
        <v>0</v>
      </c>
      <c r="AEC32">
        <v>0</v>
      </c>
      <c r="AED32">
        <v>0</v>
      </c>
      <c r="AEE32">
        <v>0</v>
      </c>
      <c r="AEF32">
        <v>0</v>
      </c>
      <c r="AEG32">
        <v>0</v>
      </c>
      <c r="AEH32" s="116">
        <v>0</v>
      </c>
      <c r="AEI32" s="116">
        <v>0</v>
      </c>
      <c r="AEJ32" s="116">
        <v>0</v>
      </c>
      <c r="AEK32" s="116">
        <v>0</v>
      </c>
      <c r="AEL32" s="116">
        <v>0</v>
      </c>
      <c r="AEM32" s="116">
        <v>0</v>
      </c>
      <c r="AEN32" s="116">
        <v>0</v>
      </c>
      <c r="AEO32" s="116">
        <v>0</v>
      </c>
      <c r="AEP32" s="116">
        <v>0</v>
      </c>
      <c r="AEQ32" s="128">
        <v>0</v>
      </c>
      <c r="AER32" s="128">
        <v>0</v>
      </c>
      <c r="AES32" s="128">
        <v>0</v>
      </c>
      <c r="AET32" s="128">
        <v>0</v>
      </c>
      <c r="AEU32">
        <v>0</v>
      </c>
      <c r="AEV32" s="119">
        <v>0</v>
      </c>
      <c r="AEW32" s="119">
        <v>0</v>
      </c>
      <c r="AEX32" s="119">
        <v>0</v>
      </c>
      <c r="AEY32" s="119">
        <v>0</v>
      </c>
      <c r="AEZ32" s="121">
        <v>0</v>
      </c>
      <c r="AFA32" s="119">
        <v>0</v>
      </c>
      <c r="AFB32" s="119">
        <v>0</v>
      </c>
      <c r="AFC32">
        <v>0</v>
      </c>
      <c r="AFD32">
        <v>0</v>
      </c>
      <c r="AFE32">
        <v>0</v>
      </c>
      <c r="AFF32" s="119">
        <v>0</v>
      </c>
      <c r="AFG32">
        <v>0</v>
      </c>
      <c r="AFH32">
        <v>0</v>
      </c>
      <c r="AFI32">
        <v>0</v>
      </c>
      <c r="AFJ32">
        <v>0</v>
      </c>
      <c r="AFK32">
        <v>0</v>
      </c>
      <c r="AFL32">
        <v>0</v>
      </c>
      <c r="AFM32">
        <v>0</v>
      </c>
      <c r="AFN32">
        <v>0</v>
      </c>
      <c r="AFO32">
        <v>0</v>
      </c>
      <c r="AFP32">
        <v>0</v>
      </c>
      <c r="AFQ32">
        <v>0</v>
      </c>
      <c r="AFR32">
        <v>0</v>
      </c>
      <c r="AFS32">
        <v>0</v>
      </c>
      <c r="AFT32">
        <v>0</v>
      </c>
      <c r="AFU32">
        <v>0</v>
      </c>
      <c r="AFV32">
        <v>0</v>
      </c>
      <c r="AFW32">
        <v>0</v>
      </c>
      <c r="AFX32">
        <v>0</v>
      </c>
      <c r="AFY32">
        <v>0</v>
      </c>
      <c r="AFZ32">
        <v>0</v>
      </c>
      <c r="AGA32">
        <v>0</v>
      </c>
      <c r="AGB32">
        <v>0</v>
      </c>
      <c r="AGC32">
        <v>0</v>
      </c>
      <c r="AGD32" s="116">
        <v>0</v>
      </c>
      <c r="AGE32" s="116">
        <v>0</v>
      </c>
      <c r="AGF32" s="116">
        <v>0</v>
      </c>
      <c r="AGG32" s="116">
        <v>0</v>
      </c>
      <c r="AGH32" s="116">
        <v>0</v>
      </c>
      <c r="AGI32" s="116">
        <v>0</v>
      </c>
      <c r="AGJ32" s="116">
        <v>0</v>
      </c>
      <c r="AGK32" s="116">
        <v>0</v>
      </c>
      <c r="AGL32" s="116">
        <v>0</v>
      </c>
      <c r="AGM32" s="128">
        <v>0</v>
      </c>
      <c r="AGN32" s="128">
        <v>0</v>
      </c>
      <c r="AGO32" s="128">
        <v>0</v>
      </c>
      <c r="AGP32" s="128">
        <v>0</v>
      </c>
      <c r="AGQ32">
        <v>0</v>
      </c>
      <c r="AGR32" s="119">
        <v>0</v>
      </c>
      <c r="AGS32" s="119">
        <v>0</v>
      </c>
      <c r="AGT32" s="119">
        <v>0</v>
      </c>
      <c r="AGU32" s="119">
        <v>0</v>
      </c>
      <c r="AGV32" s="121">
        <v>0</v>
      </c>
      <c r="AGW32" s="119">
        <v>0</v>
      </c>
      <c r="AGX32" s="119">
        <v>0</v>
      </c>
      <c r="AGY32">
        <v>0</v>
      </c>
      <c r="AGZ32">
        <v>0</v>
      </c>
      <c r="AHA32">
        <v>0</v>
      </c>
      <c r="AHB32" s="119">
        <v>0</v>
      </c>
      <c r="AHC32">
        <v>0</v>
      </c>
      <c r="AHD32">
        <v>0</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A32">
        <v>0</v>
      </c>
      <c r="AIB32">
        <v>0</v>
      </c>
      <c r="AIC32">
        <v>0</v>
      </c>
      <c r="AID32">
        <v>0</v>
      </c>
      <c r="AIE32">
        <v>0</v>
      </c>
      <c r="AIF32">
        <v>0</v>
      </c>
      <c r="AIG32">
        <v>0</v>
      </c>
      <c r="AIH32">
        <v>0</v>
      </c>
      <c r="AII32" s="128">
        <v>0</v>
      </c>
      <c r="AIJ32" s="128">
        <v>0</v>
      </c>
      <c r="AIK32" s="128">
        <v>0</v>
      </c>
      <c r="AIL32" s="128">
        <v>0</v>
      </c>
      <c r="AIM32">
        <v>0</v>
      </c>
      <c r="AIN32" s="119">
        <v>0</v>
      </c>
      <c r="AIO32" s="119">
        <v>0</v>
      </c>
      <c r="AIP32" s="119">
        <v>0</v>
      </c>
      <c r="AIQ32" s="119">
        <v>0</v>
      </c>
      <c r="AIR32" s="121">
        <v>0</v>
      </c>
      <c r="AIS32" s="119">
        <v>0</v>
      </c>
      <c r="AIT32" s="119">
        <v>0</v>
      </c>
      <c r="AIU32">
        <v>0</v>
      </c>
      <c r="AIV32">
        <v>0</v>
      </c>
      <c r="AIW32">
        <v>0</v>
      </c>
      <c r="AIX32" s="119">
        <v>0</v>
      </c>
      <c r="AIY32">
        <v>0</v>
      </c>
      <c r="AIZ32">
        <v>0</v>
      </c>
      <c r="AJA32">
        <v>0</v>
      </c>
      <c r="AJB32">
        <v>0</v>
      </c>
      <c r="AJC32">
        <v>0</v>
      </c>
      <c r="AJD32">
        <v>0</v>
      </c>
      <c r="AJE32">
        <v>0</v>
      </c>
      <c r="AJF32">
        <v>0</v>
      </c>
      <c r="AJG32">
        <v>0</v>
      </c>
      <c r="AJH32">
        <v>0</v>
      </c>
      <c r="AJI32">
        <v>0</v>
      </c>
      <c r="AJJ32">
        <v>0</v>
      </c>
      <c r="AJK32">
        <v>0</v>
      </c>
      <c r="AJL32">
        <v>0</v>
      </c>
      <c r="AJM32">
        <v>0</v>
      </c>
      <c r="AJN32">
        <v>0</v>
      </c>
      <c r="AJO32">
        <v>0</v>
      </c>
      <c r="AJP32">
        <v>0</v>
      </c>
      <c r="AJQ32">
        <v>0</v>
      </c>
      <c r="AJR32">
        <v>0</v>
      </c>
      <c r="AJS32">
        <v>0</v>
      </c>
      <c r="AJT32">
        <v>0</v>
      </c>
      <c r="AJU32">
        <v>0</v>
      </c>
      <c r="AJV32" s="116">
        <v>0</v>
      </c>
      <c r="AJW32" s="116">
        <v>0</v>
      </c>
      <c r="AJX32" s="116">
        <v>0</v>
      </c>
      <c r="AJY32" s="116">
        <v>0</v>
      </c>
      <c r="AJZ32" s="116">
        <v>0</v>
      </c>
      <c r="AKA32" s="116">
        <v>0</v>
      </c>
      <c r="AKB32" s="116">
        <v>0</v>
      </c>
      <c r="AKC32" s="116">
        <v>0</v>
      </c>
      <c r="AKD32" s="116">
        <v>0</v>
      </c>
      <c r="AKE32" s="128">
        <v>0</v>
      </c>
      <c r="AKF32" s="128">
        <v>0</v>
      </c>
      <c r="AKG32" s="128">
        <v>0</v>
      </c>
      <c r="AKH32" s="128">
        <v>0</v>
      </c>
      <c r="AKI32">
        <v>0</v>
      </c>
      <c r="AKJ32" s="119">
        <v>0</v>
      </c>
      <c r="AKK32" s="119">
        <v>0</v>
      </c>
      <c r="AKL32" s="119">
        <v>0</v>
      </c>
      <c r="AKM32" s="119">
        <v>0</v>
      </c>
      <c r="AKN32" s="121">
        <v>0</v>
      </c>
      <c r="AKO32" s="119">
        <v>0</v>
      </c>
      <c r="AKP32" s="119">
        <v>0</v>
      </c>
      <c r="AKQ32">
        <v>0</v>
      </c>
      <c r="AKR32">
        <v>0</v>
      </c>
      <c r="AKS32">
        <v>0</v>
      </c>
      <c r="AKT32" s="119">
        <v>0</v>
      </c>
      <c r="AKU32">
        <v>0</v>
      </c>
      <c r="AKV32">
        <v>0</v>
      </c>
      <c r="AKW32">
        <v>0</v>
      </c>
      <c r="AKX32">
        <v>0</v>
      </c>
      <c r="AKY32">
        <v>0</v>
      </c>
      <c r="AKZ32">
        <v>0</v>
      </c>
      <c r="ALA32">
        <v>0</v>
      </c>
      <c r="ALB32">
        <v>0</v>
      </c>
      <c r="ALC32">
        <v>0</v>
      </c>
      <c r="ALD32">
        <v>0</v>
      </c>
      <c r="ALE32">
        <v>0</v>
      </c>
      <c r="ALF32">
        <v>0</v>
      </c>
      <c r="ALG32">
        <v>0</v>
      </c>
      <c r="ALH32">
        <v>0</v>
      </c>
      <c r="ALI32">
        <v>0</v>
      </c>
      <c r="ALJ32">
        <v>0</v>
      </c>
      <c r="ALK32">
        <v>0</v>
      </c>
      <c r="ALL32">
        <v>0</v>
      </c>
      <c r="ALM32">
        <v>0</v>
      </c>
      <c r="ALN32">
        <v>0</v>
      </c>
      <c r="ALO32">
        <v>0</v>
      </c>
      <c r="ALP32">
        <v>0</v>
      </c>
      <c r="ALQ32">
        <v>0</v>
      </c>
      <c r="ALR32" s="116">
        <v>0</v>
      </c>
      <c r="ALS32" s="116">
        <v>0</v>
      </c>
      <c r="ALT32" s="116">
        <v>0</v>
      </c>
      <c r="ALU32" s="116">
        <v>0</v>
      </c>
      <c r="ALV32" s="116">
        <v>0</v>
      </c>
      <c r="ALW32" s="116">
        <v>0</v>
      </c>
      <c r="ALX32" s="116">
        <v>0</v>
      </c>
      <c r="ALY32" s="116">
        <v>0</v>
      </c>
      <c r="ALZ32" s="116">
        <v>0</v>
      </c>
      <c r="AMA32" s="128">
        <v>0</v>
      </c>
      <c r="AMB32" s="128">
        <v>0</v>
      </c>
      <c r="AMC32" s="128">
        <v>0</v>
      </c>
      <c r="AMD32" s="128">
        <v>0</v>
      </c>
      <c r="AME32">
        <v>0</v>
      </c>
      <c r="AMF32" s="119">
        <v>0</v>
      </c>
      <c r="AMG32" s="119">
        <v>0</v>
      </c>
      <c r="AMH32" s="119">
        <v>0</v>
      </c>
      <c r="AMI32" s="119">
        <v>0</v>
      </c>
      <c r="AMJ32" s="121">
        <v>0</v>
      </c>
      <c r="AMK32" s="119">
        <v>0</v>
      </c>
      <c r="AML32" s="119">
        <v>0</v>
      </c>
      <c r="AMM32">
        <v>0</v>
      </c>
      <c r="AMN32">
        <v>0</v>
      </c>
      <c r="AMO32">
        <v>0</v>
      </c>
      <c r="AMP32" s="119">
        <v>0</v>
      </c>
      <c r="AMQ32">
        <v>0</v>
      </c>
      <c r="AMR32">
        <v>0</v>
      </c>
      <c r="AMS32">
        <v>0</v>
      </c>
      <c r="AMT32">
        <v>0</v>
      </c>
      <c r="AMU32">
        <v>0</v>
      </c>
      <c r="AMV32">
        <v>0</v>
      </c>
      <c r="AMW32">
        <v>0</v>
      </c>
      <c r="AMX32">
        <v>0</v>
      </c>
      <c r="AMY32">
        <v>0</v>
      </c>
      <c r="AMZ32">
        <v>0</v>
      </c>
      <c r="ANA32">
        <v>0</v>
      </c>
      <c r="ANB32">
        <v>0</v>
      </c>
      <c r="ANC32">
        <v>0</v>
      </c>
      <c r="AND32">
        <v>0</v>
      </c>
      <c r="ANE32">
        <v>0</v>
      </c>
      <c r="ANF32">
        <v>0</v>
      </c>
      <c r="ANG32">
        <v>0</v>
      </c>
      <c r="ANH32">
        <v>0</v>
      </c>
      <c r="ANI32">
        <v>0</v>
      </c>
      <c r="ANJ32">
        <v>0</v>
      </c>
      <c r="ANK32">
        <v>0</v>
      </c>
      <c r="ANL32">
        <v>0</v>
      </c>
      <c r="ANM32">
        <v>0</v>
      </c>
      <c r="ANN32" s="116">
        <v>0</v>
      </c>
      <c r="ANO32" s="116">
        <v>0</v>
      </c>
      <c r="ANP32" s="116">
        <v>0</v>
      </c>
      <c r="ANQ32" s="116">
        <v>0</v>
      </c>
      <c r="ANR32" s="116">
        <v>0</v>
      </c>
      <c r="ANS32" s="116">
        <v>0</v>
      </c>
      <c r="ANT32" s="116">
        <v>0</v>
      </c>
      <c r="ANU32" s="116">
        <v>0</v>
      </c>
      <c r="ANV32" s="116">
        <v>0</v>
      </c>
      <c r="ANW32" s="128">
        <v>0</v>
      </c>
      <c r="ANX32" s="128">
        <v>0</v>
      </c>
      <c r="ANY32" s="128">
        <v>0</v>
      </c>
      <c r="ANZ32" s="128">
        <v>0</v>
      </c>
      <c r="AOA32">
        <v>0</v>
      </c>
      <c r="AOB32" s="119">
        <v>0</v>
      </c>
      <c r="AOC32" s="119">
        <v>0</v>
      </c>
      <c r="AOD32" s="119">
        <v>0</v>
      </c>
      <c r="AOE32" s="119">
        <v>0</v>
      </c>
      <c r="AOF32" s="121">
        <v>0</v>
      </c>
      <c r="AOG32" s="119">
        <v>0</v>
      </c>
      <c r="AOH32" s="119">
        <v>0</v>
      </c>
      <c r="AOI32">
        <v>0</v>
      </c>
      <c r="AOJ32">
        <v>0</v>
      </c>
      <c r="AOK32">
        <v>0</v>
      </c>
      <c r="AOL32" s="119">
        <v>0</v>
      </c>
      <c r="AOM32">
        <v>0</v>
      </c>
      <c r="AON32">
        <v>0</v>
      </c>
      <c r="AOO32">
        <v>0</v>
      </c>
      <c r="AOP32">
        <v>0</v>
      </c>
      <c r="AOQ32">
        <v>0</v>
      </c>
      <c r="AOR32">
        <v>0</v>
      </c>
      <c r="AOS32">
        <v>0</v>
      </c>
      <c r="AOT32">
        <v>0</v>
      </c>
      <c r="AOU32">
        <v>0</v>
      </c>
      <c r="AOV32">
        <v>0</v>
      </c>
      <c r="AOW32">
        <v>0</v>
      </c>
      <c r="AOX32">
        <v>0</v>
      </c>
      <c r="AOY32">
        <v>0</v>
      </c>
      <c r="AOZ32">
        <v>0</v>
      </c>
      <c r="APA32">
        <v>0</v>
      </c>
      <c r="APB32">
        <v>0</v>
      </c>
      <c r="APC32">
        <v>0</v>
      </c>
      <c r="APD32">
        <v>0</v>
      </c>
      <c r="APE32">
        <v>0</v>
      </c>
      <c r="APF32">
        <v>0</v>
      </c>
      <c r="APG32">
        <v>0</v>
      </c>
      <c r="APH32">
        <v>0</v>
      </c>
      <c r="API32">
        <v>0</v>
      </c>
      <c r="APJ32" s="116">
        <v>0</v>
      </c>
      <c r="APK32" s="116">
        <v>0</v>
      </c>
      <c r="APL32" s="116">
        <v>0</v>
      </c>
      <c r="APM32" s="116">
        <v>0</v>
      </c>
      <c r="APN32" s="116">
        <v>0</v>
      </c>
      <c r="APO32" s="116">
        <v>0</v>
      </c>
      <c r="APP32" s="116">
        <v>0</v>
      </c>
      <c r="APQ32" s="116">
        <v>0</v>
      </c>
      <c r="APR32" s="116">
        <v>0</v>
      </c>
      <c r="APS32" s="128">
        <v>0</v>
      </c>
      <c r="APT32" s="128">
        <v>0</v>
      </c>
      <c r="APU32" s="128">
        <v>0</v>
      </c>
      <c r="APV32" s="128">
        <v>0</v>
      </c>
      <c r="APW32">
        <v>0</v>
      </c>
      <c r="APX32" s="119">
        <v>0</v>
      </c>
      <c r="APY32" s="119">
        <v>0</v>
      </c>
      <c r="APZ32" s="119">
        <v>0</v>
      </c>
      <c r="AQA32" s="119">
        <v>0</v>
      </c>
      <c r="AQB32" s="121">
        <v>0</v>
      </c>
      <c r="AQC32" s="119">
        <v>0</v>
      </c>
      <c r="AQD32" s="119">
        <v>0</v>
      </c>
      <c r="AQE32">
        <v>0</v>
      </c>
      <c r="AQF32">
        <v>0</v>
      </c>
      <c r="AQG32">
        <v>0</v>
      </c>
      <c r="AQH32" s="119">
        <v>0</v>
      </c>
      <c r="AQI32">
        <v>0</v>
      </c>
      <c r="AQJ32">
        <v>0</v>
      </c>
      <c r="AQK32">
        <v>0</v>
      </c>
      <c r="AQL32">
        <v>0</v>
      </c>
      <c r="AQM32">
        <v>0</v>
      </c>
      <c r="AQN32">
        <v>0</v>
      </c>
      <c r="AQO32">
        <v>0</v>
      </c>
      <c r="AQP32">
        <v>0</v>
      </c>
      <c r="AQQ32">
        <v>0</v>
      </c>
      <c r="AQR32">
        <v>0</v>
      </c>
      <c r="AQS32">
        <v>0</v>
      </c>
      <c r="AQT32">
        <v>0</v>
      </c>
      <c r="AQU32">
        <v>0</v>
      </c>
      <c r="AQV32">
        <v>0</v>
      </c>
      <c r="AQW32">
        <v>0</v>
      </c>
      <c r="AQX32">
        <v>0</v>
      </c>
      <c r="AQY32">
        <v>0</v>
      </c>
      <c r="AQZ32">
        <v>0</v>
      </c>
      <c r="ARA32">
        <v>0</v>
      </c>
      <c r="ARB32">
        <v>0</v>
      </c>
      <c r="ARC32">
        <v>0</v>
      </c>
      <c r="ARD32">
        <v>0</v>
      </c>
      <c r="ARE32">
        <v>0</v>
      </c>
      <c r="ARF32">
        <v>0</v>
      </c>
      <c r="ARG32">
        <v>0</v>
      </c>
      <c r="ARH32">
        <v>0</v>
      </c>
      <c r="ARI32">
        <v>0</v>
      </c>
      <c r="ARJ32">
        <v>0</v>
      </c>
      <c r="ARK32">
        <v>0</v>
      </c>
      <c r="ARL32">
        <v>0</v>
      </c>
      <c r="ARM32">
        <v>0</v>
      </c>
      <c r="ARN32">
        <v>0</v>
      </c>
      <c r="ARO32" s="128">
        <v>0</v>
      </c>
      <c r="ARP32" s="128">
        <v>0</v>
      </c>
      <c r="ARQ32" s="128">
        <v>0</v>
      </c>
      <c r="ARR32" s="128">
        <v>0</v>
      </c>
      <c r="ARS32">
        <v>0</v>
      </c>
      <c r="ART32" s="119">
        <v>0</v>
      </c>
      <c r="ARU32" s="119">
        <v>0</v>
      </c>
      <c r="ARV32" s="119">
        <v>0</v>
      </c>
      <c r="ARW32" s="119">
        <v>0</v>
      </c>
      <c r="ARX32" s="121">
        <v>0</v>
      </c>
      <c r="ARY32" s="119">
        <v>0</v>
      </c>
      <c r="ARZ32" s="119">
        <v>0</v>
      </c>
      <c r="ASA32">
        <v>0</v>
      </c>
      <c r="ASB32">
        <v>0</v>
      </c>
      <c r="ASC32">
        <v>0</v>
      </c>
      <c r="ASD32" s="119">
        <v>0</v>
      </c>
      <c r="ASE32">
        <v>0</v>
      </c>
      <c r="ASF32">
        <v>0</v>
      </c>
      <c r="ASG32">
        <v>0</v>
      </c>
      <c r="ASH32">
        <v>0</v>
      </c>
      <c r="ASI32">
        <v>0</v>
      </c>
      <c r="ASJ32">
        <v>0</v>
      </c>
      <c r="ASK32">
        <v>0</v>
      </c>
      <c r="ASL32">
        <v>0</v>
      </c>
      <c r="ASM32">
        <v>0</v>
      </c>
      <c r="ASN32">
        <v>0</v>
      </c>
      <c r="ASO32">
        <v>0</v>
      </c>
      <c r="ASP32">
        <v>0</v>
      </c>
      <c r="ASQ32">
        <v>0</v>
      </c>
      <c r="ASR32">
        <v>0</v>
      </c>
      <c r="ASS32">
        <v>0</v>
      </c>
      <c r="AST32">
        <v>0</v>
      </c>
      <c r="ASU32">
        <v>0</v>
      </c>
      <c r="ASV32">
        <v>0</v>
      </c>
      <c r="ASW32">
        <v>0</v>
      </c>
      <c r="ASX32">
        <v>0</v>
      </c>
      <c r="ASY32">
        <v>0</v>
      </c>
      <c r="ASZ32">
        <v>0</v>
      </c>
      <c r="ATA32">
        <v>0</v>
      </c>
      <c r="ATB32" s="116">
        <v>0</v>
      </c>
      <c r="ATC32" s="116">
        <v>0</v>
      </c>
      <c r="ATD32" s="116">
        <v>0</v>
      </c>
      <c r="ATE32" s="116">
        <v>0</v>
      </c>
      <c r="ATF32" s="116">
        <v>0</v>
      </c>
      <c r="ATG32" s="116">
        <v>0</v>
      </c>
      <c r="ATH32" s="116">
        <v>0</v>
      </c>
      <c r="ATI32" s="116">
        <v>0</v>
      </c>
      <c r="ATJ32" s="116">
        <v>0</v>
      </c>
      <c r="ATK32" s="128">
        <v>0</v>
      </c>
      <c r="ATL32" s="128">
        <v>0</v>
      </c>
      <c r="ATM32" s="128">
        <v>0</v>
      </c>
      <c r="ATN32" s="128">
        <v>0</v>
      </c>
      <c r="ATO32">
        <v>0</v>
      </c>
      <c r="ATP32" s="119">
        <v>0</v>
      </c>
      <c r="ATQ32" s="119">
        <v>0</v>
      </c>
      <c r="ATR32" s="119">
        <v>0</v>
      </c>
      <c r="ATS32" s="119">
        <v>0</v>
      </c>
      <c r="ATT32" s="121">
        <v>0</v>
      </c>
      <c r="ATU32" s="119">
        <v>0</v>
      </c>
      <c r="ATV32" s="119">
        <v>0</v>
      </c>
      <c r="ATW32">
        <v>0</v>
      </c>
      <c r="ATX32">
        <v>0</v>
      </c>
      <c r="ATY32">
        <v>0</v>
      </c>
      <c r="ATZ32" s="119">
        <v>0</v>
      </c>
      <c r="AUA32">
        <v>0</v>
      </c>
      <c r="AUB32">
        <v>0</v>
      </c>
      <c r="AUC32">
        <v>0</v>
      </c>
      <c r="AUD32">
        <v>0</v>
      </c>
      <c r="AUE32">
        <v>0</v>
      </c>
      <c r="AUF32">
        <v>0</v>
      </c>
      <c r="AUG32">
        <v>0</v>
      </c>
      <c r="AUH32">
        <v>0</v>
      </c>
      <c r="AUI32">
        <v>0</v>
      </c>
      <c r="AUJ32">
        <v>0</v>
      </c>
      <c r="AUK32">
        <v>0</v>
      </c>
      <c r="AUL32">
        <v>0</v>
      </c>
      <c r="AUM32">
        <v>0</v>
      </c>
      <c r="AUN32">
        <v>0</v>
      </c>
      <c r="AUO32">
        <v>0</v>
      </c>
      <c r="AUP32">
        <v>0</v>
      </c>
      <c r="AUQ32">
        <v>0</v>
      </c>
      <c r="AUR32">
        <v>0</v>
      </c>
      <c r="AUS32">
        <v>0</v>
      </c>
      <c r="AUT32">
        <v>0</v>
      </c>
      <c r="AUU32">
        <v>0</v>
      </c>
      <c r="AUV32">
        <v>0</v>
      </c>
      <c r="AUW32">
        <v>0</v>
      </c>
      <c r="AUX32" s="116">
        <v>0</v>
      </c>
      <c r="AUY32" s="116">
        <v>0</v>
      </c>
      <c r="AUZ32" s="116">
        <v>0</v>
      </c>
      <c r="AVA32" s="116">
        <v>0</v>
      </c>
      <c r="AVB32" s="116">
        <v>0</v>
      </c>
      <c r="AVC32" s="116">
        <v>0</v>
      </c>
      <c r="AVD32" s="116">
        <v>0</v>
      </c>
      <c r="AVE32" s="116">
        <v>0</v>
      </c>
      <c r="AVF32" s="116">
        <v>0</v>
      </c>
      <c r="AVG32" s="128">
        <v>0</v>
      </c>
      <c r="AVH32" s="128">
        <v>0</v>
      </c>
      <c r="AVI32" s="128">
        <v>0</v>
      </c>
      <c r="AVJ32" s="128">
        <v>0</v>
      </c>
      <c r="AVK32">
        <v>0</v>
      </c>
      <c r="AVL32" s="119">
        <v>0</v>
      </c>
      <c r="AVM32" s="119">
        <v>0</v>
      </c>
      <c r="AVN32" s="119">
        <v>0</v>
      </c>
      <c r="AVO32" s="119">
        <v>0</v>
      </c>
      <c r="AVP32" s="121">
        <v>0</v>
      </c>
      <c r="AVQ32" s="119">
        <v>0</v>
      </c>
      <c r="AVR32" s="119">
        <v>0</v>
      </c>
      <c r="AVS32">
        <v>0</v>
      </c>
      <c r="AVT32">
        <v>0</v>
      </c>
      <c r="AVU32">
        <v>0</v>
      </c>
      <c r="AVV32" s="119">
        <v>0</v>
      </c>
      <c r="AVW32">
        <v>0</v>
      </c>
      <c r="AVX32">
        <v>0</v>
      </c>
      <c r="AVY32">
        <v>0</v>
      </c>
      <c r="AVZ32">
        <v>0</v>
      </c>
      <c r="AWA32">
        <v>0</v>
      </c>
      <c r="AWB32">
        <v>0</v>
      </c>
      <c r="AWC32">
        <v>0</v>
      </c>
      <c r="AWD32">
        <v>0</v>
      </c>
      <c r="AWE32">
        <v>0</v>
      </c>
      <c r="AWF32">
        <v>0</v>
      </c>
      <c r="AWG32">
        <v>0</v>
      </c>
      <c r="AWH32">
        <v>0</v>
      </c>
      <c r="AWI32">
        <v>0</v>
      </c>
      <c r="AWJ32">
        <v>0</v>
      </c>
      <c r="AWK32">
        <v>0</v>
      </c>
      <c r="AWL32">
        <v>0</v>
      </c>
      <c r="AWM32">
        <v>0</v>
      </c>
      <c r="AWN32">
        <v>0</v>
      </c>
      <c r="AWO32">
        <v>0</v>
      </c>
      <c r="AWP32">
        <v>0</v>
      </c>
      <c r="AWQ32">
        <v>0</v>
      </c>
      <c r="AWR32">
        <v>0</v>
      </c>
      <c r="AWS32">
        <v>0</v>
      </c>
      <c r="AWT32" s="116">
        <v>0</v>
      </c>
      <c r="AWU32" s="116">
        <v>0</v>
      </c>
      <c r="AWV32" s="116">
        <v>0</v>
      </c>
      <c r="AWW32" s="116">
        <v>0</v>
      </c>
      <c r="AWX32" s="116">
        <v>0</v>
      </c>
      <c r="AWY32" s="116">
        <v>0</v>
      </c>
      <c r="AWZ32" s="116">
        <v>0</v>
      </c>
      <c r="AXA32" s="116">
        <v>0</v>
      </c>
      <c r="AXB32" s="116">
        <v>0</v>
      </c>
      <c r="AXC32" s="128">
        <v>0</v>
      </c>
      <c r="AXD32" s="128">
        <v>0</v>
      </c>
      <c r="AXE32" s="128">
        <v>0</v>
      </c>
      <c r="AXF32" s="128">
        <v>0</v>
      </c>
      <c r="AXG32">
        <v>0</v>
      </c>
      <c r="AXH32" s="119">
        <v>0</v>
      </c>
      <c r="AXI32" s="119">
        <v>0</v>
      </c>
      <c r="AXJ32" s="119">
        <v>0</v>
      </c>
      <c r="AXK32" s="119">
        <v>0</v>
      </c>
      <c r="AXL32" s="121">
        <v>0</v>
      </c>
      <c r="AXM32" s="119">
        <v>0</v>
      </c>
      <c r="AXN32" s="119">
        <v>0</v>
      </c>
      <c r="AXO32">
        <v>0</v>
      </c>
      <c r="AXP32">
        <v>0</v>
      </c>
      <c r="AXQ32">
        <v>0</v>
      </c>
      <c r="AXR32" s="119">
        <v>0</v>
      </c>
      <c r="AXS32">
        <v>0</v>
      </c>
      <c r="AXT32">
        <v>0</v>
      </c>
      <c r="AXU32">
        <v>0</v>
      </c>
      <c r="AXV32">
        <v>0</v>
      </c>
      <c r="AXW32">
        <v>0</v>
      </c>
      <c r="AXX32">
        <v>0</v>
      </c>
      <c r="AXY32">
        <v>0</v>
      </c>
      <c r="AXZ32">
        <v>0</v>
      </c>
      <c r="AYA32">
        <v>0</v>
      </c>
      <c r="AYB32">
        <v>0</v>
      </c>
      <c r="AYC32">
        <v>0</v>
      </c>
      <c r="AYD32">
        <v>0</v>
      </c>
      <c r="AYE32">
        <v>0</v>
      </c>
      <c r="AYF32">
        <v>0</v>
      </c>
      <c r="AYG32">
        <v>0</v>
      </c>
      <c r="AYH32">
        <v>0</v>
      </c>
      <c r="AYI32">
        <v>0</v>
      </c>
      <c r="AYJ32">
        <v>0</v>
      </c>
      <c r="AYK32">
        <v>0</v>
      </c>
      <c r="AYL32">
        <v>0</v>
      </c>
      <c r="AYM32">
        <v>0</v>
      </c>
      <c r="AYN32">
        <v>0</v>
      </c>
      <c r="AYO32">
        <v>0</v>
      </c>
      <c r="AYP32" s="116">
        <v>0</v>
      </c>
      <c r="AYQ32" s="116">
        <v>0</v>
      </c>
      <c r="AYR32" s="116">
        <v>0</v>
      </c>
      <c r="AYS32" s="116">
        <v>0</v>
      </c>
      <c r="AYT32" s="116">
        <v>0</v>
      </c>
      <c r="AYU32" s="116">
        <v>0</v>
      </c>
      <c r="AYV32" s="116">
        <v>0</v>
      </c>
      <c r="AYW32" s="116">
        <v>0</v>
      </c>
      <c r="AYX32" s="116">
        <v>0</v>
      </c>
      <c r="AYY32" s="128">
        <v>0</v>
      </c>
      <c r="AYZ32" s="128">
        <v>0</v>
      </c>
      <c r="AZA32" s="128">
        <v>0</v>
      </c>
      <c r="AZB32" s="128">
        <v>0</v>
      </c>
      <c r="AZC32">
        <v>0</v>
      </c>
      <c r="AZD32" s="119">
        <v>0</v>
      </c>
      <c r="AZE32" s="119">
        <v>0</v>
      </c>
      <c r="AZF32" s="119">
        <v>0</v>
      </c>
      <c r="AZG32" s="119">
        <v>0</v>
      </c>
      <c r="AZH32" s="121">
        <v>0</v>
      </c>
      <c r="AZI32" s="119">
        <v>0</v>
      </c>
      <c r="AZJ32" s="119">
        <v>0</v>
      </c>
      <c r="AZK32">
        <v>0</v>
      </c>
      <c r="AZL32">
        <v>0</v>
      </c>
      <c r="AZM32">
        <v>0</v>
      </c>
      <c r="AZN32" s="119">
        <v>0</v>
      </c>
      <c r="AZO32">
        <v>0</v>
      </c>
      <c r="AZP32">
        <v>0</v>
      </c>
      <c r="AZQ32">
        <v>0</v>
      </c>
      <c r="AZR32">
        <v>0</v>
      </c>
      <c r="AZS32">
        <v>0</v>
      </c>
      <c r="AZT32">
        <v>0</v>
      </c>
      <c r="AZU32">
        <v>0</v>
      </c>
      <c r="AZV32">
        <v>0</v>
      </c>
      <c r="AZW32">
        <v>0</v>
      </c>
      <c r="AZX32">
        <v>0</v>
      </c>
      <c r="AZY32">
        <v>0</v>
      </c>
      <c r="AZZ32">
        <v>0</v>
      </c>
      <c r="BAA32">
        <v>0</v>
      </c>
      <c r="BAB32">
        <v>0</v>
      </c>
      <c r="BAC32">
        <v>0</v>
      </c>
      <c r="BAD32">
        <v>0</v>
      </c>
      <c r="BAE32">
        <v>0</v>
      </c>
      <c r="BAF32">
        <v>0</v>
      </c>
      <c r="BAG32">
        <v>0</v>
      </c>
      <c r="BAH32">
        <v>0</v>
      </c>
      <c r="BAI32">
        <v>0</v>
      </c>
      <c r="BAJ32">
        <v>0</v>
      </c>
      <c r="BAK32">
        <v>1006715</v>
      </c>
      <c r="BAL32">
        <v>10562.81</v>
      </c>
      <c r="BAM32" s="120">
        <v>9586.81</v>
      </c>
      <c r="BAN32" s="120">
        <v>976</v>
      </c>
      <c r="BAO32" s="120">
        <v>0</v>
      </c>
      <c r="BAP32" s="120">
        <v>0</v>
      </c>
      <c r="BAQ32" s="120">
        <v>0</v>
      </c>
      <c r="BAR32" s="120" t="s">
        <v>3378</v>
      </c>
      <c r="BAS32" s="116">
        <v>0</v>
      </c>
      <c r="BAT32" s="116">
        <v>0</v>
      </c>
      <c r="BAU32" s="116">
        <v>0</v>
      </c>
      <c r="BAV32" s="116">
        <v>0</v>
      </c>
      <c r="BAW32" s="116">
        <v>0</v>
      </c>
      <c r="BAX32" s="116">
        <v>0</v>
      </c>
      <c r="BAY32" s="116">
        <v>0</v>
      </c>
      <c r="BAZ32" s="116">
        <v>0</v>
      </c>
      <c r="BBA32" s="116">
        <v>0</v>
      </c>
      <c r="BBB32" s="116">
        <v>0</v>
      </c>
      <c r="BBC32" s="116">
        <v>0</v>
      </c>
      <c r="BBD32" s="116">
        <v>0</v>
      </c>
      <c r="BBE32" s="116">
        <v>0</v>
      </c>
      <c r="BBF32" s="116">
        <v>0</v>
      </c>
      <c r="BBG32" s="116">
        <v>0</v>
      </c>
      <c r="BBH32" s="116">
        <v>0</v>
      </c>
      <c r="BBI32" s="116">
        <v>0</v>
      </c>
      <c r="BBJ32" s="116">
        <v>0</v>
      </c>
      <c r="BBK32" s="116">
        <v>0</v>
      </c>
      <c r="BBL32" s="116">
        <v>0</v>
      </c>
      <c r="BBM32" s="116">
        <v>0</v>
      </c>
      <c r="BBN32" s="116">
        <v>0</v>
      </c>
      <c r="BBO32" s="116">
        <v>0</v>
      </c>
      <c r="BBP32" s="116">
        <v>0</v>
      </c>
      <c r="BBQ32" s="116">
        <v>0</v>
      </c>
      <c r="BBR32" s="116">
        <v>0</v>
      </c>
      <c r="BBS32" s="116">
        <v>0</v>
      </c>
      <c r="BBT32" s="116">
        <v>0</v>
      </c>
      <c r="BBU32" s="116">
        <v>0</v>
      </c>
      <c r="BBV32" s="116">
        <v>0</v>
      </c>
      <c r="BBW32" s="116">
        <v>0</v>
      </c>
      <c r="BBX32" s="116">
        <v>0</v>
      </c>
      <c r="BBY32" s="116">
        <v>0</v>
      </c>
      <c r="BBZ32" s="116">
        <v>0</v>
      </c>
      <c r="BCA32" s="116">
        <v>0</v>
      </c>
      <c r="BCB32" s="116">
        <v>0</v>
      </c>
      <c r="BCC32" s="116">
        <v>0</v>
      </c>
      <c r="BCD32" s="116">
        <v>0</v>
      </c>
      <c r="BCE32" s="116">
        <v>0</v>
      </c>
      <c r="BCF32" s="116">
        <v>0</v>
      </c>
      <c r="BCG32" s="116">
        <v>0</v>
      </c>
      <c r="BCH32" s="116">
        <v>0</v>
      </c>
      <c r="BCI32" s="116">
        <v>0</v>
      </c>
      <c r="BCJ32" s="116">
        <v>0</v>
      </c>
      <c r="BCK32" s="116">
        <v>0</v>
      </c>
      <c r="BCL32" s="116">
        <v>0</v>
      </c>
      <c r="BCM32" s="116">
        <v>0</v>
      </c>
      <c r="BCN32" s="116">
        <v>0</v>
      </c>
      <c r="BCO32" s="116">
        <v>0</v>
      </c>
      <c r="BCP32" s="116">
        <v>4</v>
      </c>
      <c r="BCQ32" s="304">
        <v>3</v>
      </c>
      <c r="BCR32" s="304">
        <v>5</v>
      </c>
      <c r="BCS32" s="304">
        <v>3</v>
      </c>
      <c r="BCT32" s="304">
        <v>5</v>
      </c>
      <c r="BCU32" s="304">
        <v>8</v>
      </c>
      <c r="BCV32" s="304">
        <v>8</v>
      </c>
      <c r="BCW32" s="304">
        <v>3</v>
      </c>
      <c r="BCX32" s="304">
        <v>2</v>
      </c>
      <c r="BCY32" s="304">
        <v>7</v>
      </c>
      <c r="BCZ32" s="304">
        <v>6</v>
      </c>
      <c r="BDA32" s="304">
        <v>7</v>
      </c>
      <c r="BDB32" s="304">
        <v>1</v>
      </c>
      <c r="BDC32" s="304">
        <v>4</v>
      </c>
      <c r="BDD32" s="304">
        <v>0</v>
      </c>
      <c r="BDE32" s="304">
        <v>3</v>
      </c>
      <c r="BDF32" s="304">
        <v>8</v>
      </c>
      <c r="BDG32" s="304">
        <v>4</v>
      </c>
      <c r="BDH32" s="304">
        <v>0</v>
      </c>
      <c r="BDI32" s="304">
        <v>0</v>
      </c>
      <c r="BDJ32" s="304">
        <v>0</v>
      </c>
      <c r="BDK32" s="304">
        <v>0</v>
      </c>
      <c r="BDL32" s="304">
        <v>0</v>
      </c>
      <c r="BDM32" s="304">
        <v>0</v>
      </c>
      <c r="BDN32" s="304">
        <v>0</v>
      </c>
      <c r="BDO32" s="304">
        <v>0</v>
      </c>
      <c r="BDP32" s="304">
        <v>0</v>
      </c>
      <c r="BDQ32" s="304">
        <v>0</v>
      </c>
      <c r="BDR32">
        <v>0</v>
      </c>
      <c r="BDS32">
        <v>0</v>
      </c>
      <c r="BDT32">
        <v>0</v>
      </c>
      <c r="BDU32">
        <v>0</v>
      </c>
      <c r="BDV32">
        <v>0</v>
      </c>
      <c r="BDW32">
        <v>0</v>
      </c>
      <c r="BDX32">
        <v>0</v>
      </c>
      <c r="BDY32">
        <v>0</v>
      </c>
      <c r="BDZ32">
        <v>0</v>
      </c>
      <c r="BEA32">
        <v>0</v>
      </c>
      <c r="BEB32">
        <v>0</v>
      </c>
      <c r="BEC32">
        <v>0</v>
      </c>
      <c r="BED32">
        <v>0</v>
      </c>
      <c r="BEE32">
        <v>0</v>
      </c>
      <c r="BEF32">
        <v>0</v>
      </c>
      <c r="BEG32">
        <v>0</v>
      </c>
      <c r="BEH32">
        <v>0</v>
      </c>
      <c r="BEI32">
        <v>0</v>
      </c>
      <c r="BEJ32">
        <v>0</v>
      </c>
      <c r="BEK32">
        <v>0</v>
      </c>
      <c r="BEL32">
        <v>0</v>
      </c>
      <c r="BEM32">
        <v>0</v>
      </c>
      <c r="BEN32">
        <v>0</v>
      </c>
      <c r="BEO32">
        <v>0</v>
      </c>
      <c r="BEP32">
        <v>0</v>
      </c>
      <c r="BEQ32">
        <v>0</v>
      </c>
      <c r="BER32">
        <v>0</v>
      </c>
      <c r="BES32">
        <v>0</v>
      </c>
      <c r="BET32">
        <v>0</v>
      </c>
      <c r="BEU32">
        <v>0</v>
      </c>
      <c r="BEV32">
        <v>0</v>
      </c>
      <c r="BEW32">
        <v>0</v>
      </c>
      <c r="BEX32">
        <v>0</v>
      </c>
      <c r="BEY32">
        <v>0</v>
      </c>
      <c r="BEZ32">
        <v>0</v>
      </c>
      <c r="BFA32">
        <v>0</v>
      </c>
      <c r="BFB32">
        <v>0</v>
      </c>
      <c r="BFC32">
        <v>0</v>
      </c>
      <c r="BFD32" t="b">
        <v>1</v>
      </c>
      <c r="BFE32" t="b">
        <v>1</v>
      </c>
      <c r="BFF32" t="b">
        <v>1</v>
      </c>
      <c r="BFG32" t="b">
        <v>1</v>
      </c>
      <c r="BFH32">
        <v>0</v>
      </c>
      <c r="BFI32">
        <v>0</v>
      </c>
      <c r="BFJ32">
        <v>0</v>
      </c>
      <c r="BFK32">
        <v>0</v>
      </c>
      <c r="BFL32">
        <v>0</v>
      </c>
      <c r="BFM32">
        <v>0</v>
      </c>
      <c r="BFN32">
        <v>0</v>
      </c>
      <c r="BFO32">
        <v>0</v>
      </c>
      <c r="BFP32">
        <v>0</v>
      </c>
      <c r="BFQ32">
        <v>0</v>
      </c>
      <c r="BFR32">
        <v>0</v>
      </c>
      <c r="BFS32">
        <v>0</v>
      </c>
      <c r="BFT32">
        <v>0</v>
      </c>
      <c r="BFU32">
        <v>0</v>
      </c>
      <c r="BFV32">
        <v>0</v>
      </c>
      <c r="BFW32">
        <v>0</v>
      </c>
      <c r="BFX32">
        <v>0</v>
      </c>
      <c r="BFY32">
        <v>0</v>
      </c>
    </row>
    <row r="33" spans="1:1533" ht="18.75" customHeight="1" x14ac:dyDescent="0.25">
      <c r="A33" t="s">
        <v>3387</v>
      </c>
      <c r="B33" t="s">
        <v>3402</v>
      </c>
      <c r="C33" s="120">
        <v>130</v>
      </c>
      <c r="D33" s="120">
        <v>45</v>
      </c>
      <c r="E33">
        <v>0</v>
      </c>
      <c r="F33">
        <v>0</v>
      </c>
      <c r="G33">
        <v>0</v>
      </c>
      <c r="H33" t="s">
        <v>2403</v>
      </c>
      <c r="I33" t="s">
        <v>2403</v>
      </c>
      <c r="J33" t="s">
        <v>2403</v>
      </c>
      <c r="K33" t="s">
        <v>2403</v>
      </c>
      <c r="L33" t="s">
        <v>2403</v>
      </c>
      <c r="M33" t="s">
        <v>1883</v>
      </c>
      <c r="N33" t="s">
        <v>2403</v>
      </c>
      <c r="O33" t="s">
        <v>1883</v>
      </c>
      <c r="P33" t="s">
        <v>1883</v>
      </c>
      <c r="Q33" t="s">
        <v>2403</v>
      </c>
      <c r="R33" t="s">
        <v>1883</v>
      </c>
      <c r="S33" t="s">
        <v>2403</v>
      </c>
      <c r="T33" t="s">
        <v>2404</v>
      </c>
      <c r="U33" t="s">
        <v>2424</v>
      </c>
      <c r="V33" t="s">
        <v>3388</v>
      </c>
      <c r="W33" t="s">
        <v>309</v>
      </c>
      <c r="X33" s="120">
        <v>900</v>
      </c>
      <c r="Y33" s="58">
        <v>43657</v>
      </c>
      <c r="Z33" s="120">
        <v>0</v>
      </c>
      <c r="AA33" s="120">
        <v>0</v>
      </c>
      <c r="AB33" s="120">
        <v>100</v>
      </c>
      <c r="AC33" t="s">
        <v>272</v>
      </c>
      <c r="AD33" s="120">
        <v>25</v>
      </c>
      <c r="AE33" s="120">
        <v>0</v>
      </c>
      <c r="AF33" s="58">
        <v>43689</v>
      </c>
      <c r="AG33" s="120">
        <v>45</v>
      </c>
      <c r="AH33" s="119">
        <v>0</v>
      </c>
      <c r="AI33">
        <v>0</v>
      </c>
      <c r="AJ33" t="s">
        <v>271</v>
      </c>
      <c r="AK33" s="114">
        <v>0.16900000000000001</v>
      </c>
      <c r="AL33" s="120">
        <v>0</v>
      </c>
      <c r="AM33" s="120">
        <v>50</v>
      </c>
      <c r="AN33" s="58">
        <v>47311</v>
      </c>
      <c r="AO33" s="114">
        <v>0.18436813227787585</v>
      </c>
      <c r="AP33" s="120">
        <v>11486.17</v>
      </c>
      <c r="AQ33" s="120">
        <v>13744.709999999946</v>
      </c>
      <c r="AR33" s="120">
        <v>25230.879999999946</v>
      </c>
      <c r="AS33" s="120">
        <v>210.26</v>
      </c>
      <c r="AT33" s="120">
        <v>209.94</v>
      </c>
      <c r="AU33" t="s">
        <v>1910</v>
      </c>
      <c r="AV33" t="s">
        <v>2119</v>
      </c>
      <c r="AW33" t="s">
        <v>2738</v>
      </c>
      <c r="AX33" s="120">
        <v>19</v>
      </c>
      <c r="AY33">
        <v>0</v>
      </c>
      <c r="AZ33" s="58">
        <v>43647</v>
      </c>
      <c r="BA33" s="120">
        <v>100</v>
      </c>
      <c r="BB33">
        <v>2</v>
      </c>
      <c r="BC33">
        <v>1</v>
      </c>
      <c r="BD33" t="s">
        <v>415</v>
      </c>
      <c r="BE33" s="120">
        <v>336</v>
      </c>
      <c r="BF33" s="120">
        <v>100</v>
      </c>
      <c r="BG33" s="367">
        <v>43654</v>
      </c>
      <c r="BH33">
        <v>120</v>
      </c>
      <c r="BI33" s="120">
        <v>0</v>
      </c>
      <c r="BJ33" s="120">
        <v>50</v>
      </c>
      <c r="BK33" s="58">
        <v>43647</v>
      </c>
      <c r="BL33">
        <v>0</v>
      </c>
      <c r="BM33">
        <v>0</v>
      </c>
      <c r="BN33">
        <v>0</v>
      </c>
      <c r="BO33" t="s">
        <v>3381</v>
      </c>
      <c r="BP33" t="s">
        <v>2403</v>
      </c>
      <c r="BQ33" t="s">
        <v>2403</v>
      </c>
      <c r="BR33" t="s">
        <v>2403</v>
      </c>
      <c r="BS33" s="366">
        <v>451958112</v>
      </c>
      <c r="BT33" s="58">
        <v>27617</v>
      </c>
      <c r="BU33" t="s">
        <v>3382</v>
      </c>
      <c r="BV33" t="s">
        <v>3383</v>
      </c>
      <c r="BW33" t="s">
        <v>1633</v>
      </c>
      <c r="BX33">
        <v>77389</v>
      </c>
      <c r="BY33" t="s">
        <v>3382</v>
      </c>
      <c r="BZ33" t="s">
        <v>3383</v>
      </c>
      <c r="CA33">
        <v>77389</v>
      </c>
      <c r="CB33" t="s">
        <v>1633</v>
      </c>
      <c r="CC33" t="s">
        <v>316</v>
      </c>
      <c r="CD33" t="s">
        <v>3385</v>
      </c>
      <c r="CE33">
        <v>0</v>
      </c>
      <c r="CF33">
        <v>0</v>
      </c>
      <c r="CG33">
        <v>0</v>
      </c>
      <c r="CH33">
        <v>0</v>
      </c>
      <c r="CI33">
        <v>0</v>
      </c>
      <c r="CJ33">
        <v>0</v>
      </c>
      <c r="CK33" s="118">
        <v>7138267309</v>
      </c>
      <c r="CL33" s="118">
        <v>8327859048</v>
      </c>
      <c r="CM33" s="118">
        <v>7138267309</v>
      </c>
      <c r="CN33" t="s">
        <v>3384</v>
      </c>
      <c r="CO33" t="s">
        <v>3386</v>
      </c>
      <c r="CP33" t="s">
        <v>2403</v>
      </c>
      <c r="CQ33" t="s">
        <v>2403</v>
      </c>
      <c r="CR33" t="s">
        <v>2403</v>
      </c>
      <c r="CS33" t="s">
        <v>3382</v>
      </c>
      <c r="CT33" t="s">
        <v>3383</v>
      </c>
      <c r="CU33" t="s">
        <v>1633</v>
      </c>
      <c r="CV33">
        <v>77389</v>
      </c>
      <c r="CW33" s="366">
        <v>456810118</v>
      </c>
      <c r="CX33" s="58">
        <v>30773</v>
      </c>
      <c r="CY33" t="s">
        <v>3382</v>
      </c>
      <c r="CZ33" t="s">
        <v>3383</v>
      </c>
      <c r="DA33">
        <v>77389</v>
      </c>
      <c r="DB33" t="s">
        <v>1633</v>
      </c>
      <c r="DC33" t="s">
        <v>316</v>
      </c>
      <c r="DD33">
        <v>0</v>
      </c>
      <c r="DE33">
        <v>0</v>
      </c>
      <c r="DF33">
        <v>0</v>
      </c>
      <c r="DG33">
        <v>0</v>
      </c>
      <c r="DH33">
        <v>0</v>
      </c>
      <c r="DI33">
        <v>0</v>
      </c>
      <c r="DJ33">
        <v>0</v>
      </c>
      <c r="DK33" s="118">
        <v>7138267309</v>
      </c>
      <c r="DL33" s="118">
        <v>0</v>
      </c>
      <c r="DM33" s="118">
        <v>0</v>
      </c>
      <c r="DN33" t="s">
        <v>3384</v>
      </c>
      <c r="DO33">
        <v>0</v>
      </c>
      <c r="DP33">
        <v>0</v>
      </c>
      <c r="DQ33">
        <v>0</v>
      </c>
      <c r="DR33">
        <v>0</v>
      </c>
      <c r="DS33">
        <v>0</v>
      </c>
      <c r="DT33">
        <v>0</v>
      </c>
      <c r="DU33">
        <v>0</v>
      </c>
      <c r="DV33">
        <v>0</v>
      </c>
      <c r="DW33" s="366">
        <v>0</v>
      </c>
      <c r="DX33" s="58">
        <v>0</v>
      </c>
      <c r="DY33">
        <v>0</v>
      </c>
      <c r="DZ33">
        <v>0</v>
      </c>
      <c r="EA33">
        <v>0</v>
      </c>
      <c r="EB33">
        <v>0</v>
      </c>
      <c r="EC33">
        <v>0</v>
      </c>
      <c r="ED33">
        <v>0</v>
      </c>
      <c r="EE33">
        <v>0</v>
      </c>
      <c r="EF33">
        <v>0</v>
      </c>
      <c r="EG33">
        <v>0</v>
      </c>
      <c r="EH33">
        <v>0</v>
      </c>
      <c r="EI33">
        <v>0</v>
      </c>
      <c r="EJ33">
        <v>0</v>
      </c>
      <c r="EK33" s="118">
        <v>0</v>
      </c>
      <c r="EL33" s="118">
        <v>0</v>
      </c>
      <c r="EM33" s="118">
        <v>0</v>
      </c>
      <c r="EN33">
        <v>0</v>
      </c>
      <c r="EO33">
        <v>900</v>
      </c>
      <c r="EP33" s="119">
        <v>11142.169921875</v>
      </c>
      <c r="EQ33">
        <v>2</v>
      </c>
      <c r="ER33">
        <v>3</v>
      </c>
      <c r="ES33" t="s">
        <v>2508</v>
      </c>
      <c r="ET33" t="s">
        <v>762</v>
      </c>
      <c r="EU33" t="s">
        <v>3390</v>
      </c>
      <c r="EV33">
        <v>0</v>
      </c>
      <c r="EW33">
        <v>0</v>
      </c>
      <c r="EX33">
        <v>0</v>
      </c>
      <c r="EY33">
        <v>0</v>
      </c>
      <c r="EZ33">
        <v>0</v>
      </c>
      <c r="FA33">
        <v>0</v>
      </c>
      <c r="FB33">
        <v>0</v>
      </c>
      <c r="FC33">
        <v>0</v>
      </c>
      <c r="FD33">
        <v>0</v>
      </c>
      <c r="FE33">
        <v>0</v>
      </c>
      <c r="FF33">
        <v>0</v>
      </c>
      <c r="FG33">
        <v>0</v>
      </c>
      <c r="FH33">
        <v>0</v>
      </c>
      <c r="FI33">
        <v>0</v>
      </c>
      <c r="FJ33">
        <v>0</v>
      </c>
      <c r="FK33">
        <v>0</v>
      </c>
      <c r="FL33">
        <v>0</v>
      </c>
      <c r="FM33" s="119">
        <v>3359.14</v>
      </c>
      <c r="FN33" s="119">
        <v>5777.99</v>
      </c>
      <c r="FO33" s="119">
        <v>2005.04</v>
      </c>
      <c r="FP33" s="119">
        <v>0</v>
      </c>
      <c r="FQ33" s="119">
        <v>0</v>
      </c>
      <c r="FR33" s="119">
        <v>0</v>
      </c>
      <c r="FS33" s="119">
        <v>0</v>
      </c>
      <c r="FT33" s="119">
        <v>0</v>
      </c>
      <c r="FU33" s="119">
        <v>0</v>
      </c>
      <c r="FV33" s="119">
        <v>0</v>
      </c>
      <c r="FW33" s="119">
        <v>0</v>
      </c>
      <c r="FX33" s="119">
        <v>0</v>
      </c>
      <c r="FY33" s="119">
        <v>0</v>
      </c>
      <c r="FZ33" s="119">
        <v>0</v>
      </c>
      <c r="GA33" s="119">
        <v>0</v>
      </c>
      <c r="GB33" s="119">
        <v>0</v>
      </c>
      <c r="GC33" s="119">
        <v>0</v>
      </c>
      <c r="GD33" s="119">
        <v>0</v>
      </c>
      <c r="GE33" s="119">
        <v>0</v>
      </c>
      <c r="GF33" s="119">
        <v>0</v>
      </c>
      <c r="GG33">
        <v>0</v>
      </c>
      <c r="GH33" t="s">
        <v>2403</v>
      </c>
      <c r="GI33">
        <v>0</v>
      </c>
      <c r="GJ33">
        <v>0</v>
      </c>
      <c r="GK33">
        <v>0</v>
      </c>
      <c r="GL33" t="s">
        <v>2403</v>
      </c>
      <c r="GM33" s="58">
        <v>0</v>
      </c>
      <c r="GN33" t="s">
        <v>2403</v>
      </c>
      <c r="GO33">
        <v>0</v>
      </c>
      <c r="GP33" s="128" t="s">
        <v>3389</v>
      </c>
      <c r="GQ33" s="128" t="s">
        <v>3389</v>
      </c>
      <c r="GR33" s="128" t="s">
        <v>3391</v>
      </c>
      <c r="GS33" s="128">
        <v>0</v>
      </c>
      <c r="GT33" t="s">
        <v>3382</v>
      </c>
      <c r="GU33" s="119">
        <v>3359.14</v>
      </c>
      <c r="GV33" s="119">
        <v>5777.99</v>
      </c>
      <c r="GW33" s="119">
        <v>2005.04</v>
      </c>
      <c r="GX33" s="119">
        <v>0</v>
      </c>
      <c r="GY33">
        <v>0</v>
      </c>
      <c r="GZ33">
        <v>0</v>
      </c>
      <c r="HA33">
        <v>0</v>
      </c>
      <c r="HB33">
        <v>0</v>
      </c>
      <c r="HC33" s="120">
        <v>11142.169921875</v>
      </c>
      <c r="HD33" s="119">
        <v>304515</v>
      </c>
      <c r="HE33">
        <v>70164</v>
      </c>
      <c r="HF33" t="s">
        <v>3383</v>
      </c>
      <c r="HG33" t="s">
        <v>106</v>
      </c>
      <c r="HH33" t="s">
        <v>2403</v>
      </c>
      <c r="HI33" s="119">
        <v>304515</v>
      </c>
      <c r="HJ33" t="s">
        <v>2403</v>
      </c>
      <c r="HK33">
        <v>0</v>
      </c>
      <c r="HL33">
        <v>0</v>
      </c>
      <c r="HM33">
        <v>0</v>
      </c>
      <c r="HN33">
        <v>0</v>
      </c>
      <c r="HO33" t="s">
        <v>3401</v>
      </c>
      <c r="HP33" t="s">
        <v>2403</v>
      </c>
      <c r="HQ33">
        <v>0</v>
      </c>
      <c r="HR33" t="s">
        <v>1633</v>
      </c>
      <c r="HS33" t="s">
        <v>2508</v>
      </c>
      <c r="HT33" t="s">
        <v>762</v>
      </c>
      <c r="HU33" t="s">
        <v>3390</v>
      </c>
      <c r="HV33">
        <v>0</v>
      </c>
      <c r="HW33">
        <v>2018</v>
      </c>
      <c r="HX33">
        <v>2018</v>
      </c>
      <c r="HY33">
        <v>2018</v>
      </c>
      <c r="HZ33">
        <v>0</v>
      </c>
      <c r="IA33">
        <v>77389</v>
      </c>
      <c r="IB33" t="s">
        <v>2403</v>
      </c>
      <c r="IC33">
        <v>0</v>
      </c>
      <c r="ID33">
        <v>0</v>
      </c>
      <c r="IE33">
        <v>0</v>
      </c>
      <c r="IF33">
        <v>0</v>
      </c>
      <c r="IG33">
        <v>0</v>
      </c>
      <c r="IH33">
        <v>0</v>
      </c>
      <c r="II33">
        <v>0</v>
      </c>
      <c r="IJ33">
        <v>0</v>
      </c>
      <c r="IK33">
        <v>0</v>
      </c>
      <c r="IL33" s="128">
        <v>0</v>
      </c>
      <c r="IM33" s="128">
        <v>0</v>
      </c>
      <c r="IN33" s="128">
        <v>0</v>
      </c>
      <c r="IO33" s="128">
        <v>0</v>
      </c>
      <c r="IP33">
        <v>0</v>
      </c>
      <c r="IQ33" s="119">
        <v>0</v>
      </c>
      <c r="IR33" s="119">
        <v>0</v>
      </c>
      <c r="IS33" s="119">
        <v>0</v>
      </c>
      <c r="IT33" s="119">
        <v>0</v>
      </c>
      <c r="IU33" s="119">
        <v>0</v>
      </c>
      <c r="IV33">
        <v>0</v>
      </c>
      <c r="IW33">
        <v>0</v>
      </c>
      <c r="IX33">
        <v>0</v>
      </c>
      <c r="IY33">
        <v>0</v>
      </c>
      <c r="IZ33">
        <v>0</v>
      </c>
      <c r="JA33" s="119">
        <v>0</v>
      </c>
      <c r="JB33">
        <v>0</v>
      </c>
      <c r="JC33">
        <v>0</v>
      </c>
      <c r="JD33">
        <v>0</v>
      </c>
      <c r="JE33">
        <v>0</v>
      </c>
      <c r="JF33">
        <v>0</v>
      </c>
      <c r="JG33">
        <v>0</v>
      </c>
      <c r="JH33">
        <v>0</v>
      </c>
      <c r="JI33">
        <v>0</v>
      </c>
      <c r="JJ33">
        <v>0</v>
      </c>
      <c r="JK33">
        <v>0</v>
      </c>
      <c r="JL33">
        <v>0</v>
      </c>
      <c r="JM33">
        <v>0</v>
      </c>
      <c r="JN33">
        <v>0</v>
      </c>
      <c r="JO33">
        <v>0</v>
      </c>
      <c r="JP33">
        <v>0</v>
      </c>
      <c r="JQ33">
        <v>0</v>
      </c>
      <c r="JR33">
        <v>0</v>
      </c>
      <c r="JS33">
        <v>0</v>
      </c>
      <c r="JT33">
        <v>0</v>
      </c>
      <c r="JU33">
        <v>0</v>
      </c>
      <c r="JV33">
        <v>0</v>
      </c>
      <c r="JW33">
        <v>0</v>
      </c>
      <c r="JX33">
        <v>0</v>
      </c>
      <c r="JY33">
        <v>0</v>
      </c>
      <c r="JZ33">
        <v>0</v>
      </c>
      <c r="KA33">
        <v>0</v>
      </c>
      <c r="KB33">
        <v>0</v>
      </c>
      <c r="KC33">
        <v>0</v>
      </c>
      <c r="KD33">
        <v>0</v>
      </c>
      <c r="KE33">
        <v>0</v>
      </c>
      <c r="KF33">
        <v>0</v>
      </c>
      <c r="KG33">
        <v>0</v>
      </c>
      <c r="KH33" s="128">
        <v>0</v>
      </c>
      <c r="KI33" s="128">
        <v>0</v>
      </c>
      <c r="KJ33" s="128">
        <v>0</v>
      </c>
      <c r="KK33" s="128">
        <v>0</v>
      </c>
      <c r="KL33">
        <v>0</v>
      </c>
      <c r="KM33" s="119">
        <v>0</v>
      </c>
      <c r="KN33" s="119">
        <v>0</v>
      </c>
      <c r="KO33" s="119">
        <v>0</v>
      </c>
      <c r="KP33" s="119">
        <v>0</v>
      </c>
      <c r="KQ33" s="121">
        <v>0</v>
      </c>
      <c r="KR33">
        <v>0</v>
      </c>
      <c r="KS33" s="119">
        <v>0</v>
      </c>
      <c r="KT33">
        <v>0</v>
      </c>
      <c r="KU33">
        <v>0</v>
      </c>
      <c r="KV33">
        <v>0</v>
      </c>
      <c r="KW33" s="119">
        <v>0</v>
      </c>
      <c r="KX33">
        <v>0</v>
      </c>
      <c r="KY33">
        <v>0</v>
      </c>
      <c r="KZ33">
        <v>0</v>
      </c>
      <c r="LA33">
        <v>0</v>
      </c>
      <c r="LB33">
        <v>0</v>
      </c>
      <c r="LC33">
        <v>0</v>
      </c>
      <c r="LD33">
        <v>0</v>
      </c>
      <c r="LE33">
        <v>0</v>
      </c>
      <c r="LF33">
        <v>0</v>
      </c>
      <c r="LG33">
        <v>0</v>
      </c>
      <c r="LH33">
        <v>0</v>
      </c>
      <c r="LI33">
        <v>0</v>
      </c>
      <c r="LJ33">
        <v>0</v>
      </c>
      <c r="LK33">
        <v>0</v>
      </c>
      <c r="LL33">
        <v>0</v>
      </c>
      <c r="LM33">
        <v>0</v>
      </c>
      <c r="LN33">
        <v>0</v>
      </c>
      <c r="LO33">
        <v>0</v>
      </c>
      <c r="LP33">
        <v>0</v>
      </c>
      <c r="LQ33">
        <v>0</v>
      </c>
      <c r="LR33">
        <v>0</v>
      </c>
      <c r="LS33">
        <v>0</v>
      </c>
      <c r="LT33">
        <v>0</v>
      </c>
      <c r="LU33">
        <v>0</v>
      </c>
      <c r="LV33">
        <v>0</v>
      </c>
      <c r="LW33">
        <v>0</v>
      </c>
      <c r="LX33">
        <v>0</v>
      </c>
      <c r="LY33">
        <v>0</v>
      </c>
      <c r="LZ33">
        <v>0</v>
      </c>
      <c r="MA33">
        <v>0</v>
      </c>
      <c r="MB33">
        <v>0</v>
      </c>
      <c r="MC33">
        <v>0</v>
      </c>
      <c r="MD33" s="128">
        <v>0</v>
      </c>
      <c r="ME33" s="128">
        <v>0</v>
      </c>
      <c r="MF33" s="128">
        <v>0</v>
      </c>
      <c r="MG33" s="128">
        <v>0</v>
      </c>
      <c r="MH33">
        <v>0</v>
      </c>
      <c r="MI33" s="119">
        <v>0</v>
      </c>
      <c r="MJ33" s="119">
        <v>0</v>
      </c>
      <c r="MK33" s="119">
        <v>0</v>
      </c>
      <c r="ML33" s="119">
        <v>0</v>
      </c>
      <c r="MM33" s="121">
        <v>0</v>
      </c>
      <c r="MN33" s="119">
        <v>0</v>
      </c>
      <c r="MO33">
        <v>0</v>
      </c>
      <c r="MP33">
        <v>0</v>
      </c>
      <c r="MQ33">
        <v>0</v>
      </c>
      <c r="MR33">
        <v>0</v>
      </c>
      <c r="MS33" s="119">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s="116">
        <v>0</v>
      </c>
      <c r="NR33" s="116">
        <v>0</v>
      </c>
      <c r="NS33" s="116">
        <v>0</v>
      </c>
      <c r="NT33" s="116">
        <v>0</v>
      </c>
      <c r="NU33" s="116">
        <v>0</v>
      </c>
      <c r="NV33" s="116">
        <v>0</v>
      </c>
      <c r="NW33" s="116">
        <v>0</v>
      </c>
      <c r="NX33" s="116">
        <v>0</v>
      </c>
      <c r="NY33" s="116">
        <v>0</v>
      </c>
      <c r="NZ33" s="128">
        <v>0</v>
      </c>
      <c r="OA33" s="128">
        <v>0</v>
      </c>
      <c r="OB33" s="128">
        <v>0</v>
      </c>
      <c r="OC33" s="128">
        <v>0</v>
      </c>
      <c r="OD33">
        <v>0</v>
      </c>
      <c r="OE33" s="119">
        <v>0</v>
      </c>
      <c r="OF33" s="119">
        <v>0</v>
      </c>
      <c r="OG33" s="119">
        <v>0</v>
      </c>
      <c r="OH33" s="119">
        <v>0</v>
      </c>
      <c r="OI33" s="121">
        <v>0</v>
      </c>
      <c r="OJ33" s="119">
        <v>0</v>
      </c>
      <c r="OK33">
        <v>0</v>
      </c>
      <c r="OL33">
        <v>0</v>
      </c>
      <c r="OM33">
        <v>0</v>
      </c>
      <c r="ON33">
        <v>0</v>
      </c>
      <c r="OO33" s="119">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s="128">
        <v>0</v>
      </c>
      <c r="PW33" s="128">
        <v>0</v>
      </c>
      <c r="PX33" s="128">
        <v>0</v>
      </c>
      <c r="PY33" s="128">
        <v>0</v>
      </c>
      <c r="PZ33">
        <v>0</v>
      </c>
      <c r="QA33" s="119">
        <v>0</v>
      </c>
      <c r="QB33" s="119">
        <v>0</v>
      </c>
      <c r="QC33" s="119">
        <v>0</v>
      </c>
      <c r="QD33" s="119">
        <v>0</v>
      </c>
      <c r="QE33" s="121">
        <v>0</v>
      </c>
      <c r="QF33" s="119">
        <v>0</v>
      </c>
      <c r="QG33">
        <v>0</v>
      </c>
      <c r="QH33">
        <v>0</v>
      </c>
      <c r="QI33">
        <v>0</v>
      </c>
      <c r="QJ33">
        <v>0</v>
      </c>
      <c r="QK33" s="119">
        <v>0</v>
      </c>
      <c r="QL33">
        <v>0</v>
      </c>
      <c r="QM33">
        <v>0</v>
      </c>
      <c r="QN33">
        <v>0</v>
      </c>
      <c r="QO33">
        <v>0</v>
      </c>
      <c r="QP33">
        <v>0</v>
      </c>
      <c r="QQ33">
        <v>0</v>
      </c>
      <c r="QR33">
        <v>0</v>
      </c>
      <c r="QS33">
        <v>0</v>
      </c>
      <c r="QT33">
        <v>0</v>
      </c>
      <c r="QU33">
        <v>0</v>
      </c>
      <c r="QV33">
        <v>0</v>
      </c>
      <c r="QW33">
        <v>0</v>
      </c>
      <c r="QX33">
        <v>0</v>
      </c>
      <c r="QY33">
        <v>0</v>
      </c>
      <c r="QZ33">
        <v>0</v>
      </c>
      <c r="RA33">
        <v>0</v>
      </c>
      <c r="RB33">
        <v>0</v>
      </c>
      <c r="RC33">
        <v>0</v>
      </c>
      <c r="RD33">
        <v>0</v>
      </c>
      <c r="RE33">
        <v>0</v>
      </c>
      <c r="RF33">
        <v>0</v>
      </c>
      <c r="RG33">
        <v>0</v>
      </c>
      <c r="RH33">
        <v>0</v>
      </c>
      <c r="RI33" s="116">
        <v>0</v>
      </c>
      <c r="RJ33" s="116">
        <v>0</v>
      </c>
      <c r="RK33" s="116">
        <v>0</v>
      </c>
      <c r="RL33" s="116">
        <v>0</v>
      </c>
      <c r="RM33" s="116">
        <v>0</v>
      </c>
      <c r="RN33" s="116">
        <v>0</v>
      </c>
      <c r="RO33" s="116">
        <v>0</v>
      </c>
      <c r="RP33" s="116">
        <v>0</v>
      </c>
      <c r="RQ33" s="116">
        <v>0</v>
      </c>
      <c r="RR33" s="128">
        <v>0</v>
      </c>
      <c r="RS33" s="128">
        <v>0</v>
      </c>
      <c r="RT33" s="128">
        <v>0</v>
      </c>
      <c r="RU33" s="128">
        <v>0</v>
      </c>
      <c r="RV33">
        <v>0</v>
      </c>
      <c r="RW33" s="119">
        <v>0</v>
      </c>
      <c r="RX33" s="119">
        <v>0</v>
      </c>
      <c r="RY33" s="119">
        <v>0</v>
      </c>
      <c r="RZ33" s="119">
        <v>0</v>
      </c>
      <c r="SA33" s="121">
        <v>0</v>
      </c>
      <c r="SB33" s="119">
        <v>0</v>
      </c>
      <c r="SC33">
        <v>0</v>
      </c>
      <c r="SD33">
        <v>0</v>
      </c>
      <c r="SE33">
        <v>0</v>
      </c>
      <c r="SF33">
        <v>0</v>
      </c>
      <c r="SG33" s="119">
        <v>0</v>
      </c>
      <c r="SH33">
        <v>0</v>
      </c>
      <c r="SI33">
        <v>0</v>
      </c>
      <c r="SJ33">
        <v>0</v>
      </c>
      <c r="SK33">
        <v>0</v>
      </c>
      <c r="SL33">
        <v>0</v>
      </c>
      <c r="SM33">
        <v>0</v>
      </c>
      <c r="SN33">
        <v>0</v>
      </c>
      <c r="SO33">
        <v>0</v>
      </c>
      <c r="SP33">
        <v>0</v>
      </c>
      <c r="SQ33">
        <v>0</v>
      </c>
      <c r="SR33">
        <v>0</v>
      </c>
      <c r="SS33">
        <v>0</v>
      </c>
      <c r="ST33">
        <v>0</v>
      </c>
      <c r="SU33">
        <v>0</v>
      </c>
      <c r="SV33">
        <v>0</v>
      </c>
      <c r="SW33">
        <v>0</v>
      </c>
      <c r="SX33">
        <v>0</v>
      </c>
      <c r="SY33">
        <v>0</v>
      </c>
      <c r="SZ33">
        <v>0</v>
      </c>
      <c r="TA33">
        <v>0</v>
      </c>
      <c r="TB33">
        <v>0</v>
      </c>
      <c r="TC33">
        <v>0</v>
      </c>
      <c r="TD33">
        <v>0</v>
      </c>
      <c r="TE33" s="116">
        <v>0</v>
      </c>
      <c r="TF33" s="116">
        <v>0</v>
      </c>
      <c r="TG33" s="116">
        <v>0</v>
      </c>
      <c r="TH33" s="116">
        <v>0</v>
      </c>
      <c r="TI33" s="116">
        <v>0</v>
      </c>
      <c r="TJ33" s="116">
        <v>0</v>
      </c>
      <c r="TK33" s="116">
        <v>0</v>
      </c>
      <c r="TL33" s="116">
        <v>0</v>
      </c>
      <c r="TM33" s="116">
        <v>0</v>
      </c>
      <c r="TN33" s="128">
        <v>0</v>
      </c>
      <c r="TO33" s="128">
        <v>0</v>
      </c>
      <c r="TP33" s="128">
        <v>0</v>
      </c>
      <c r="TQ33" s="128">
        <v>0</v>
      </c>
      <c r="TR33">
        <v>0</v>
      </c>
      <c r="TS33" s="119">
        <v>0</v>
      </c>
      <c r="TT33" s="119">
        <v>0</v>
      </c>
      <c r="TU33" s="119">
        <v>0</v>
      </c>
      <c r="TV33" s="119">
        <v>0</v>
      </c>
      <c r="TW33" s="121">
        <v>0</v>
      </c>
      <c r="TX33" s="119">
        <v>0</v>
      </c>
      <c r="TY33">
        <v>0</v>
      </c>
      <c r="TZ33">
        <v>0</v>
      </c>
      <c r="UA33">
        <v>0</v>
      </c>
      <c r="UB33">
        <v>0</v>
      </c>
      <c r="UC33" s="119">
        <v>0</v>
      </c>
      <c r="UD33">
        <v>0</v>
      </c>
      <c r="UE33">
        <v>0</v>
      </c>
      <c r="UF33">
        <v>0</v>
      </c>
      <c r="UG33">
        <v>0</v>
      </c>
      <c r="UH33">
        <v>0</v>
      </c>
      <c r="UI33">
        <v>0</v>
      </c>
      <c r="UJ33">
        <v>0</v>
      </c>
      <c r="UK33">
        <v>0</v>
      </c>
      <c r="UL33">
        <v>0</v>
      </c>
      <c r="UM33">
        <v>0</v>
      </c>
      <c r="UN33">
        <v>0</v>
      </c>
      <c r="UO33">
        <v>0</v>
      </c>
      <c r="UP33">
        <v>0</v>
      </c>
      <c r="UQ33">
        <v>0</v>
      </c>
      <c r="UR33">
        <v>0</v>
      </c>
      <c r="US33">
        <v>0</v>
      </c>
      <c r="UT33">
        <v>0</v>
      </c>
      <c r="UU33">
        <v>0</v>
      </c>
      <c r="UV33">
        <v>0</v>
      </c>
      <c r="UW33">
        <v>0</v>
      </c>
      <c r="UX33">
        <v>0</v>
      </c>
      <c r="UY33">
        <v>0</v>
      </c>
      <c r="UZ33">
        <v>0</v>
      </c>
      <c r="VA33" s="116">
        <v>0</v>
      </c>
      <c r="VB33" s="116">
        <v>0</v>
      </c>
      <c r="VC33" s="116">
        <v>0</v>
      </c>
      <c r="VD33" s="116">
        <v>0</v>
      </c>
      <c r="VE33" s="116">
        <v>0</v>
      </c>
      <c r="VF33" s="116">
        <v>0</v>
      </c>
      <c r="VG33" s="116">
        <v>0</v>
      </c>
      <c r="VH33" s="116">
        <v>0</v>
      </c>
      <c r="VI33" s="116">
        <v>0</v>
      </c>
      <c r="VJ33" s="128">
        <v>0</v>
      </c>
      <c r="VK33" s="128">
        <v>0</v>
      </c>
      <c r="VL33" s="128">
        <v>0</v>
      </c>
      <c r="VM33" s="128">
        <v>0</v>
      </c>
      <c r="VN33">
        <v>0</v>
      </c>
      <c r="VO33" s="119">
        <v>0</v>
      </c>
      <c r="VP33" s="119">
        <v>0</v>
      </c>
      <c r="VQ33" s="119">
        <v>0</v>
      </c>
      <c r="VR33" s="119">
        <v>0</v>
      </c>
      <c r="VS33" s="121">
        <v>0</v>
      </c>
      <c r="VT33" s="119">
        <v>0</v>
      </c>
      <c r="VU33" s="119">
        <v>0</v>
      </c>
      <c r="VV33">
        <v>0</v>
      </c>
      <c r="VW33">
        <v>0</v>
      </c>
      <c r="VX33">
        <v>0</v>
      </c>
      <c r="VY33" s="119">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s="116">
        <v>0</v>
      </c>
      <c r="WX33" s="116">
        <v>0</v>
      </c>
      <c r="WY33" s="116">
        <v>0</v>
      </c>
      <c r="WZ33" s="116">
        <v>0</v>
      </c>
      <c r="XA33" s="116">
        <v>0</v>
      </c>
      <c r="XB33" s="116">
        <v>0</v>
      </c>
      <c r="XC33" s="116">
        <v>0</v>
      </c>
      <c r="XD33" s="116">
        <v>0</v>
      </c>
      <c r="XE33" s="116">
        <v>0</v>
      </c>
      <c r="XF33" s="128">
        <v>0</v>
      </c>
      <c r="XG33" s="128">
        <v>0</v>
      </c>
      <c r="XH33" s="128">
        <v>0</v>
      </c>
      <c r="XI33" s="128">
        <v>0</v>
      </c>
      <c r="XJ33">
        <v>0</v>
      </c>
      <c r="XK33" s="119">
        <v>0</v>
      </c>
      <c r="XL33" s="119">
        <v>0</v>
      </c>
      <c r="XM33" s="119">
        <v>0</v>
      </c>
      <c r="XN33" s="119">
        <v>0</v>
      </c>
      <c r="XO33" s="121">
        <v>0</v>
      </c>
      <c r="XP33" s="119">
        <v>0</v>
      </c>
      <c r="XQ33" s="119">
        <v>0</v>
      </c>
      <c r="XR33">
        <v>0</v>
      </c>
      <c r="XS33">
        <v>0</v>
      </c>
      <c r="XT33">
        <v>0</v>
      </c>
      <c r="XU33" s="119">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S33">
        <v>0</v>
      </c>
      <c r="YT33">
        <v>0</v>
      </c>
      <c r="YU33">
        <v>0</v>
      </c>
      <c r="YV33">
        <v>0</v>
      </c>
      <c r="YW33">
        <v>0</v>
      </c>
      <c r="YX33">
        <v>0</v>
      </c>
      <c r="YY33">
        <v>0</v>
      </c>
      <c r="YZ33">
        <v>0</v>
      </c>
      <c r="ZA33">
        <v>0</v>
      </c>
      <c r="ZB33" s="128">
        <v>0</v>
      </c>
      <c r="ZC33" s="128">
        <v>0</v>
      </c>
      <c r="ZD33" s="128">
        <v>0</v>
      </c>
      <c r="ZE33" s="128">
        <v>0</v>
      </c>
      <c r="ZF33">
        <v>0</v>
      </c>
      <c r="ZG33" s="119">
        <v>0</v>
      </c>
      <c r="ZH33" s="119">
        <v>0</v>
      </c>
      <c r="ZI33" s="119">
        <v>0</v>
      </c>
      <c r="ZJ33" s="119">
        <v>0</v>
      </c>
      <c r="ZK33" s="121">
        <v>0</v>
      </c>
      <c r="ZL33" s="119">
        <v>0</v>
      </c>
      <c r="ZM33" s="119">
        <v>0</v>
      </c>
      <c r="ZN33">
        <v>0</v>
      </c>
      <c r="ZO33">
        <v>0</v>
      </c>
      <c r="ZP33">
        <v>0</v>
      </c>
      <c r="ZQ33" s="119">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s="116">
        <v>0</v>
      </c>
      <c r="AAP33" s="116">
        <v>0</v>
      </c>
      <c r="AAQ33" s="116">
        <v>0</v>
      </c>
      <c r="AAR33" s="116">
        <v>0</v>
      </c>
      <c r="AAS33" s="116">
        <v>0</v>
      </c>
      <c r="AAT33" s="116">
        <v>0</v>
      </c>
      <c r="AAU33" s="116">
        <v>0</v>
      </c>
      <c r="AAV33" s="116">
        <v>0</v>
      </c>
      <c r="AAW33" s="116">
        <v>0</v>
      </c>
      <c r="AAX33" s="128">
        <v>0</v>
      </c>
      <c r="AAY33" s="128">
        <v>0</v>
      </c>
      <c r="AAZ33" s="128">
        <v>0</v>
      </c>
      <c r="ABA33" s="128">
        <v>0</v>
      </c>
      <c r="ABB33">
        <v>0</v>
      </c>
      <c r="ABC33" s="119">
        <v>0</v>
      </c>
      <c r="ABD33" s="119">
        <v>0</v>
      </c>
      <c r="ABE33" s="119">
        <v>0</v>
      </c>
      <c r="ABF33" s="119">
        <v>0</v>
      </c>
      <c r="ABG33" s="121">
        <v>0</v>
      </c>
      <c r="ABH33" s="119">
        <v>0</v>
      </c>
      <c r="ABI33" s="119">
        <v>0</v>
      </c>
      <c r="ABJ33">
        <v>0</v>
      </c>
      <c r="ABK33">
        <v>0</v>
      </c>
      <c r="ABL33">
        <v>0</v>
      </c>
      <c r="ABM33" s="119">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s="116">
        <v>0</v>
      </c>
      <c r="ACL33" s="116">
        <v>0</v>
      </c>
      <c r="ACM33" s="116">
        <v>0</v>
      </c>
      <c r="ACN33" s="116">
        <v>0</v>
      </c>
      <c r="ACO33" s="116">
        <v>0</v>
      </c>
      <c r="ACP33" s="116">
        <v>0</v>
      </c>
      <c r="ACQ33" s="116">
        <v>0</v>
      </c>
      <c r="ACR33" s="116">
        <v>0</v>
      </c>
      <c r="ACS33" s="116">
        <v>0</v>
      </c>
      <c r="ACT33" s="128">
        <v>0</v>
      </c>
      <c r="ACU33" s="128">
        <v>0</v>
      </c>
      <c r="ACV33" s="128">
        <v>0</v>
      </c>
      <c r="ACW33" s="128">
        <v>0</v>
      </c>
      <c r="ACX33">
        <v>0</v>
      </c>
      <c r="ACY33" s="119">
        <v>0</v>
      </c>
      <c r="ACZ33" s="119">
        <v>0</v>
      </c>
      <c r="ADA33" s="119">
        <v>0</v>
      </c>
      <c r="ADB33" s="119">
        <v>0</v>
      </c>
      <c r="ADC33" s="121">
        <v>0</v>
      </c>
      <c r="ADD33" s="119">
        <v>0</v>
      </c>
      <c r="ADE33" s="119">
        <v>0</v>
      </c>
      <c r="ADF33">
        <v>0</v>
      </c>
      <c r="ADG33">
        <v>0</v>
      </c>
      <c r="ADH33">
        <v>0</v>
      </c>
      <c r="ADI33" s="119">
        <v>0</v>
      </c>
      <c r="ADJ33">
        <v>0</v>
      </c>
      <c r="ADK33">
        <v>0</v>
      </c>
      <c r="ADL33">
        <v>0</v>
      </c>
      <c r="ADM33">
        <v>0</v>
      </c>
      <c r="ADN33">
        <v>0</v>
      </c>
      <c r="ADO33">
        <v>0</v>
      </c>
      <c r="ADP33">
        <v>0</v>
      </c>
      <c r="ADQ33">
        <v>0</v>
      </c>
      <c r="ADR33">
        <v>0</v>
      </c>
      <c r="ADS33">
        <v>0</v>
      </c>
      <c r="ADT33">
        <v>0</v>
      </c>
      <c r="ADU33">
        <v>0</v>
      </c>
      <c r="ADV33">
        <v>0</v>
      </c>
      <c r="ADW33">
        <v>0</v>
      </c>
      <c r="ADX33">
        <v>0</v>
      </c>
      <c r="ADY33">
        <v>0</v>
      </c>
      <c r="ADZ33">
        <v>0</v>
      </c>
      <c r="AEA33">
        <v>0</v>
      </c>
      <c r="AEB33">
        <v>0</v>
      </c>
      <c r="AEC33">
        <v>0</v>
      </c>
      <c r="AED33">
        <v>0</v>
      </c>
      <c r="AEE33">
        <v>0</v>
      </c>
      <c r="AEF33">
        <v>0</v>
      </c>
      <c r="AEG33" s="116">
        <v>0</v>
      </c>
      <c r="AEH33" s="116">
        <v>0</v>
      </c>
      <c r="AEI33" s="116">
        <v>0</v>
      </c>
      <c r="AEJ33" s="116">
        <v>0</v>
      </c>
      <c r="AEK33" s="116">
        <v>0</v>
      </c>
      <c r="AEL33" s="116">
        <v>0</v>
      </c>
      <c r="AEM33" s="116">
        <v>0</v>
      </c>
      <c r="AEN33" s="116">
        <v>0</v>
      </c>
      <c r="AEO33" s="116">
        <v>0</v>
      </c>
      <c r="AEP33" s="128">
        <v>0</v>
      </c>
      <c r="AEQ33" s="128">
        <v>0</v>
      </c>
      <c r="AER33" s="128">
        <v>0</v>
      </c>
      <c r="AES33" s="128">
        <v>0</v>
      </c>
      <c r="AET33">
        <v>0</v>
      </c>
      <c r="AEU33" s="119">
        <v>0</v>
      </c>
      <c r="AEV33" s="119">
        <v>0</v>
      </c>
      <c r="AEW33" s="119">
        <v>0</v>
      </c>
      <c r="AEX33" s="119">
        <v>0</v>
      </c>
      <c r="AEY33" s="121">
        <v>0</v>
      </c>
      <c r="AEZ33" s="119">
        <v>0</v>
      </c>
      <c r="AFA33" s="119">
        <v>0</v>
      </c>
      <c r="AFB33">
        <v>0</v>
      </c>
      <c r="AFC33">
        <v>0</v>
      </c>
      <c r="AFD33">
        <v>0</v>
      </c>
      <c r="AFE33" s="119">
        <v>0</v>
      </c>
      <c r="AFF33">
        <v>0</v>
      </c>
      <c r="AFG33">
        <v>0</v>
      </c>
      <c r="AFH33">
        <v>0</v>
      </c>
      <c r="AFI33">
        <v>0</v>
      </c>
      <c r="AFJ33">
        <v>0</v>
      </c>
      <c r="AFK33">
        <v>0</v>
      </c>
      <c r="AFL33">
        <v>0</v>
      </c>
      <c r="AFM33">
        <v>0</v>
      </c>
      <c r="AFN33">
        <v>0</v>
      </c>
      <c r="AFO33">
        <v>0</v>
      </c>
      <c r="AFP33">
        <v>0</v>
      </c>
      <c r="AFQ33">
        <v>0</v>
      </c>
      <c r="AFR33">
        <v>0</v>
      </c>
      <c r="AFS33">
        <v>0</v>
      </c>
      <c r="AFT33">
        <v>0</v>
      </c>
      <c r="AFU33">
        <v>0</v>
      </c>
      <c r="AFV33">
        <v>0</v>
      </c>
      <c r="AFW33">
        <v>0</v>
      </c>
      <c r="AFX33">
        <v>0</v>
      </c>
      <c r="AFY33">
        <v>0</v>
      </c>
      <c r="AFZ33">
        <v>0</v>
      </c>
      <c r="AGA33">
        <v>0</v>
      </c>
      <c r="AGB33">
        <v>0</v>
      </c>
      <c r="AGC33" s="116">
        <v>0</v>
      </c>
      <c r="AGD33" s="116">
        <v>0</v>
      </c>
      <c r="AGE33" s="116">
        <v>0</v>
      </c>
      <c r="AGF33" s="116">
        <v>0</v>
      </c>
      <c r="AGG33" s="116">
        <v>0</v>
      </c>
      <c r="AGH33" s="116">
        <v>0</v>
      </c>
      <c r="AGI33" s="116">
        <v>0</v>
      </c>
      <c r="AGJ33" s="116">
        <v>0</v>
      </c>
      <c r="AGK33" s="116">
        <v>0</v>
      </c>
      <c r="AGL33" s="128">
        <v>0</v>
      </c>
      <c r="AGM33" s="128">
        <v>0</v>
      </c>
      <c r="AGN33" s="128">
        <v>0</v>
      </c>
      <c r="AGO33" s="128">
        <v>0</v>
      </c>
      <c r="AGP33">
        <v>0</v>
      </c>
      <c r="AGQ33" s="119">
        <v>0</v>
      </c>
      <c r="AGR33" s="119">
        <v>0</v>
      </c>
      <c r="AGS33" s="119">
        <v>0</v>
      </c>
      <c r="AGT33" s="119">
        <v>0</v>
      </c>
      <c r="AGU33" s="121">
        <v>0</v>
      </c>
      <c r="AGV33" s="119">
        <v>0</v>
      </c>
      <c r="AGW33" s="119">
        <v>0</v>
      </c>
      <c r="AGX33">
        <v>0</v>
      </c>
      <c r="AGY33">
        <v>0</v>
      </c>
      <c r="AGZ33">
        <v>0</v>
      </c>
      <c r="AHA33" s="119">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A33">
        <v>0</v>
      </c>
      <c r="AIB33">
        <v>0</v>
      </c>
      <c r="AIC33">
        <v>0</v>
      </c>
      <c r="AID33">
        <v>0</v>
      </c>
      <c r="AIE33">
        <v>0</v>
      </c>
      <c r="AIF33">
        <v>0</v>
      </c>
      <c r="AIG33">
        <v>0</v>
      </c>
      <c r="AIH33" s="128">
        <v>0</v>
      </c>
      <c r="AII33" s="128">
        <v>0</v>
      </c>
      <c r="AIJ33" s="128">
        <v>0</v>
      </c>
      <c r="AIK33" s="128">
        <v>0</v>
      </c>
      <c r="AIL33">
        <v>0</v>
      </c>
      <c r="AIM33" s="119">
        <v>0</v>
      </c>
      <c r="AIN33" s="119">
        <v>0</v>
      </c>
      <c r="AIO33" s="119">
        <v>0</v>
      </c>
      <c r="AIP33" s="119">
        <v>0</v>
      </c>
      <c r="AIQ33" s="121">
        <v>0</v>
      </c>
      <c r="AIR33" s="119">
        <v>0</v>
      </c>
      <c r="AIS33" s="119">
        <v>0</v>
      </c>
      <c r="AIT33">
        <v>0</v>
      </c>
      <c r="AIU33">
        <v>0</v>
      </c>
      <c r="AIV33">
        <v>0</v>
      </c>
      <c r="AIW33" s="119">
        <v>0</v>
      </c>
      <c r="AIX33">
        <v>0</v>
      </c>
      <c r="AIY33">
        <v>0</v>
      </c>
      <c r="AIZ33">
        <v>0</v>
      </c>
      <c r="AJA33">
        <v>0</v>
      </c>
      <c r="AJB33">
        <v>0</v>
      </c>
      <c r="AJC33">
        <v>0</v>
      </c>
      <c r="AJD33">
        <v>0</v>
      </c>
      <c r="AJE33">
        <v>0</v>
      </c>
      <c r="AJF33">
        <v>0</v>
      </c>
      <c r="AJG33">
        <v>0</v>
      </c>
      <c r="AJH33">
        <v>0</v>
      </c>
      <c r="AJI33">
        <v>0</v>
      </c>
      <c r="AJJ33">
        <v>0</v>
      </c>
      <c r="AJK33">
        <v>0</v>
      </c>
      <c r="AJL33">
        <v>0</v>
      </c>
      <c r="AJM33">
        <v>0</v>
      </c>
      <c r="AJN33">
        <v>0</v>
      </c>
      <c r="AJO33">
        <v>0</v>
      </c>
      <c r="AJP33">
        <v>0</v>
      </c>
      <c r="AJQ33">
        <v>0</v>
      </c>
      <c r="AJR33">
        <v>0</v>
      </c>
      <c r="AJS33">
        <v>0</v>
      </c>
      <c r="AJT33">
        <v>0</v>
      </c>
      <c r="AJU33" s="116">
        <v>0</v>
      </c>
      <c r="AJV33" s="116">
        <v>0</v>
      </c>
      <c r="AJW33" s="116">
        <v>0</v>
      </c>
      <c r="AJX33" s="116">
        <v>0</v>
      </c>
      <c r="AJY33" s="116">
        <v>0</v>
      </c>
      <c r="AJZ33" s="116">
        <v>0</v>
      </c>
      <c r="AKA33" s="116">
        <v>0</v>
      </c>
      <c r="AKB33" s="116">
        <v>0</v>
      </c>
      <c r="AKC33" s="116">
        <v>0</v>
      </c>
      <c r="AKD33" s="128">
        <v>0</v>
      </c>
      <c r="AKE33" s="128">
        <v>0</v>
      </c>
      <c r="AKF33" s="128">
        <v>0</v>
      </c>
      <c r="AKG33" s="128">
        <v>0</v>
      </c>
      <c r="AKH33">
        <v>0</v>
      </c>
      <c r="AKI33" s="119">
        <v>0</v>
      </c>
      <c r="AKJ33" s="119">
        <v>0</v>
      </c>
      <c r="AKK33" s="119">
        <v>0</v>
      </c>
      <c r="AKL33" s="119">
        <v>0</v>
      </c>
      <c r="AKM33" s="121">
        <v>0</v>
      </c>
      <c r="AKN33" s="119">
        <v>0</v>
      </c>
      <c r="AKO33" s="119">
        <v>0</v>
      </c>
      <c r="AKP33">
        <v>0</v>
      </c>
      <c r="AKQ33">
        <v>0</v>
      </c>
      <c r="AKR33">
        <v>0</v>
      </c>
      <c r="AKS33" s="119">
        <v>0</v>
      </c>
      <c r="AKT33">
        <v>0</v>
      </c>
      <c r="AKU33">
        <v>0</v>
      </c>
      <c r="AKV33">
        <v>0</v>
      </c>
      <c r="AKW33">
        <v>0</v>
      </c>
      <c r="AKX33">
        <v>0</v>
      </c>
      <c r="AKY33">
        <v>0</v>
      </c>
      <c r="AKZ33">
        <v>0</v>
      </c>
      <c r="ALA33">
        <v>0</v>
      </c>
      <c r="ALB33">
        <v>0</v>
      </c>
      <c r="ALC33">
        <v>0</v>
      </c>
      <c r="ALD33">
        <v>0</v>
      </c>
      <c r="ALE33">
        <v>0</v>
      </c>
      <c r="ALF33">
        <v>0</v>
      </c>
      <c r="ALG33">
        <v>0</v>
      </c>
      <c r="ALH33">
        <v>0</v>
      </c>
      <c r="ALI33">
        <v>0</v>
      </c>
      <c r="ALJ33">
        <v>0</v>
      </c>
      <c r="ALK33">
        <v>0</v>
      </c>
      <c r="ALL33">
        <v>0</v>
      </c>
      <c r="ALM33">
        <v>0</v>
      </c>
      <c r="ALN33">
        <v>0</v>
      </c>
      <c r="ALO33">
        <v>0</v>
      </c>
      <c r="ALP33">
        <v>0</v>
      </c>
      <c r="ALQ33" s="116">
        <v>0</v>
      </c>
      <c r="ALR33" s="116">
        <v>0</v>
      </c>
      <c r="ALS33" s="116">
        <v>0</v>
      </c>
      <c r="ALT33" s="116">
        <v>0</v>
      </c>
      <c r="ALU33" s="116">
        <v>0</v>
      </c>
      <c r="ALV33" s="116">
        <v>0</v>
      </c>
      <c r="ALW33" s="116">
        <v>0</v>
      </c>
      <c r="ALX33" s="116">
        <v>0</v>
      </c>
      <c r="ALY33" s="116">
        <v>0</v>
      </c>
      <c r="ALZ33" s="128">
        <v>0</v>
      </c>
      <c r="AMA33" s="128">
        <v>0</v>
      </c>
      <c r="AMB33" s="128">
        <v>0</v>
      </c>
      <c r="AMC33" s="128">
        <v>0</v>
      </c>
      <c r="AMD33">
        <v>0</v>
      </c>
      <c r="AME33" s="119">
        <v>0</v>
      </c>
      <c r="AMF33" s="119">
        <v>0</v>
      </c>
      <c r="AMG33" s="119">
        <v>0</v>
      </c>
      <c r="AMH33" s="119">
        <v>0</v>
      </c>
      <c r="AMI33" s="121">
        <v>0</v>
      </c>
      <c r="AMJ33" s="119">
        <v>0</v>
      </c>
      <c r="AMK33" s="119">
        <v>0</v>
      </c>
      <c r="AML33">
        <v>0</v>
      </c>
      <c r="AMM33">
        <v>0</v>
      </c>
      <c r="AMN33">
        <v>0</v>
      </c>
      <c r="AMO33" s="119">
        <v>0</v>
      </c>
      <c r="AMP33">
        <v>0</v>
      </c>
      <c r="AMQ33">
        <v>0</v>
      </c>
      <c r="AMR33">
        <v>0</v>
      </c>
      <c r="AMS33">
        <v>0</v>
      </c>
      <c r="AMT33">
        <v>0</v>
      </c>
      <c r="AMU33">
        <v>0</v>
      </c>
      <c r="AMV33">
        <v>0</v>
      </c>
      <c r="AMW33">
        <v>0</v>
      </c>
      <c r="AMX33">
        <v>0</v>
      </c>
      <c r="AMY33">
        <v>0</v>
      </c>
      <c r="AMZ33">
        <v>0</v>
      </c>
      <c r="ANA33">
        <v>0</v>
      </c>
      <c r="ANB33">
        <v>0</v>
      </c>
      <c r="ANC33">
        <v>0</v>
      </c>
      <c r="AND33">
        <v>0</v>
      </c>
      <c r="ANE33">
        <v>0</v>
      </c>
      <c r="ANF33">
        <v>0</v>
      </c>
      <c r="ANG33">
        <v>0</v>
      </c>
      <c r="ANH33">
        <v>0</v>
      </c>
      <c r="ANI33">
        <v>0</v>
      </c>
      <c r="ANJ33">
        <v>0</v>
      </c>
      <c r="ANK33">
        <v>0</v>
      </c>
      <c r="ANL33">
        <v>0</v>
      </c>
      <c r="ANM33" s="116">
        <v>0</v>
      </c>
      <c r="ANN33" s="116">
        <v>0</v>
      </c>
      <c r="ANO33" s="116">
        <v>0</v>
      </c>
      <c r="ANP33" s="116">
        <v>0</v>
      </c>
      <c r="ANQ33" s="116">
        <v>0</v>
      </c>
      <c r="ANR33" s="116">
        <v>0</v>
      </c>
      <c r="ANS33" s="116">
        <v>0</v>
      </c>
      <c r="ANT33" s="116">
        <v>0</v>
      </c>
      <c r="ANU33" s="116">
        <v>0</v>
      </c>
      <c r="ANV33" s="128">
        <v>0</v>
      </c>
      <c r="ANW33" s="128">
        <v>0</v>
      </c>
      <c r="ANX33" s="128">
        <v>0</v>
      </c>
      <c r="ANY33" s="128">
        <v>0</v>
      </c>
      <c r="ANZ33">
        <v>0</v>
      </c>
      <c r="AOA33" s="119">
        <v>0</v>
      </c>
      <c r="AOB33" s="119">
        <v>0</v>
      </c>
      <c r="AOC33" s="119">
        <v>0</v>
      </c>
      <c r="AOD33" s="119">
        <v>0</v>
      </c>
      <c r="AOE33" s="121">
        <v>0</v>
      </c>
      <c r="AOF33" s="119">
        <v>0</v>
      </c>
      <c r="AOG33" s="119">
        <v>0</v>
      </c>
      <c r="AOH33">
        <v>0</v>
      </c>
      <c r="AOI33">
        <v>0</v>
      </c>
      <c r="AOJ33">
        <v>0</v>
      </c>
      <c r="AOK33" s="119">
        <v>0</v>
      </c>
      <c r="AOL33">
        <v>0</v>
      </c>
      <c r="AOM33">
        <v>0</v>
      </c>
      <c r="AON33">
        <v>0</v>
      </c>
      <c r="AOO33">
        <v>0</v>
      </c>
      <c r="AOP33">
        <v>0</v>
      </c>
      <c r="AOQ33">
        <v>0</v>
      </c>
      <c r="AOR33">
        <v>0</v>
      </c>
      <c r="AOS33">
        <v>0</v>
      </c>
      <c r="AOT33">
        <v>0</v>
      </c>
      <c r="AOU33">
        <v>0</v>
      </c>
      <c r="AOV33">
        <v>0</v>
      </c>
      <c r="AOW33">
        <v>0</v>
      </c>
      <c r="AOX33">
        <v>0</v>
      </c>
      <c r="AOY33">
        <v>0</v>
      </c>
      <c r="AOZ33">
        <v>0</v>
      </c>
      <c r="APA33">
        <v>0</v>
      </c>
      <c r="APB33">
        <v>0</v>
      </c>
      <c r="APC33">
        <v>0</v>
      </c>
      <c r="APD33">
        <v>0</v>
      </c>
      <c r="APE33">
        <v>0</v>
      </c>
      <c r="APF33">
        <v>0</v>
      </c>
      <c r="APG33">
        <v>0</v>
      </c>
      <c r="APH33">
        <v>0</v>
      </c>
      <c r="API33" s="116">
        <v>0</v>
      </c>
      <c r="APJ33" s="116">
        <v>0</v>
      </c>
      <c r="APK33" s="116">
        <v>0</v>
      </c>
      <c r="APL33" s="116">
        <v>0</v>
      </c>
      <c r="APM33" s="116">
        <v>0</v>
      </c>
      <c r="APN33" s="116">
        <v>0</v>
      </c>
      <c r="APO33" s="116">
        <v>0</v>
      </c>
      <c r="APP33" s="116">
        <v>0</v>
      </c>
      <c r="APQ33" s="116">
        <v>0</v>
      </c>
      <c r="APR33" s="128">
        <v>0</v>
      </c>
      <c r="APS33" s="128">
        <v>0</v>
      </c>
      <c r="APT33" s="128">
        <v>0</v>
      </c>
      <c r="APU33" s="128">
        <v>0</v>
      </c>
      <c r="APV33">
        <v>0</v>
      </c>
      <c r="APW33" s="119">
        <v>0</v>
      </c>
      <c r="APX33" s="119">
        <v>0</v>
      </c>
      <c r="APY33" s="119">
        <v>0</v>
      </c>
      <c r="APZ33" s="119">
        <v>0</v>
      </c>
      <c r="AQA33" s="121">
        <v>0</v>
      </c>
      <c r="AQB33" s="119">
        <v>0</v>
      </c>
      <c r="AQC33" s="119">
        <v>0</v>
      </c>
      <c r="AQD33">
        <v>0</v>
      </c>
      <c r="AQE33">
        <v>0</v>
      </c>
      <c r="AQF33">
        <v>0</v>
      </c>
      <c r="AQG33" s="119">
        <v>0</v>
      </c>
      <c r="AQH33">
        <v>0</v>
      </c>
      <c r="AQI33">
        <v>0</v>
      </c>
      <c r="AQJ33">
        <v>0</v>
      </c>
      <c r="AQK33">
        <v>0</v>
      </c>
      <c r="AQL33">
        <v>0</v>
      </c>
      <c r="AQM33">
        <v>0</v>
      </c>
      <c r="AQN33">
        <v>0</v>
      </c>
      <c r="AQO33">
        <v>0</v>
      </c>
      <c r="AQP33">
        <v>0</v>
      </c>
      <c r="AQQ33">
        <v>0</v>
      </c>
      <c r="AQR33">
        <v>0</v>
      </c>
      <c r="AQS33">
        <v>0</v>
      </c>
      <c r="AQT33">
        <v>0</v>
      </c>
      <c r="AQU33">
        <v>0</v>
      </c>
      <c r="AQV33">
        <v>0</v>
      </c>
      <c r="AQW33">
        <v>0</v>
      </c>
      <c r="AQX33">
        <v>0</v>
      </c>
      <c r="AQY33">
        <v>0</v>
      </c>
      <c r="AQZ33">
        <v>0</v>
      </c>
      <c r="ARA33">
        <v>0</v>
      </c>
      <c r="ARB33">
        <v>0</v>
      </c>
      <c r="ARC33">
        <v>0</v>
      </c>
      <c r="ARD33">
        <v>0</v>
      </c>
      <c r="ARE33">
        <v>0</v>
      </c>
      <c r="ARF33">
        <v>0</v>
      </c>
      <c r="ARG33">
        <v>0</v>
      </c>
      <c r="ARH33">
        <v>0</v>
      </c>
      <c r="ARI33">
        <v>0</v>
      </c>
      <c r="ARJ33">
        <v>0</v>
      </c>
      <c r="ARK33">
        <v>0</v>
      </c>
      <c r="ARL33">
        <v>0</v>
      </c>
      <c r="ARM33">
        <v>0</v>
      </c>
      <c r="ARN33" s="128">
        <v>0</v>
      </c>
      <c r="ARO33" s="128">
        <v>0</v>
      </c>
      <c r="ARP33" s="128">
        <v>0</v>
      </c>
      <c r="ARQ33" s="128">
        <v>0</v>
      </c>
      <c r="ARR33">
        <v>0</v>
      </c>
      <c r="ARS33" s="119">
        <v>0</v>
      </c>
      <c r="ART33" s="119">
        <v>0</v>
      </c>
      <c r="ARU33" s="119">
        <v>0</v>
      </c>
      <c r="ARV33" s="119">
        <v>0</v>
      </c>
      <c r="ARW33" s="121">
        <v>0</v>
      </c>
      <c r="ARX33" s="119">
        <v>0</v>
      </c>
      <c r="ARY33" s="119">
        <v>0</v>
      </c>
      <c r="ARZ33">
        <v>0</v>
      </c>
      <c r="ASA33">
        <v>0</v>
      </c>
      <c r="ASB33">
        <v>0</v>
      </c>
      <c r="ASC33" s="119">
        <v>0</v>
      </c>
      <c r="ASD33">
        <v>0</v>
      </c>
      <c r="ASE33">
        <v>0</v>
      </c>
      <c r="ASF33">
        <v>0</v>
      </c>
      <c r="ASG33">
        <v>0</v>
      </c>
      <c r="ASH33">
        <v>0</v>
      </c>
      <c r="ASI33">
        <v>0</v>
      </c>
      <c r="ASJ33">
        <v>0</v>
      </c>
      <c r="ASK33">
        <v>0</v>
      </c>
      <c r="ASL33">
        <v>0</v>
      </c>
      <c r="ASM33">
        <v>0</v>
      </c>
      <c r="ASN33">
        <v>0</v>
      </c>
      <c r="ASO33">
        <v>0</v>
      </c>
      <c r="ASP33">
        <v>0</v>
      </c>
      <c r="ASQ33">
        <v>0</v>
      </c>
      <c r="ASR33">
        <v>0</v>
      </c>
      <c r="ASS33">
        <v>0</v>
      </c>
      <c r="AST33">
        <v>0</v>
      </c>
      <c r="ASU33">
        <v>0</v>
      </c>
      <c r="ASV33">
        <v>0</v>
      </c>
      <c r="ASW33">
        <v>0</v>
      </c>
      <c r="ASX33">
        <v>0</v>
      </c>
      <c r="ASY33">
        <v>0</v>
      </c>
      <c r="ASZ33">
        <v>0</v>
      </c>
      <c r="ATA33" s="116">
        <v>0</v>
      </c>
      <c r="ATB33" s="116">
        <v>0</v>
      </c>
      <c r="ATC33" s="116">
        <v>0</v>
      </c>
      <c r="ATD33" s="116">
        <v>0</v>
      </c>
      <c r="ATE33" s="116">
        <v>0</v>
      </c>
      <c r="ATF33" s="116">
        <v>0</v>
      </c>
      <c r="ATG33" s="116">
        <v>0</v>
      </c>
      <c r="ATH33" s="116">
        <v>0</v>
      </c>
      <c r="ATI33" s="116">
        <v>0</v>
      </c>
      <c r="ATJ33" s="128">
        <v>0</v>
      </c>
      <c r="ATK33" s="128">
        <v>0</v>
      </c>
      <c r="ATL33" s="128">
        <v>0</v>
      </c>
      <c r="ATM33" s="128">
        <v>0</v>
      </c>
      <c r="ATN33">
        <v>0</v>
      </c>
      <c r="ATO33" s="119">
        <v>0</v>
      </c>
      <c r="ATP33" s="119">
        <v>0</v>
      </c>
      <c r="ATQ33" s="119">
        <v>0</v>
      </c>
      <c r="ATR33" s="119">
        <v>0</v>
      </c>
      <c r="ATS33" s="121">
        <v>0</v>
      </c>
      <c r="ATT33" s="119">
        <v>0</v>
      </c>
      <c r="ATU33" s="119">
        <v>0</v>
      </c>
      <c r="ATV33">
        <v>0</v>
      </c>
      <c r="ATW33">
        <v>0</v>
      </c>
      <c r="ATX33">
        <v>0</v>
      </c>
      <c r="ATY33" s="119">
        <v>0</v>
      </c>
      <c r="ATZ33">
        <v>0</v>
      </c>
      <c r="AUA33">
        <v>0</v>
      </c>
      <c r="AUB33">
        <v>0</v>
      </c>
      <c r="AUC33">
        <v>0</v>
      </c>
      <c r="AUD33">
        <v>0</v>
      </c>
      <c r="AUE33">
        <v>0</v>
      </c>
      <c r="AUF33">
        <v>0</v>
      </c>
      <c r="AUG33">
        <v>0</v>
      </c>
      <c r="AUH33">
        <v>0</v>
      </c>
      <c r="AUI33">
        <v>0</v>
      </c>
      <c r="AUJ33">
        <v>0</v>
      </c>
      <c r="AUK33">
        <v>0</v>
      </c>
      <c r="AUL33">
        <v>0</v>
      </c>
      <c r="AUM33">
        <v>0</v>
      </c>
      <c r="AUN33">
        <v>0</v>
      </c>
      <c r="AUO33">
        <v>0</v>
      </c>
      <c r="AUP33">
        <v>0</v>
      </c>
      <c r="AUQ33">
        <v>0</v>
      </c>
      <c r="AUR33">
        <v>0</v>
      </c>
      <c r="AUS33">
        <v>0</v>
      </c>
      <c r="AUT33">
        <v>0</v>
      </c>
      <c r="AUU33">
        <v>0</v>
      </c>
      <c r="AUV33">
        <v>0</v>
      </c>
      <c r="AUW33" s="116">
        <v>0</v>
      </c>
      <c r="AUX33" s="116">
        <v>0</v>
      </c>
      <c r="AUY33" s="116">
        <v>0</v>
      </c>
      <c r="AUZ33" s="116">
        <v>0</v>
      </c>
      <c r="AVA33" s="116">
        <v>0</v>
      </c>
      <c r="AVB33" s="116">
        <v>0</v>
      </c>
      <c r="AVC33" s="116">
        <v>0</v>
      </c>
      <c r="AVD33" s="116">
        <v>0</v>
      </c>
      <c r="AVE33" s="116">
        <v>0</v>
      </c>
      <c r="AVF33" s="128">
        <v>0</v>
      </c>
      <c r="AVG33" s="128">
        <v>0</v>
      </c>
      <c r="AVH33" s="128">
        <v>0</v>
      </c>
      <c r="AVI33" s="128">
        <v>0</v>
      </c>
      <c r="AVJ33">
        <v>0</v>
      </c>
      <c r="AVK33" s="119">
        <v>0</v>
      </c>
      <c r="AVL33" s="119">
        <v>0</v>
      </c>
      <c r="AVM33" s="119">
        <v>0</v>
      </c>
      <c r="AVN33" s="119">
        <v>0</v>
      </c>
      <c r="AVO33" s="121">
        <v>0</v>
      </c>
      <c r="AVP33" s="119">
        <v>0</v>
      </c>
      <c r="AVQ33" s="119">
        <v>0</v>
      </c>
      <c r="AVR33">
        <v>0</v>
      </c>
      <c r="AVS33">
        <v>0</v>
      </c>
      <c r="AVT33">
        <v>0</v>
      </c>
      <c r="AVU33" s="119">
        <v>0</v>
      </c>
      <c r="AVV33">
        <v>0</v>
      </c>
      <c r="AVW33">
        <v>0</v>
      </c>
      <c r="AVX33">
        <v>0</v>
      </c>
      <c r="AVY33">
        <v>0</v>
      </c>
      <c r="AVZ33">
        <v>0</v>
      </c>
      <c r="AWA33">
        <v>0</v>
      </c>
      <c r="AWB33">
        <v>0</v>
      </c>
      <c r="AWC33">
        <v>0</v>
      </c>
      <c r="AWD33">
        <v>0</v>
      </c>
      <c r="AWE33">
        <v>0</v>
      </c>
      <c r="AWF33">
        <v>0</v>
      </c>
      <c r="AWG33">
        <v>0</v>
      </c>
      <c r="AWH33">
        <v>0</v>
      </c>
      <c r="AWI33">
        <v>0</v>
      </c>
      <c r="AWJ33">
        <v>0</v>
      </c>
      <c r="AWK33">
        <v>0</v>
      </c>
      <c r="AWL33">
        <v>0</v>
      </c>
      <c r="AWM33">
        <v>0</v>
      </c>
      <c r="AWN33">
        <v>0</v>
      </c>
      <c r="AWO33">
        <v>0</v>
      </c>
      <c r="AWP33">
        <v>0</v>
      </c>
      <c r="AWQ33">
        <v>0</v>
      </c>
      <c r="AWR33">
        <v>0</v>
      </c>
      <c r="AWS33" s="116">
        <v>0</v>
      </c>
      <c r="AWT33" s="116">
        <v>0</v>
      </c>
      <c r="AWU33" s="116">
        <v>0</v>
      </c>
      <c r="AWV33" s="116">
        <v>0</v>
      </c>
      <c r="AWW33" s="116">
        <v>0</v>
      </c>
      <c r="AWX33" s="116">
        <v>0</v>
      </c>
      <c r="AWY33" s="116">
        <v>0</v>
      </c>
      <c r="AWZ33" s="116">
        <v>0</v>
      </c>
      <c r="AXA33" s="116">
        <v>0</v>
      </c>
      <c r="AXB33" s="128">
        <v>0</v>
      </c>
      <c r="AXC33" s="128">
        <v>0</v>
      </c>
      <c r="AXD33" s="128">
        <v>0</v>
      </c>
      <c r="AXE33" s="128">
        <v>0</v>
      </c>
      <c r="AXF33">
        <v>0</v>
      </c>
      <c r="AXG33" s="119">
        <v>0</v>
      </c>
      <c r="AXH33" s="119">
        <v>0</v>
      </c>
      <c r="AXI33" s="119">
        <v>0</v>
      </c>
      <c r="AXJ33" s="119">
        <v>0</v>
      </c>
      <c r="AXK33" s="121">
        <v>0</v>
      </c>
      <c r="AXL33" s="119">
        <v>0</v>
      </c>
      <c r="AXM33" s="119">
        <v>0</v>
      </c>
      <c r="AXN33">
        <v>0</v>
      </c>
      <c r="AXO33">
        <v>0</v>
      </c>
      <c r="AXP33">
        <v>0</v>
      </c>
      <c r="AXQ33" s="119">
        <v>0</v>
      </c>
      <c r="AXR33">
        <v>0</v>
      </c>
      <c r="AXS33">
        <v>0</v>
      </c>
      <c r="AXT33">
        <v>0</v>
      </c>
      <c r="AXU33">
        <v>0</v>
      </c>
      <c r="AXV33">
        <v>0</v>
      </c>
      <c r="AXW33">
        <v>0</v>
      </c>
      <c r="AXX33">
        <v>0</v>
      </c>
      <c r="AXY33">
        <v>0</v>
      </c>
      <c r="AXZ33">
        <v>0</v>
      </c>
      <c r="AYA33">
        <v>0</v>
      </c>
      <c r="AYB33">
        <v>0</v>
      </c>
      <c r="AYC33">
        <v>0</v>
      </c>
      <c r="AYD33">
        <v>0</v>
      </c>
      <c r="AYE33">
        <v>0</v>
      </c>
      <c r="AYF33">
        <v>0</v>
      </c>
      <c r="AYG33">
        <v>0</v>
      </c>
      <c r="AYH33">
        <v>0</v>
      </c>
      <c r="AYI33">
        <v>0</v>
      </c>
      <c r="AYJ33">
        <v>0</v>
      </c>
      <c r="AYK33">
        <v>0</v>
      </c>
      <c r="AYL33">
        <v>0</v>
      </c>
      <c r="AYM33">
        <v>0</v>
      </c>
      <c r="AYN33">
        <v>0</v>
      </c>
      <c r="AYO33" s="116">
        <v>0</v>
      </c>
      <c r="AYP33" s="116">
        <v>0</v>
      </c>
      <c r="AYQ33" s="116">
        <v>0</v>
      </c>
      <c r="AYR33" s="116">
        <v>0</v>
      </c>
      <c r="AYS33" s="116">
        <v>0</v>
      </c>
      <c r="AYT33" s="116">
        <v>0</v>
      </c>
      <c r="AYU33" s="116">
        <v>0</v>
      </c>
      <c r="AYV33" s="116">
        <v>0</v>
      </c>
      <c r="AYW33" s="116">
        <v>0</v>
      </c>
      <c r="AYX33" s="128">
        <v>0</v>
      </c>
      <c r="AYY33" s="128">
        <v>0</v>
      </c>
      <c r="AYZ33" s="128">
        <v>0</v>
      </c>
      <c r="AZA33" s="128">
        <v>0</v>
      </c>
      <c r="AZB33">
        <v>0</v>
      </c>
      <c r="AZC33" s="119">
        <v>0</v>
      </c>
      <c r="AZD33" s="119">
        <v>0</v>
      </c>
      <c r="AZE33" s="119">
        <v>0</v>
      </c>
      <c r="AZF33" s="119">
        <v>0</v>
      </c>
      <c r="AZG33" s="121">
        <v>0</v>
      </c>
      <c r="AZH33" s="119">
        <v>0</v>
      </c>
      <c r="AZI33" s="119">
        <v>0</v>
      </c>
      <c r="AZJ33">
        <v>0</v>
      </c>
      <c r="AZK33">
        <v>0</v>
      </c>
      <c r="AZL33">
        <v>0</v>
      </c>
      <c r="AZM33" s="119">
        <v>0</v>
      </c>
      <c r="AZN33">
        <v>0</v>
      </c>
      <c r="AZO33">
        <v>0</v>
      </c>
      <c r="AZP33">
        <v>0</v>
      </c>
      <c r="AZQ33">
        <v>0</v>
      </c>
      <c r="AZR33">
        <v>0</v>
      </c>
      <c r="AZS33">
        <v>0</v>
      </c>
      <c r="AZT33">
        <v>0</v>
      </c>
      <c r="AZU33">
        <v>0</v>
      </c>
      <c r="AZV33">
        <v>0</v>
      </c>
      <c r="AZW33">
        <v>0</v>
      </c>
      <c r="AZX33">
        <v>0</v>
      </c>
      <c r="AZY33">
        <v>0</v>
      </c>
      <c r="AZZ33">
        <v>0</v>
      </c>
      <c r="BAA33">
        <v>0</v>
      </c>
      <c r="BAB33">
        <v>0</v>
      </c>
      <c r="BAC33">
        <v>0</v>
      </c>
      <c r="BAD33">
        <v>0</v>
      </c>
      <c r="BAE33">
        <v>0</v>
      </c>
      <c r="BAF33">
        <v>0</v>
      </c>
      <c r="BAG33">
        <v>0</v>
      </c>
      <c r="BAH33">
        <v>0</v>
      </c>
      <c r="BAI33">
        <v>0</v>
      </c>
      <c r="BAJ33">
        <v>0</v>
      </c>
      <c r="BAK33">
        <v>833650</v>
      </c>
      <c r="BAL33" s="120">
        <v>12142.17</v>
      </c>
      <c r="BAM33" s="120">
        <v>11142.17</v>
      </c>
      <c r="BAN33" s="120">
        <v>1000</v>
      </c>
      <c r="BAO33" s="120">
        <v>0</v>
      </c>
      <c r="BAP33" s="120">
        <v>0</v>
      </c>
      <c r="BAQ33" s="120">
        <v>0</v>
      </c>
      <c r="BAR33" s="116" t="s">
        <v>3218</v>
      </c>
      <c r="BAS33" s="116">
        <v>0</v>
      </c>
      <c r="BAT33" s="116">
        <v>0</v>
      </c>
      <c r="BAU33" s="116">
        <v>0</v>
      </c>
      <c r="BAV33" s="116">
        <v>0</v>
      </c>
      <c r="BAW33" s="116">
        <v>0</v>
      </c>
      <c r="BAX33" s="116">
        <v>0</v>
      </c>
      <c r="BAY33" s="116">
        <v>0</v>
      </c>
      <c r="BAZ33" s="116">
        <v>0</v>
      </c>
      <c r="BBA33" s="116">
        <v>0</v>
      </c>
      <c r="BBB33" s="116">
        <v>0</v>
      </c>
      <c r="BBC33" s="116">
        <v>0</v>
      </c>
      <c r="BBD33" s="116">
        <v>0</v>
      </c>
      <c r="BBE33" s="116">
        <v>0</v>
      </c>
      <c r="BBF33" s="116">
        <v>0</v>
      </c>
      <c r="BBG33" s="116">
        <v>0</v>
      </c>
      <c r="BBH33" s="116">
        <v>0</v>
      </c>
      <c r="BBI33" s="116">
        <v>0</v>
      </c>
      <c r="BBJ33" s="116">
        <v>0</v>
      </c>
      <c r="BBK33" s="116">
        <v>0</v>
      </c>
      <c r="BBL33" s="116">
        <v>0</v>
      </c>
      <c r="BBM33" s="116">
        <v>0</v>
      </c>
      <c r="BBN33" s="116">
        <v>0</v>
      </c>
      <c r="BBO33" s="116">
        <v>0</v>
      </c>
      <c r="BBP33" s="116">
        <v>0</v>
      </c>
      <c r="BBQ33" s="116" t="s">
        <v>3401</v>
      </c>
      <c r="BBR33" s="116">
        <v>0</v>
      </c>
      <c r="BBS33" s="116">
        <v>0</v>
      </c>
      <c r="BBT33" s="116">
        <v>0</v>
      </c>
      <c r="BBU33" s="116">
        <v>0</v>
      </c>
      <c r="BBV33" s="116">
        <v>0</v>
      </c>
      <c r="BBW33" s="116">
        <v>0</v>
      </c>
      <c r="BBX33" s="116">
        <v>0</v>
      </c>
      <c r="BBY33" s="116">
        <v>0</v>
      </c>
      <c r="BBZ33" s="116">
        <v>0</v>
      </c>
      <c r="BCA33" s="116">
        <v>0</v>
      </c>
      <c r="BCB33" s="116">
        <v>0</v>
      </c>
      <c r="BCC33" s="116">
        <v>0</v>
      </c>
      <c r="BCD33" s="116">
        <v>0</v>
      </c>
      <c r="BCE33" s="116">
        <v>0</v>
      </c>
      <c r="BCF33" s="116">
        <v>0</v>
      </c>
      <c r="BCG33" s="116">
        <v>0</v>
      </c>
      <c r="BCH33" s="116">
        <v>0</v>
      </c>
      <c r="BCI33" s="116">
        <v>0</v>
      </c>
      <c r="BCJ33" s="116">
        <v>0</v>
      </c>
      <c r="BCK33" s="116">
        <v>0</v>
      </c>
      <c r="BCL33" s="116">
        <v>0</v>
      </c>
      <c r="BCM33" s="116">
        <v>0</v>
      </c>
      <c r="BCN33" s="116">
        <v>0</v>
      </c>
      <c r="BCO33" s="116">
        <v>0</v>
      </c>
      <c r="BCP33" s="304">
        <v>4</v>
      </c>
      <c r="BCQ33" s="304">
        <v>5</v>
      </c>
      <c r="BCR33" s="304">
        <v>1</v>
      </c>
      <c r="BCS33" s="304">
        <v>9</v>
      </c>
      <c r="BCT33" s="304">
        <v>5</v>
      </c>
      <c r="BCU33" s="304">
        <v>8</v>
      </c>
      <c r="BCV33" s="304">
        <v>1</v>
      </c>
      <c r="BCW33" s="304">
        <v>1</v>
      </c>
      <c r="BCX33" s="304">
        <v>2</v>
      </c>
      <c r="BCY33" s="304">
        <v>4</v>
      </c>
      <c r="BCZ33" s="304">
        <v>5</v>
      </c>
      <c r="BDA33" s="304">
        <v>6</v>
      </c>
      <c r="BDB33" s="304">
        <v>8</v>
      </c>
      <c r="BDC33" s="304">
        <v>1</v>
      </c>
      <c r="BDD33" s="304">
        <v>0</v>
      </c>
      <c r="BDE33" s="304">
        <v>1</v>
      </c>
      <c r="BDF33" s="304">
        <v>1</v>
      </c>
      <c r="BDG33" s="304">
        <v>8</v>
      </c>
      <c r="BDH33" s="304">
        <v>0</v>
      </c>
      <c r="BDI33" s="304">
        <v>0</v>
      </c>
      <c r="BDJ33" s="304">
        <v>0</v>
      </c>
      <c r="BDK33" s="304">
        <v>0</v>
      </c>
      <c r="BDL33" s="304">
        <v>0</v>
      </c>
      <c r="BDM33" s="304">
        <v>0</v>
      </c>
      <c r="BDN33" s="304">
        <v>0</v>
      </c>
      <c r="BDO33" s="304">
        <v>0</v>
      </c>
      <c r="BDP33" s="304">
        <v>0</v>
      </c>
      <c r="BDQ33">
        <v>0</v>
      </c>
      <c r="BDR33" t="s">
        <v>3270</v>
      </c>
      <c r="BDS33">
        <v>0</v>
      </c>
      <c r="BDT33">
        <v>0</v>
      </c>
      <c r="BDU33">
        <v>0</v>
      </c>
      <c r="BDV33" t="s">
        <v>3270</v>
      </c>
      <c r="BDW33">
        <v>0</v>
      </c>
      <c r="BDX33">
        <v>0</v>
      </c>
      <c r="BDY33">
        <v>0</v>
      </c>
      <c r="BDZ33" t="s">
        <v>3269</v>
      </c>
      <c r="BEA33">
        <v>0</v>
      </c>
      <c r="BEB33">
        <v>0</v>
      </c>
      <c r="BEC33">
        <v>0</v>
      </c>
      <c r="BED33" t="s">
        <v>3269</v>
      </c>
      <c r="BEE33" t="s">
        <v>3270</v>
      </c>
      <c r="BEF33" t="s">
        <v>3392</v>
      </c>
      <c r="BEG33">
        <v>0</v>
      </c>
      <c r="BEH33">
        <v>0</v>
      </c>
      <c r="BEI33">
        <v>0</v>
      </c>
      <c r="BEJ33">
        <v>0</v>
      </c>
      <c r="BEK33">
        <v>0</v>
      </c>
      <c r="BEL33">
        <v>0</v>
      </c>
      <c r="BEM33">
        <v>0</v>
      </c>
      <c r="BEN33">
        <v>0</v>
      </c>
      <c r="BEO33" t="s">
        <v>3393</v>
      </c>
      <c r="BEP33" t="s">
        <v>3394</v>
      </c>
      <c r="BEQ33" t="s">
        <v>3395</v>
      </c>
      <c r="BER33" t="s">
        <v>3396</v>
      </c>
      <c r="BES33" t="s">
        <v>3397</v>
      </c>
      <c r="BET33" t="s">
        <v>3398</v>
      </c>
      <c r="BEU33">
        <v>0</v>
      </c>
      <c r="BEV33" t="s">
        <v>3399</v>
      </c>
      <c r="BEW33" t="s">
        <v>3400</v>
      </c>
      <c r="BEX33" t="s">
        <v>3269</v>
      </c>
      <c r="BEY33" t="s">
        <v>3270</v>
      </c>
      <c r="BEZ33" t="s">
        <v>3278</v>
      </c>
      <c r="BFA33" t="s">
        <v>3270</v>
      </c>
      <c r="BFB33" t="s">
        <v>3270</v>
      </c>
      <c r="BFC33">
        <v>0</v>
      </c>
      <c r="BFD33" t="b">
        <v>1</v>
      </c>
      <c r="BFE33" t="b">
        <v>1</v>
      </c>
      <c r="BFF33" t="b">
        <v>1</v>
      </c>
      <c r="BFG33" t="b">
        <v>1</v>
      </c>
      <c r="BFH33">
        <v>43647</v>
      </c>
      <c r="BFI33">
        <v>43647</v>
      </c>
      <c r="BFJ33">
        <v>1</v>
      </c>
      <c r="BFK33" t="s">
        <v>3270</v>
      </c>
      <c r="BFL33" t="s">
        <v>3364</v>
      </c>
      <c r="BFM33">
        <v>0</v>
      </c>
      <c r="BFN33">
        <v>0</v>
      </c>
      <c r="BFO33">
        <v>0</v>
      </c>
      <c r="BFP33">
        <v>0</v>
      </c>
      <c r="BFQ33">
        <v>0</v>
      </c>
      <c r="BFR33">
        <v>0</v>
      </c>
      <c r="BFS33">
        <v>0</v>
      </c>
      <c r="BFT33">
        <v>0</v>
      </c>
      <c r="BFU33">
        <v>0</v>
      </c>
      <c r="BFV33">
        <v>0</v>
      </c>
      <c r="BFW33">
        <v>0</v>
      </c>
      <c r="BFX33">
        <v>0</v>
      </c>
      <c r="BFY33">
        <v>0</v>
      </c>
    </row>
    <row r="34" spans="1:1533" ht="18.75" customHeight="1" x14ac:dyDescent="0.25">
      <c r="A34" t="s">
        <v>3413</v>
      </c>
      <c r="B34" t="s">
        <v>3423</v>
      </c>
      <c r="C34" s="120">
        <v>130</v>
      </c>
      <c r="D34" s="120">
        <v>45</v>
      </c>
      <c r="E34">
        <v>0</v>
      </c>
      <c r="F34">
        <v>0</v>
      </c>
      <c r="G34">
        <v>0</v>
      </c>
      <c r="H34" t="s">
        <v>2403</v>
      </c>
      <c r="I34" t="s">
        <v>2403</v>
      </c>
      <c r="J34" t="s">
        <v>2403</v>
      </c>
      <c r="K34" t="s">
        <v>2403</v>
      </c>
      <c r="L34" t="s">
        <v>2404</v>
      </c>
      <c r="M34">
        <v>7938</v>
      </c>
      <c r="N34" t="s">
        <v>2403</v>
      </c>
      <c r="O34" t="s">
        <v>1883</v>
      </c>
      <c r="P34" t="s">
        <v>1883</v>
      </c>
      <c r="Q34" t="s">
        <v>2403</v>
      </c>
      <c r="R34" t="s">
        <v>1883</v>
      </c>
      <c r="S34" t="s">
        <v>2403</v>
      </c>
      <c r="T34" t="s">
        <v>2404</v>
      </c>
      <c r="U34" t="s">
        <v>2424</v>
      </c>
      <c r="V34" t="s">
        <v>3207</v>
      </c>
      <c r="W34" t="s">
        <v>309</v>
      </c>
      <c r="X34" s="120">
        <v>900</v>
      </c>
      <c r="Y34" s="58">
        <v>43673</v>
      </c>
      <c r="Z34" s="120">
        <v>438</v>
      </c>
      <c r="AA34" s="120">
        <v>0</v>
      </c>
      <c r="AB34" s="120">
        <v>0</v>
      </c>
      <c r="AC34" t="s">
        <v>272</v>
      </c>
      <c r="AD34" s="120">
        <v>25</v>
      </c>
      <c r="AE34" s="120">
        <v>0</v>
      </c>
      <c r="AF34" s="58">
        <v>43701</v>
      </c>
      <c r="AG34" s="120">
        <v>45</v>
      </c>
      <c r="AH34" s="119">
        <v>0</v>
      </c>
      <c r="AI34">
        <v>0</v>
      </c>
      <c r="AJ34" t="s">
        <v>271</v>
      </c>
      <c r="AK34" s="114">
        <v>0.17988999999999999</v>
      </c>
      <c r="AL34" s="120">
        <v>0</v>
      </c>
      <c r="AM34" s="120">
        <v>50</v>
      </c>
      <c r="AN34" s="58">
        <v>47323</v>
      </c>
      <c r="AO34" s="114">
        <v>0.2259850566658903</v>
      </c>
      <c r="AP34" s="120">
        <v>4433.6000000000004</v>
      </c>
      <c r="AQ34" s="120">
        <v>6783.5999999999858</v>
      </c>
      <c r="AR34" s="120">
        <v>11217.199999999986</v>
      </c>
      <c r="AS34" s="120">
        <v>93.47</v>
      </c>
      <c r="AT34" s="120">
        <v>94.27</v>
      </c>
      <c r="AU34" t="s">
        <v>1912</v>
      </c>
      <c r="AV34" t="s">
        <v>2119</v>
      </c>
      <c r="AW34" t="s">
        <v>2738</v>
      </c>
      <c r="AX34" s="120">
        <v>19</v>
      </c>
      <c r="AY34">
        <v>0</v>
      </c>
      <c r="AZ34" s="58">
        <v>43663</v>
      </c>
      <c r="BA34" s="120">
        <v>100</v>
      </c>
      <c r="BB34">
        <v>1</v>
      </c>
      <c r="BC34">
        <v>1</v>
      </c>
      <c r="BD34" t="s">
        <v>415</v>
      </c>
      <c r="BE34" s="120">
        <v>436</v>
      </c>
      <c r="BF34" s="120">
        <v>44</v>
      </c>
      <c r="BG34" s="367">
        <v>43670</v>
      </c>
      <c r="BH34">
        <v>120</v>
      </c>
      <c r="BI34" s="120">
        <v>0</v>
      </c>
      <c r="BJ34" s="120">
        <v>50</v>
      </c>
      <c r="BK34" s="58">
        <v>43647</v>
      </c>
      <c r="BL34">
        <v>0</v>
      </c>
      <c r="BM34">
        <v>0</v>
      </c>
      <c r="BN34">
        <v>0</v>
      </c>
      <c r="BO34" t="s">
        <v>3414</v>
      </c>
      <c r="BP34" t="s">
        <v>2403</v>
      </c>
      <c r="BQ34" t="s">
        <v>2403</v>
      </c>
      <c r="BR34" t="s">
        <v>2403</v>
      </c>
      <c r="BS34" s="366">
        <v>461258836</v>
      </c>
      <c r="BT34" s="58">
        <v>25160</v>
      </c>
      <c r="BU34" t="s">
        <v>3415</v>
      </c>
      <c r="BV34" t="s">
        <v>3416</v>
      </c>
      <c r="BW34" t="s">
        <v>1633</v>
      </c>
      <c r="BX34">
        <v>79245</v>
      </c>
      <c r="BY34" t="s">
        <v>3415</v>
      </c>
      <c r="BZ34" t="s">
        <v>3416</v>
      </c>
      <c r="CA34">
        <v>79245</v>
      </c>
      <c r="CB34" t="s">
        <v>1633</v>
      </c>
      <c r="CC34" t="s">
        <v>2040</v>
      </c>
      <c r="CD34">
        <v>0</v>
      </c>
      <c r="CE34">
        <v>0</v>
      </c>
      <c r="CF34">
        <v>0</v>
      </c>
      <c r="CG34">
        <v>0</v>
      </c>
      <c r="CH34">
        <v>0</v>
      </c>
      <c r="CI34">
        <v>0</v>
      </c>
      <c r="CJ34">
        <v>0</v>
      </c>
      <c r="CK34" s="118">
        <v>8063704426</v>
      </c>
      <c r="CL34" s="118">
        <v>0</v>
      </c>
      <c r="CM34" s="118">
        <v>8062233345</v>
      </c>
      <c r="CN34" t="s">
        <v>3417</v>
      </c>
      <c r="CO34">
        <v>0</v>
      </c>
      <c r="CP34">
        <v>0</v>
      </c>
      <c r="CQ34">
        <v>0</v>
      </c>
      <c r="CR34">
        <v>0</v>
      </c>
      <c r="CS34">
        <v>0</v>
      </c>
      <c r="CT34">
        <v>0</v>
      </c>
      <c r="CU34">
        <v>0</v>
      </c>
      <c r="CV34">
        <v>0</v>
      </c>
      <c r="CW34" s="366">
        <v>0</v>
      </c>
      <c r="CX34" s="58">
        <v>0</v>
      </c>
      <c r="CY34">
        <v>0</v>
      </c>
      <c r="CZ34">
        <v>0</v>
      </c>
      <c r="DA34">
        <v>0</v>
      </c>
      <c r="DB34">
        <v>0</v>
      </c>
      <c r="DC34">
        <v>0</v>
      </c>
      <c r="DD34">
        <v>0</v>
      </c>
      <c r="DE34">
        <v>0</v>
      </c>
      <c r="DF34">
        <v>0</v>
      </c>
      <c r="DG34">
        <v>0</v>
      </c>
      <c r="DH34">
        <v>0</v>
      </c>
      <c r="DI34">
        <v>0</v>
      </c>
      <c r="DJ34">
        <v>0</v>
      </c>
      <c r="DK34" s="118">
        <v>0</v>
      </c>
      <c r="DL34" s="118">
        <v>0</v>
      </c>
      <c r="DM34" s="118">
        <v>0</v>
      </c>
      <c r="DN34" t="s">
        <v>3417</v>
      </c>
      <c r="DO34">
        <v>0</v>
      </c>
      <c r="DP34">
        <v>0</v>
      </c>
      <c r="DQ34">
        <v>0</v>
      </c>
      <c r="DR34">
        <v>0</v>
      </c>
      <c r="DS34">
        <v>0</v>
      </c>
      <c r="DT34">
        <v>0</v>
      </c>
      <c r="DU34">
        <v>0</v>
      </c>
      <c r="DV34">
        <v>0</v>
      </c>
      <c r="DW34" s="366">
        <v>0</v>
      </c>
      <c r="DX34" s="58">
        <v>0</v>
      </c>
      <c r="DY34">
        <v>0</v>
      </c>
      <c r="DZ34">
        <v>0</v>
      </c>
      <c r="EA34">
        <v>0</v>
      </c>
      <c r="EB34">
        <v>0</v>
      </c>
      <c r="EC34">
        <v>0</v>
      </c>
      <c r="ED34">
        <v>0</v>
      </c>
      <c r="EE34">
        <v>0</v>
      </c>
      <c r="EF34">
        <v>0</v>
      </c>
      <c r="EG34">
        <v>0</v>
      </c>
      <c r="EH34">
        <v>0</v>
      </c>
      <c r="EI34">
        <v>0</v>
      </c>
      <c r="EJ34">
        <v>0</v>
      </c>
      <c r="EK34" s="118">
        <v>0</v>
      </c>
      <c r="EL34" s="118">
        <v>0</v>
      </c>
      <c r="EM34" s="118">
        <v>0</v>
      </c>
      <c r="EN34">
        <v>0</v>
      </c>
      <c r="EO34">
        <v>1338</v>
      </c>
      <c r="EP34" s="119">
        <v>3807.60009765625</v>
      </c>
      <c r="EQ34">
        <v>1</v>
      </c>
      <c r="ER34">
        <v>1</v>
      </c>
      <c r="ES34" t="s">
        <v>101</v>
      </c>
      <c r="ET34">
        <v>0</v>
      </c>
      <c r="EU34">
        <v>0</v>
      </c>
      <c r="EV34">
        <v>0</v>
      </c>
      <c r="EW34">
        <v>0</v>
      </c>
      <c r="EX34">
        <v>0</v>
      </c>
      <c r="EY34">
        <v>0</v>
      </c>
      <c r="EZ34">
        <v>0</v>
      </c>
      <c r="FA34">
        <v>0</v>
      </c>
      <c r="FB34">
        <v>0</v>
      </c>
      <c r="FC34">
        <v>0</v>
      </c>
      <c r="FD34">
        <v>0</v>
      </c>
      <c r="FE34">
        <v>0</v>
      </c>
      <c r="FF34">
        <v>0</v>
      </c>
      <c r="FG34">
        <v>0</v>
      </c>
      <c r="FH34">
        <v>0</v>
      </c>
      <c r="FI34">
        <v>0</v>
      </c>
      <c r="FJ34">
        <v>0</v>
      </c>
      <c r="FK34">
        <v>0</v>
      </c>
      <c r="FL34">
        <v>0</v>
      </c>
      <c r="FM34" s="119">
        <v>3807.6</v>
      </c>
      <c r="FN34" s="119">
        <v>0</v>
      </c>
      <c r="FO34" s="119">
        <v>0</v>
      </c>
      <c r="FP34" s="119">
        <v>0</v>
      </c>
      <c r="FQ34" s="119">
        <v>0</v>
      </c>
      <c r="FR34" s="119">
        <v>0</v>
      </c>
      <c r="FS34" s="119">
        <v>0</v>
      </c>
      <c r="FT34" s="119">
        <v>0</v>
      </c>
      <c r="FU34" s="119">
        <v>0</v>
      </c>
      <c r="FV34" s="119">
        <v>0</v>
      </c>
      <c r="FW34" s="119">
        <v>0</v>
      </c>
      <c r="FX34" s="119">
        <v>0</v>
      </c>
      <c r="FY34" s="119">
        <v>0</v>
      </c>
      <c r="FZ34" s="119">
        <v>0</v>
      </c>
      <c r="GA34" s="119">
        <v>0</v>
      </c>
      <c r="GB34" s="119">
        <v>0</v>
      </c>
      <c r="GC34" s="119">
        <v>0</v>
      </c>
      <c r="GD34" s="119">
        <v>0</v>
      </c>
      <c r="GE34" s="119">
        <v>0</v>
      </c>
      <c r="GF34" s="119">
        <v>0</v>
      </c>
      <c r="GG34">
        <v>0</v>
      </c>
      <c r="GH34" t="s">
        <v>2403</v>
      </c>
      <c r="GI34">
        <v>0</v>
      </c>
      <c r="GJ34">
        <v>0</v>
      </c>
      <c r="GK34">
        <v>0</v>
      </c>
      <c r="GL34" t="s">
        <v>2403</v>
      </c>
      <c r="GM34" s="58">
        <v>0</v>
      </c>
      <c r="GN34" t="s">
        <v>2404</v>
      </c>
      <c r="GO34">
        <v>7938</v>
      </c>
      <c r="GP34" s="128" t="s">
        <v>3418</v>
      </c>
      <c r="GQ34" s="128">
        <v>0</v>
      </c>
      <c r="GR34" s="128">
        <v>0</v>
      </c>
      <c r="GS34" s="128">
        <v>0</v>
      </c>
      <c r="GT34" t="s">
        <v>3415</v>
      </c>
      <c r="GU34" s="119">
        <v>3807.6</v>
      </c>
      <c r="GV34" s="119">
        <v>0</v>
      </c>
      <c r="GW34" s="119">
        <v>0</v>
      </c>
      <c r="GX34" s="119">
        <v>0</v>
      </c>
      <c r="GY34">
        <v>0</v>
      </c>
      <c r="GZ34">
        <v>0</v>
      </c>
      <c r="HA34">
        <v>0</v>
      </c>
      <c r="HB34">
        <v>0</v>
      </c>
      <c r="HC34" s="120">
        <v>3807.60009765625</v>
      </c>
      <c r="HD34" s="119">
        <v>39760</v>
      </c>
      <c r="HE34">
        <v>2250</v>
      </c>
      <c r="HF34" t="s">
        <v>3416</v>
      </c>
      <c r="HG34" t="s">
        <v>101</v>
      </c>
      <c r="HH34" t="s">
        <v>2403</v>
      </c>
      <c r="HI34" s="119">
        <v>39760</v>
      </c>
      <c r="HJ34" t="s">
        <v>2403</v>
      </c>
      <c r="HK34">
        <v>0</v>
      </c>
      <c r="HL34">
        <v>0</v>
      </c>
      <c r="HM34">
        <v>0</v>
      </c>
      <c r="HN34">
        <v>0</v>
      </c>
      <c r="HO34" t="s">
        <v>3422</v>
      </c>
      <c r="HP34" t="s">
        <v>2403</v>
      </c>
      <c r="HQ34">
        <v>0</v>
      </c>
      <c r="HR34" t="s">
        <v>1633</v>
      </c>
      <c r="HS34" t="s">
        <v>101</v>
      </c>
      <c r="HT34">
        <v>0</v>
      </c>
      <c r="HU34">
        <v>0</v>
      </c>
      <c r="HV34">
        <v>0</v>
      </c>
      <c r="HW34" t="s">
        <v>3419</v>
      </c>
      <c r="HX34">
        <v>0</v>
      </c>
      <c r="HY34">
        <v>0</v>
      </c>
      <c r="HZ34">
        <v>0</v>
      </c>
      <c r="IA34">
        <v>79245</v>
      </c>
      <c r="IB34" t="s">
        <v>2403</v>
      </c>
      <c r="IC34">
        <v>0</v>
      </c>
      <c r="ID34">
        <v>0</v>
      </c>
      <c r="IE34">
        <v>0</v>
      </c>
      <c r="IF34">
        <v>0</v>
      </c>
      <c r="IG34">
        <v>0</v>
      </c>
      <c r="IH34">
        <v>0</v>
      </c>
      <c r="II34">
        <v>0</v>
      </c>
      <c r="IJ34">
        <v>0</v>
      </c>
      <c r="IK34">
        <v>0</v>
      </c>
      <c r="IL34" s="128">
        <v>0</v>
      </c>
      <c r="IM34" s="128">
        <v>0</v>
      </c>
      <c r="IN34" s="128">
        <v>0</v>
      </c>
      <c r="IO34" s="128">
        <v>0</v>
      </c>
      <c r="IP34">
        <v>0</v>
      </c>
      <c r="IQ34" s="119">
        <v>0</v>
      </c>
      <c r="IR34" s="119">
        <v>0</v>
      </c>
      <c r="IS34" s="119">
        <v>0</v>
      </c>
      <c r="IT34" s="119">
        <v>0</v>
      </c>
      <c r="IU34" s="119">
        <v>0</v>
      </c>
      <c r="IV34">
        <v>0</v>
      </c>
      <c r="IW34">
        <v>0</v>
      </c>
      <c r="IX34">
        <v>0</v>
      </c>
      <c r="IY34">
        <v>0</v>
      </c>
      <c r="IZ34">
        <v>0</v>
      </c>
      <c r="JA34" s="119">
        <v>0</v>
      </c>
      <c r="JB34">
        <v>0</v>
      </c>
      <c r="JC34">
        <v>0</v>
      </c>
      <c r="JD34">
        <v>0</v>
      </c>
      <c r="JE34">
        <v>0</v>
      </c>
      <c r="JF34">
        <v>0</v>
      </c>
      <c r="JG34">
        <v>0</v>
      </c>
      <c r="JH34">
        <v>0</v>
      </c>
      <c r="JI34">
        <v>0</v>
      </c>
      <c r="JJ34">
        <v>0</v>
      </c>
      <c r="JK34">
        <v>0</v>
      </c>
      <c r="JL34">
        <v>0</v>
      </c>
      <c r="JM34">
        <v>0</v>
      </c>
      <c r="JN34">
        <v>0</v>
      </c>
      <c r="JO34">
        <v>0</v>
      </c>
      <c r="JP34">
        <v>0</v>
      </c>
      <c r="JQ34">
        <v>0</v>
      </c>
      <c r="JR34">
        <v>0</v>
      </c>
      <c r="JS34">
        <v>0</v>
      </c>
      <c r="JT34">
        <v>0</v>
      </c>
      <c r="JU34">
        <v>0</v>
      </c>
      <c r="JV34">
        <v>0</v>
      </c>
      <c r="JW34">
        <v>0</v>
      </c>
      <c r="JX34">
        <v>0</v>
      </c>
      <c r="JY34">
        <v>0</v>
      </c>
      <c r="JZ34">
        <v>0</v>
      </c>
      <c r="KA34">
        <v>0</v>
      </c>
      <c r="KB34">
        <v>0</v>
      </c>
      <c r="KC34">
        <v>0</v>
      </c>
      <c r="KD34">
        <v>0</v>
      </c>
      <c r="KE34">
        <v>0</v>
      </c>
      <c r="KF34">
        <v>0</v>
      </c>
      <c r="KG34">
        <v>0</v>
      </c>
      <c r="KH34" s="128">
        <v>0</v>
      </c>
      <c r="KI34" s="128">
        <v>0</v>
      </c>
      <c r="KJ34" s="128">
        <v>0</v>
      </c>
      <c r="KK34" s="128">
        <v>0</v>
      </c>
      <c r="KL34">
        <v>0</v>
      </c>
      <c r="KM34" s="119">
        <v>0</v>
      </c>
      <c r="KN34" s="119">
        <v>0</v>
      </c>
      <c r="KO34" s="119">
        <v>0</v>
      </c>
      <c r="KP34" s="119">
        <v>0</v>
      </c>
      <c r="KQ34" s="121">
        <v>0</v>
      </c>
      <c r="KR34">
        <v>0</v>
      </c>
      <c r="KS34" s="119">
        <v>0</v>
      </c>
      <c r="KT34">
        <v>0</v>
      </c>
      <c r="KU34">
        <v>0</v>
      </c>
      <c r="KV34">
        <v>0</v>
      </c>
      <c r="KW34" s="119">
        <v>0</v>
      </c>
      <c r="KX34">
        <v>0</v>
      </c>
      <c r="KY34">
        <v>0</v>
      </c>
      <c r="KZ34">
        <v>0</v>
      </c>
      <c r="LA34">
        <v>0</v>
      </c>
      <c r="LB34">
        <v>0</v>
      </c>
      <c r="LC34">
        <v>0</v>
      </c>
      <c r="LD34">
        <v>0</v>
      </c>
      <c r="LE34">
        <v>0</v>
      </c>
      <c r="LF34">
        <v>0</v>
      </c>
      <c r="LG34">
        <v>0</v>
      </c>
      <c r="LH34">
        <v>0</v>
      </c>
      <c r="LI34">
        <v>0</v>
      </c>
      <c r="LJ34">
        <v>0</v>
      </c>
      <c r="LK34">
        <v>0</v>
      </c>
      <c r="LL34">
        <v>0</v>
      </c>
      <c r="LM34">
        <v>0</v>
      </c>
      <c r="LN34">
        <v>0</v>
      </c>
      <c r="LO34">
        <v>0</v>
      </c>
      <c r="LP34">
        <v>0</v>
      </c>
      <c r="LQ34">
        <v>0</v>
      </c>
      <c r="LR34">
        <v>0</v>
      </c>
      <c r="LS34">
        <v>0</v>
      </c>
      <c r="LT34">
        <v>0</v>
      </c>
      <c r="LU34">
        <v>0</v>
      </c>
      <c r="LV34">
        <v>0</v>
      </c>
      <c r="LW34">
        <v>0</v>
      </c>
      <c r="LX34">
        <v>0</v>
      </c>
      <c r="LY34">
        <v>0</v>
      </c>
      <c r="LZ34">
        <v>0</v>
      </c>
      <c r="MA34">
        <v>0</v>
      </c>
      <c r="MB34">
        <v>0</v>
      </c>
      <c r="MC34">
        <v>0</v>
      </c>
      <c r="MD34" s="128">
        <v>0</v>
      </c>
      <c r="ME34" s="128">
        <v>0</v>
      </c>
      <c r="MF34" s="128">
        <v>0</v>
      </c>
      <c r="MG34" s="128">
        <v>0</v>
      </c>
      <c r="MH34">
        <v>0</v>
      </c>
      <c r="MI34" s="119">
        <v>0</v>
      </c>
      <c r="MJ34" s="119">
        <v>0</v>
      </c>
      <c r="MK34" s="119">
        <v>0</v>
      </c>
      <c r="ML34" s="119">
        <v>0</v>
      </c>
      <c r="MM34" s="121">
        <v>0</v>
      </c>
      <c r="MN34" s="119">
        <v>0</v>
      </c>
      <c r="MO34">
        <v>0</v>
      </c>
      <c r="MP34">
        <v>0</v>
      </c>
      <c r="MQ34">
        <v>0</v>
      </c>
      <c r="MR34">
        <v>0</v>
      </c>
      <c r="MS34" s="119">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s="116">
        <v>0</v>
      </c>
      <c r="NR34" s="116">
        <v>0</v>
      </c>
      <c r="NS34" s="116">
        <v>0</v>
      </c>
      <c r="NT34" s="116">
        <v>0</v>
      </c>
      <c r="NU34" s="116">
        <v>0</v>
      </c>
      <c r="NV34" s="116">
        <v>0</v>
      </c>
      <c r="NW34" s="116">
        <v>0</v>
      </c>
      <c r="NX34" s="116">
        <v>0</v>
      </c>
      <c r="NY34" s="116">
        <v>0</v>
      </c>
      <c r="NZ34" s="128">
        <v>0</v>
      </c>
      <c r="OA34" s="128">
        <v>0</v>
      </c>
      <c r="OB34" s="128">
        <v>0</v>
      </c>
      <c r="OC34" s="128">
        <v>0</v>
      </c>
      <c r="OD34">
        <v>0</v>
      </c>
      <c r="OE34" s="119">
        <v>0</v>
      </c>
      <c r="OF34" s="119">
        <v>0</v>
      </c>
      <c r="OG34" s="119">
        <v>0</v>
      </c>
      <c r="OH34" s="119">
        <v>0</v>
      </c>
      <c r="OI34" s="121">
        <v>0</v>
      </c>
      <c r="OJ34" s="119">
        <v>0</v>
      </c>
      <c r="OK34">
        <v>0</v>
      </c>
      <c r="OL34">
        <v>0</v>
      </c>
      <c r="OM34">
        <v>0</v>
      </c>
      <c r="ON34">
        <v>0</v>
      </c>
      <c r="OO34" s="119">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s="128">
        <v>0</v>
      </c>
      <c r="PW34" s="128">
        <v>0</v>
      </c>
      <c r="PX34" s="128">
        <v>0</v>
      </c>
      <c r="PY34" s="128">
        <v>0</v>
      </c>
      <c r="PZ34">
        <v>0</v>
      </c>
      <c r="QA34" s="119">
        <v>0</v>
      </c>
      <c r="QB34" s="119">
        <v>0</v>
      </c>
      <c r="QC34" s="119">
        <v>0</v>
      </c>
      <c r="QD34" s="119">
        <v>0</v>
      </c>
      <c r="QE34" s="121">
        <v>0</v>
      </c>
      <c r="QF34" s="119">
        <v>0</v>
      </c>
      <c r="QG34">
        <v>0</v>
      </c>
      <c r="QH34">
        <v>0</v>
      </c>
      <c r="QI34">
        <v>0</v>
      </c>
      <c r="QJ34">
        <v>0</v>
      </c>
      <c r="QK34" s="119">
        <v>0</v>
      </c>
      <c r="QL34">
        <v>0</v>
      </c>
      <c r="QM34">
        <v>0</v>
      </c>
      <c r="QN34">
        <v>0</v>
      </c>
      <c r="QO34">
        <v>0</v>
      </c>
      <c r="QP34">
        <v>0</v>
      </c>
      <c r="QQ34">
        <v>0</v>
      </c>
      <c r="QR34">
        <v>0</v>
      </c>
      <c r="QS34">
        <v>0</v>
      </c>
      <c r="QT34">
        <v>0</v>
      </c>
      <c r="QU34">
        <v>0</v>
      </c>
      <c r="QV34">
        <v>0</v>
      </c>
      <c r="QW34">
        <v>0</v>
      </c>
      <c r="QX34">
        <v>0</v>
      </c>
      <c r="QY34">
        <v>0</v>
      </c>
      <c r="QZ34">
        <v>0</v>
      </c>
      <c r="RA34">
        <v>0</v>
      </c>
      <c r="RB34">
        <v>0</v>
      </c>
      <c r="RC34">
        <v>0</v>
      </c>
      <c r="RD34">
        <v>0</v>
      </c>
      <c r="RE34">
        <v>0</v>
      </c>
      <c r="RF34">
        <v>0</v>
      </c>
      <c r="RG34">
        <v>0</v>
      </c>
      <c r="RH34">
        <v>0</v>
      </c>
      <c r="RI34" s="116">
        <v>0</v>
      </c>
      <c r="RJ34" s="116">
        <v>0</v>
      </c>
      <c r="RK34" s="116">
        <v>0</v>
      </c>
      <c r="RL34" s="116">
        <v>0</v>
      </c>
      <c r="RM34" s="116">
        <v>0</v>
      </c>
      <c r="RN34" s="116">
        <v>0</v>
      </c>
      <c r="RO34" s="116">
        <v>0</v>
      </c>
      <c r="RP34" s="116">
        <v>0</v>
      </c>
      <c r="RQ34" s="116">
        <v>0</v>
      </c>
      <c r="RR34" s="128">
        <v>0</v>
      </c>
      <c r="RS34" s="128">
        <v>0</v>
      </c>
      <c r="RT34" s="128">
        <v>0</v>
      </c>
      <c r="RU34" s="128">
        <v>0</v>
      </c>
      <c r="RV34">
        <v>0</v>
      </c>
      <c r="RW34" s="119">
        <v>0</v>
      </c>
      <c r="RX34" s="119">
        <v>0</v>
      </c>
      <c r="RY34" s="119">
        <v>0</v>
      </c>
      <c r="RZ34" s="119">
        <v>0</v>
      </c>
      <c r="SA34" s="121">
        <v>0</v>
      </c>
      <c r="SB34" s="119">
        <v>0</v>
      </c>
      <c r="SC34">
        <v>0</v>
      </c>
      <c r="SD34">
        <v>0</v>
      </c>
      <c r="SE34">
        <v>0</v>
      </c>
      <c r="SF34">
        <v>0</v>
      </c>
      <c r="SG34" s="119">
        <v>0</v>
      </c>
      <c r="SH34">
        <v>0</v>
      </c>
      <c r="SI34">
        <v>0</v>
      </c>
      <c r="SJ34">
        <v>0</v>
      </c>
      <c r="SK34">
        <v>0</v>
      </c>
      <c r="SL34">
        <v>0</v>
      </c>
      <c r="SM34">
        <v>0</v>
      </c>
      <c r="SN34">
        <v>0</v>
      </c>
      <c r="SO34">
        <v>0</v>
      </c>
      <c r="SP34">
        <v>0</v>
      </c>
      <c r="SQ34">
        <v>0</v>
      </c>
      <c r="SR34">
        <v>0</v>
      </c>
      <c r="SS34">
        <v>0</v>
      </c>
      <c r="ST34">
        <v>0</v>
      </c>
      <c r="SU34">
        <v>0</v>
      </c>
      <c r="SV34">
        <v>0</v>
      </c>
      <c r="SW34">
        <v>0</v>
      </c>
      <c r="SX34">
        <v>0</v>
      </c>
      <c r="SY34">
        <v>0</v>
      </c>
      <c r="SZ34">
        <v>0</v>
      </c>
      <c r="TA34">
        <v>0</v>
      </c>
      <c r="TB34">
        <v>0</v>
      </c>
      <c r="TC34">
        <v>0</v>
      </c>
      <c r="TD34">
        <v>0</v>
      </c>
      <c r="TE34" s="116">
        <v>0</v>
      </c>
      <c r="TF34" s="116">
        <v>0</v>
      </c>
      <c r="TG34" s="116">
        <v>0</v>
      </c>
      <c r="TH34" s="116">
        <v>0</v>
      </c>
      <c r="TI34" s="116">
        <v>0</v>
      </c>
      <c r="TJ34" s="116">
        <v>0</v>
      </c>
      <c r="TK34" s="116">
        <v>0</v>
      </c>
      <c r="TL34" s="116">
        <v>0</v>
      </c>
      <c r="TM34" s="116">
        <v>0</v>
      </c>
      <c r="TN34" s="128">
        <v>0</v>
      </c>
      <c r="TO34" s="128">
        <v>0</v>
      </c>
      <c r="TP34" s="128">
        <v>0</v>
      </c>
      <c r="TQ34" s="128">
        <v>0</v>
      </c>
      <c r="TR34">
        <v>0</v>
      </c>
      <c r="TS34" s="119">
        <v>0</v>
      </c>
      <c r="TT34" s="119">
        <v>0</v>
      </c>
      <c r="TU34" s="119">
        <v>0</v>
      </c>
      <c r="TV34" s="119">
        <v>0</v>
      </c>
      <c r="TW34" s="121">
        <v>0</v>
      </c>
      <c r="TX34" s="119">
        <v>0</v>
      </c>
      <c r="TY34">
        <v>0</v>
      </c>
      <c r="TZ34">
        <v>0</v>
      </c>
      <c r="UA34">
        <v>0</v>
      </c>
      <c r="UB34">
        <v>0</v>
      </c>
      <c r="UC34" s="119">
        <v>0</v>
      </c>
      <c r="UD34">
        <v>0</v>
      </c>
      <c r="UE34">
        <v>0</v>
      </c>
      <c r="UF34">
        <v>0</v>
      </c>
      <c r="UG34">
        <v>0</v>
      </c>
      <c r="UH34">
        <v>0</v>
      </c>
      <c r="UI34">
        <v>0</v>
      </c>
      <c r="UJ34">
        <v>0</v>
      </c>
      <c r="UK34">
        <v>0</v>
      </c>
      <c r="UL34">
        <v>0</v>
      </c>
      <c r="UM34">
        <v>0</v>
      </c>
      <c r="UN34">
        <v>0</v>
      </c>
      <c r="UO34">
        <v>0</v>
      </c>
      <c r="UP34">
        <v>0</v>
      </c>
      <c r="UQ34">
        <v>0</v>
      </c>
      <c r="UR34">
        <v>0</v>
      </c>
      <c r="US34">
        <v>0</v>
      </c>
      <c r="UT34">
        <v>0</v>
      </c>
      <c r="UU34">
        <v>0</v>
      </c>
      <c r="UV34">
        <v>0</v>
      </c>
      <c r="UW34">
        <v>0</v>
      </c>
      <c r="UX34">
        <v>0</v>
      </c>
      <c r="UY34">
        <v>0</v>
      </c>
      <c r="UZ34">
        <v>0</v>
      </c>
      <c r="VA34" s="116">
        <v>0</v>
      </c>
      <c r="VB34" s="116">
        <v>0</v>
      </c>
      <c r="VC34" s="116">
        <v>0</v>
      </c>
      <c r="VD34" s="116">
        <v>0</v>
      </c>
      <c r="VE34" s="116">
        <v>0</v>
      </c>
      <c r="VF34" s="116">
        <v>0</v>
      </c>
      <c r="VG34" s="116">
        <v>0</v>
      </c>
      <c r="VH34" s="116">
        <v>0</v>
      </c>
      <c r="VI34" s="116">
        <v>0</v>
      </c>
      <c r="VJ34" s="128">
        <v>0</v>
      </c>
      <c r="VK34" s="128">
        <v>0</v>
      </c>
      <c r="VL34" s="128">
        <v>0</v>
      </c>
      <c r="VM34" s="128">
        <v>0</v>
      </c>
      <c r="VN34">
        <v>0</v>
      </c>
      <c r="VO34" s="119">
        <v>0</v>
      </c>
      <c r="VP34" s="119">
        <v>0</v>
      </c>
      <c r="VQ34" s="119">
        <v>0</v>
      </c>
      <c r="VR34" s="119">
        <v>0</v>
      </c>
      <c r="VS34" s="121">
        <v>0</v>
      </c>
      <c r="VT34" s="119">
        <v>0</v>
      </c>
      <c r="VU34" s="119">
        <v>0</v>
      </c>
      <c r="VV34">
        <v>0</v>
      </c>
      <c r="VW34">
        <v>0</v>
      </c>
      <c r="VX34">
        <v>0</v>
      </c>
      <c r="VY34" s="119">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s="116">
        <v>0</v>
      </c>
      <c r="WX34" s="116">
        <v>0</v>
      </c>
      <c r="WY34" s="116">
        <v>0</v>
      </c>
      <c r="WZ34" s="116">
        <v>0</v>
      </c>
      <c r="XA34" s="116">
        <v>0</v>
      </c>
      <c r="XB34" s="116">
        <v>0</v>
      </c>
      <c r="XC34" s="116">
        <v>0</v>
      </c>
      <c r="XD34" s="116">
        <v>0</v>
      </c>
      <c r="XE34" s="116">
        <v>0</v>
      </c>
      <c r="XF34" s="128">
        <v>0</v>
      </c>
      <c r="XG34" s="128">
        <v>0</v>
      </c>
      <c r="XH34" s="128">
        <v>0</v>
      </c>
      <c r="XI34" s="128">
        <v>0</v>
      </c>
      <c r="XJ34">
        <v>0</v>
      </c>
      <c r="XK34" s="119">
        <v>0</v>
      </c>
      <c r="XL34" s="119">
        <v>0</v>
      </c>
      <c r="XM34" s="119">
        <v>0</v>
      </c>
      <c r="XN34" s="119">
        <v>0</v>
      </c>
      <c r="XO34" s="121">
        <v>0</v>
      </c>
      <c r="XP34" s="119">
        <v>0</v>
      </c>
      <c r="XQ34" s="119">
        <v>0</v>
      </c>
      <c r="XR34">
        <v>0</v>
      </c>
      <c r="XS34">
        <v>0</v>
      </c>
      <c r="XT34">
        <v>0</v>
      </c>
      <c r="XU34" s="119">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S34">
        <v>0</v>
      </c>
      <c r="YT34">
        <v>0</v>
      </c>
      <c r="YU34">
        <v>0</v>
      </c>
      <c r="YV34">
        <v>0</v>
      </c>
      <c r="YW34">
        <v>0</v>
      </c>
      <c r="YX34">
        <v>0</v>
      </c>
      <c r="YY34">
        <v>0</v>
      </c>
      <c r="YZ34">
        <v>0</v>
      </c>
      <c r="ZA34">
        <v>0</v>
      </c>
      <c r="ZB34" s="128">
        <v>0</v>
      </c>
      <c r="ZC34" s="128">
        <v>0</v>
      </c>
      <c r="ZD34" s="128">
        <v>0</v>
      </c>
      <c r="ZE34" s="128">
        <v>0</v>
      </c>
      <c r="ZF34">
        <v>0</v>
      </c>
      <c r="ZG34" s="119">
        <v>0</v>
      </c>
      <c r="ZH34" s="119">
        <v>0</v>
      </c>
      <c r="ZI34" s="119">
        <v>0</v>
      </c>
      <c r="ZJ34" s="119">
        <v>0</v>
      </c>
      <c r="ZK34" s="121">
        <v>0</v>
      </c>
      <c r="ZL34" s="119">
        <v>0</v>
      </c>
      <c r="ZM34" s="119">
        <v>0</v>
      </c>
      <c r="ZN34">
        <v>0</v>
      </c>
      <c r="ZO34">
        <v>0</v>
      </c>
      <c r="ZP34">
        <v>0</v>
      </c>
      <c r="ZQ34" s="119">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s="116">
        <v>0</v>
      </c>
      <c r="AAP34" s="116">
        <v>0</v>
      </c>
      <c r="AAQ34" s="116">
        <v>0</v>
      </c>
      <c r="AAR34" s="116">
        <v>0</v>
      </c>
      <c r="AAS34" s="116">
        <v>0</v>
      </c>
      <c r="AAT34" s="116">
        <v>0</v>
      </c>
      <c r="AAU34" s="116">
        <v>0</v>
      </c>
      <c r="AAV34" s="116">
        <v>0</v>
      </c>
      <c r="AAW34" s="116">
        <v>0</v>
      </c>
      <c r="AAX34" s="128">
        <v>0</v>
      </c>
      <c r="AAY34" s="128">
        <v>0</v>
      </c>
      <c r="AAZ34" s="128">
        <v>0</v>
      </c>
      <c r="ABA34" s="128">
        <v>0</v>
      </c>
      <c r="ABB34">
        <v>0</v>
      </c>
      <c r="ABC34" s="119">
        <v>0</v>
      </c>
      <c r="ABD34" s="119">
        <v>0</v>
      </c>
      <c r="ABE34" s="119">
        <v>0</v>
      </c>
      <c r="ABF34" s="119">
        <v>0</v>
      </c>
      <c r="ABG34" s="121">
        <v>0</v>
      </c>
      <c r="ABH34" s="119">
        <v>0</v>
      </c>
      <c r="ABI34" s="119">
        <v>0</v>
      </c>
      <c r="ABJ34">
        <v>0</v>
      </c>
      <c r="ABK34">
        <v>0</v>
      </c>
      <c r="ABL34">
        <v>0</v>
      </c>
      <c r="ABM34" s="119">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s="116">
        <v>0</v>
      </c>
      <c r="ACL34" s="116">
        <v>0</v>
      </c>
      <c r="ACM34" s="116">
        <v>0</v>
      </c>
      <c r="ACN34" s="116">
        <v>0</v>
      </c>
      <c r="ACO34" s="116">
        <v>0</v>
      </c>
      <c r="ACP34" s="116">
        <v>0</v>
      </c>
      <c r="ACQ34" s="116">
        <v>0</v>
      </c>
      <c r="ACR34" s="116">
        <v>0</v>
      </c>
      <c r="ACS34" s="116">
        <v>0</v>
      </c>
      <c r="ACT34" s="128">
        <v>0</v>
      </c>
      <c r="ACU34" s="128">
        <v>0</v>
      </c>
      <c r="ACV34" s="128">
        <v>0</v>
      </c>
      <c r="ACW34" s="128">
        <v>0</v>
      </c>
      <c r="ACX34">
        <v>0</v>
      </c>
      <c r="ACY34" s="119">
        <v>0</v>
      </c>
      <c r="ACZ34" s="119">
        <v>0</v>
      </c>
      <c r="ADA34" s="119">
        <v>0</v>
      </c>
      <c r="ADB34" s="119">
        <v>0</v>
      </c>
      <c r="ADC34" s="121">
        <v>0</v>
      </c>
      <c r="ADD34" s="119">
        <v>0</v>
      </c>
      <c r="ADE34" s="119">
        <v>0</v>
      </c>
      <c r="ADF34">
        <v>0</v>
      </c>
      <c r="ADG34">
        <v>0</v>
      </c>
      <c r="ADH34">
        <v>0</v>
      </c>
      <c r="ADI34" s="119">
        <v>0</v>
      </c>
      <c r="ADJ34">
        <v>0</v>
      </c>
      <c r="ADK34">
        <v>0</v>
      </c>
      <c r="ADL34">
        <v>0</v>
      </c>
      <c r="ADM34">
        <v>0</v>
      </c>
      <c r="ADN34">
        <v>0</v>
      </c>
      <c r="ADO34">
        <v>0</v>
      </c>
      <c r="ADP34">
        <v>0</v>
      </c>
      <c r="ADQ34">
        <v>0</v>
      </c>
      <c r="ADR34">
        <v>0</v>
      </c>
      <c r="ADS34">
        <v>0</v>
      </c>
      <c r="ADT34">
        <v>0</v>
      </c>
      <c r="ADU34">
        <v>0</v>
      </c>
      <c r="ADV34">
        <v>0</v>
      </c>
      <c r="ADW34">
        <v>0</v>
      </c>
      <c r="ADX34">
        <v>0</v>
      </c>
      <c r="ADY34">
        <v>0</v>
      </c>
      <c r="ADZ34">
        <v>0</v>
      </c>
      <c r="AEA34">
        <v>0</v>
      </c>
      <c r="AEB34">
        <v>0</v>
      </c>
      <c r="AEC34">
        <v>0</v>
      </c>
      <c r="AED34">
        <v>0</v>
      </c>
      <c r="AEE34">
        <v>0</v>
      </c>
      <c r="AEF34">
        <v>0</v>
      </c>
      <c r="AEG34" s="116">
        <v>0</v>
      </c>
      <c r="AEH34" s="116">
        <v>0</v>
      </c>
      <c r="AEI34" s="116">
        <v>0</v>
      </c>
      <c r="AEJ34" s="116">
        <v>0</v>
      </c>
      <c r="AEK34" s="116">
        <v>0</v>
      </c>
      <c r="AEL34" s="116">
        <v>0</v>
      </c>
      <c r="AEM34" s="116">
        <v>0</v>
      </c>
      <c r="AEN34" s="116">
        <v>0</v>
      </c>
      <c r="AEO34" s="116">
        <v>0</v>
      </c>
      <c r="AEP34" s="128">
        <v>0</v>
      </c>
      <c r="AEQ34" s="128">
        <v>0</v>
      </c>
      <c r="AER34" s="128">
        <v>0</v>
      </c>
      <c r="AES34" s="128">
        <v>0</v>
      </c>
      <c r="AET34">
        <v>0</v>
      </c>
      <c r="AEU34" s="119">
        <v>0</v>
      </c>
      <c r="AEV34" s="119">
        <v>0</v>
      </c>
      <c r="AEW34" s="119">
        <v>0</v>
      </c>
      <c r="AEX34" s="119">
        <v>0</v>
      </c>
      <c r="AEY34" s="121">
        <v>0</v>
      </c>
      <c r="AEZ34" s="119">
        <v>0</v>
      </c>
      <c r="AFA34" s="119">
        <v>0</v>
      </c>
      <c r="AFB34">
        <v>0</v>
      </c>
      <c r="AFC34">
        <v>0</v>
      </c>
      <c r="AFD34">
        <v>0</v>
      </c>
      <c r="AFE34" s="119">
        <v>0</v>
      </c>
      <c r="AFF34">
        <v>0</v>
      </c>
      <c r="AFG34">
        <v>0</v>
      </c>
      <c r="AFH34">
        <v>0</v>
      </c>
      <c r="AFI34">
        <v>0</v>
      </c>
      <c r="AFJ34">
        <v>0</v>
      </c>
      <c r="AFK34">
        <v>0</v>
      </c>
      <c r="AFL34">
        <v>0</v>
      </c>
      <c r="AFM34">
        <v>0</v>
      </c>
      <c r="AFN34">
        <v>0</v>
      </c>
      <c r="AFO34">
        <v>0</v>
      </c>
      <c r="AFP34">
        <v>0</v>
      </c>
      <c r="AFQ34">
        <v>0</v>
      </c>
      <c r="AFR34">
        <v>0</v>
      </c>
      <c r="AFS34">
        <v>0</v>
      </c>
      <c r="AFT34">
        <v>0</v>
      </c>
      <c r="AFU34">
        <v>0</v>
      </c>
      <c r="AFV34">
        <v>0</v>
      </c>
      <c r="AFW34">
        <v>0</v>
      </c>
      <c r="AFX34">
        <v>0</v>
      </c>
      <c r="AFY34">
        <v>0</v>
      </c>
      <c r="AFZ34">
        <v>0</v>
      </c>
      <c r="AGA34">
        <v>0</v>
      </c>
      <c r="AGB34">
        <v>0</v>
      </c>
      <c r="AGC34" s="116">
        <v>0</v>
      </c>
      <c r="AGD34" s="116">
        <v>0</v>
      </c>
      <c r="AGE34" s="116">
        <v>0</v>
      </c>
      <c r="AGF34" s="116">
        <v>0</v>
      </c>
      <c r="AGG34" s="116">
        <v>0</v>
      </c>
      <c r="AGH34" s="116">
        <v>0</v>
      </c>
      <c r="AGI34" s="116">
        <v>0</v>
      </c>
      <c r="AGJ34" s="116">
        <v>0</v>
      </c>
      <c r="AGK34" s="116">
        <v>0</v>
      </c>
      <c r="AGL34" s="128">
        <v>0</v>
      </c>
      <c r="AGM34" s="128">
        <v>0</v>
      </c>
      <c r="AGN34" s="128">
        <v>0</v>
      </c>
      <c r="AGO34" s="128">
        <v>0</v>
      </c>
      <c r="AGP34">
        <v>0</v>
      </c>
      <c r="AGQ34" s="119">
        <v>0</v>
      </c>
      <c r="AGR34" s="119">
        <v>0</v>
      </c>
      <c r="AGS34" s="119">
        <v>0</v>
      </c>
      <c r="AGT34" s="119">
        <v>0</v>
      </c>
      <c r="AGU34" s="121">
        <v>0</v>
      </c>
      <c r="AGV34" s="119">
        <v>0</v>
      </c>
      <c r="AGW34" s="119">
        <v>0</v>
      </c>
      <c r="AGX34">
        <v>0</v>
      </c>
      <c r="AGY34">
        <v>0</v>
      </c>
      <c r="AGZ34">
        <v>0</v>
      </c>
      <c r="AHA34" s="119">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A34">
        <v>0</v>
      </c>
      <c r="AIB34">
        <v>0</v>
      </c>
      <c r="AIC34">
        <v>0</v>
      </c>
      <c r="AID34">
        <v>0</v>
      </c>
      <c r="AIE34">
        <v>0</v>
      </c>
      <c r="AIF34">
        <v>0</v>
      </c>
      <c r="AIG34">
        <v>0</v>
      </c>
      <c r="AIH34" s="128">
        <v>0</v>
      </c>
      <c r="AII34" s="128">
        <v>0</v>
      </c>
      <c r="AIJ34" s="128">
        <v>0</v>
      </c>
      <c r="AIK34" s="128">
        <v>0</v>
      </c>
      <c r="AIL34">
        <v>0</v>
      </c>
      <c r="AIM34" s="119">
        <v>0</v>
      </c>
      <c r="AIN34" s="119">
        <v>0</v>
      </c>
      <c r="AIO34" s="119">
        <v>0</v>
      </c>
      <c r="AIP34" s="119">
        <v>0</v>
      </c>
      <c r="AIQ34" s="121">
        <v>0</v>
      </c>
      <c r="AIR34" s="119">
        <v>0</v>
      </c>
      <c r="AIS34" s="119">
        <v>0</v>
      </c>
      <c r="AIT34">
        <v>0</v>
      </c>
      <c r="AIU34">
        <v>0</v>
      </c>
      <c r="AIV34">
        <v>0</v>
      </c>
      <c r="AIW34" s="119">
        <v>0</v>
      </c>
      <c r="AIX34">
        <v>0</v>
      </c>
      <c r="AIY34">
        <v>0</v>
      </c>
      <c r="AIZ34">
        <v>0</v>
      </c>
      <c r="AJA34">
        <v>0</v>
      </c>
      <c r="AJB34">
        <v>0</v>
      </c>
      <c r="AJC34">
        <v>0</v>
      </c>
      <c r="AJD34">
        <v>0</v>
      </c>
      <c r="AJE34">
        <v>0</v>
      </c>
      <c r="AJF34">
        <v>0</v>
      </c>
      <c r="AJG34">
        <v>0</v>
      </c>
      <c r="AJH34">
        <v>0</v>
      </c>
      <c r="AJI34">
        <v>0</v>
      </c>
      <c r="AJJ34">
        <v>0</v>
      </c>
      <c r="AJK34">
        <v>0</v>
      </c>
      <c r="AJL34">
        <v>0</v>
      </c>
      <c r="AJM34">
        <v>0</v>
      </c>
      <c r="AJN34">
        <v>0</v>
      </c>
      <c r="AJO34">
        <v>0</v>
      </c>
      <c r="AJP34">
        <v>0</v>
      </c>
      <c r="AJQ34">
        <v>0</v>
      </c>
      <c r="AJR34">
        <v>0</v>
      </c>
      <c r="AJS34">
        <v>0</v>
      </c>
      <c r="AJT34">
        <v>0</v>
      </c>
      <c r="AJU34" s="116">
        <v>0</v>
      </c>
      <c r="AJV34" s="116">
        <v>0</v>
      </c>
      <c r="AJW34" s="116">
        <v>0</v>
      </c>
      <c r="AJX34" s="116">
        <v>0</v>
      </c>
      <c r="AJY34" s="116">
        <v>0</v>
      </c>
      <c r="AJZ34" s="116">
        <v>0</v>
      </c>
      <c r="AKA34" s="116">
        <v>0</v>
      </c>
      <c r="AKB34" s="116">
        <v>0</v>
      </c>
      <c r="AKC34" s="116">
        <v>0</v>
      </c>
      <c r="AKD34" s="128">
        <v>0</v>
      </c>
      <c r="AKE34" s="128">
        <v>0</v>
      </c>
      <c r="AKF34" s="128">
        <v>0</v>
      </c>
      <c r="AKG34" s="128">
        <v>0</v>
      </c>
      <c r="AKH34">
        <v>0</v>
      </c>
      <c r="AKI34" s="119">
        <v>0</v>
      </c>
      <c r="AKJ34" s="119">
        <v>0</v>
      </c>
      <c r="AKK34" s="119">
        <v>0</v>
      </c>
      <c r="AKL34" s="119">
        <v>0</v>
      </c>
      <c r="AKM34" s="121">
        <v>0</v>
      </c>
      <c r="AKN34" s="119">
        <v>0</v>
      </c>
      <c r="AKO34" s="119">
        <v>0</v>
      </c>
      <c r="AKP34">
        <v>0</v>
      </c>
      <c r="AKQ34">
        <v>0</v>
      </c>
      <c r="AKR34">
        <v>0</v>
      </c>
      <c r="AKS34" s="119">
        <v>0</v>
      </c>
      <c r="AKT34">
        <v>0</v>
      </c>
      <c r="AKU34">
        <v>0</v>
      </c>
      <c r="AKV34">
        <v>0</v>
      </c>
      <c r="AKW34">
        <v>0</v>
      </c>
      <c r="AKX34">
        <v>0</v>
      </c>
      <c r="AKY34">
        <v>0</v>
      </c>
      <c r="AKZ34">
        <v>0</v>
      </c>
      <c r="ALA34">
        <v>0</v>
      </c>
      <c r="ALB34">
        <v>0</v>
      </c>
      <c r="ALC34">
        <v>0</v>
      </c>
      <c r="ALD34">
        <v>0</v>
      </c>
      <c r="ALE34">
        <v>0</v>
      </c>
      <c r="ALF34">
        <v>0</v>
      </c>
      <c r="ALG34">
        <v>0</v>
      </c>
      <c r="ALH34">
        <v>0</v>
      </c>
      <c r="ALI34">
        <v>0</v>
      </c>
      <c r="ALJ34">
        <v>0</v>
      </c>
      <c r="ALK34">
        <v>0</v>
      </c>
      <c r="ALL34">
        <v>0</v>
      </c>
      <c r="ALM34">
        <v>0</v>
      </c>
      <c r="ALN34">
        <v>0</v>
      </c>
      <c r="ALO34">
        <v>0</v>
      </c>
      <c r="ALP34">
        <v>0</v>
      </c>
      <c r="ALQ34" s="116">
        <v>0</v>
      </c>
      <c r="ALR34" s="116">
        <v>0</v>
      </c>
      <c r="ALS34" s="116">
        <v>0</v>
      </c>
      <c r="ALT34" s="116">
        <v>0</v>
      </c>
      <c r="ALU34" s="116">
        <v>0</v>
      </c>
      <c r="ALV34" s="116">
        <v>0</v>
      </c>
      <c r="ALW34" s="116">
        <v>0</v>
      </c>
      <c r="ALX34" s="116">
        <v>0</v>
      </c>
      <c r="ALY34" s="116">
        <v>0</v>
      </c>
      <c r="ALZ34" s="128">
        <v>0</v>
      </c>
      <c r="AMA34" s="128">
        <v>0</v>
      </c>
      <c r="AMB34" s="128">
        <v>0</v>
      </c>
      <c r="AMC34" s="128">
        <v>0</v>
      </c>
      <c r="AMD34">
        <v>0</v>
      </c>
      <c r="AME34" s="119">
        <v>0</v>
      </c>
      <c r="AMF34" s="119">
        <v>0</v>
      </c>
      <c r="AMG34" s="119">
        <v>0</v>
      </c>
      <c r="AMH34" s="119">
        <v>0</v>
      </c>
      <c r="AMI34" s="121">
        <v>0</v>
      </c>
      <c r="AMJ34" s="119">
        <v>0</v>
      </c>
      <c r="AMK34" s="119">
        <v>0</v>
      </c>
      <c r="AML34">
        <v>0</v>
      </c>
      <c r="AMM34">
        <v>0</v>
      </c>
      <c r="AMN34">
        <v>0</v>
      </c>
      <c r="AMO34" s="119">
        <v>0</v>
      </c>
      <c r="AMP34">
        <v>0</v>
      </c>
      <c r="AMQ34">
        <v>0</v>
      </c>
      <c r="AMR34">
        <v>0</v>
      </c>
      <c r="AMS34">
        <v>0</v>
      </c>
      <c r="AMT34">
        <v>0</v>
      </c>
      <c r="AMU34">
        <v>0</v>
      </c>
      <c r="AMV34">
        <v>0</v>
      </c>
      <c r="AMW34">
        <v>0</v>
      </c>
      <c r="AMX34">
        <v>0</v>
      </c>
      <c r="AMY34">
        <v>0</v>
      </c>
      <c r="AMZ34">
        <v>0</v>
      </c>
      <c r="ANA34">
        <v>0</v>
      </c>
      <c r="ANB34">
        <v>0</v>
      </c>
      <c r="ANC34">
        <v>0</v>
      </c>
      <c r="AND34">
        <v>0</v>
      </c>
      <c r="ANE34">
        <v>0</v>
      </c>
      <c r="ANF34">
        <v>0</v>
      </c>
      <c r="ANG34">
        <v>0</v>
      </c>
      <c r="ANH34">
        <v>0</v>
      </c>
      <c r="ANI34">
        <v>0</v>
      </c>
      <c r="ANJ34">
        <v>0</v>
      </c>
      <c r="ANK34">
        <v>0</v>
      </c>
      <c r="ANL34">
        <v>0</v>
      </c>
      <c r="ANM34" s="116">
        <v>0</v>
      </c>
      <c r="ANN34" s="116">
        <v>0</v>
      </c>
      <c r="ANO34" s="116">
        <v>0</v>
      </c>
      <c r="ANP34" s="116">
        <v>0</v>
      </c>
      <c r="ANQ34" s="116">
        <v>0</v>
      </c>
      <c r="ANR34" s="116">
        <v>0</v>
      </c>
      <c r="ANS34" s="116">
        <v>0</v>
      </c>
      <c r="ANT34" s="116">
        <v>0</v>
      </c>
      <c r="ANU34" s="116">
        <v>0</v>
      </c>
      <c r="ANV34" s="128">
        <v>0</v>
      </c>
      <c r="ANW34" s="128">
        <v>0</v>
      </c>
      <c r="ANX34" s="128">
        <v>0</v>
      </c>
      <c r="ANY34" s="128">
        <v>0</v>
      </c>
      <c r="ANZ34">
        <v>0</v>
      </c>
      <c r="AOA34" s="119">
        <v>0</v>
      </c>
      <c r="AOB34" s="119">
        <v>0</v>
      </c>
      <c r="AOC34" s="119">
        <v>0</v>
      </c>
      <c r="AOD34" s="119">
        <v>0</v>
      </c>
      <c r="AOE34" s="121">
        <v>0</v>
      </c>
      <c r="AOF34" s="119">
        <v>0</v>
      </c>
      <c r="AOG34" s="119">
        <v>0</v>
      </c>
      <c r="AOH34">
        <v>0</v>
      </c>
      <c r="AOI34">
        <v>0</v>
      </c>
      <c r="AOJ34">
        <v>0</v>
      </c>
      <c r="AOK34" s="119">
        <v>0</v>
      </c>
      <c r="AOL34">
        <v>0</v>
      </c>
      <c r="AOM34">
        <v>0</v>
      </c>
      <c r="AON34">
        <v>0</v>
      </c>
      <c r="AOO34">
        <v>0</v>
      </c>
      <c r="AOP34">
        <v>0</v>
      </c>
      <c r="AOQ34">
        <v>0</v>
      </c>
      <c r="AOR34">
        <v>0</v>
      </c>
      <c r="AOS34">
        <v>0</v>
      </c>
      <c r="AOT34">
        <v>0</v>
      </c>
      <c r="AOU34">
        <v>0</v>
      </c>
      <c r="AOV34">
        <v>0</v>
      </c>
      <c r="AOW34">
        <v>0</v>
      </c>
      <c r="AOX34">
        <v>0</v>
      </c>
      <c r="AOY34">
        <v>0</v>
      </c>
      <c r="AOZ34">
        <v>0</v>
      </c>
      <c r="APA34">
        <v>0</v>
      </c>
      <c r="APB34">
        <v>0</v>
      </c>
      <c r="APC34">
        <v>0</v>
      </c>
      <c r="APD34">
        <v>0</v>
      </c>
      <c r="APE34">
        <v>0</v>
      </c>
      <c r="APF34">
        <v>0</v>
      </c>
      <c r="APG34">
        <v>0</v>
      </c>
      <c r="APH34">
        <v>0</v>
      </c>
      <c r="API34" s="116">
        <v>0</v>
      </c>
      <c r="APJ34" s="116">
        <v>0</v>
      </c>
      <c r="APK34" s="116">
        <v>0</v>
      </c>
      <c r="APL34" s="116">
        <v>0</v>
      </c>
      <c r="APM34" s="116">
        <v>0</v>
      </c>
      <c r="APN34" s="116">
        <v>0</v>
      </c>
      <c r="APO34" s="116">
        <v>0</v>
      </c>
      <c r="APP34" s="116">
        <v>0</v>
      </c>
      <c r="APQ34" s="116">
        <v>0</v>
      </c>
      <c r="APR34" s="128">
        <v>0</v>
      </c>
      <c r="APS34" s="128">
        <v>0</v>
      </c>
      <c r="APT34" s="128">
        <v>0</v>
      </c>
      <c r="APU34" s="128">
        <v>0</v>
      </c>
      <c r="APV34">
        <v>0</v>
      </c>
      <c r="APW34" s="119">
        <v>0</v>
      </c>
      <c r="APX34" s="119">
        <v>0</v>
      </c>
      <c r="APY34" s="119">
        <v>0</v>
      </c>
      <c r="APZ34" s="119">
        <v>0</v>
      </c>
      <c r="AQA34" s="121">
        <v>0</v>
      </c>
      <c r="AQB34" s="119">
        <v>0</v>
      </c>
      <c r="AQC34" s="119">
        <v>0</v>
      </c>
      <c r="AQD34">
        <v>0</v>
      </c>
      <c r="AQE34">
        <v>0</v>
      </c>
      <c r="AQF34">
        <v>0</v>
      </c>
      <c r="AQG34" s="119">
        <v>0</v>
      </c>
      <c r="AQH34">
        <v>0</v>
      </c>
      <c r="AQI34">
        <v>0</v>
      </c>
      <c r="AQJ34">
        <v>0</v>
      </c>
      <c r="AQK34">
        <v>0</v>
      </c>
      <c r="AQL34">
        <v>0</v>
      </c>
      <c r="AQM34">
        <v>0</v>
      </c>
      <c r="AQN34">
        <v>0</v>
      </c>
      <c r="AQO34">
        <v>0</v>
      </c>
      <c r="AQP34">
        <v>0</v>
      </c>
      <c r="AQQ34">
        <v>0</v>
      </c>
      <c r="AQR34">
        <v>0</v>
      </c>
      <c r="AQS34">
        <v>0</v>
      </c>
      <c r="AQT34">
        <v>0</v>
      </c>
      <c r="AQU34">
        <v>0</v>
      </c>
      <c r="AQV34">
        <v>0</v>
      </c>
      <c r="AQW34">
        <v>0</v>
      </c>
      <c r="AQX34">
        <v>0</v>
      </c>
      <c r="AQY34">
        <v>0</v>
      </c>
      <c r="AQZ34">
        <v>0</v>
      </c>
      <c r="ARA34">
        <v>0</v>
      </c>
      <c r="ARB34">
        <v>0</v>
      </c>
      <c r="ARC34">
        <v>0</v>
      </c>
      <c r="ARD34">
        <v>0</v>
      </c>
      <c r="ARE34">
        <v>0</v>
      </c>
      <c r="ARF34">
        <v>0</v>
      </c>
      <c r="ARG34">
        <v>0</v>
      </c>
      <c r="ARH34">
        <v>0</v>
      </c>
      <c r="ARI34">
        <v>0</v>
      </c>
      <c r="ARJ34">
        <v>0</v>
      </c>
      <c r="ARK34">
        <v>0</v>
      </c>
      <c r="ARL34">
        <v>0</v>
      </c>
      <c r="ARM34">
        <v>0</v>
      </c>
      <c r="ARN34" s="128">
        <v>0</v>
      </c>
      <c r="ARO34" s="128">
        <v>0</v>
      </c>
      <c r="ARP34" s="128">
        <v>0</v>
      </c>
      <c r="ARQ34" s="128">
        <v>0</v>
      </c>
      <c r="ARR34">
        <v>0</v>
      </c>
      <c r="ARS34" s="119">
        <v>0</v>
      </c>
      <c r="ART34" s="119">
        <v>0</v>
      </c>
      <c r="ARU34" s="119">
        <v>0</v>
      </c>
      <c r="ARV34" s="119">
        <v>0</v>
      </c>
      <c r="ARW34" s="121">
        <v>0</v>
      </c>
      <c r="ARX34" s="119">
        <v>0</v>
      </c>
      <c r="ARY34" s="119">
        <v>0</v>
      </c>
      <c r="ARZ34">
        <v>0</v>
      </c>
      <c r="ASA34">
        <v>0</v>
      </c>
      <c r="ASB34">
        <v>0</v>
      </c>
      <c r="ASC34" s="119">
        <v>0</v>
      </c>
      <c r="ASD34">
        <v>0</v>
      </c>
      <c r="ASE34">
        <v>0</v>
      </c>
      <c r="ASF34">
        <v>0</v>
      </c>
      <c r="ASG34">
        <v>0</v>
      </c>
      <c r="ASH34">
        <v>0</v>
      </c>
      <c r="ASI34">
        <v>0</v>
      </c>
      <c r="ASJ34">
        <v>0</v>
      </c>
      <c r="ASK34">
        <v>0</v>
      </c>
      <c r="ASL34">
        <v>0</v>
      </c>
      <c r="ASM34">
        <v>0</v>
      </c>
      <c r="ASN34">
        <v>0</v>
      </c>
      <c r="ASO34">
        <v>0</v>
      </c>
      <c r="ASP34">
        <v>0</v>
      </c>
      <c r="ASQ34">
        <v>0</v>
      </c>
      <c r="ASR34">
        <v>0</v>
      </c>
      <c r="ASS34">
        <v>0</v>
      </c>
      <c r="AST34">
        <v>0</v>
      </c>
      <c r="ASU34">
        <v>0</v>
      </c>
      <c r="ASV34">
        <v>0</v>
      </c>
      <c r="ASW34">
        <v>0</v>
      </c>
      <c r="ASX34">
        <v>0</v>
      </c>
      <c r="ASY34">
        <v>0</v>
      </c>
      <c r="ASZ34">
        <v>0</v>
      </c>
      <c r="ATA34" s="116">
        <v>0</v>
      </c>
      <c r="ATB34" s="116">
        <v>0</v>
      </c>
      <c r="ATC34" s="116">
        <v>0</v>
      </c>
      <c r="ATD34" s="116">
        <v>0</v>
      </c>
      <c r="ATE34" s="116">
        <v>0</v>
      </c>
      <c r="ATF34" s="116">
        <v>0</v>
      </c>
      <c r="ATG34" s="116">
        <v>0</v>
      </c>
      <c r="ATH34" s="116">
        <v>0</v>
      </c>
      <c r="ATI34" s="116">
        <v>0</v>
      </c>
      <c r="ATJ34" s="128">
        <v>0</v>
      </c>
      <c r="ATK34" s="128">
        <v>0</v>
      </c>
      <c r="ATL34" s="128">
        <v>0</v>
      </c>
      <c r="ATM34" s="128">
        <v>0</v>
      </c>
      <c r="ATN34">
        <v>0</v>
      </c>
      <c r="ATO34" s="119">
        <v>0</v>
      </c>
      <c r="ATP34" s="119">
        <v>0</v>
      </c>
      <c r="ATQ34" s="119">
        <v>0</v>
      </c>
      <c r="ATR34" s="119">
        <v>0</v>
      </c>
      <c r="ATS34" s="121">
        <v>0</v>
      </c>
      <c r="ATT34" s="119">
        <v>0</v>
      </c>
      <c r="ATU34" s="119">
        <v>0</v>
      </c>
      <c r="ATV34">
        <v>0</v>
      </c>
      <c r="ATW34">
        <v>0</v>
      </c>
      <c r="ATX34">
        <v>0</v>
      </c>
      <c r="ATY34" s="119">
        <v>0</v>
      </c>
      <c r="ATZ34">
        <v>0</v>
      </c>
      <c r="AUA34">
        <v>0</v>
      </c>
      <c r="AUB34">
        <v>0</v>
      </c>
      <c r="AUC34">
        <v>0</v>
      </c>
      <c r="AUD34">
        <v>0</v>
      </c>
      <c r="AUE34">
        <v>0</v>
      </c>
      <c r="AUF34">
        <v>0</v>
      </c>
      <c r="AUG34">
        <v>0</v>
      </c>
      <c r="AUH34">
        <v>0</v>
      </c>
      <c r="AUI34">
        <v>0</v>
      </c>
      <c r="AUJ34">
        <v>0</v>
      </c>
      <c r="AUK34">
        <v>0</v>
      </c>
      <c r="AUL34">
        <v>0</v>
      </c>
      <c r="AUM34">
        <v>0</v>
      </c>
      <c r="AUN34">
        <v>0</v>
      </c>
      <c r="AUO34">
        <v>0</v>
      </c>
      <c r="AUP34">
        <v>0</v>
      </c>
      <c r="AUQ34">
        <v>0</v>
      </c>
      <c r="AUR34">
        <v>0</v>
      </c>
      <c r="AUS34">
        <v>0</v>
      </c>
      <c r="AUT34">
        <v>0</v>
      </c>
      <c r="AUU34">
        <v>0</v>
      </c>
      <c r="AUV34">
        <v>0</v>
      </c>
      <c r="AUW34" s="116">
        <v>0</v>
      </c>
      <c r="AUX34" s="116">
        <v>0</v>
      </c>
      <c r="AUY34" s="116">
        <v>0</v>
      </c>
      <c r="AUZ34" s="116">
        <v>0</v>
      </c>
      <c r="AVA34" s="116">
        <v>0</v>
      </c>
      <c r="AVB34" s="116">
        <v>0</v>
      </c>
      <c r="AVC34" s="116">
        <v>0</v>
      </c>
      <c r="AVD34" s="116">
        <v>0</v>
      </c>
      <c r="AVE34" s="116">
        <v>0</v>
      </c>
      <c r="AVF34" s="128">
        <v>0</v>
      </c>
      <c r="AVG34" s="128">
        <v>0</v>
      </c>
      <c r="AVH34" s="128">
        <v>0</v>
      </c>
      <c r="AVI34" s="128">
        <v>0</v>
      </c>
      <c r="AVJ34">
        <v>0</v>
      </c>
      <c r="AVK34" s="119">
        <v>0</v>
      </c>
      <c r="AVL34" s="119">
        <v>0</v>
      </c>
      <c r="AVM34" s="119">
        <v>0</v>
      </c>
      <c r="AVN34" s="119">
        <v>0</v>
      </c>
      <c r="AVO34" s="121">
        <v>0</v>
      </c>
      <c r="AVP34" s="119">
        <v>0</v>
      </c>
      <c r="AVQ34" s="119">
        <v>0</v>
      </c>
      <c r="AVR34">
        <v>0</v>
      </c>
      <c r="AVS34">
        <v>0</v>
      </c>
      <c r="AVT34">
        <v>0</v>
      </c>
      <c r="AVU34" s="119">
        <v>0</v>
      </c>
      <c r="AVV34">
        <v>0</v>
      </c>
      <c r="AVW34">
        <v>0</v>
      </c>
      <c r="AVX34">
        <v>0</v>
      </c>
      <c r="AVY34">
        <v>0</v>
      </c>
      <c r="AVZ34">
        <v>0</v>
      </c>
      <c r="AWA34">
        <v>0</v>
      </c>
      <c r="AWB34">
        <v>0</v>
      </c>
      <c r="AWC34">
        <v>0</v>
      </c>
      <c r="AWD34">
        <v>0</v>
      </c>
      <c r="AWE34">
        <v>0</v>
      </c>
      <c r="AWF34">
        <v>0</v>
      </c>
      <c r="AWG34">
        <v>0</v>
      </c>
      <c r="AWH34">
        <v>0</v>
      </c>
      <c r="AWI34">
        <v>0</v>
      </c>
      <c r="AWJ34">
        <v>0</v>
      </c>
      <c r="AWK34">
        <v>0</v>
      </c>
      <c r="AWL34">
        <v>0</v>
      </c>
      <c r="AWM34">
        <v>0</v>
      </c>
      <c r="AWN34">
        <v>0</v>
      </c>
      <c r="AWO34">
        <v>0</v>
      </c>
      <c r="AWP34">
        <v>0</v>
      </c>
      <c r="AWQ34">
        <v>0</v>
      </c>
      <c r="AWR34">
        <v>0</v>
      </c>
      <c r="AWS34" s="116">
        <v>0</v>
      </c>
      <c r="AWT34" s="116">
        <v>0</v>
      </c>
      <c r="AWU34" s="116">
        <v>0</v>
      </c>
      <c r="AWV34" s="116">
        <v>0</v>
      </c>
      <c r="AWW34" s="116">
        <v>0</v>
      </c>
      <c r="AWX34" s="116">
        <v>0</v>
      </c>
      <c r="AWY34" s="116">
        <v>0</v>
      </c>
      <c r="AWZ34" s="116">
        <v>0</v>
      </c>
      <c r="AXA34" s="116">
        <v>0</v>
      </c>
      <c r="AXB34" s="128">
        <v>0</v>
      </c>
      <c r="AXC34" s="128">
        <v>0</v>
      </c>
      <c r="AXD34" s="128">
        <v>0</v>
      </c>
      <c r="AXE34" s="128">
        <v>0</v>
      </c>
      <c r="AXF34">
        <v>0</v>
      </c>
      <c r="AXG34" s="119">
        <v>0</v>
      </c>
      <c r="AXH34" s="119">
        <v>0</v>
      </c>
      <c r="AXI34" s="119">
        <v>0</v>
      </c>
      <c r="AXJ34" s="119">
        <v>0</v>
      </c>
      <c r="AXK34" s="121">
        <v>0</v>
      </c>
      <c r="AXL34" s="119">
        <v>0</v>
      </c>
      <c r="AXM34" s="119">
        <v>0</v>
      </c>
      <c r="AXN34">
        <v>0</v>
      </c>
      <c r="AXO34">
        <v>0</v>
      </c>
      <c r="AXP34">
        <v>0</v>
      </c>
      <c r="AXQ34" s="119">
        <v>0</v>
      </c>
      <c r="AXR34">
        <v>0</v>
      </c>
      <c r="AXS34">
        <v>0</v>
      </c>
      <c r="AXT34">
        <v>0</v>
      </c>
      <c r="AXU34">
        <v>0</v>
      </c>
      <c r="AXV34">
        <v>0</v>
      </c>
      <c r="AXW34">
        <v>0</v>
      </c>
      <c r="AXX34">
        <v>0</v>
      </c>
      <c r="AXY34">
        <v>0</v>
      </c>
      <c r="AXZ34">
        <v>0</v>
      </c>
      <c r="AYA34">
        <v>0</v>
      </c>
      <c r="AYB34">
        <v>0</v>
      </c>
      <c r="AYC34">
        <v>0</v>
      </c>
      <c r="AYD34">
        <v>0</v>
      </c>
      <c r="AYE34">
        <v>0</v>
      </c>
      <c r="AYF34">
        <v>0</v>
      </c>
      <c r="AYG34">
        <v>0</v>
      </c>
      <c r="AYH34">
        <v>0</v>
      </c>
      <c r="AYI34">
        <v>0</v>
      </c>
      <c r="AYJ34">
        <v>0</v>
      </c>
      <c r="AYK34">
        <v>0</v>
      </c>
      <c r="AYL34">
        <v>0</v>
      </c>
      <c r="AYM34">
        <v>0</v>
      </c>
      <c r="AYN34">
        <v>0</v>
      </c>
      <c r="AYO34" s="116">
        <v>0</v>
      </c>
      <c r="AYP34" s="116">
        <v>0</v>
      </c>
      <c r="AYQ34" s="116">
        <v>0</v>
      </c>
      <c r="AYR34" s="116">
        <v>0</v>
      </c>
      <c r="AYS34" s="116">
        <v>0</v>
      </c>
      <c r="AYT34" s="116">
        <v>0</v>
      </c>
      <c r="AYU34" s="116">
        <v>0</v>
      </c>
      <c r="AYV34" s="116">
        <v>0</v>
      </c>
      <c r="AYW34" s="116">
        <v>0</v>
      </c>
      <c r="AYX34" s="128">
        <v>0</v>
      </c>
      <c r="AYY34" s="128">
        <v>0</v>
      </c>
      <c r="AYZ34" s="128">
        <v>0</v>
      </c>
      <c r="AZA34" s="128">
        <v>0</v>
      </c>
      <c r="AZB34">
        <v>0</v>
      </c>
      <c r="AZC34" s="119">
        <v>0</v>
      </c>
      <c r="AZD34" s="119">
        <v>0</v>
      </c>
      <c r="AZE34" s="119">
        <v>0</v>
      </c>
      <c r="AZF34" s="119">
        <v>0</v>
      </c>
      <c r="AZG34" s="121">
        <v>0</v>
      </c>
      <c r="AZH34" s="119">
        <v>0</v>
      </c>
      <c r="AZI34" s="119">
        <v>0</v>
      </c>
      <c r="AZJ34">
        <v>0</v>
      </c>
      <c r="AZK34">
        <v>0</v>
      </c>
      <c r="AZL34">
        <v>0</v>
      </c>
      <c r="AZM34" s="119">
        <v>0</v>
      </c>
      <c r="AZN34">
        <v>0</v>
      </c>
      <c r="AZO34">
        <v>0</v>
      </c>
      <c r="AZP34">
        <v>0</v>
      </c>
      <c r="AZQ34">
        <v>0</v>
      </c>
      <c r="AZR34">
        <v>0</v>
      </c>
      <c r="AZS34">
        <v>0</v>
      </c>
      <c r="AZT34">
        <v>0</v>
      </c>
      <c r="AZU34">
        <v>0</v>
      </c>
      <c r="AZV34">
        <v>0</v>
      </c>
      <c r="AZW34">
        <v>0</v>
      </c>
      <c r="AZX34">
        <v>0</v>
      </c>
      <c r="AZY34">
        <v>0</v>
      </c>
      <c r="AZZ34">
        <v>0</v>
      </c>
      <c r="BAA34">
        <v>0</v>
      </c>
      <c r="BAB34">
        <v>0</v>
      </c>
      <c r="BAC34">
        <v>0</v>
      </c>
      <c r="BAD34">
        <v>0</v>
      </c>
      <c r="BAE34">
        <v>0</v>
      </c>
      <c r="BAF34">
        <v>0</v>
      </c>
      <c r="BAG34">
        <v>0</v>
      </c>
      <c r="BAH34">
        <v>0</v>
      </c>
      <c r="BAI34">
        <v>0</v>
      </c>
      <c r="BAJ34">
        <v>0</v>
      </c>
      <c r="BAK34">
        <v>1095020</v>
      </c>
      <c r="BAL34" s="120">
        <v>5189.6000000000004</v>
      </c>
      <c r="BAM34" s="120">
        <v>4245.6000000000004</v>
      </c>
      <c r="BAN34" s="120">
        <v>944</v>
      </c>
      <c r="BAO34" s="120">
        <v>0</v>
      </c>
      <c r="BAP34" s="120">
        <v>0</v>
      </c>
      <c r="BAQ34" s="120">
        <v>438</v>
      </c>
      <c r="BAR34" s="116" t="s">
        <v>3422</v>
      </c>
      <c r="BAS34" s="116">
        <v>0</v>
      </c>
      <c r="BAT34" s="116">
        <v>0</v>
      </c>
      <c r="BAU34" s="116">
        <v>0</v>
      </c>
      <c r="BAV34" s="116">
        <v>0</v>
      </c>
      <c r="BAW34" s="116">
        <v>0</v>
      </c>
      <c r="BAX34" s="116">
        <v>0</v>
      </c>
      <c r="BAY34" s="116">
        <v>0</v>
      </c>
      <c r="BAZ34" s="116">
        <v>0</v>
      </c>
      <c r="BBA34" s="116">
        <v>0</v>
      </c>
      <c r="BBB34" s="116">
        <v>0</v>
      </c>
      <c r="BBC34" s="116">
        <v>0</v>
      </c>
      <c r="BBD34" s="116">
        <v>0</v>
      </c>
      <c r="BBE34" s="116">
        <v>0</v>
      </c>
      <c r="BBF34" s="116">
        <v>0</v>
      </c>
      <c r="BBG34" s="116">
        <v>0</v>
      </c>
      <c r="BBH34" s="116">
        <v>0</v>
      </c>
      <c r="BBI34" s="116">
        <v>0</v>
      </c>
      <c r="BBJ34" s="116">
        <v>0</v>
      </c>
      <c r="BBK34" s="116">
        <v>0</v>
      </c>
      <c r="BBL34" s="116">
        <v>0</v>
      </c>
      <c r="BBM34" s="116">
        <v>0</v>
      </c>
      <c r="BBN34" s="116">
        <v>0</v>
      </c>
      <c r="BBO34" s="116">
        <v>0</v>
      </c>
      <c r="BBP34" s="116">
        <v>0</v>
      </c>
      <c r="BBQ34" s="116">
        <v>0</v>
      </c>
      <c r="BBR34" s="116">
        <v>0</v>
      </c>
      <c r="BBS34" s="116">
        <v>0</v>
      </c>
      <c r="BBT34" s="116">
        <v>0</v>
      </c>
      <c r="BBU34" s="116">
        <v>0</v>
      </c>
      <c r="BBV34" s="116">
        <v>0</v>
      </c>
      <c r="BBW34" s="116">
        <v>0</v>
      </c>
      <c r="BBX34" s="116">
        <v>0</v>
      </c>
      <c r="BBY34" s="116">
        <v>0</v>
      </c>
      <c r="BBZ34" s="116">
        <v>0</v>
      </c>
      <c r="BCA34" s="116">
        <v>0</v>
      </c>
      <c r="BCB34" s="116">
        <v>0</v>
      </c>
      <c r="BCC34" s="116">
        <v>0</v>
      </c>
      <c r="BCD34" s="116">
        <v>0</v>
      </c>
      <c r="BCE34" s="116">
        <v>0</v>
      </c>
      <c r="BCF34" s="116">
        <v>0</v>
      </c>
      <c r="BCG34" s="116">
        <v>0</v>
      </c>
      <c r="BCH34" s="116">
        <v>0</v>
      </c>
      <c r="BCI34" s="116">
        <v>0</v>
      </c>
      <c r="BCJ34" s="116">
        <v>0</v>
      </c>
      <c r="BCK34" s="116">
        <v>0</v>
      </c>
      <c r="BCL34" s="116">
        <v>0</v>
      </c>
      <c r="BCM34" s="116">
        <v>0</v>
      </c>
      <c r="BCN34" s="116">
        <v>0</v>
      </c>
      <c r="BCO34" s="116">
        <v>0</v>
      </c>
      <c r="BCP34" s="304">
        <v>4</v>
      </c>
      <c r="BCQ34" s="304">
        <v>6</v>
      </c>
      <c r="BCR34" s="304">
        <v>1</v>
      </c>
      <c r="BCS34" s="304">
        <v>2</v>
      </c>
      <c r="BCT34" s="304">
        <v>5</v>
      </c>
      <c r="BCU34" s="304">
        <v>8</v>
      </c>
      <c r="BCV34" s="304">
        <v>8</v>
      </c>
      <c r="BCW34" s="304">
        <v>3</v>
      </c>
      <c r="BCX34" s="304">
        <v>6</v>
      </c>
      <c r="BCY34" s="304">
        <v>0</v>
      </c>
      <c r="BCZ34" s="304">
        <v>0</v>
      </c>
      <c r="BDA34" s="304">
        <v>0</v>
      </c>
      <c r="BDB34" s="304">
        <v>0</v>
      </c>
      <c r="BDC34" s="304">
        <v>0</v>
      </c>
      <c r="BDD34" s="304">
        <v>0</v>
      </c>
      <c r="BDE34" s="304">
        <v>0</v>
      </c>
      <c r="BDF34" s="304">
        <v>0</v>
      </c>
      <c r="BDG34" s="304">
        <v>0</v>
      </c>
      <c r="BDH34" s="304">
        <v>0</v>
      </c>
      <c r="BDI34" s="304">
        <v>0</v>
      </c>
      <c r="BDJ34" s="304">
        <v>0</v>
      </c>
      <c r="BDK34" s="304">
        <v>0</v>
      </c>
      <c r="BDL34" s="304">
        <v>0</v>
      </c>
      <c r="BDM34" s="304">
        <v>0</v>
      </c>
      <c r="BDN34" s="304">
        <v>0</v>
      </c>
      <c r="BDO34" s="304">
        <v>0</v>
      </c>
      <c r="BDP34" s="304">
        <v>0</v>
      </c>
      <c r="BDQ34">
        <v>0</v>
      </c>
      <c r="BDR34" t="s">
        <v>3270</v>
      </c>
      <c r="BDS34" t="s">
        <v>3269</v>
      </c>
      <c r="BDT34" t="s">
        <v>2403</v>
      </c>
      <c r="BDU34">
        <v>0</v>
      </c>
      <c r="BDV34" t="s">
        <v>3270</v>
      </c>
      <c r="BDW34" t="s">
        <v>3269</v>
      </c>
      <c r="BDX34" t="s">
        <v>3269</v>
      </c>
      <c r="BDY34">
        <v>0</v>
      </c>
      <c r="BDZ34" t="s">
        <v>3269</v>
      </c>
      <c r="BEA34">
        <v>0</v>
      </c>
      <c r="BEB34">
        <v>0</v>
      </c>
      <c r="BEC34">
        <v>0</v>
      </c>
      <c r="BED34" t="s">
        <v>3269</v>
      </c>
      <c r="BEE34" t="s">
        <v>3269</v>
      </c>
      <c r="BEF34">
        <v>0</v>
      </c>
      <c r="BEG34">
        <v>0</v>
      </c>
      <c r="BEH34" t="s">
        <v>3269</v>
      </c>
      <c r="BEI34" t="s">
        <v>3290</v>
      </c>
      <c r="BEJ34" t="s">
        <v>3269</v>
      </c>
      <c r="BEK34" t="s">
        <v>3269</v>
      </c>
      <c r="BEL34">
        <v>0</v>
      </c>
      <c r="BEM34" t="s">
        <v>3269</v>
      </c>
      <c r="BEN34" t="s">
        <v>3269</v>
      </c>
      <c r="BEO34">
        <v>0</v>
      </c>
      <c r="BEP34" t="s">
        <v>3420</v>
      </c>
      <c r="BEQ34">
        <v>4</v>
      </c>
      <c r="BER34">
        <v>0</v>
      </c>
      <c r="BES34">
        <v>0</v>
      </c>
      <c r="BET34">
        <v>0</v>
      </c>
      <c r="BEU34">
        <v>0</v>
      </c>
      <c r="BEV34">
        <v>1800</v>
      </c>
      <c r="BEW34">
        <v>500</v>
      </c>
      <c r="BEX34" t="s">
        <v>3269</v>
      </c>
      <c r="BEY34" t="s">
        <v>3270</v>
      </c>
      <c r="BEZ34" t="s">
        <v>3278</v>
      </c>
      <c r="BFA34" t="s">
        <v>3270</v>
      </c>
      <c r="BFB34" t="s">
        <v>3270</v>
      </c>
      <c r="BFC34" t="s">
        <v>3421</v>
      </c>
      <c r="BFD34" t="b">
        <v>1</v>
      </c>
      <c r="BFE34" t="b">
        <v>1</v>
      </c>
      <c r="BFF34" t="b">
        <v>1</v>
      </c>
      <c r="BFG34" t="b">
        <v>1</v>
      </c>
      <c r="BFH34">
        <v>43663</v>
      </c>
      <c r="BFI34">
        <v>43663</v>
      </c>
      <c r="BFJ34">
        <v>1</v>
      </c>
      <c r="BFK34">
        <v>0</v>
      </c>
      <c r="BFL34">
        <v>0</v>
      </c>
      <c r="BFM34">
        <v>0</v>
      </c>
      <c r="BFN34">
        <v>0</v>
      </c>
      <c r="BFO34">
        <v>0</v>
      </c>
      <c r="BFP34">
        <v>0</v>
      </c>
      <c r="BFQ34" t="s">
        <v>3294</v>
      </c>
      <c r="BFR34">
        <v>0</v>
      </c>
      <c r="BFS34">
        <v>0</v>
      </c>
      <c r="BFT34">
        <v>0</v>
      </c>
      <c r="BFU34">
        <v>0</v>
      </c>
      <c r="BFV34">
        <v>0</v>
      </c>
      <c r="BFW34" t="s">
        <v>3269</v>
      </c>
      <c r="BFX34" t="s">
        <v>3269</v>
      </c>
      <c r="BFY34">
        <v>0</v>
      </c>
    </row>
    <row r="35" spans="1:1533" ht="18.75" customHeight="1" x14ac:dyDescent="0.25">
      <c r="A35" t="s">
        <v>3424</v>
      </c>
      <c r="B35" t="s">
        <v>3432</v>
      </c>
      <c r="C35">
        <v>130</v>
      </c>
      <c r="D35">
        <v>45</v>
      </c>
      <c r="E35">
        <v>0</v>
      </c>
      <c r="F35">
        <v>0</v>
      </c>
      <c r="G35">
        <v>0</v>
      </c>
      <c r="H35" t="s">
        <v>2403</v>
      </c>
      <c r="I35" t="s">
        <v>2403</v>
      </c>
      <c r="J35" t="s">
        <v>2403</v>
      </c>
      <c r="K35" t="s">
        <v>2403</v>
      </c>
      <c r="L35" t="s">
        <v>2403</v>
      </c>
      <c r="M35" t="s">
        <v>1883</v>
      </c>
      <c r="N35" t="s">
        <v>2403</v>
      </c>
      <c r="O35" t="s">
        <v>1883</v>
      </c>
      <c r="P35" t="s">
        <v>1883</v>
      </c>
      <c r="Q35" t="s">
        <v>2403</v>
      </c>
      <c r="R35" t="s">
        <v>1883</v>
      </c>
      <c r="S35" t="s">
        <v>2403</v>
      </c>
      <c r="T35" t="s">
        <v>2404</v>
      </c>
      <c r="U35" t="s">
        <v>2424</v>
      </c>
      <c r="V35" t="s">
        <v>3207</v>
      </c>
      <c r="W35" t="s">
        <v>309</v>
      </c>
      <c r="X35">
        <v>900</v>
      </c>
      <c r="Y35">
        <v>43673</v>
      </c>
      <c r="Z35">
        <v>0</v>
      </c>
      <c r="AA35">
        <v>0</v>
      </c>
      <c r="AB35">
        <v>0</v>
      </c>
      <c r="AC35" t="s">
        <v>272</v>
      </c>
      <c r="AD35">
        <v>25</v>
      </c>
      <c r="AE35">
        <v>0</v>
      </c>
      <c r="AF35">
        <v>43701</v>
      </c>
      <c r="AG35">
        <v>45</v>
      </c>
      <c r="AH35">
        <v>0</v>
      </c>
      <c r="AI35">
        <v>0</v>
      </c>
      <c r="AJ35" t="s">
        <v>271</v>
      </c>
      <c r="AK35">
        <v>0.159</v>
      </c>
      <c r="AL35">
        <v>0</v>
      </c>
      <c r="AM35">
        <v>50</v>
      </c>
      <c r="AN35">
        <v>47323</v>
      </c>
      <c r="AO35">
        <v>0.17417214211855914</v>
      </c>
      <c r="AP35">
        <v>13178.59</v>
      </c>
      <c r="AQ35">
        <v>14727.030000000053</v>
      </c>
      <c r="AR35">
        <v>27905.620000000054</v>
      </c>
      <c r="AS35">
        <v>232.56</v>
      </c>
      <c r="AT35">
        <v>230.98</v>
      </c>
      <c r="AU35" t="s">
        <v>1910</v>
      </c>
      <c r="AV35" t="s">
        <v>2119</v>
      </c>
      <c r="AW35" t="s">
        <v>2738</v>
      </c>
      <c r="AX35">
        <v>19</v>
      </c>
      <c r="AY35">
        <v>0</v>
      </c>
      <c r="AZ35">
        <v>43665</v>
      </c>
      <c r="BA35">
        <v>100</v>
      </c>
      <c r="BB35">
        <v>2</v>
      </c>
      <c r="BC35">
        <v>1</v>
      </c>
      <c r="BD35" t="s">
        <v>415</v>
      </c>
      <c r="BE35">
        <v>436</v>
      </c>
      <c r="BF35">
        <v>72</v>
      </c>
      <c r="BG35">
        <v>43670</v>
      </c>
      <c r="BH35">
        <v>120</v>
      </c>
      <c r="BI35">
        <v>0</v>
      </c>
      <c r="BJ35">
        <v>50</v>
      </c>
      <c r="BK35">
        <v>43647</v>
      </c>
      <c r="BL35">
        <v>0</v>
      </c>
      <c r="BM35">
        <v>0</v>
      </c>
      <c r="BN35">
        <v>0</v>
      </c>
      <c r="BO35" t="s">
        <v>3425</v>
      </c>
      <c r="BP35" t="s">
        <v>2403</v>
      </c>
      <c r="BQ35" t="s">
        <v>2403</v>
      </c>
      <c r="BR35" t="s">
        <v>2403</v>
      </c>
      <c r="BS35">
        <v>454995446</v>
      </c>
      <c r="BT35">
        <v>30306</v>
      </c>
      <c r="BU35" t="s">
        <v>3426</v>
      </c>
      <c r="BV35" t="s">
        <v>31</v>
      </c>
      <c r="BW35" t="s">
        <v>1633</v>
      </c>
      <c r="BX35">
        <v>76028</v>
      </c>
      <c r="BY35" t="s">
        <v>3426</v>
      </c>
      <c r="BZ35" t="s">
        <v>31</v>
      </c>
      <c r="CA35">
        <v>76028</v>
      </c>
      <c r="CB35" t="s">
        <v>1633</v>
      </c>
      <c r="CC35" t="s">
        <v>316</v>
      </c>
      <c r="CD35">
        <v>0</v>
      </c>
      <c r="CE35">
        <v>0</v>
      </c>
      <c r="CF35">
        <v>0</v>
      </c>
      <c r="CG35">
        <v>0</v>
      </c>
      <c r="CH35">
        <v>0</v>
      </c>
      <c r="CI35">
        <v>0</v>
      </c>
      <c r="CJ35">
        <v>0</v>
      </c>
      <c r="CK35">
        <v>0</v>
      </c>
      <c r="CL35">
        <v>9406316212</v>
      </c>
      <c r="CM35">
        <v>4079277222</v>
      </c>
      <c r="CN35" t="s">
        <v>3427</v>
      </c>
      <c r="CO35" t="s">
        <v>3429</v>
      </c>
      <c r="CP35" t="s">
        <v>2403</v>
      </c>
      <c r="CQ35" t="s">
        <v>2403</v>
      </c>
      <c r="CR35" t="s">
        <v>2403</v>
      </c>
      <c r="CS35" t="s">
        <v>3426</v>
      </c>
      <c r="CT35" t="s">
        <v>31</v>
      </c>
      <c r="CU35" t="s">
        <v>1633</v>
      </c>
      <c r="CV35">
        <v>76028</v>
      </c>
      <c r="CW35">
        <v>257693604</v>
      </c>
      <c r="CX35">
        <v>30445</v>
      </c>
      <c r="CY35" t="s">
        <v>3426</v>
      </c>
      <c r="CZ35" t="s">
        <v>31</v>
      </c>
      <c r="DA35">
        <v>76028</v>
      </c>
      <c r="DB35" t="s">
        <v>1633</v>
      </c>
      <c r="DC35" t="s">
        <v>316</v>
      </c>
      <c r="DD35">
        <v>0</v>
      </c>
      <c r="DE35">
        <v>0</v>
      </c>
      <c r="DF35">
        <v>0</v>
      </c>
      <c r="DG35">
        <v>0</v>
      </c>
      <c r="DH35">
        <v>0</v>
      </c>
      <c r="DI35">
        <v>0</v>
      </c>
      <c r="DJ35">
        <v>0</v>
      </c>
      <c r="DK35">
        <v>0</v>
      </c>
      <c r="DL35">
        <v>0</v>
      </c>
      <c r="DM35">
        <v>0</v>
      </c>
      <c r="DN35" t="s">
        <v>3427</v>
      </c>
      <c r="DO35">
        <v>0</v>
      </c>
      <c r="DP35">
        <v>0</v>
      </c>
      <c r="DQ35">
        <v>0</v>
      </c>
      <c r="DR35">
        <v>0</v>
      </c>
      <c r="DS35">
        <v>0</v>
      </c>
      <c r="DT35">
        <v>0</v>
      </c>
      <c r="DU35">
        <v>0</v>
      </c>
      <c r="DV35">
        <v>0</v>
      </c>
      <c r="DW35">
        <v>0</v>
      </c>
      <c r="DX35">
        <v>0</v>
      </c>
      <c r="DY35">
        <v>0</v>
      </c>
      <c r="DZ35">
        <v>0</v>
      </c>
      <c r="EA35">
        <v>0</v>
      </c>
      <c r="EB35">
        <v>0</v>
      </c>
      <c r="EC35">
        <v>0</v>
      </c>
      <c r="ED35">
        <v>0</v>
      </c>
      <c r="EE35">
        <v>0</v>
      </c>
      <c r="EF35">
        <v>0</v>
      </c>
      <c r="EG35">
        <v>0</v>
      </c>
      <c r="EH35">
        <v>0</v>
      </c>
      <c r="EI35">
        <v>0</v>
      </c>
      <c r="EJ35">
        <v>0</v>
      </c>
      <c r="EK35">
        <v>0</v>
      </c>
      <c r="EL35">
        <v>0</v>
      </c>
      <c r="EM35">
        <v>0</v>
      </c>
      <c r="EN35">
        <v>0</v>
      </c>
      <c r="EO35">
        <v>900</v>
      </c>
      <c r="EP35">
        <v>12962.58984375</v>
      </c>
      <c r="EQ35">
        <v>1</v>
      </c>
      <c r="ER35">
        <v>1</v>
      </c>
      <c r="ES35" t="s">
        <v>3210</v>
      </c>
      <c r="ET35">
        <v>0</v>
      </c>
      <c r="EU35">
        <v>0</v>
      </c>
      <c r="EV35">
        <v>0</v>
      </c>
      <c r="EW35">
        <v>0</v>
      </c>
      <c r="EX35">
        <v>0</v>
      </c>
      <c r="EY35">
        <v>0</v>
      </c>
      <c r="EZ35">
        <v>0</v>
      </c>
      <c r="FA35">
        <v>0</v>
      </c>
      <c r="FB35">
        <v>0</v>
      </c>
      <c r="FC35">
        <v>0</v>
      </c>
      <c r="FD35">
        <v>0</v>
      </c>
      <c r="FE35">
        <v>0</v>
      </c>
      <c r="FF35">
        <v>0</v>
      </c>
      <c r="FG35">
        <v>0</v>
      </c>
      <c r="FH35">
        <v>0</v>
      </c>
      <c r="FI35">
        <v>0</v>
      </c>
      <c r="FJ35">
        <v>0</v>
      </c>
      <c r="FK35">
        <v>0</v>
      </c>
      <c r="FL35">
        <v>0</v>
      </c>
      <c r="FM35">
        <v>12962.59</v>
      </c>
      <c r="FN35">
        <v>0</v>
      </c>
      <c r="FO35">
        <v>0</v>
      </c>
      <c r="FP35">
        <v>0</v>
      </c>
      <c r="FQ35">
        <v>0</v>
      </c>
      <c r="FR35">
        <v>0</v>
      </c>
      <c r="FS35">
        <v>0</v>
      </c>
      <c r="FT35">
        <v>0</v>
      </c>
      <c r="FU35">
        <v>0</v>
      </c>
      <c r="FV35">
        <v>0</v>
      </c>
      <c r="FW35">
        <v>0</v>
      </c>
      <c r="FX35">
        <v>0</v>
      </c>
      <c r="FY35">
        <v>0</v>
      </c>
      <c r="FZ35">
        <v>0</v>
      </c>
      <c r="GA35">
        <v>0</v>
      </c>
      <c r="GB35">
        <v>0</v>
      </c>
      <c r="GC35">
        <v>0</v>
      </c>
      <c r="GD35">
        <v>0</v>
      </c>
      <c r="GE35">
        <v>0</v>
      </c>
      <c r="GF35">
        <v>0</v>
      </c>
      <c r="GG35">
        <v>0</v>
      </c>
      <c r="GH35" t="s">
        <v>2403</v>
      </c>
      <c r="GI35">
        <v>0</v>
      </c>
      <c r="GJ35">
        <v>0</v>
      </c>
      <c r="GK35">
        <v>0</v>
      </c>
      <c r="GL35" t="s">
        <v>2403</v>
      </c>
      <c r="GM35">
        <v>0</v>
      </c>
      <c r="GN35" t="s">
        <v>2403</v>
      </c>
      <c r="GO35">
        <v>0</v>
      </c>
      <c r="GP35" t="s">
        <v>3430</v>
      </c>
      <c r="GQ35">
        <v>0</v>
      </c>
      <c r="GR35">
        <v>0</v>
      </c>
      <c r="GS35">
        <v>0</v>
      </c>
      <c r="GT35" t="s">
        <v>3426</v>
      </c>
      <c r="GU35">
        <v>12962.59</v>
      </c>
      <c r="GV35">
        <v>0</v>
      </c>
      <c r="GW35">
        <v>0</v>
      </c>
      <c r="GX35">
        <v>0</v>
      </c>
      <c r="GY35">
        <v>0</v>
      </c>
      <c r="GZ35">
        <v>0</v>
      </c>
      <c r="HA35">
        <v>0</v>
      </c>
      <c r="HB35">
        <v>0</v>
      </c>
      <c r="HC35">
        <v>12962.58984375</v>
      </c>
      <c r="HD35">
        <v>336048</v>
      </c>
      <c r="HE35">
        <v>54500</v>
      </c>
      <c r="HF35" t="s">
        <v>31</v>
      </c>
      <c r="HG35" t="s">
        <v>131</v>
      </c>
      <c r="HH35" t="s">
        <v>2403</v>
      </c>
      <c r="HI35">
        <v>336048</v>
      </c>
      <c r="HJ35" t="s">
        <v>2403</v>
      </c>
      <c r="HK35">
        <v>0</v>
      </c>
      <c r="HL35">
        <v>0</v>
      </c>
      <c r="HM35">
        <v>0</v>
      </c>
      <c r="HN35">
        <v>0</v>
      </c>
      <c r="HO35" t="s">
        <v>3431</v>
      </c>
      <c r="HP35" t="s">
        <v>2403</v>
      </c>
      <c r="HQ35">
        <v>0</v>
      </c>
      <c r="HR35" t="s">
        <v>1633</v>
      </c>
      <c r="HS35" t="s">
        <v>3210</v>
      </c>
      <c r="HT35">
        <v>0</v>
      </c>
      <c r="HU35">
        <v>0</v>
      </c>
      <c r="HV35">
        <v>0</v>
      </c>
      <c r="HW35">
        <v>2018</v>
      </c>
      <c r="HX35">
        <v>0</v>
      </c>
      <c r="HY35">
        <v>0</v>
      </c>
      <c r="HZ35">
        <v>0</v>
      </c>
      <c r="IA35">
        <v>76028</v>
      </c>
      <c r="IB35" t="s">
        <v>2403</v>
      </c>
      <c r="IC35">
        <v>0</v>
      </c>
      <c r="ID35">
        <v>0</v>
      </c>
      <c r="IE35">
        <v>0</v>
      </c>
      <c r="IF35">
        <v>0</v>
      </c>
      <c r="IG35">
        <v>0</v>
      </c>
      <c r="IH35">
        <v>0</v>
      </c>
      <c r="II35">
        <v>0</v>
      </c>
      <c r="IJ35">
        <v>0</v>
      </c>
      <c r="IK35">
        <v>0</v>
      </c>
      <c r="IL35">
        <v>0</v>
      </c>
      <c r="IM35">
        <v>0</v>
      </c>
      <c r="IN35">
        <v>0</v>
      </c>
      <c r="IO35">
        <v>0</v>
      </c>
      <c r="IP35">
        <v>0</v>
      </c>
      <c r="IQ35">
        <v>0</v>
      </c>
      <c r="IR35">
        <v>0</v>
      </c>
      <c r="IS35">
        <v>0</v>
      </c>
      <c r="IT35">
        <v>0</v>
      </c>
      <c r="IU35">
        <v>0</v>
      </c>
      <c r="IV35">
        <v>0</v>
      </c>
      <c r="IW35">
        <v>0</v>
      </c>
      <c r="IX35">
        <v>0</v>
      </c>
      <c r="IY35">
        <v>0</v>
      </c>
      <c r="IZ35">
        <v>0</v>
      </c>
      <c r="JA35">
        <v>0</v>
      </c>
      <c r="JB35">
        <v>0</v>
      </c>
      <c r="JC35">
        <v>0</v>
      </c>
      <c r="JD35">
        <v>0</v>
      </c>
      <c r="JE35">
        <v>0</v>
      </c>
      <c r="JF35">
        <v>0</v>
      </c>
      <c r="JG35">
        <v>0</v>
      </c>
      <c r="JH35">
        <v>0</v>
      </c>
      <c r="JI35">
        <v>0</v>
      </c>
      <c r="JJ35">
        <v>0</v>
      </c>
      <c r="JK35">
        <v>0</v>
      </c>
      <c r="JL35">
        <v>0</v>
      </c>
      <c r="JM35">
        <v>0</v>
      </c>
      <c r="JN35">
        <v>0</v>
      </c>
      <c r="JO35">
        <v>0</v>
      </c>
      <c r="JP35">
        <v>0</v>
      </c>
      <c r="JQ35">
        <v>0</v>
      </c>
      <c r="JR35">
        <v>0</v>
      </c>
      <c r="JS35">
        <v>0</v>
      </c>
      <c r="JT35">
        <v>0</v>
      </c>
      <c r="JU35">
        <v>0</v>
      </c>
      <c r="JV35">
        <v>0</v>
      </c>
      <c r="JW35">
        <v>0</v>
      </c>
      <c r="JX35">
        <v>0</v>
      </c>
      <c r="JY35">
        <v>0</v>
      </c>
      <c r="JZ35">
        <v>0</v>
      </c>
      <c r="KA35">
        <v>0</v>
      </c>
      <c r="KB35">
        <v>0</v>
      </c>
      <c r="KC35">
        <v>0</v>
      </c>
      <c r="KD35">
        <v>0</v>
      </c>
      <c r="KE35">
        <v>0</v>
      </c>
      <c r="KF35">
        <v>0</v>
      </c>
      <c r="KG35">
        <v>0</v>
      </c>
      <c r="KH35">
        <v>0</v>
      </c>
      <c r="KI35">
        <v>0</v>
      </c>
      <c r="KJ35">
        <v>0</v>
      </c>
      <c r="KK35">
        <v>0</v>
      </c>
      <c r="KL35">
        <v>0</v>
      </c>
      <c r="KM35">
        <v>0</v>
      </c>
      <c r="KN35">
        <v>0</v>
      </c>
      <c r="KO35">
        <v>0</v>
      </c>
      <c r="KP35">
        <v>0</v>
      </c>
      <c r="KQ35">
        <v>0</v>
      </c>
      <c r="KR35">
        <v>0</v>
      </c>
      <c r="KS35">
        <v>0</v>
      </c>
      <c r="KT35">
        <v>0</v>
      </c>
      <c r="KU35">
        <v>0</v>
      </c>
      <c r="KV35">
        <v>0</v>
      </c>
      <c r="KW35">
        <v>0</v>
      </c>
      <c r="KX35">
        <v>0</v>
      </c>
      <c r="KY35">
        <v>0</v>
      </c>
      <c r="KZ35">
        <v>0</v>
      </c>
      <c r="LA35">
        <v>0</v>
      </c>
      <c r="LB35">
        <v>0</v>
      </c>
      <c r="LC35">
        <v>0</v>
      </c>
      <c r="LD35">
        <v>0</v>
      </c>
      <c r="LE35">
        <v>0</v>
      </c>
      <c r="LF35">
        <v>0</v>
      </c>
      <c r="LG35">
        <v>0</v>
      </c>
      <c r="LH35">
        <v>0</v>
      </c>
      <c r="LI35">
        <v>0</v>
      </c>
      <c r="LJ35">
        <v>0</v>
      </c>
      <c r="LK35">
        <v>0</v>
      </c>
      <c r="LL35">
        <v>0</v>
      </c>
      <c r="LM35">
        <v>0</v>
      </c>
      <c r="LN35">
        <v>0</v>
      </c>
      <c r="LO35">
        <v>0</v>
      </c>
      <c r="LP35">
        <v>0</v>
      </c>
      <c r="LQ35">
        <v>0</v>
      </c>
      <c r="LR35">
        <v>0</v>
      </c>
      <c r="LS35">
        <v>0</v>
      </c>
      <c r="LT35">
        <v>0</v>
      </c>
      <c r="LU35">
        <v>0</v>
      </c>
      <c r="LV35">
        <v>0</v>
      </c>
      <c r="LW35">
        <v>0</v>
      </c>
      <c r="LX35">
        <v>0</v>
      </c>
      <c r="LY35">
        <v>0</v>
      </c>
      <c r="LZ35">
        <v>0</v>
      </c>
      <c r="MA35">
        <v>0</v>
      </c>
      <c r="MB35">
        <v>0</v>
      </c>
      <c r="MC35">
        <v>0</v>
      </c>
      <c r="MD35">
        <v>0</v>
      </c>
      <c r="ME35">
        <v>0</v>
      </c>
      <c r="MF35">
        <v>0</v>
      </c>
      <c r="MG35">
        <v>0</v>
      </c>
      <c r="MH35">
        <v>0</v>
      </c>
      <c r="MI35">
        <v>0</v>
      </c>
      <c r="MJ35">
        <v>0</v>
      </c>
      <c r="MK35">
        <v>0</v>
      </c>
      <c r="ML35">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I35">
        <v>0</v>
      </c>
      <c r="QJ35">
        <v>0</v>
      </c>
      <c r="QK35">
        <v>0</v>
      </c>
      <c r="QL35">
        <v>0</v>
      </c>
      <c r="QM35">
        <v>0</v>
      </c>
      <c r="QN35">
        <v>0</v>
      </c>
      <c r="QO35">
        <v>0</v>
      </c>
      <c r="QP35">
        <v>0</v>
      </c>
      <c r="QQ35">
        <v>0</v>
      </c>
      <c r="QR35">
        <v>0</v>
      </c>
      <c r="QS35">
        <v>0</v>
      </c>
      <c r="QT35">
        <v>0</v>
      </c>
      <c r="QU35">
        <v>0</v>
      </c>
      <c r="QV35">
        <v>0</v>
      </c>
      <c r="QW35">
        <v>0</v>
      </c>
      <c r="QX35">
        <v>0</v>
      </c>
      <c r="QY35">
        <v>0</v>
      </c>
      <c r="QZ35">
        <v>0</v>
      </c>
      <c r="RA35">
        <v>0</v>
      </c>
      <c r="RB35">
        <v>0</v>
      </c>
      <c r="RC35">
        <v>0</v>
      </c>
      <c r="RD35">
        <v>0</v>
      </c>
      <c r="RE35">
        <v>0</v>
      </c>
      <c r="RF35">
        <v>0</v>
      </c>
      <c r="RG35">
        <v>0</v>
      </c>
      <c r="RH35">
        <v>0</v>
      </c>
      <c r="RI35">
        <v>0</v>
      </c>
      <c r="RJ35">
        <v>0</v>
      </c>
      <c r="RK35">
        <v>0</v>
      </c>
      <c r="RL35">
        <v>0</v>
      </c>
      <c r="RM35">
        <v>0</v>
      </c>
      <c r="RN35">
        <v>0</v>
      </c>
      <c r="RO35">
        <v>0</v>
      </c>
      <c r="RP35">
        <v>0</v>
      </c>
      <c r="RQ35">
        <v>0</v>
      </c>
      <c r="RR35">
        <v>0</v>
      </c>
      <c r="RS35">
        <v>0</v>
      </c>
      <c r="RT35">
        <v>0</v>
      </c>
      <c r="RU35">
        <v>0</v>
      </c>
      <c r="RV35">
        <v>0</v>
      </c>
      <c r="RW35">
        <v>0</v>
      </c>
      <c r="RX35">
        <v>0</v>
      </c>
      <c r="RY35">
        <v>0</v>
      </c>
      <c r="RZ35">
        <v>0</v>
      </c>
      <c r="SA35">
        <v>0</v>
      </c>
      <c r="SB35">
        <v>0</v>
      </c>
      <c r="SC35">
        <v>0</v>
      </c>
      <c r="SD35">
        <v>0</v>
      </c>
      <c r="SE35">
        <v>0</v>
      </c>
      <c r="SF35">
        <v>0</v>
      </c>
      <c r="SG35">
        <v>0</v>
      </c>
      <c r="SH35">
        <v>0</v>
      </c>
      <c r="SI35">
        <v>0</v>
      </c>
      <c r="SJ35">
        <v>0</v>
      </c>
      <c r="SK35">
        <v>0</v>
      </c>
      <c r="SL35">
        <v>0</v>
      </c>
      <c r="SM35">
        <v>0</v>
      </c>
      <c r="SN35">
        <v>0</v>
      </c>
      <c r="SO35">
        <v>0</v>
      </c>
      <c r="SP35">
        <v>0</v>
      </c>
      <c r="SQ35">
        <v>0</v>
      </c>
      <c r="SR35">
        <v>0</v>
      </c>
      <c r="SS35">
        <v>0</v>
      </c>
      <c r="ST35">
        <v>0</v>
      </c>
      <c r="SU35">
        <v>0</v>
      </c>
      <c r="SV35">
        <v>0</v>
      </c>
      <c r="SW35">
        <v>0</v>
      </c>
      <c r="SX35">
        <v>0</v>
      </c>
      <c r="SY35">
        <v>0</v>
      </c>
      <c r="SZ35">
        <v>0</v>
      </c>
      <c r="TA35">
        <v>0</v>
      </c>
      <c r="TB35">
        <v>0</v>
      </c>
      <c r="TC35">
        <v>0</v>
      </c>
      <c r="TD35">
        <v>0</v>
      </c>
      <c r="TE35">
        <v>0</v>
      </c>
      <c r="TF35">
        <v>0</v>
      </c>
      <c r="TG35">
        <v>0</v>
      </c>
      <c r="TH35">
        <v>0</v>
      </c>
      <c r="TI35">
        <v>0</v>
      </c>
      <c r="TJ35">
        <v>0</v>
      </c>
      <c r="TK35">
        <v>0</v>
      </c>
      <c r="TL35">
        <v>0</v>
      </c>
      <c r="TM35">
        <v>0</v>
      </c>
      <c r="TN35">
        <v>0</v>
      </c>
      <c r="TO35">
        <v>0</v>
      </c>
      <c r="TP35">
        <v>0</v>
      </c>
      <c r="TQ35">
        <v>0</v>
      </c>
      <c r="TR35">
        <v>0</v>
      </c>
      <c r="TS35">
        <v>0</v>
      </c>
      <c r="TT35">
        <v>0</v>
      </c>
      <c r="TU35">
        <v>0</v>
      </c>
      <c r="TV35">
        <v>0</v>
      </c>
      <c r="TW35">
        <v>0</v>
      </c>
      <c r="TX35">
        <v>0</v>
      </c>
      <c r="TY35">
        <v>0</v>
      </c>
      <c r="TZ35">
        <v>0</v>
      </c>
      <c r="UA35">
        <v>0</v>
      </c>
      <c r="UB35">
        <v>0</v>
      </c>
      <c r="UC35">
        <v>0</v>
      </c>
      <c r="UD35">
        <v>0</v>
      </c>
      <c r="UE35">
        <v>0</v>
      </c>
      <c r="UF35">
        <v>0</v>
      </c>
      <c r="UG35">
        <v>0</v>
      </c>
      <c r="UH35">
        <v>0</v>
      </c>
      <c r="UI35">
        <v>0</v>
      </c>
      <c r="UJ35">
        <v>0</v>
      </c>
      <c r="UK35">
        <v>0</v>
      </c>
      <c r="UL35">
        <v>0</v>
      </c>
      <c r="UM35">
        <v>0</v>
      </c>
      <c r="UN35">
        <v>0</v>
      </c>
      <c r="UO35">
        <v>0</v>
      </c>
      <c r="UP35">
        <v>0</v>
      </c>
      <c r="UQ35">
        <v>0</v>
      </c>
      <c r="UR35">
        <v>0</v>
      </c>
      <c r="US35">
        <v>0</v>
      </c>
      <c r="UT35">
        <v>0</v>
      </c>
      <c r="UU35">
        <v>0</v>
      </c>
      <c r="UV35">
        <v>0</v>
      </c>
      <c r="UW35">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S35">
        <v>0</v>
      </c>
      <c r="YT35">
        <v>0</v>
      </c>
      <c r="YU35">
        <v>0</v>
      </c>
      <c r="YV35">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c r="ACR35">
        <v>0</v>
      </c>
      <c r="ACS35">
        <v>0</v>
      </c>
      <c r="ACT35">
        <v>0</v>
      </c>
      <c r="ACU35">
        <v>0</v>
      </c>
      <c r="ACV35">
        <v>0</v>
      </c>
      <c r="ACW35">
        <v>0</v>
      </c>
      <c r="ACX35">
        <v>0</v>
      </c>
      <c r="ACY35">
        <v>0</v>
      </c>
      <c r="ACZ35">
        <v>0</v>
      </c>
      <c r="ADA35">
        <v>0</v>
      </c>
      <c r="ADB35">
        <v>0</v>
      </c>
      <c r="ADC35">
        <v>0</v>
      </c>
      <c r="ADD35">
        <v>0</v>
      </c>
      <c r="ADE35">
        <v>0</v>
      </c>
      <c r="ADF35">
        <v>0</v>
      </c>
      <c r="ADG35">
        <v>0</v>
      </c>
      <c r="ADH35">
        <v>0</v>
      </c>
      <c r="ADI35">
        <v>0</v>
      </c>
      <c r="ADJ35">
        <v>0</v>
      </c>
      <c r="ADK35">
        <v>0</v>
      </c>
      <c r="ADL35">
        <v>0</v>
      </c>
      <c r="ADM35">
        <v>0</v>
      </c>
      <c r="ADN35">
        <v>0</v>
      </c>
      <c r="ADO35">
        <v>0</v>
      </c>
      <c r="ADP35">
        <v>0</v>
      </c>
      <c r="ADQ35">
        <v>0</v>
      </c>
      <c r="ADR35">
        <v>0</v>
      </c>
      <c r="ADS35">
        <v>0</v>
      </c>
      <c r="ADT35">
        <v>0</v>
      </c>
      <c r="ADU35">
        <v>0</v>
      </c>
      <c r="ADV35">
        <v>0</v>
      </c>
      <c r="ADW35">
        <v>0</v>
      </c>
      <c r="ADX35">
        <v>0</v>
      </c>
      <c r="ADY35">
        <v>0</v>
      </c>
      <c r="ADZ35">
        <v>0</v>
      </c>
      <c r="AEA35">
        <v>0</v>
      </c>
      <c r="AEB35">
        <v>0</v>
      </c>
      <c r="AEC35">
        <v>0</v>
      </c>
      <c r="AED35">
        <v>0</v>
      </c>
      <c r="AEE35">
        <v>0</v>
      </c>
      <c r="AEF35">
        <v>0</v>
      </c>
      <c r="AEG35">
        <v>0</v>
      </c>
      <c r="AEH35">
        <v>0</v>
      </c>
      <c r="AEI35">
        <v>0</v>
      </c>
      <c r="AEJ35">
        <v>0</v>
      </c>
      <c r="AEK35">
        <v>0</v>
      </c>
      <c r="AEL35">
        <v>0</v>
      </c>
      <c r="AEM35">
        <v>0</v>
      </c>
      <c r="AEN35">
        <v>0</v>
      </c>
      <c r="AEO35">
        <v>0</v>
      </c>
      <c r="AEP35">
        <v>0</v>
      </c>
      <c r="AEQ35">
        <v>0</v>
      </c>
      <c r="AER35">
        <v>0</v>
      </c>
      <c r="AES35">
        <v>0</v>
      </c>
      <c r="AET35">
        <v>0</v>
      </c>
      <c r="AEU35">
        <v>0</v>
      </c>
      <c r="AEV35">
        <v>0</v>
      </c>
      <c r="AEW35">
        <v>0</v>
      </c>
      <c r="AEX35">
        <v>0</v>
      </c>
      <c r="AEY35">
        <v>0</v>
      </c>
      <c r="AEZ35">
        <v>0</v>
      </c>
      <c r="AFA35">
        <v>0</v>
      </c>
      <c r="AFB35">
        <v>0</v>
      </c>
      <c r="AFC35">
        <v>0</v>
      </c>
      <c r="AFD35">
        <v>0</v>
      </c>
      <c r="AFE35">
        <v>0</v>
      </c>
      <c r="AFF35">
        <v>0</v>
      </c>
      <c r="AFG35">
        <v>0</v>
      </c>
      <c r="AFH35">
        <v>0</v>
      </c>
      <c r="AFI35">
        <v>0</v>
      </c>
      <c r="AFJ35">
        <v>0</v>
      </c>
      <c r="AFK35">
        <v>0</v>
      </c>
      <c r="AFL35">
        <v>0</v>
      </c>
      <c r="AFM35">
        <v>0</v>
      </c>
      <c r="AFN35">
        <v>0</v>
      </c>
      <c r="AFO35">
        <v>0</v>
      </c>
      <c r="AFP35">
        <v>0</v>
      </c>
      <c r="AFQ35">
        <v>0</v>
      </c>
      <c r="AFR35">
        <v>0</v>
      </c>
      <c r="AFS35">
        <v>0</v>
      </c>
      <c r="AFT35">
        <v>0</v>
      </c>
      <c r="AFU35">
        <v>0</v>
      </c>
      <c r="AFV35">
        <v>0</v>
      </c>
      <c r="AFW35">
        <v>0</v>
      </c>
      <c r="AFX35">
        <v>0</v>
      </c>
      <c r="AFY35">
        <v>0</v>
      </c>
      <c r="AFZ35">
        <v>0</v>
      </c>
      <c r="AGA35">
        <v>0</v>
      </c>
      <c r="AGB35">
        <v>0</v>
      </c>
      <c r="AGC35">
        <v>0</v>
      </c>
      <c r="AGD35">
        <v>0</v>
      </c>
      <c r="AGE35">
        <v>0</v>
      </c>
      <c r="AGF35">
        <v>0</v>
      </c>
      <c r="AGG35">
        <v>0</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A35">
        <v>0</v>
      </c>
      <c r="AIB35">
        <v>0</v>
      </c>
      <c r="AIC35">
        <v>0</v>
      </c>
      <c r="AID35">
        <v>0</v>
      </c>
      <c r="AIE35">
        <v>0</v>
      </c>
      <c r="AIF35">
        <v>0</v>
      </c>
      <c r="AIG35">
        <v>0</v>
      </c>
      <c r="AIH35">
        <v>0</v>
      </c>
      <c r="AII35">
        <v>0</v>
      </c>
      <c r="AIJ35">
        <v>0</v>
      </c>
      <c r="AIK35">
        <v>0</v>
      </c>
      <c r="AIL35">
        <v>0</v>
      </c>
      <c r="AIM35">
        <v>0</v>
      </c>
      <c r="AIN35">
        <v>0</v>
      </c>
      <c r="AIO35">
        <v>0</v>
      </c>
      <c r="AIP35">
        <v>0</v>
      </c>
      <c r="AIQ35">
        <v>0</v>
      </c>
      <c r="AIR35">
        <v>0</v>
      </c>
      <c r="AIS35">
        <v>0</v>
      </c>
      <c r="AIT35">
        <v>0</v>
      </c>
      <c r="AIU35">
        <v>0</v>
      </c>
      <c r="AIV35">
        <v>0</v>
      </c>
      <c r="AIW35">
        <v>0</v>
      </c>
      <c r="AIX35">
        <v>0</v>
      </c>
      <c r="AIY35">
        <v>0</v>
      </c>
      <c r="AIZ35">
        <v>0</v>
      </c>
      <c r="AJA35">
        <v>0</v>
      </c>
      <c r="AJB35">
        <v>0</v>
      </c>
      <c r="AJC35">
        <v>0</v>
      </c>
      <c r="AJD35">
        <v>0</v>
      </c>
      <c r="AJE35">
        <v>0</v>
      </c>
      <c r="AJF35">
        <v>0</v>
      </c>
      <c r="AJG35">
        <v>0</v>
      </c>
      <c r="AJH35">
        <v>0</v>
      </c>
      <c r="AJI35">
        <v>0</v>
      </c>
      <c r="AJJ35">
        <v>0</v>
      </c>
      <c r="AJK35">
        <v>0</v>
      </c>
      <c r="AJL35">
        <v>0</v>
      </c>
      <c r="AJM35">
        <v>0</v>
      </c>
      <c r="AJN35">
        <v>0</v>
      </c>
      <c r="AJO35">
        <v>0</v>
      </c>
      <c r="AJP35">
        <v>0</v>
      </c>
      <c r="AJQ35">
        <v>0</v>
      </c>
      <c r="AJR35">
        <v>0</v>
      </c>
      <c r="AJS35">
        <v>0</v>
      </c>
      <c r="AJT35">
        <v>0</v>
      </c>
      <c r="AJU35">
        <v>0</v>
      </c>
      <c r="AJV35">
        <v>0</v>
      </c>
      <c r="AJW35">
        <v>0</v>
      </c>
      <c r="AJX35">
        <v>0</v>
      </c>
      <c r="AJY35">
        <v>0</v>
      </c>
      <c r="AJZ35">
        <v>0</v>
      </c>
      <c r="AKA35">
        <v>0</v>
      </c>
      <c r="AKB35">
        <v>0</v>
      </c>
      <c r="AKC35">
        <v>0</v>
      </c>
      <c r="AKD35">
        <v>0</v>
      </c>
      <c r="AKE35">
        <v>0</v>
      </c>
      <c r="AKF35">
        <v>0</v>
      </c>
      <c r="AKG35">
        <v>0</v>
      </c>
      <c r="AKH35">
        <v>0</v>
      </c>
      <c r="AKI35">
        <v>0</v>
      </c>
      <c r="AKJ35">
        <v>0</v>
      </c>
      <c r="AKK35">
        <v>0</v>
      </c>
      <c r="AKL35">
        <v>0</v>
      </c>
      <c r="AKM35">
        <v>0</v>
      </c>
      <c r="AKN35">
        <v>0</v>
      </c>
      <c r="AKO35">
        <v>0</v>
      </c>
      <c r="AKP35">
        <v>0</v>
      </c>
      <c r="AKQ35">
        <v>0</v>
      </c>
      <c r="AKR35">
        <v>0</v>
      </c>
      <c r="AKS35">
        <v>0</v>
      </c>
      <c r="AKT35">
        <v>0</v>
      </c>
      <c r="AKU35">
        <v>0</v>
      </c>
      <c r="AKV35">
        <v>0</v>
      </c>
      <c r="AKW35">
        <v>0</v>
      </c>
      <c r="AKX35">
        <v>0</v>
      </c>
      <c r="AKY35">
        <v>0</v>
      </c>
      <c r="AKZ35">
        <v>0</v>
      </c>
      <c r="ALA35">
        <v>0</v>
      </c>
      <c r="ALB35">
        <v>0</v>
      </c>
      <c r="ALC35">
        <v>0</v>
      </c>
      <c r="ALD35">
        <v>0</v>
      </c>
      <c r="ALE35">
        <v>0</v>
      </c>
      <c r="ALF35">
        <v>0</v>
      </c>
      <c r="ALG35">
        <v>0</v>
      </c>
      <c r="ALH35">
        <v>0</v>
      </c>
      <c r="ALI35">
        <v>0</v>
      </c>
      <c r="ALJ35">
        <v>0</v>
      </c>
      <c r="ALK35">
        <v>0</v>
      </c>
      <c r="ALL35">
        <v>0</v>
      </c>
      <c r="ALM35">
        <v>0</v>
      </c>
      <c r="ALN35">
        <v>0</v>
      </c>
      <c r="ALO35">
        <v>0</v>
      </c>
      <c r="ALP35">
        <v>0</v>
      </c>
      <c r="ALQ35">
        <v>0</v>
      </c>
      <c r="ALR35">
        <v>0</v>
      </c>
      <c r="ALS35">
        <v>0</v>
      </c>
      <c r="ALT35">
        <v>0</v>
      </c>
      <c r="ALU35">
        <v>0</v>
      </c>
      <c r="ALV35">
        <v>0</v>
      </c>
      <c r="ALW35">
        <v>0</v>
      </c>
      <c r="ALX35">
        <v>0</v>
      </c>
      <c r="ALY35">
        <v>0</v>
      </c>
      <c r="ALZ35">
        <v>0</v>
      </c>
      <c r="AMA35">
        <v>0</v>
      </c>
      <c r="AMB35">
        <v>0</v>
      </c>
      <c r="AMC35">
        <v>0</v>
      </c>
      <c r="AMD35">
        <v>0</v>
      </c>
      <c r="AME35">
        <v>0</v>
      </c>
      <c r="AMF35">
        <v>0</v>
      </c>
      <c r="AMG35">
        <v>0</v>
      </c>
      <c r="AMH35">
        <v>0</v>
      </c>
      <c r="AMI35">
        <v>0</v>
      </c>
      <c r="AMJ35">
        <v>0</v>
      </c>
      <c r="AMK35">
        <v>0</v>
      </c>
      <c r="AML35">
        <v>0</v>
      </c>
      <c r="AMM35">
        <v>0</v>
      </c>
      <c r="AMN35">
        <v>0</v>
      </c>
      <c r="AMO35">
        <v>0</v>
      </c>
      <c r="AMP35">
        <v>0</v>
      </c>
      <c r="AMQ35">
        <v>0</v>
      </c>
      <c r="AMR35">
        <v>0</v>
      </c>
      <c r="AMS35">
        <v>0</v>
      </c>
      <c r="AMT35">
        <v>0</v>
      </c>
      <c r="AMU35">
        <v>0</v>
      </c>
      <c r="AMV35">
        <v>0</v>
      </c>
      <c r="AMW35">
        <v>0</v>
      </c>
      <c r="AMX35">
        <v>0</v>
      </c>
      <c r="AMY35">
        <v>0</v>
      </c>
      <c r="AMZ35">
        <v>0</v>
      </c>
      <c r="ANA35">
        <v>0</v>
      </c>
      <c r="ANB35">
        <v>0</v>
      </c>
      <c r="ANC35">
        <v>0</v>
      </c>
      <c r="AND35">
        <v>0</v>
      </c>
      <c r="ANE35">
        <v>0</v>
      </c>
      <c r="ANF35">
        <v>0</v>
      </c>
      <c r="ANG35">
        <v>0</v>
      </c>
      <c r="ANH35">
        <v>0</v>
      </c>
      <c r="ANI35">
        <v>0</v>
      </c>
      <c r="ANJ35">
        <v>0</v>
      </c>
      <c r="ANK35">
        <v>0</v>
      </c>
      <c r="ANL35">
        <v>0</v>
      </c>
      <c r="ANM35">
        <v>0</v>
      </c>
      <c r="ANN35">
        <v>0</v>
      </c>
      <c r="ANO35">
        <v>0</v>
      </c>
      <c r="ANP35">
        <v>0</v>
      </c>
      <c r="ANQ35">
        <v>0</v>
      </c>
      <c r="ANR35">
        <v>0</v>
      </c>
      <c r="ANS35">
        <v>0</v>
      </c>
      <c r="ANT35">
        <v>0</v>
      </c>
      <c r="ANU35">
        <v>0</v>
      </c>
      <c r="ANV35">
        <v>0</v>
      </c>
      <c r="ANW35">
        <v>0</v>
      </c>
      <c r="ANX35">
        <v>0</v>
      </c>
      <c r="ANY35">
        <v>0</v>
      </c>
      <c r="ANZ35">
        <v>0</v>
      </c>
      <c r="AOA35">
        <v>0</v>
      </c>
      <c r="AOB35">
        <v>0</v>
      </c>
      <c r="AOC35">
        <v>0</v>
      </c>
      <c r="AOD35">
        <v>0</v>
      </c>
      <c r="AOE35">
        <v>0</v>
      </c>
      <c r="AOF35">
        <v>0</v>
      </c>
      <c r="AOG35">
        <v>0</v>
      </c>
      <c r="AOH35">
        <v>0</v>
      </c>
      <c r="AOI35">
        <v>0</v>
      </c>
      <c r="AOJ35">
        <v>0</v>
      </c>
      <c r="AOK35">
        <v>0</v>
      </c>
      <c r="AOL35">
        <v>0</v>
      </c>
      <c r="AOM35">
        <v>0</v>
      </c>
      <c r="AON35">
        <v>0</v>
      </c>
      <c r="AOO35">
        <v>0</v>
      </c>
      <c r="AOP35">
        <v>0</v>
      </c>
      <c r="AOQ35">
        <v>0</v>
      </c>
      <c r="AOR35">
        <v>0</v>
      </c>
      <c r="AOS35">
        <v>0</v>
      </c>
      <c r="AOT35">
        <v>0</v>
      </c>
      <c r="AOU35">
        <v>0</v>
      </c>
      <c r="AOV35">
        <v>0</v>
      </c>
      <c r="AOW35">
        <v>0</v>
      </c>
      <c r="AOX35">
        <v>0</v>
      </c>
      <c r="AOY35">
        <v>0</v>
      </c>
      <c r="AOZ35">
        <v>0</v>
      </c>
      <c r="APA35">
        <v>0</v>
      </c>
      <c r="APB35">
        <v>0</v>
      </c>
      <c r="APC35">
        <v>0</v>
      </c>
      <c r="APD35">
        <v>0</v>
      </c>
      <c r="APE35">
        <v>0</v>
      </c>
      <c r="APF35">
        <v>0</v>
      </c>
      <c r="APG35">
        <v>0</v>
      </c>
      <c r="APH35">
        <v>0</v>
      </c>
      <c r="API35">
        <v>0</v>
      </c>
      <c r="APJ35">
        <v>0</v>
      </c>
      <c r="APK35">
        <v>0</v>
      </c>
      <c r="APL35">
        <v>0</v>
      </c>
      <c r="APM35">
        <v>0</v>
      </c>
      <c r="APN35">
        <v>0</v>
      </c>
      <c r="APO35">
        <v>0</v>
      </c>
      <c r="APP35">
        <v>0</v>
      </c>
      <c r="APQ35">
        <v>0</v>
      </c>
      <c r="APR35">
        <v>0</v>
      </c>
      <c r="APS35">
        <v>0</v>
      </c>
      <c r="APT35">
        <v>0</v>
      </c>
      <c r="APU35">
        <v>0</v>
      </c>
      <c r="APV35">
        <v>0</v>
      </c>
      <c r="APW35">
        <v>0</v>
      </c>
      <c r="APX35">
        <v>0</v>
      </c>
      <c r="APY35">
        <v>0</v>
      </c>
      <c r="APZ35">
        <v>0</v>
      </c>
      <c r="AQA35">
        <v>0</v>
      </c>
      <c r="AQB35">
        <v>0</v>
      </c>
      <c r="AQC35">
        <v>0</v>
      </c>
      <c r="AQD35">
        <v>0</v>
      </c>
      <c r="AQE35">
        <v>0</v>
      </c>
      <c r="AQF35">
        <v>0</v>
      </c>
      <c r="AQG35">
        <v>0</v>
      </c>
      <c r="AQH35">
        <v>0</v>
      </c>
      <c r="AQI35">
        <v>0</v>
      </c>
      <c r="AQJ35">
        <v>0</v>
      </c>
      <c r="AQK35">
        <v>0</v>
      </c>
      <c r="AQL35">
        <v>0</v>
      </c>
      <c r="AQM35">
        <v>0</v>
      </c>
      <c r="AQN35">
        <v>0</v>
      </c>
      <c r="AQO35">
        <v>0</v>
      </c>
      <c r="AQP35">
        <v>0</v>
      </c>
      <c r="AQQ35">
        <v>0</v>
      </c>
      <c r="AQR35">
        <v>0</v>
      </c>
      <c r="AQS35">
        <v>0</v>
      </c>
      <c r="AQT35">
        <v>0</v>
      </c>
      <c r="AQU35">
        <v>0</v>
      </c>
      <c r="AQV35">
        <v>0</v>
      </c>
      <c r="AQW35">
        <v>0</v>
      </c>
      <c r="AQX35">
        <v>0</v>
      </c>
      <c r="AQY35">
        <v>0</v>
      </c>
      <c r="AQZ35">
        <v>0</v>
      </c>
      <c r="ARA35">
        <v>0</v>
      </c>
      <c r="ARB35">
        <v>0</v>
      </c>
      <c r="ARC35">
        <v>0</v>
      </c>
      <c r="ARD35">
        <v>0</v>
      </c>
      <c r="ARE35">
        <v>0</v>
      </c>
      <c r="ARF35">
        <v>0</v>
      </c>
      <c r="ARG35">
        <v>0</v>
      </c>
      <c r="ARH35">
        <v>0</v>
      </c>
      <c r="ARI35">
        <v>0</v>
      </c>
      <c r="ARJ35">
        <v>0</v>
      </c>
      <c r="ARK35">
        <v>0</v>
      </c>
      <c r="ARL35">
        <v>0</v>
      </c>
      <c r="ARM35">
        <v>0</v>
      </c>
      <c r="ARN35">
        <v>0</v>
      </c>
      <c r="ARO35">
        <v>0</v>
      </c>
      <c r="ARP35">
        <v>0</v>
      </c>
      <c r="ARQ35">
        <v>0</v>
      </c>
      <c r="ARR35">
        <v>0</v>
      </c>
      <c r="ARS35">
        <v>0</v>
      </c>
      <c r="ART35">
        <v>0</v>
      </c>
      <c r="ARU35">
        <v>0</v>
      </c>
      <c r="ARV35">
        <v>0</v>
      </c>
      <c r="ARW35">
        <v>0</v>
      </c>
      <c r="ARX35">
        <v>0</v>
      </c>
      <c r="ARY35">
        <v>0</v>
      </c>
      <c r="ARZ35">
        <v>0</v>
      </c>
      <c r="ASA35">
        <v>0</v>
      </c>
      <c r="ASB35">
        <v>0</v>
      </c>
      <c r="ASC35">
        <v>0</v>
      </c>
      <c r="ASD35">
        <v>0</v>
      </c>
      <c r="ASE35">
        <v>0</v>
      </c>
      <c r="ASF35">
        <v>0</v>
      </c>
      <c r="ASG35">
        <v>0</v>
      </c>
      <c r="ASH35">
        <v>0</v>
      </c>
      <c r="ASI35">
        <v>0</v>
      </c>
      <c r="ASJ35">
        <v>0</v>
      </c>
      <c r="ASK35">
        <v>0</v>
      </c>
      <c r="ASL35">
        <v>0</v>
      </c>
      <c r="ASM35">
        <v>0</v>
      </c>
      <c r="ASN35">
        <v>0</v>
      </c>
      <c r="ASO35">
        <v>0</v>
      </c>
      <c r="ASP35">
        <v>0</v>
      </c>
      <c r="ASQ35">
        <v>0</v>
      </c>
      <c r="ASR35">
        <v>0</v>
      </c>
      <c r="ASS35">
        <v>0</v>
      </c>
      <c r="AST35">
        <v>0</v>
      </c>
      <c r="ASU35">
        <v>0</v>
      </c>
      <c r="ASV35">
        <v>0</v>
      </c>
      <c r="ASW35">
        <v>0</v>
      </c>
      <c r="ASX35">
        <v>0</v>
      </c>
      <c r="ASY35">
        <v>0</v>
      </c>
      <c r="ASZ35">
        <v>0</v>
      </c>
      <c r="ATA35">
        <v>0</v>
      </c>
      <c r="ATB35">
        <v>0</v>
      </c>
      <c r="ATC35">
        <v>0</v>
      </c>
      <c r="ATD35">
        <v>0</v>
      </c>
      <c r="ATE35">
        <v>0</v>
      </c>
      <c r="ATF35">
        <v>0</v>
      </c>
      <c r="ATG35">
        <v>0</v>
      </c>
      <c r="ATH35">
        <v>0</v>
      </c>
      <c r="ATI35">
        <v>0</v>
      </c>
      <c r="ATJ35">
        <v>0</v>
      </c>
      <c r="ATK35">
        <v>0</v>
      </c>
      <c r="ATL35">
        <v>0</v>
      </c>
      <c r="ATM35">
        <v>0</v>
      </c>
      <c r="ATN35">
        <v>0</v>
      </c>
      <c r="ATO35">
        <v>0</v>
      </c>
      <c r="ATP35">
        <v>0</v>
      </c>
      <c r="ATQ35">
        <v>0</v>
      </c>
      <c r="ATR35">
        <v>0</v>
      </c>
      <c r="ATS35">
        <v>0</v>
      </c>
      <c r="ATT35">
        <v>0</v>
      </c>
      <c r="ATU35">
        <v>0</v>
      </c>
      <c r="ATV35">
        <v>0</v>
      </c>
      <c r="ATW35">
        <v>0</v>
      </c>
      <c r="ATX35">
        <v>0</v>
      </c>
      <c r="ATY35">
        <v>0</v>
      </c>
      <c r="ATZ35">
        <v>0</v>
      </c>
      <c r="AUA35">
        <v>0</v>
      </c>
      <c r="AUB35">
        <v>0</v>
      </c>
      <c r="AUC35">
        <v>0</v>
      </c>
      <c r="AUD35">
        <v>0</v>
      </c>
      <c r="AUE35">
        <v>0</v>
      </c>
      <c r="AUF35">
        <v>0</v>
      </c>
      <c r="AUG35">
        <v>0</v>
      </c>
      <c r="AUH35">
        <v>0</v>
      </c>
      <c r="AUI35">
        <v>0</v>
      </c>
      <c r="AUJ35">
        <v>0</v>
      </c>
      <c r="AUK35">
        <v>0</v>
      </c>
      <c r="AUL35">
        <v>0</v>
      </c>
      <c r="AUM35">
        <v>0</v>
      </c>
      <c r="AUN35">
        <v>0</v>
      </c>
      <c r="AUO35">
        <v>0</v>
      </c>
      <c r="AUP35">
        <v>0</v>
      </c>
      <c r="AUQ35">
        <v>0</v>
      </c>
      <c r="AUR35">
        <v>0</v>
      </c>
      <c r="AUS35">
        <v>0</v>
      </c>
      <c r="AUT35">
        <v>0</v>
      </c>
      <c r="AUU35">
        <v>0</v>
      </c>
      <c r="AUV35">
        <v>0</v>
      </c>
      <c r="AUW35">
        <v>0</v>
      </c>
      <c r="AUX35">
        <v>0</v>
      </c>
      <c r="AUY35">
        <v>0</v>
      </c>
      <c r="AUZ35">
        <v>0</v>
      </c>
      <c r="AVA35">
        <v>0</v>
      </c>
      <c r="AVB35">
        <v>0</v>
      </c>
      <c r="AVC35">
        <v>0</v>
      </c>
      <c r="AVD35">
        <v>0</v>
      </c>
      <c r="AVE35">
        <v>0</v>
      </c>
      <c r="AVF35">
        <v>0</v>
      </c>
      <c r="AVG35">
        <v>0</v>
      </c>
      <c r="AVH35">
        <v>0</v>
      </c>
      <c r="AVI35">
        <v>0</v>
      </c>
      <c r="AVJ35">
        <v>0</v>
      </c>
      <c r="AVK35">
        <v>0</v>
      </c>
      <c r="AVL35">
        <v>0</v>
      </c>
      <c r="AVM35">
        <v>0</v>
      </c>
      <c r="AVN35">
        <v>0</v>
      </c>
      <c r="AVO35">
        <v>0</v>
      </c>
      <c r="AVP35">
        <v>0</v>
      </c>
      <c r="AVQ35">
        <v>0</v>
      </c>
      <c r="AVR35">
        <v>0</v>
      </c>
      <c r="AVS35">
        <v>0</v>
      </c>
      <c r="AVT35">
        <v>0</v>
      </c>
      <c r="AVU35">
        <v>0</v>
      </c>
      <c r="AVV35">
        <v>0</v>
      </c>
      <c r="AVW35">
        <v>0</v>
      </c>
      <c r="AVX35">
        <v>0</v>
      </c>
      <c r="AVY35">
        <v>0</v>
      </c>
      <c r="AVZ35">
        <v>0</v>
      </c>
      <c r="AWA35">
        <v>0</v>
      </c>
      <c r="AWB35">
        <v>0</v>
      </c>
      <c r="AWC35">
        <v>0</v>
      </c>
      <c r="AWD35">
        <v>0</v>
      </c>
      <c r="AWE35">
        <v>0</v>
      </c>
      <c r="AWF35">
        <v>0</v>
      </c>
      <c r="AWG35">
        <v>0</v>
      </c>
      <c r="AWH35">
        <v>0</v>
      </c>
      <c r="AWI35">
        <v>0</v>
      </c>
      <c r="AWJ35">
        <v>0</v>
      </c>
      <c r="AWK35">
        <v>0</v>
      </c>
      <c r="AWL35">
        <v>0</v>
      </c>
      <c r="AWM35">
        <v>0</v>
      </c>
      <c r="AWN35">
        <v>0</v>
      </c>
      <c r="AWO35">
        <v>0</v>
      </c>
      <c r="AWP35">
        <v>0</v>
      </c>
      <c r="AWQ35">
        <v>0</v>
      </c>
      <c r="AWR35">
        <v>0</v>
      </c>
      <c r="AWS35">
        <v>0</v>
      </c>
      <c r="AWT35">
        <v>0</v>
      </c>
      <c r="AWU35">
        <v>0</v>
      </c>
      <c r="AWV35">
        <v>0</v>
      </c>
      <c r="AWW35">
        <v>0</v>
      </c>
      <c r="AWX35">
        <v>0</v>
      </c>
      <c r="AWY35">
        <v>0</v>
      </c>
      <c r="AWZ35">
        <v>0</v>
      </c>
      <c r="AXA35">
        <v>0</v>
      </c>
      <c r="AXB35">
        <v>0</v>
      </c>
      <c r="AXC35">
        <v>0</v>
      </c>
      <c r="AXD35">
        <v>0</v>
      </c>
      <c r="AXE35">
        <v>0</v>
      </c>
      <c r="AXF35">
        <v>0</v>
      </c>
      <c r="AXG35">
        <v>0</v>
      </c>
      <c r="AXH35">
        <v>0</v>
      </c>
      <c r="AXI35">
        <v>0</v>
      </c>
      <c r="AXJ35">
        <v>0</v>
      </c>
      <c r="AXK35">
        <v>0</v>
      </c>
      <c r="AXL35">
        <v>0</v>
      </c>
      <c r="AXM35">
        <v>0</v>
      </c>
      <c r="AXN35">
        <v>0</v>
      </c>
      <c r="AXO35">
        <v>0</v>
      </c>
      <c r="AXP35">
        <v>0</v>
      </c>
      <c r="AXQ35">
        <v>0</v>
      </c>
      <c r="AXR35">
        <v>0</v>
      </c>
      <c r="AXS35">
        <v>0</v>
      </c>
      <c r="AXT35">
        <v>0</v>
      </c>
      <c r="AXU35">
        <v>0</v>
      </c>
      <c r="AXV35">
        <v>0</v>
      </c>
      <c r="AXW35">
        <v>0</v>
      </c>
      <c r="AXX35">
        <v>0</v>
      </c>
      <c r="AXY35">
        <v>0</v>
      </c>
      <c r="AXZ35">
        <v>0</v>
      </c>
      <c r="AYA35">
        <v>0</v>
      </c>
      <c r="AYB35">
        <v>0</v>
      </c>
      <c r="AYC35">
        <v>0</v>
      </c>
      <c r="AYD35">
        <v>0</v>
      </c>
      <c r="AYE35">
        <v>0</v>
      </c>
      <c r="AYF35">
        <v>0</v>
      </c>
      <c r="AYG35">
        <v>0</v>
      </c>
      <c r="AYH35">
        <v>0</v>
      </c>
      <c r="AYI35">
        <v>0</v>
      </c>
      <c r="AYJ35">
        <v>0</v>
      </c>
      <c r="AYK35">
        <v>0</v>
      </c>
      <c r="AYL35">
        <v>0</v>
      </c>
      <c r="AYM35">
        <v>0</v>
      </c>
      <c r="AYN35">
        <v>0</v>
      </c>
      <c r="AYO35">
        <v>0</v>
      </c>
      <c r="AYP35">
        <v>0</v>
      </c>
      <c r="AYQ35">
        <v>0</v>
      </c>
      <c r="AYR35">
        <v>0</v>
      </c>
      <c r="AYS35">
        <v>0</v>
      </c>
      <c r="AYT35">
        <v>0</v>
      </c>
      <c r="AYU35">
        <v>0</v>
      </c>
      <c r="AYV35">
        <v>0</v>
      </c>
      <c r="AYW35">
        <v>0</v>
      </c>
      <c r="AYX35">
        <v>0</v>
      </c>
      <c r="AYY35">
        <v>0</v>
      </c>
      <c r="AYZ35">
        <v>0</v>
      </c>
      <c r="AZA35">
        <v>0</v>
      </c>
      <c r="AZB35">
        <v>0</v>
      </c>
      <c r="AZC35">
        <v>0</v>
      </c>
      <c r="AZD35">
        <v>0</v>
      </c>
      <c r="AZE35">
        <v>0</v>
      </c>
      <c r="AZF35">
        <v>0</v>
      </c>
      <c r="AZG35">
        <v>0</v>
      </c>
      <c r="AZH35">
        <v>0</v>
      </c>
      <c r="AZI35">
        <v>0</v>
      </c>
      <c r="AZJ35">
        <v>0</v>
      </c>
      <c r="AZK35">
        <v>0</v>
      </c>
      <c r="AZL35">
        <v>0</v>
      </c>
      <c r="AZM35">
        <v>0</v>
      </c>
      <c r="AZN35">
        <v>0</v>
      </c>
      <c r="AZO35">
        <v>0</v>
      </c>
      <c r="AZP35">
        <v>0</v>
      </c>
      <c r="AZQ35">
        <v>0</v>
      </c>
      <c r="AZR35">
        <v>0</v>
      </c>
      <c r="AZS35">
        <v>0</v>
      </c>
      <c r="AZT35">
        <v>0</v>
      </c>
      <c r="AZU35">
        <v>0</v>
      </c>
      <c r="AZV35">
        <v>0</v>
      </c>
      <c r="AZW35">
        <v>0</v>
      </c>
      <c r="AZX35">
        <v>0</v>
      </c>
      <c r="AZY35">
        <v>0</v>
      </c>
      <c r="AZZ35">
        <v>0</v>
      </c>
      <c r="BAA35">
        <v>0</v>
      </c>
      <c r="BAB35">
        <v>0</v>
      </c>
      <c r="BAC35">
        <v>0</v>
      </c>
      <c r="BAD35">
        <v>0</v>
      </c>
      <c r="BAE35">
        <v>0</v>
      </c>
      <c r="BAF35">
        <v>0</v>
      </c>
      <c r="BAG35">
        <v>0</v>
      </c>
      <c r="BAH35">
        <v>0</v>
      </c>
      <c r="BAI35">
        <v>0</v>
      </c>
      <c r="BAJ35">
        <v>0</v>
      </c>
      <c r="BAK35">
        <v>833650</v>
      </c>
      <c r="BAL35">
        <v>13934.59</v>
      </c>
      <c r="BAM35">
        <v>12962.59</v>
      </c>
      <c r="BAN35">
        <v>972</v>
      </c>
      <c r="BAO35">
        <v>0</v>
      </c>
      <c r="BAP35">
        <v>0</v>
      </c>
      <c r="BAQ35">
        <v>0</v>
      </c>
      <c r="BAR35" t="s">
        <v>3431</v>
      </c>
      <c r="BAS35">
        <v>0</v>
      </c>
      <c r="BAT35">
        <v>0</v>
      </c>
      <c r="BAU35">
        <v>0</v>
      </c>
      <c r="BAV35">
        <v>0</v>
      </c>
      <c r="BAW35">
        <v>0</v>
      </c>
      <c r="BAX35">
        <v>0</v>
      </c>
      <c r="BAY35">
        <v>0</v>
      </c>
      <c r="BAZ35">
        <v>0</v>
      </c>
      <c r="BBA35">
        <v>0</v>
      </c>
      <c r="BBB35">
        <v>0</v>
      </c>
      <c r="BBC35">
        <v>0</v>
      </c>
      <c r="BBD35">
        <v>0</v>
      </c>
      <c r="BBE35">
        <v>0</v>
      </c>
      <c r="BBF35">
        <v>0</v>
      </c>
      <c r="BBG35">
        <v>0</v>
      </c>
      <c r="BBH35">
        <v>0</v>
      </c>
      <c r="BBI35">
        <v>0</v>
      </c>
      <c r="BBJ35">
        <v>0</v>
      </c>
      <c r="BBK35">
        <v>0</v>
      </c>
      <c r="BBL35">
        <v>0</v>
      </c>
      <c r="BBM35">
        <v>0</v>
      </c>
      <c r="BBN35">
        <v>0</v>
      </c>
      <c r="BBO35">
        <v>0</v>
      </c>
      <c r="BBP35">
        <v>0</v>
      </c>
      <c r="BBQ35">
        <v>0</v>
      </c>
      <c r="BBR35">
        <v>0</v>
      </c>
      <c r="BBS35">
        <v>0</v>
      </c>
      <c r="BBT35">
        <v>0</v>
      </c>
      <c r="BBU35">
        <v>0</v>
      </c>
      <c r="BBV35">
        <v>0</v>
      </c>
      <c r="BBW35">
        <v>0</v>
      </c>
      <c r="BBX35">
        <v>0</v>
      </c>
      <c r="BBY35">
        <v>0</v>
      </c>
      <c r="BBZ35">
        <v>0</v>
      </c>
      <c r="BCA35">
        <v>0</v>
      </c>
      <c r="BCB35">
        <v>0</v>
      </c>
      <c r="BCC35">
        <v>0</v>
      </c>
      <c r="BCD35">
        <v>0</v>
      </c>
      <c r="BCE35">
        <v>0</v>
      </c>
      <c r="BCF35">
        <v>0</v>
      </c>
      <c r="BCG35">
        <v>0</v>
      </c>
      <c r="BCH35">
        <v>0</v>
      </c>
      <c r="BCI35">
        <v>0</v>
      </c>
      <c r="BCJ35">
        <v>0</v>
      </c>
      <c r="BCK35">
        <v>0</v>
      </c>
      <c r="BCL35">
        <v>0</v>
      </c>
      <c r="BCM35">
        <v>0</v>
      </c>
      <c r="BCN35">
        <v>0</v>
      </c>
      <c r="BCO35">
        <v>0</v>
      </c>
      <c r="BCP35">
        <v>4</v>
      </c>
      <c r="BCQ35">
        <v>6</v>
      </c>
      <c r="BCR35">
        <v>1</v>
      </c>
      <c r="BCS35">
        <v>2</v>
      </c>
      <c r="BCT35">
        <v>5</v>
      </c>
      <c r="BCU35">
        <v>8</v>
      </c>
      <c r="BCV35">
        <v>8</v>
      </c>
      <c r="BCW35">
        <v>3</v>
      </c>
      <c r="BCX35">
        <v>6</v>
      </c>
      <c r="BCY35">
        <v>0</v>
      </c>
      <c r="BCZ35">
        <v>0</v>
      </c>
      <c r="BDA35">
        <v>0</v>
      </c>
      <c r="BDB35">
        <v>0</v>
      </c>
      <c r="BDC35">
        <v>0</v>
      </c>
      <c r="BDD35">
        <v>0</v>
      </c>
      <c r="BDE35">
        <v>0</v>
      </c>
      <c r="BDF35">
        <v>0</v>
      </c>
      <c r="BDG35">
        <v>0</v>
      </c>
      <c r="BDH35">
        <v>0</v>
      </c>
      <c r="BDI35">
        <v>0</v>
      </c>
      <c r="BDJ35">
        <v>0</v>
      </c>
      <c r="BDK35">
        <v>0</v>
      </c>
      <c r="BDL35">
        <v>0</v>
      </c>
      <c r="BDM35">
        <v>0</v>
      </c>
      <c r="BDN35">
        <v>0</v>
      </c>
      <c r="BDO35">
        <v>0</v>
      </c>
      <c r="BDP35">
        <v>0</v>
      </c>
      <c r="BDQ35" t="s">
        <v>3428</v>
      </c>
      <c r="BDR35">
        <v>0</v>
      </c>
      <c r="BDS35">
        <v>0</v>
      </c>
      <c r="BDT35">
        <v>0</v>
      </c>
      <c r="BDU35">
        <v>0</v>
      </c>
      <c r="BDV35">
        <v>0</v>
      </c>
      <c r="BDW35">
        <v>0</v>
      </c>
      <c r="BDX35">
        <v>0</v>
      </c>
      <c r="BDY35">
        <v>0</v>
      </c>
      <c r="BDZ35">
        <v>0</v>
      </c>
      <c r="BEA35">
        <v>0</v>
      </c>
      <c r="BEB35">
        <v>0</v>
      </c>
      <c r="BEC35">
        <v>0</v>
      </c>
      <c r="BED35">
        <v>0</v>
      </c>
      <c r="BEE35">
        <v>0</v>
      </c>
      <c r="BEF35">
        <v>0</v>
      </c>
      <c r="BEG35">
        <v>0</v>
      </c>
      <c r="BEH35">
        <v>0</v>
      </c>
      <c r="BEI35">
        <v>0</v>
      </c>
      <c r="BEJ35">
        <v>0</v>
      </c>
      <c r="BEK35">
        <v>0</v>
      </c>
      <c r="BEL35">
        <v>0</v>
      </c>
      <c r="BEM35">
        <v>0</v>
      </c>
      <c r="BEN35">
        <v>0</v>
      </c>
      <c r="BEO35">
        <v>0</v>
      </c>
      <c r="BEP35">
        <v>0</v>
      </c>
      <c r="BEQ35">
        <v>0</v>
      </c>
      <c r="BER35">
        <v>0</v>
      </c>
      <c r="BES35">
        <v>0</v>
      </c>
      <c r="BET35">
        <v>0</v>
      </c>
      <c r="BEU35">
        <v>0</v>
      </c>
      <c r="BEV35">
        <v>0</v>
      </c>
      <c r="BEW35">
        <v>0</v>
      </c>
      <c r="BEX35">
        <v>0</v>
      </c>
      <c r="BEY35">
        <v>0</v>
      </c>
      <c r="BEZ35">
        <v>0</v>
      </c>
      <c r="BFA35">
        <v>0</v>
      </c>
      <c r="BFB35">
        <v>0</v>
      </c>
      <c r="BFC35">
        <v>0</v>
      </c>
      <c r="BFD35" t="b">
        <v>1</v>
      </c>
      <c r="BFE35" t="b">
        <v>1</v>
      </c>
      <c r="BFF35" t="b">
        <v>1</v>
      </c>
      <c r="BFG35" t="b">
        <v>0</v>
      </c>
      <c r="BFH35">
        <v>0</v>
      </c>
      <c r="BFI35">
        <v>0</v>
      </c>
      <c r="BFJ35">
        <v>0</v>
      </c>
      <c r="BFK35">
        <v>0</v>
      </c>
      <c r="BFL35">
        <v>0</v>
      </c>
      <c r="BFM35">
        <v>0</v>
      </c>
      <c r="BFN35">
        <v>0</v>
      </c>
      <c r="BFO35">
        <v>0</v>
      </c>
      <c r="BFP35">
        <v>0</v>
      </c>
      <c r="BFQ35">
        <v>0</v>
      </c>
      <c r="BFR35">
        <v>0</v>
      </c>
      <c r="BFS35">
        <v>0</v>
      </c>
      <c r="BFT35">
        <v>0</v>
      </c>
      <c r="BFU35">
        <v>0</v>
      </c>
      <c r="BFV35">
        <v>0</v>
      </c>
      <c r="BFW35">
        <v>0</v>
      </c>
      <c r="BFX35">
        <v>0</v>
      </c>
      <c r="BFY35">
        <v>0</v>
      </c>
    </row>
    <row r="36" spans="1:1533" ht="18.75" customHeight="1" x14ac:dyDescent="0.25">
      <c r="A36" t="s">
        <v>3443</v>
      </c>
      <c r="B36" t="s">
        <v>3449</v>
      </c>
      <c r="C36" s="120">
        <v>130</v>
      </c>
      <c r="D36" s="120">
        <v>45</v>
      </c>
      <c r="E36">
        <v>0</v>
      </c>
      <c r="F36">
        <v>0</v>
      </c>
      <c r="G36">
        <v>0</v>
      </c>
      <c r="H36" t="s">
        <v>2403</v>
      </c>
      <c r="I36" t="s">
        <v>2403</v>
      </c>
      <c r="J36" t="s">
        <v>2403</v>
      </c>
      <c r="K36" t="s">
        <v>2403</v>
      </c>
      <c r="L36" t="s">
        <v>2403</v>
      </c>
      <c r="M36" t="s">
        <v>1883</v>
      </c>
      <c r="N36" t="s">
        <v>2403</v>
      </c>
      <c r="O36" t="s">
        <v>1883</v>
      </c>
      <c r="P36" t="s">
        <v>1883</v>
      </c>
      <c r="Q36" t="s">
        <v>2403</v>
      </c>
      <c r="R36" t="s">
        <v>1883</v>
      </c>
      <c r="S36" t="s">
        <v>2403</v>
      </c>
      <c r="T36" t="s">
        <v>2404</v>
      </c>
      <c r="U36" t="s">
        <v>2424</v>
      </c>
      <c r="V36">
        <v>0</v>
      </c>
      <c r="W36" t="s">
        <v>309</v>
      </c>
      <c r="X36" s="120">
        <v>900</v>
      </c>
      <c r="Y36" s="58">
        <v>43676</v>
      </c>
      <c r="Z36" s="120">
        <v>0</v>
      </c>
      <c r="AA36" s="120">
        <v>0</v>
      </c>
      <c r="AB36" s="120">
        <v>0</v>
      </c>
      <c r="AC36" t="s">
        <v>272</v>
      </c>
      <c r="AD36" s="120">
        <v>25</v>
      </c>
      <c r="AE36" s="120">
        <v>0</v>
      </c>
      <c r="AF36" s="58">
        <v>43703</v>
      </c>
      <c r="AG36" s="120">
        <v>45</v>
      </c>
      <c r="AH36" s="119">
        <v>0</v>
      </c>
      <c r="AI36">
        <v>0</v>
      </c>
      <c r="AJ36" t="s">
        <v>271</v>
      </c>
      <c r="AK36" s="114">
        <v>0.17899999999999999</v>
      </c>
      <c r="AL36" s="120">
        <v>0</v>
      </c>
      <c r="AM36" s="120">
        <v>50</v>
      </c>
      <c r="AN36" s="58">
        <v>47325</v>
      </c>
      <c r="AO36" s="114">
        <v>0.20773719000845592</v>
      </c>
      <c r="AP36" s="120">
        <v>7182.49</v>
      </c>
      <c r="AQ36" s="120">
        <v>9920.7900000000282</v>
      </c>
      <c r="AR36" s="120">
        <v>17103.280000000028</v>
      </c>
      <c r="AS36" s="120">
        <v>142.53</v>
      </c>
      <c r="AT36" s="120">
        <v>142.21</v>
      </c>
      <c r="AU36" t="s">
        <v>1910</v>
      </c>
      <c r="AV36" t="s">
        <v>2119</v>
      </c>
      <c r="AW36" t="s">
        <v>2738</v>
      </c>
      <c r="AX36" s="120">
        <v>19</v>
      </c>
      <c r="AY36">
        <v>0</v>
      </c>
      <c r="AZ36" s="58">
        <v>0</v>
      </c>
      <c r="BA36" s="120">
        <v>100</v>
      </c>
      <c r="BB36">
        <v>2</v>
      </c>
      <c r="BC36">
        <v>1</v>
      </c>
      <c r="BD36" t="s">
        <v>415</v>
      </c>
      <c r="BE36" s="120">
        <v>436</v>
      </c>
      <c r="BF36" s="120">
        <v>72</v>
      </c>
      <c r="BG36" s="367">
        <v>43672</v>
      </c>
      <c r="BH36">
        <v>120</v>
      </c>
      <c r="BI36" s="120">
        <v>0</v>
      </c>
      <c r="BJ36" s="120">
        <v>50</v>
      </c>
      <c r="BK36" s="58">
        <v>43647</v>
      </c>
      <c r="BL36">
        <v>0</v>
      </c>
      <c r="BM36">
        <v>0</v>
      </c>
      <c r="BN36">
        <v>0</v>
      </c>
      <c r="BO36" t="s">
        <v>3439</v>
      </c>
      <c r="BP36" t="s">
        <v>2403</v>
      </c>
      <c r="BQ36" t="s">
        <v>2403</v>
      </c>
      <c r="BR36" t="s">
        <v>2403</v>
      </c>
      <c r="BS36" s="366">
        <v>141943874</v>
      </c>
      <c r="BT36" s="58">
        <v>32473</v>
      </c>
      <c r="BU36" t="s">
        <v>3440</v>
      </c>
      <c r="BV36" t="s">
        <v>2831</v>
      </c>
      <c r="BW36" t="s">
        <v>1633</v>
      </c>
      <c r="BX36">
        <v>78254</v>
      </c>
      <c r="BY36" t="s">
        <v>3440</v>
      </c>
      <c r="BZ36" t="s">
        <v>2831</v>
      </c>
      <c r="CA36">
        <v>78254</v>
      </c>
      <c r="CB36" t="s">
        <v>1633</v>
      </c>
      <c r="CC36" t="s">
        <v>2040</v>
      </c>
      <c r="CD36">
        <v>0</v>
      </c>
      <c r="CE36">
        <v>0</v>
      </c>
      <c r="CF36">
        <v>0</v>
      </c>
      <c r="CG36">
        <v>0</v>
      </c>
      <c r="CH36">
        <v>0</v>
      </c>
      <c r="CI36">
        <v>0</v>
      </c>
      <c r="CJ36">
        <v>0</v>
      </c>
      <c r="CK36" s="118">
        <v>2106271175</v>
      </c>
      <c r="CL36" s="118">
        <v>0</v>
      </c>
      <c r="CM36" s="118">
        <v>2106271175</v>
      </c>
      <c r="CN36" t="s">
        <v>3441</v>
      </c>
      <c r="CO36">
        <v>0</v>
      </c>
      <c r="CP36" t="s">
        <v>2403</v>
      </c>
      <c r="CQ36">
        <v>0</v>
      </c>
      <c r="CR36">
        <v>0</v>
      </c>
      <c r="CS36">
        <v>0</v>
      </c>
      <c r="CT36">
        <v>0</v>
      </c>
      <c r="CU36">
        <v>0</v>
      </c>
      <c r="CV36">
        <v>0</v>
      </c>
      <c r="CW36" s="366">
        <v>0</v>
      </c>
      <c r="CX36" s="58">
        <v>0</v>
      </c>
      <c r="CY36">
        <v>0</v>
      </c>
      <c r="CZ36">
        <v>0</v>
      </c>
      <c r="DA36">
        <v>0</v>
      </c>
      <c r="DB36">
        <v>0</v>
      </c>
      <c r="DC36">
        <v>0</v>
      </c>
      <c r="DD36">
        <v>0</v>
      </c>
      <c r="DE36">
        <v>0</v>
      </c>
      <c r="DF36">
        <v>0</v>
      </c>
      <c r="DG36">
        <v>0</v>
      </c>
      <c r="DH36">
        <v>0</v>
      </c>
      <c r="DI36">
        <v>0</v>
      </c>
      <c r="DJ36">
        <v>0</v>
      </c>
      <c r="DK36" s="118">
        <v>0</v>
      </c>
      <c r="DL36" s="118">
        <v>0</v>
      </c>
      <c r="DM36" s="118">
        <v>0</v>
      </c>
      <c r="DN36" t="s">
        <v>3441</v>
      </c>
      <c r="DO36">
        <v>0</v>
      </c>
      <c r="DP36">
        <v>0</v>
      </c>
      <c r="DQ36">
        <v>0</v>
      </c>
      <c r="DR36">
        <v>0</v>
      </c>
      <c r="DS36">
        <v>0</v>
      </c>
      <c r="DT36">
        <v>0</v>
      </c>
      <c r="DU36">
        <v>0</v>
      </c>
      <c r="DV36">
        <v>0</v>
      </c>
      <c r="DW36" s="366">
        <v>0</v>
      </c>
      <c r="DX36" s="58">
        <v>0</v>
      </c>
      <c r="DY36">
        <v>0</v>
      </c>
      <c r="DZ36">
        <v>0</v>
      </c>
      <c r="EA36">
        <v>0</v>
      </c>
      <c r="EB36">
        <v>0</v>
      </c>
      <c r="EC36">
        <v>0</v>
      </c>
      <c r="ED36">
        <v>0</v>
      </c>
      <c r="EE36">
        <v>0</v>
      </c>
      <c r="EF36">
        <v>0</v>
      </c>
      <c r="EG36">
        <v>0</v>
      </c>
      <c r="EH36">
        <v>0</v>
      </c>
      <c r="EI36">
        <v>0</v>
      </c>
      <c r="EJ36">
        <v>0</v>
      </c>
      <c r="EK36" s="118">
        <v>0</v>
      </c>
      <c r="EL36" s="118">
        <v>0</v>
      </c>
      <c r="EM36" s="118">
        <v>0</v>
      </c>
      <c r="EN36">
        <v>0</v>
      </c>
      <c r="EO36">
        <v>900</v>
      </c>
      <c r="EP36" s="119">
        <v>6966.490234375</v>
      </c>
      <c r="EQ36">
        <v>1</v>
      </c>
      <c r="ER36">
        <v>1</v>
      </c>
      <c r="ES36" t="s">
        <v>2824</v>
      </c>
      <c r="ET36">
        <v>0</v>
      </c>
      <c r="EU36">
        <v>0</v>
      </c>
      <c r="EV36">
        <v>0</v>
      </c>
      <c r="EW36">
        <v>0</v>
      </c>
      <c r="EX36">
        <v>0</v>
      </c>
      <c r="EY36">
        <v>0</v>
      </c>
      <c r="EZ36">
        <v>0</v>
      </c>
      <c r="FA36">
        <v>0</v>
      </c>
      <c r="FB36">
        <v>0</v>
      </c>
      <c r="FC36">
        <v>0</v>
      </c>
      <c r="FD36">
        <v>0</v>
      </c>
      <c r="FE36">
        <v>0</v>
      </c>
      <c r="FF36">
        <v>0</v>
      </c>
      <c r="FG36">
        <v>0</v>
      </c>
      <c r="FH36">
        <v>0</v>
      </c>
      <c r="FI36">
        <v>0</v>
      </c>
      <c r="FJ36">
        <v>0</v>
      </c>
      <c r="FK36">
        <v>0</v>
      </c>
      <c r="FL36">
        <v>0</v>
      </c>
      <c r="FM36" s="119">
        <v>6966.49</v>
      </c>
      <c r="FN36" s="119">
        <v>0</v>
      </c>
      <c r="FO36" s="119">
        <v>0</v>
      </c>
      <c r="FP36" s="119">
        <v>0</v>
      </c>
      <c r="FQ36" s="119">
        <v>0</v>
      </c>
      <c r="FR36" s="119">
        <v>0</v>
      </c>
      <c r="FS36" s="119">
        <v>0</v>
      </c>
      <c r="FT36" s="119">
        <v>0</v>
      </c>
      <c r="FU36" s="119">
        <v>0</v>
      </c>
      <c r="FV36" s="119">
        <v>0</v>
      </c>
      <c r="FW36" s="119">
        <v>0</v>
      </c>
      <c r="FX36" s="119">
        <v>0</v>
      </c>
      <c r="FY36" s="119">
        <v>0</v>
      </c>
      <c r="FZ36" s="119">
        <v>0</v>
      </c>
      <c r="GA36" s="119">
        <v>0</v>
      </c>
      <c r="GB36" s="119">
        <v>0</v>
      </c>
      <c r="GC36" s="119">
        <v>0</v>
      </c>
      <c r="GD36" s="119">
        <v>0</v>
      </c>
      <c r="GE36" s="119">
        <v>0</v>
      </c>
      <c r="GF36" s="119">
        <v>0</v>
      </c>
      <c r="GG36">
        <v>0</v>
      </c>
      <c r="GH36" t="s">
        <v>2403</v>
      </c>
      <c r="GI36">
        <v>0</v>
      </c>
      <c r="GJ36">
        <v>0</v>
      </c>
      <c r="GK36">
        <v>0</v>
      </c>
      <c r="GL36" t="s">
        <v>2403</v>
      </c>
      <c r="GM36" s="58">
        <v>0</v>
      </c>
      <c r="GN36" t="s">
        <v>2403</v>
      </c>
      <c r="GO36">
        <v>0</v>
      </c>
      <c r="GP36" s="128" t="s">
        <v>3444</v>
      </c>
      <c r="GQ36" s="128">
        <v>0</v>
      </c>
      <c r="GR36" s="128">
        <v>0</v>
      </c>
      <c r="GS36" s="128">
        <v>0</v>
      </c>
      <c r="GT36" t="s">
        <v>3440</v>
      </c>
      <c r="GU36" s="119">
        <v>6966.49</v>
      </c>
      <c r="GV36" s="119">
        <v>0</v>
      </c>
      <c r="GW36" s="119">
        <v>0</v>
      </c>
      <c r="GX36" s="119">
        <v>0</v>
      </c>
      <c r="GY36">
        <v>0</v>
      </c>
      <c r="GZ36">
        <v>0</v>
      </c>
      <c r="HA36">
        <v>0</v>
      </c>
      <c r="HB36">
        <v>0</v>
      </c>
      <c r="HC36" s="120">
        <v>6966.490234375</v>
      </c>
      <c r="HD36" s="119">
        <v>250030</v>
      </c>
      <c r="HE36">
        <v>41850</v>
      </c>
      <c r="HF36" t="s">
        <v>2831</v>
      </c>
      <c r="HG36" t="s">
        <v>20</v>
      </c>
      <c r="HH36" t="s">
        <v>2403</v>
      </c>
      <c r="HI36" s="119">
        <v>250030</v>
      </c>
      <c r="HJ36" t="s">
        <v>2403</v>
      </c>
      <c r="HK36">
        <v>0</v>
      </c>
      <c r="HL36">
        <v>0</v>
      </c>
      <c r="HM36">
        <v>0</v>
      </c>
      <c r="HN36">
        <v>0</v>
      </c>
      <c r="HO36" t="s">
        <v>3450</v>
      </c>
      <c r="HP36" t="s">
        <v>2403</v>
      </c>
      <c r="HQ36">
        <v>0</v>
      </c>
      <c r="HR36" t="s">
        <v>1633</v>
      </c>
      <c r="HS36" t="s">
        <v>2824</v>
      </c>
      <c r="HT36">
        <v>0</v>
      </c>
      <c r="HU36">
        <v>0</v>
      </c>
      <c r="HV36">
        <v>0</v>
      </c>
      <c r="HW36">
        <v>2018</v>
      </c>
      <c r="HX36">
        <v>0</v>
      </c>
      <c r="HY36">
        <v>0</v>
      </c>
      <c r="HZ36">
        <v>0</v>
      </c>
      <c r="IA36">
        <v>78254</v>
      </c>
      <c r="IB36" t="s">
        <v>2403</v>
      </c>
      <c r="IC36">
        <v>0</v>
      </c>
      <c r="ID36">
        <v>0</v>
      </c>
      <c r="IE36">
        <v>0</v>
      </c>
      <c r="IF36">
        <v>0</v>
      </c>
      <c r="IG36">
        <v>0</v>
      </c>
      <c r="IH36">
        <v>0</v>
      </c>
      <c r="II36">
        <v>0</v>
      </c>
      <c r="IJ36">
        <v>0</v>
      </c>
      <c r="IK36">
        <v>0</v>
      </c>
      <c r="IL36" s="128">
        <v>0</v>
      </c>
      <c r="IM36" s="128">
        <v>0</v>
      </c>
      <c r="IN36" s="128">
        <v>0</v>
      </c>
      <c r="IO36" s="128">
        <v>0</v>
      </c>
      <c r="IP36">
        <v>0</v>
      </c>
      <c r="IQ36" s="119">
        <v>0</v>
      </c>
      <c r="IR36" s="119">
        <v>0</v>
      </c>
      <c r="IS36" s="119">
        <v>0</v>
      </c>
      <c r="IT36" s="119">
        <v>0</v>
      </c>
      <c r="IU36" s="119">
        <v>0</v>
      </c>
      <c r="IV36">
        <v>0</v>
      </c>
      <c r="IW36">
        <v>0</v>
      </c>
      <c r="IX36">
        <v>0</v>
      </c>
      <c r="IY36">
        <v>0</v>
      </c>
      <c r="IZ36">
        <v>0</v>
      </c>
      <c r="JA36" s="119">
        <v>0</v>
      </c>
      <c r="JB36">
        <v>0</v>
      </c>
      <c r="JC36">
        <v>0</v>
      </c>
      <c r="JD36">
        <v>0</v>
      </c>
      <c r="JE36">
        <v>0</v>
      </c>
      <c r="JF36">
        <v>0</v>
      </c>
      <c r="JG36">
        <v>0</v>
      </c>
      <c r="JH36">
        <v>0</v>
      </c>
      <c r="JI36">
        <v>0</v>
      </c>
      <c r="JJ36">
        <v>0</v>
      </c>
      <c r="JK36">
        <v>0</v>
      </c>
      <c r="JL36">
        <v>0</v>
      </c>
      <c r="JM36">
        <v>0</v>
      </c>
      <c r="JN36">
        <v>0</v>
      </c>
      <c r="JO36">
        <v>0</v>
      </c>
      <c r="JP36">
        <v>0</v>
      </c>
      <c r="JQ36">
        <v>0</v>
      </c>
      <c r="JR36">
        <v>0</v>
      </c>
      <c r="JS36">
        <v>0</v>
      </c>
      <c r="JT36">
        <v>0</v>
      </c>
      <c r="JU36">
        <v>0</v>
      </c>
      <c r="JV36">
        <v>0</v>
      </c>
      <c r="JW36">
        <v>0</v>
      </c>
      <c r="JX36">
        <v>0</v>
      </c>
      <c r="JY36">
        <v>0</v>
      </c>
      <c r="JZ36">
        <v>0</v>
      </c>
      <c r="KA36">
        <v>0</v>
      </c>
      <c r="KB36">
        <v>0</v>
      </c>
      <c r="KC36">
        <v>0</v>
      </c>
      <c r="KD36">
        <v>0</v>
      </c>
      <c r="KE36">
        <v>0</v>
      </c>
      <c r="KF36">
        <v>0</v>
      </c>
      <c r="KG36">
        <v>0</v>
      </c>
      <c r="KH36" s="128">
        <v>0</v>
      </c>
      <c r="KI36" s="128">
        <v>0</v>
      </c>
      <c r="KJ36" s="128">
        <v>0</v>
      </c>
      <c r="KK36" s="128">
        <v>0</v>
      </c>
      <c r="KL36">
        <v>0</v>
      </c>
      <c r="KM36" s="119">
        <v>0</v>
      </c>
      <c r="KN36" s="119">
        <v>0</v>
      </c>
      <c r="KO36" s="119">
        <v>0</v>
      </c>
      <c r="KP36" s="119">
        <v>0</v>
      </c>
      <c r="KQ36" s="121">
        <v>0</v>
      </c>
      <c r="KR36">
        <v>0</v>
      </c>
      <c r="KS36" s="119">
        <v>0</v>
      </c>
      <c r="KT36">
        <v>0</v>
      </c>
      <c r="KU36">
        <v>0</v>
      </c>
      <c r="KV36">
        <v>0</v>
      </c>
      <c r="KW36" s="119">
        <v>0</v>
      </c>
      <c r="KX36">
        <v>0</v>
      </c>
      <c r="KY36">
        <v>0</v>
      </c>
      <c r="KZ36">
        <v>0</v>
      </c>
      <c r="LA36">
        <v>0</v>
      </c>
      <c r="LB36">
        <v>0</v>
      </c>
      <c r="LC36">
        <v>0</v>
      </c>
      <c r="LD36">
        <v>0</v>
      </c>
      <c r="LE36">
        <v>0</v>
      </c>
      <c r="LF36">
        <v>0</v>
      </c>
      <c r="LG36">
        <v>0</v>
      </c>
      <c r="LH36">
        <v>0</v>
      </c>
      <c r="LI36">
        <v>0</v>
      </c>
      <c r="LJ36">
        <v>0</v>
      </c>
      <c r="LK36">
        <v>0</v>
      </c>
      <c r="LL36">
        <v>0</v>
      </c>
      <c r="LM36">
        <v>0</v>
      </c>
      <c r="LN36">
        <v>0</v>
      </c>
      <c r="LO36">
        <v>0</v>
      </c>
      <c r="LP36">
        <v>0</v>
      </c>
      <c r="LQ36">
        <v>0</v>
      </c>
      <c r="LR36">
        <v>0</v>
      </c>
      <c r="LS36">
        <v>0</v>
      </c>
      <c r="LT36">
        <v>0</v>
      </c>
      <c r="LU36">
        <v>0</v>
      </c>
      <c r="LV36">
        <v>0</v>
      </c>
      <c r="LW36">
        <v>0</v>
      </c>
      <c r="LX36">
        <v>0</v>
      </c>
      <c r="LY36">
        <v>0</v>
      </c>
      <c r="LZ36">
        <v>0</v>
      </c>
      <c r="MA36">
        <v>0</v>
      </c>
      <c r="MB36">
        <v>0</v>
      </c>
      <c r="MC36">
        <v>0</v>
      </c>
      <c r="MD36" s="128">
        <v>0</v>
      </c>
      <c r="ME36" s="128">
        <v>0</v>
      </c>
      <c r="MF36" s="128">
        <v>0</v>
      </c>
      <c r="MG36" s="128">
        <v>0</v>
      </c>
      <c r="MH36">
        <v>0</v>
      </c>
      <c r="MI36" s="119">
        <v>0</v>
      </c>
      <c r="MJ36" s="119">
        <v>0</v>
      </c>
      <c r="MK36" s="119">
        <v>0</v>
      </c>
      <c r="ML36" s="119">
        <v>0</v>
      </c>
      <c r="MM36" s="121">
        <v>0</v>
      </c>
      <c r="MN36" s="119">
        <v>0</v>
      </c>
      <c r="MO36">
        <v>0</v>
      </c>
      <c r="MP36">
        <v>0</v>
      </c>
      <c r="MQ36">
        <v>0</v>
      </c>
      <c r="MR36">
        <v>0</v>
      </c>
      <c r="MS36" s="119">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s="116">
        <v>0</v>
      </c>
      <c r="NR36" s="116">
        <v>0</v>
      </c>
      <c r="NS36" s="116">
        <v>0</v>
      </c>
      <c r="NT36" s="116">
        <v>0</v>
      </c>
      <c r="NU36" s="116">
        <v>0</v>
      </c>
      <c r="NV36" s="116">
        <v>0</v>
      </c>
      <c r="NW36" s="116">
        <v>0</v>
      </c>
      <c r="NX36" s="116">
        <v>0</v>
      </c>
      <c r="NY36" s="116">
        <v>0</v>
      </c>
      <c r="NZ36" s="128">
        <v>0</v>
      </c>
      <c r="OA36" s="128">
        <v>0</v>
      </c>
      <c r="OB36" s="128">
        <v>0</v>
      </c>
      <c r="OC36" s="128">
        <v>0</v>
      </c>
      <c r="OD36">
        <v>0</v>
      </c>
      <c r="OE36" s="119">
        <v>0</v>
      </c>
      <c r="OF36" s="119">
        <v>0</v>
      </c>
      <c r="OG36" s="119">
        <v>0</v>
      </c>
      <c r="OH36" s="119">
        <v>0</v>
      </c>
      <c r="OI36" s="121">
        <v>0</v>
      </c>
      <c r="OJ36" s="119">
        <v>0</v>
      </c>
      <c r="OK36">
        <v>0</v>
      </c>
      <c r="OL36">
        <v>0</v>
      </c>
      <c r="OM36">
        <v>0</v>
      </c>
      <c r="ON36">
        <v>0</v>
      </c>
      <c r="OO36" s="119">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s="128">
        <v>0</v>
      </c>
      <c r="PW36" s="128">
        <v>0</v>
      </c>
      <c r="PX36" s="128">
        <v>0</v>
      </c>
      <c r="PY36" s="128">
        <v>0</v>
      </c>
      <c r="PZ36">
        <v>0</v>
      </c>
      <c r="QA36" s="119">
        <v>0</v>
      </c>
      <c r="QB36" s="119">
        <v>0</v>
      </c>
      <c r="QC36" s="119">
        <v>0</v>
      </c>
      <c r="QD36" s="119">
        <v>0</v>
      </c>
      <c r="QE36" s="121">
        <v>0</v>
      </c>
      <c r="QF36" s="119">
        <v>0</v>
      </c>
      <c r="QG36">
        <v>0</v>
      </c>
      <c r="QH36">
        <v>0</v>
      </c>
      <c r="QI36">
        <v>0</v>
      </c>
      <c r="QJ36">
        <v>0</v>
      </c>
      <c r="QK36" s="119">
        <v>0</v>
      </c>
      <c r="QL36">
        <v>0</v>
      </c>
      <c r="QM36">
        <v>0</v>
      </c>
      <c r="QN36">
        <v>0</v>
      </c>
      <c r="QO36">
        <v>0</v>
      </c>
      <c r="QP36">
        <v>0</v>
      </c>
      <c r="QQ36">
        <v>0</v>
      </c>
      <c r="QR36">
        <v>0</v>
      </c>
      <c r="QS36">
        <v>0</v>
      </c>
      <c r="QT36">
        <v>0</v>
      </c>
      <c r="QU36">
        <v>0</v>
      </c>
      <c r="QV36">
        <v>0</v>
      </c>
      <c r="QW36">
        <v>0</v>
      </c>
      <c r="QX36">
        <v>0</v>
      </c>
      <c r="QY36">
        <v>0</v>
      </c>
      <c r="QZ36">
        <v>0</v>
      </c>
      <c r="RA36">
        <v>0</v>
      </c>
      <c r="RB36">
        <v>0</v>
      </c>
      <c r="RC36">
        <v>0</v>
      </c>
      <c r="RD36">
        <v>0</v>
      </c>
      <c r="RE36">
        <v>0</v>
      </c>
      <c r="RF36">
        <v>0</v>
      </c>
      <c r="RG36">
        <v>0</v>
      </c>
      <c r="RH36">
        <v>0</v>
      </c>
      <c r="RI36" s="116">
        <v>0</v>
      </c>
      <c r="RJ36" s="116">
        <v>0</v>
      </c>
      <c r="RK36" s="116">
        <v>0</v>
      </c>
      <c r="RL36" s="116">
        <v>0</v>
      </c>
      <c r="RM36" s="116">
        <v>0</v>
      </c>
      <c r="RN36" s="116">
        <v>0</v>
      </c>
      <c r="RO36" s="116">
        <v>0</v>
      </c>
      <c r="RP36" s="116">
        <v>0</v>
      </c>
      <c r="RQ36" s="116">
        <v>0</v>
      </c>
      <c r="RR36" s="128">
        <v>0</v>
      </c>
      <c r="RS36" s="128">
        <v>0</v>
      </c>
      <c r="RT36" s="128">
        <v>0</v>
      </c>
      <c r="RU36" s="128">
        <v>0</v>
      </c>
      <c r="RV36">
        <v>0</v>
      </c>
      <c r="RW36" s="119">
        <v>0</v>
      </c>
      <c r="RX36" s="119">
        <v>0</v>
      </c>
      <c r="RY36" s="119">
        <v>0</v>
      </c>
      <c r="RZ36" s="119">
        <v>0</v>
      </c>
      <c r="SA36" s="121">
        <v>0</v>
      </c>
      <c r="SB36" s="119">
        <v>0</v>
      </c>
      <c r="SC36">
        <v>0</v>
      </c>
      <c r="SD36">
        <v>0</v>
      </c>
      <c r="SE36">
        <v>0</v>
      </c>
      <c r="SF36">
        <v>0</v>
      </c>
      <c r="SG36" s="119">
        <v>0</v>
      </c>
      <c r="SH36">
        <v>0</v>
      </c>
      <c r="SI36">
        <v>0</v>
      </c>
      <c r="SJ36">
        <v>0</v>
      </c>
      <c r="SK36">
        <v>0</v>
      </c>
      <c r="SL36">
        <v>0</v>
      </c>
      <c r="SM36">
        <v>0</v>
      </c>
      <c r="SN36">
        <v>0</v>
      </c>
      <c r="SO36">
        <v>0</v>
      </c>
      <c r="SP36">
        <v>0</v>
      </c>
      <c r="SQ36">
        <v>0</v>
      </c>
      <c r="SR36">
        <v>0</v>
      </c>
      <c r="SS36">
        <v>0</v>
      </c>
      <c r="ST36">
        <v>0</v>
      </c>
      <c r="SU36">
        <v>0</v>
      </c>
      <c r="SV36">
        <v>0</v>
      </c>
      <c r="SW36">
        <v>0</v>
      </c>
      <c r="SX36">
        <v>0</v>
      </c>
      <c r="SY36">
        <v>0</v>
      </c>
      <c r="SZ36">
        <v>0</v>
      </c>
      <c r="TA36">
        <v>0</v>
      </c>
      <c r="TB36">
        <v>0</v>
      </c>
      <c r="TC36">
        <v>0</v>
      </c>
      <c r="TD36">
        <v>0</v>
      </c>
      <c r="TE36" s="116">
        <v>0</v>
      </c>
      <c r="TF36" s="116">
        <v>0</v>
      </c>
      <c r="TG36" s="116">
        <v>0</v>
      </c>
      <c r="TH36" s="116">
        <v>0</v>
      </c>
      <c r="TI36" s="116">
        <v>0</v>
      </c>
      <c r="TJ36" s="116">
        <v>0</v>
      </c>
      <c r="TK36" s="116">
        <v>0</v>
      </c>
      <c r="TL36" s="116">
        <v>0</v>
      </c>
      <c r="TM36" s="116">
        <v>0</v>
      </c>
      <c r="TN36" s="128">
        <v>0</v>
      </c>
      <c r="TO36" s="128">
        <v>0</v>
      </c>
      <c r="TP36" s="128">
        <v>0</v>
      </c>
      <c r="TQ36" s="128">
        <v>0</v>
      </c>
      <c r="TR36">
        <v>0</v>
      </c>
      <c r="TS36" s="119">
        <v>0</v>
      </c>
      <c r="TT36" s="119">
        <v>0</v>
      </c>
      <c r="TU36" s="119">
        <v>0</v>
      </c>
      <c r="TV36" s="119">
        <v>0</v>
      </c>
      <c r="TW36" s="121">
        <v>0</v>
      </c>
      <c r="TX36" s="119">
        <v>0</v>
      </c>
      <c r="TY36">
        <v>0</v>
      </c>
      <c r="TZ36">
        <v>0</v>
      </c>
      <c r="UA36">
        <v>0</v>
      </c>
      <c r="UB36">
        <v>0</v>
      </c>
      <c r="UC36" s="119">
        <v>0</v>
      </c>
      <c r="UD36">
        <v>0</v>
      </c>
      <c r="UE36">
        <v>0</v>
      </c>
      <c r="UF36">
        <v>0</v>
      </c>
      <c r="UG36">
        <v>0</v>
      </c>
      <c r="UH36">
        <v>0</v>
      </c>
      <c r="UI36">
        <v>0</v>
      </c>
      <c r="UJ36">
        <v>0</v>
      </c>
      <c r="UK36">
        <v>0</v>
      </c>
      <c r="UL36">
        <v>0</v>
      </c>
      <c r="UM36">
        <v>0</v>
      </c>
      <c r="UN36">
        <v>0</v>
      </c>
      <c r="UO36">
        <v>0</v>
      </c>
      <c r="UP36">
        <v>0</v>
      </c>
      <c r="UQ36">
        <v>0</v>
      </c>
      <c r="UR36">
        <v>0</v>
      </c>
      <c r="US36">
        <v>0</v>
      </c>
      <c r="UT36">
        <v>0</v>
      </c>
      <c r="UU36">
        <v>0</v>
      </c>
      <c r="UV36">
        <v>0</v>
      </c>
      <c r="UW36">
        <v>0</v>
      </c>
      <c r="UX36">
        <v>0</v>
      </c>
      <c r="UY36">
        <v>0</v>
      </c>
      <c r="UZ36">
        <v>0</v>
      </c>
      <c r="VA36" s="116">
        <v>0</v>
      </c>
      <c r="VB36" s="116">
        <v>0</v>
      </c>
      <c r="VC36" s="116">
        <v>0</v>
      </c>
      <c r="VD36" s="116">
        <v>0</v>
      </c>
      <c r="VE36" s="116">
        <v>0</v>
      </c>
      <c r="VF36" s="116">
        <v>0</v>
      </c>
      <c r="VG36" s="116">
        <v>0</v>
      </c>
      <c r="VH36" s="116">
        <v>0</v>
      </c>
      <c r="VI36" s="116">
        <v>0</v>
      </c>
      <c r="VJ36" s="128">
        <v>0</v>
      </c>
      <c r="VK36" s="128">
        <v>0</v>
      </c>
      <c r="VL36" s="128">
        <v>0</v>
      </c>
      <c r="VM36" s="128">
        <v>0</v>
      </c>
      <c r="VN36">
        <v>0</v>
      </c>
      <c r="VO36" s="119">
        <v>0</v>
      </c>
      <c r="VP36" s="119">
        <v>0</v>
      </c>
      <c r="VQ36" s="119">
        <v>0</v>
      </c>
      <c r="VR36" s="119">
        <v>0</v>
      </c>
      <c r="VS36" s="121">
        <v>0</v>
      </c>
      <c r="VT36" s="119">
        <v>0</v>
      </c>
      <c r="VU36" s="119">
        <v>0</v>
      </c>
      <c r="VV36">
        <v>0</v>
      </c>
      <c r="VW36">
        <v>0</v>
      </c>
      <c r="VX36">
        <v>0</v>
      </c>
      <c r="VY36" s="119">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s="116">
        <v>0</v>
      </c>
      <c r="WX36" s="116">
        <v>0</v>
      </c>
      <c r="WY36" s="116">
        <v>0</v>
      </c>
      <c r="WZ36" s="116">
        <v>0</v>
      </c>
      <c r="XA36" s="116">
        <v>0</v>
      </c>
      <c r="XB36" s="116">
        <v>0</v>
      </c>
      <c r="XC36" s="116">
        <v>0</v>
      </c>
      <c r="XD36" s="116">
        <v>0</v>
      </c>
      <c r="XE36" s="116">
        <v>0</v>
      </c>
      <c r="XF36" s="128">
        <v>0</v>
      </c>
      <c r="XG36" s="128">
        <v>0</v>
      </c>
      <c r="XH36" s="128">
        <v>0</v>
      </c>
      <c r="XI36" s="128">
        <v>0</v>
      </c>
      <c r="XJ36">
        <v>0</v>
      </c>
      <c r="XK36" s="119">
        <v>0</v>
      </c>
      <c r="XL36" s="119">
        <v>0</v>
      </c>
      <c r="XM36" s="119">
        <v>0</v>
      </c>
      <c r="XN36" s="119">
        <v>0</v>
      </c>
      <c r="XO36" s="121">
        <v>0</v>
      </c>
      <c r="XP36" s="119">
        <v>0</v>
      </c>
      <c r="XQ36" s="119">
        <v>0</v>
      </c>
      <c r="XR36">
        <v>0</v>
      </c>
      <c r="XS36">
        <v>0</v>
      </c>
      <c r="XT36">
        <v>0</v>
      </c>
      <c r="XU36" s="119">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S36">
        <v>0</v>
      </c>
      <c r="YT36">
        <v>0</v>
      </c>
      <c r="YU36">
        <v>0</v>
      </c>
      <c r="YV36">
        <v>0</v>
      </c>
      <c r="YW36">
        <v>0</v>
      </c>
      <c r="YX36">
        <v>0</v>
      </c>
      <c r="YY36">
        <v>0</v>
      </c>
      <c r="YZ36">
        <v>0</v>
      </c>
      <c r="ZA36">
        <v>0</v>
      </c>
      <c r="ZB36" s="128">
        <v>0</v>
      </c>
      <c r="ZC36" s="128">
        <v>0</v>
      </c>
      <c r="ZD36" s="128">
        <v>0</v>
      </c>
      <c r="ZE36" s="128">
        <v>0</v>
      </c>
      <c r="ZF36">
        <v>0</v>
      </c>
      <c r="ZG36" s="119">
        <v>0</v>
      </c>
      <c r="ZH36" s="119">
        <v>0</v>
      </c>
      <c r="ZI36" s="119">
        <v>0</v>
      </c>
      <c r="ZJ36" s="119">
        <v>0</v>
      </c>
      <c r="ZK36" s="121">
        <v>0</v>
      </c>
      <c r="ZL36" s="119">
        <v>0</v>
      </c>
      <c r="ZM36" s="119">
        <v>0</v>
      </c>
      <c r="ZN36">
        <v>0</v>
      </c>
      <c r="ZO36">
        <v>0</v>
      </c>
      <c r="ZP36">
        <v>0</v>
      </c>
      <c r="ZQ36" s="119">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s="116">
        <v>0</v>
      </c>
      <c r="AAP36" s="116">
        <v>0</v>
      </c>
      <c r="AAQ36" s="116">
        <v>0</v>
      </c>
      <c r="AAR36" s="116">
        <v>0</v>
      </c>
      <c r="AAS36" s="116">
        <v>0</v>
      </c>
      <c r="AAT36" s="116">
        <v>0</v>
      </c>
      <c r="AAU36" s="116">
        <v>0</v>
      </c>
      <c r="AAV36" s="116">
        <v>0</v>
      </c>
      <c r="AAW36" s="116">
        <v>0</v>
      </c>
      <c r="AAX36" s="128">
        <v>0</v>
      </c>
      <c r="AAY36" s="128">
        <v>0</v>
      </c>
      <c r="AAZ36" s="128">
        <v>0</v>
      </c>
      <c r="ABA36" s="128">
        <v>0</v>
      </c>
      <c r="ABB36">
        <v>0</v>
      </c>
      <c r="ABC36" s="119">
        <v>0</v>
      </c>
      <c r="ABD36" s="119">
        <v>0</v>
      </c>
      <c r="ABE36" s="119">
        <v>0</v>
      </c>
      <c r="ABF36" s="119">
        <v>0</v>
      </c>
      <c r="ABG36" s="121">
        <v>0</v>
      </c>
      <c r="ABH36" s="119">
        <v>0</v>
      </c>
      <c r="ABI36" s="119">
        <v>0</v>
      </c>
      <c r="ABJ36">
        <v>0</v>
      </c>
      <c r="ABK36">
        <v>0</v>
      </c>
      <c r="ABL36">
        <v>0</v>
      </c>
      <c r="ABM36" s="119">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s="116">
        <v>0</v>
      </c>
      <c r="ACL36" s="116">
        <v>0</v>
      </c>
      <c r="ACM36" s="116">
        <v>0</v>
      </c>
      <c r="ACN36" s="116">
        <v>0</v>
      </c>
      <c r="ACO36" s="116">
        <v>0</v>
      </c>
      <c r="ACP36" s="116">
        <v>0</v>
      </c>
      <c r="ACQ36" s="116">
        <v>0</v>
      </c>
      <c r="ACR36" s="116">
        <v>0</v>
      </c>
      <c r="ACS36" s="116">
        <v>0</v>
      </c>
      <c r="ACT36" s="128">
        <v>0</v>
      </c>
      <c r="ACU36" s="128">
        <v>0</v>
      </c>
      <c r="ACV36" s="128">
        <v>0</v>
      </c>
      <c r="ACW36" s="128">
        <v>0</v>
      </c>
      <c r="ACX36">
        <v>0</v>
      </c>
      <c r="ACY36" s="119">
        <v>0</v>
      </c>
      <c r="ACZ36" s="119">
        <v>0</v>
      </c>
      <c r="ADA36" s="119">
        <v>0</v>
      </c>
      <c r="ADB36" s="119">
        <v>0</v>
      </c>
      <c r="ADC36" s="121">
        <v>0</v>
      </c>
      <c r="ADD36" s="119">
        <v>0</v>
      </c>
      <c r="ADE36" s="119">
        <v>0</v>
      </c>
      <c r="ADF36">
        <v>0</v>
      </c>
      <c r="ADG36">
        <v>0</v>
      </c>
      <c r="ADH36">
        <v>0</v>
      </c>
      <c r="ADI36" s="119">
        <v>0</v>
      </c>
      <c r="ADJ36">
        <v>0</v>
      </c>
      <c r="ADK36">
        <v>0</v>
      </c>
      <c r="ADL36">
        <v>0</v>
      </c>
      <c r="ADM36">
        <v>0</v>
      </c>
      <c r="ADN36">
        <v>0</v>
      </c>
      <c r="ADO36">
        <v>0</v>
      </c>
      <c r="ADP36">
        <v>0</v>
      </c>
      <c r="ADQ36">
        <v>0</v>
      </c>
      <c r="ADR36">
        <v>0</v>
      </c>
      <c r="ADS36">
        <v>0</v>
      </c>
      <c r="ADT36">
        <v>0</v>
      </c>
      <c r="ADU36">
        <v>0</v>
      </c>
      <c r="ADV36">
        <v>0</v>
      </c>
      <c r="ADW36">
        <v>0</v>
      </c>
      <c r="ADX36">
        <v>0</v>
      </c>
      <c r="ADY36">
        <v>0</v>
      </c>
      <c r="ADZ36">
        <v>0</v>
      </c>
      <c r="AEA36">
        <v>0</v>
      </c>
      <c r="AEB36">
        <v>0</v>
      </c>
      <c r="AEC36">
        <v>0</v>
      </c>
      <c r="AED36">
        <v>0</v>
      </c>
      <c r="AEE36">
        <v>0</v>
      </c>
      <c r="AEF36">
        <v>0</v>
      </c>
      <c r="AEG36" s="116">
        <v>0</v>
      </c>
      <c r="AEH36" s="116">
        <v>0</v>
      </c>
      <c r="AEI36" s="116">
        <v>0</v>
      </c>
      <c r="AEJ36" s="116">
        <v>0</v>
      </c>
      <c r="AEK36" s="116">
        <v>0</v>
      </c>
      <c r="AEL36" s="116">
        <v>0</v>
      </c>
      <c r="AEM36" s="116">
        <v>0</v>
      </c>
      <c r="AEN36" s="116">
        <v>0</v>
      </c>
      <c r="AEO36" s="116">
        <v>0</v>
      </c>
      <c r="AEP36" s="128">
        <v>0</v>
      </c>
      <c r="AEQ36" s="128">
        <v>0</v>
      </c>
      <c r="AER36" s="128">
        <v>0</v>
      </c>
      <c r="AES36" s="128">
        <v>0</v>
      </c>
      <c r="AET36">
        <v>0</v>
      </c>
      <c r="AEU36" s="119">
        <v>0</v>
      </c>
      <c r="AEV36" s="119">
        <v>0</v>
      </c>
      <c r="AEW36" s="119">
        <v>0</v>
      </c>
      <c r="AEX36" s="119">
        <v>0</v>
      </c>
      <c r="AEY36" s="121">
        <v>0</v>
      </c>
      <c r="AEZ36" s="119">
        <v>0</v>
      </c>
      <c r="AFA36" s="119">
        <v>0</v>
      </c>
      <c r="AFB36">
        <v>0</v>
      </c>
      <c r="AFC36">
        <v>0</v>
      </c>
      <c r="AFD36">
        <v>0</v>
      </c>
      <c r="AFE36" s="119">
        <v>0</v>
      </c>
      <c r="AFF36">
        <v>0</v>
      </c>
      <c r="AFG36">
        <v>0</v>
      </c>
      <c r="AFH36">
        <v>0</v>
      </c>
      <c r="AFI36">
        <v>0</v>
      </c>
      <c r="AFJ36">
        <v>0</v>
      </c>
      <c r="AFK36">
        <v>0</v>
      </c>
      <c r="AFL36">
        <v>0</v>
      </c>
      <c r="AFM36">
        <v>0</v>
      </c>
      <c r="AFN36">
        <v>0</v>
      </c>
      <c r="AFO36">
        <v>0</v>
      </c>
      <c r="AFP36">
        <v>0</v>
      </c>
      <c r="AFQ36">
        <v>0</v>
      </c>
      <c r="AFR36">
        <v>0</v>
      </c>
      <c r="AFS36">
        <v>0</v>
      </c>
      <c r="AFT36">
        <v>0</v>
      </c>
      <c r="AFU36">
        <v>0</v>
      </c>
      <c r="AFV36">
        <v>0</v>
      </c>
      <c r="AFW36">
        <v>0</v>
      </c>
      <c r="AFX36">
        <v>0</v>
      </c>
      <c r="AFY36">
        <v>0</v>
      </c>
      <c r="AFZ36">
        <v>0</v>
      </c>
      <c r="AGA36">
        <v>0</v>
      </c>
      <c r="AGB36">
        <v>0</v>
      </c>
      <c r="AGC36" s="116">
        <v>0</v>
      </c>
      <c r="AGD36" s="116">
        <v>0</v>
      </c>
      <c r="AGE36" s="116">
        <v>0</v>
      </c>
      <c r="AGF36" s="116">
        <v>0</v>
      </c>
      <c r="AGG36" s="116">
        <v>0</v>
      </c>
      <c r="AGH36" s="116">
        <v>0</v>
      </c>
      <c r="AGI36" s="116">
        <v>0</v>
      </c>
      <c r="AGJ36" s="116">
        <v>0</v>
      </c>
      <c r="AGK36" s="116">
        <v>0</v>
      </c>
      <c r="AGL36" s="128">
        <v>0</v>
      </c>
      <c r="AGM36" s="128">
        <v>0</v>
      </c>
      <c r="AGN36" s="128">
        <v>0</v>
      </c>
      <c r="AGO36" s="128">
        <v>0</v>
      </c>
      <c r="AGP36">
        <v>0</v>
      </c>
      <c r="AGQ36" s="119">
        <v>0</v>
      </c>
      <c r="AGR36" s="119">
        <v>0</v>
      </c>
      <c r="AGS36" s="119">
        <v>0</v>
      </c>
      <c r="AGT36" s="119">
        <v>0</v>
      </c>
      <c r="AGU36" s="121">
        <v>0</v>
      </c>
      <c r="AGV36" s="119">
        <v>0</v>
      </c>
      <c r="AGW36" s="119">
        <v>0</v>
      </c>
      <c r="AGX36">
        <v>0</v>
      </c>
      <c r="AGY36">
        <v>0</v>
      </c>
      <c r="AGZ36">
        <v>0</v>
      </c>
      <c r="AHA36" s="119">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A36">
        <v>0</v>
      </c>
      <c r="AIB36">
        <v>0</v>
      </c>
      <c r="AIC36">
        <v>0</v>
      </c>
      <c r="AID36">
        <v>0</v>
      </c>
      <c r="AIE36">
        <v>0</v>
      </c>
      <c r="AIF36">
        <v>0</v>
      </c>
      <c r="AIG36">
        <v>0</v>
      </c>
      <c r="AIH36" s="128">
        <v>0</v>
      </c>
      <c r="AII36" s="128">
        <v>0</v>
      </c>
      <c r="AIJ36" s="128">
        <v>0</v>
      </c>
      <c r="AIK36" s="128">
        <v>0</v>
      </c>
      <c r="AIL36">
        <v>0</v>
      </c>
      <c r="AIM36" s="119">
        <v>0</v>
      </c>
      <c r="AIN36" s="119">
        <v>0</v>
      </c>
      <c r="AIO36" s="119">
        <v>0</v>
      </c>
      <c r="AIP36" s="119">
        <v>0</v>
      </c>
      <c r="AIQ36" s="121">
        <v>0</v>
      </c>
      <c r="AIR36" s="119">
        <v>0</v>
      </c>
      <c r="AIS36" s="119">
        <v>0</v>
      </c>
      <c r="AIT36">
        <v>0</v>
      </c>
      <c r="AIU36">
        <v>0</v>
      </c>
      <c r="AIV36">
        <v>0</v>
      </c>
      <c r="AIW36" s="119">
        <v>0</v>
      </c>
      <c r="AIX36">
        <v>0</v>
      </c>
      <c r="AIY36">
        <v>0</v>
      </c>
      <c r="AIZ36">
        <v>0</v>
      </c>
      <c r="AJA36">
        <v>0</v>
      </c>
      <c r="AJB36">
        <v>0</v>
      </c>
      <c r="AJC36">
        <v>0</v>
      </c>
      <c r="AJD36">
        <v>0</v>
      </c>
      <c r="AJE36">
        <v>0</v>
      </c>
      <c r="AJF36">
        <v>0</v>
      </c>
      <c r="AJG36">
        <v>0</v>
      </c>
      <c r="AJH36">
        <v>0</v>
      </c>
      <c r="AJI36">
        <v>0</v>
      </c>
      <c r="AJJ36">
        <v>0</v>
      </c>
      <c r="AJK36">
        <v>0</v>
      </c>
      <c r="AJL36">
        <v>0</v>
      </c>
      <c r="AJM36">
        <v>0</v>
      </c>
      <c r="AJN36">
        <v>0</v>
      </c>
      <c r="AJO36">
        <v>0</v>
      </c>
      <c r="AJP36">
        <v>0</v>
      </c>
      <c r="AJQ36">
        <v>0</v>
      </c>
      <c r="AJR36">
        <v>0</v>
      </c>
      <c r="AJS36">
        <v>0</v>
      </c>
      <c r="AJT36">
        <v>0</v>
      </c>
      <c r="AJU36" s="116">
        <v>0</v>
      </c>
      <c r="AJV36" s="116">
        <v>0</v>
      </c>
      <c r="AJW36" s="116">
        <v>0</v>
      </c>
      <c r="AJX36" s="116">
        <v>0</v>
      </c>
      <c r="AJY36" s="116">
        <v>0</v>
      </c>
      <c r="AJZ36" s="116">
        <v>0</v>
      </c>
      <c r="AKA36" s="116">
        <v>0</v>
      </c>
      <c r="AKB36" s="116">
        <v>0</v>
      </c>
      <c r="AKC36" s="116">
        <v>0</v>
      </c>
      <c r="AKD36" s="128">
        <v>0</v>
      </c>
      <c r="AKE36" s="128">
        <v>0</v>
      </c>
      <c r="AKF36" s="128">
        <v>0</v>
      </c>
      <c r="AKG36" s="128">
        <v>0</v>
      </c>
      <c r="AKH36">
        <v>0</v>
      </c>
      <c r="AKI36" s="119">
        <v>0</v>
      </c>
      <c r="AKJ36" s="119">
        <v>0</v>
      </c>
      <c r="AKK36" s="119">
        <v>0</v>
      </c>
      <c r="AKL36" s="119">
        <v>0</v>
      </c>
      <c r="AKM36" s="121">
        <v>0</v>
      </c>
      <c r="AKN36" s="119">
        <v>0</v>
      </c>
      <c r="AKO36" s="119">
        <v>0</v>
      </c>
      <c r="AKP36">
        <v>0</v>
      </c>
      <c r="AKQ36">
        <v>0</v>
      </c>
      <c r="AKR36">
        <v>0</v>
      </c>
      <c r="AKS36" s="119">
        <v>0</v>
      </c>
      <c r="AKT36">
        <v>0</v>
      </c>
      <c r="AKU36">
        <v>0</v>
      </c>
      <c r="AKV36">
        <v>0</v>
      </c>
      <c r="AKW36">
        <v>0</v>
      </c>
      <c r="AKX36">
        <v>0</v>
      </c>
      <c r="AKY36">
        <v>0</v>
      </c>
      <c r="AKZ36">
        <v>0</v>
      </c>
      <c r="ALA36">
        <v>0</v>
      </c>
      <c r="ALB36">
        <v>0</v>
      </c>
      <c r="ALC36">
        <v>0</v>
      </c>
      <c r="ALD36">
        <v>0</v>
      </c>
      <c r="ALE36">
        <v>0</v>
      </c>
      <c r="ALF36">
        <v>0</v>
      </c>
      <c r="ALG36">
        <v>0</v>
      </c>
      <c r="ALH36">
        <v>0</v>
      </c>
      <c r="ALI36">
        <v>0</v>
      </c>
      <c r="ALJ36">
        <v>0</v>
      </c>
      <c r="ALK36">
        <v>0</v>
      </c>
      <c r="ALL36">
        <v>0</v>
      </c>
      <c r="ALM36">
        <v>0</v>
      </c>
      <c r="ALN36">
        <v>0</v>
      </c>
      <c r="ALO36">
        <v>0</v>
      </c>
      <c r="ALP36">
        <v>0</v>
      </c>
      <c r="ALQ36" s="116">
        <v>0</v>
      </c>
      <c r="ALR36" s="116">
        <v>0</v>
      </c>
      <c r="ALS36" s="116">
        <v>0</v>
      </c>
      <c r="ALT36" s="116">
        <v>0</v>
      </c>
      <c r="ALU36" s="116">
        <v>0</v>
      </c>
      <c r="ALV36" s="116">
        <v>0</v>
      </c>
      <c r="ALW36" s="116">
        <v>0</v>
      </c>
      <c r="ALX36" s="116">
        <v>0</v>
      </c>
      <c r="ALY36" s="116">
        <v>0</v>
      </c>
      <c r="ALZ36" s="128">
        <v>0</v>
      </c>
      <c r="AMA36" s="128">
        <v>0</v>
      </c>
      <c r="AMB36" s="128">
        <v>0</v>
      </c>
      <c r="AMC36" s="128">
        <v>0</v>
      </c>
      <c r="AMD36">
        <v>0</v>
      </c>
      <c r="AME36" s="119">
        <v>0</v>
      </c>
      <c r="AMF36" s="119">
        <v>0</v>
      </c>
      <c r="AMG36" s="119">
        <v>0</v>
      </c>
      <c r="AMH36" s="119">
        <v>0</v>
      </c>
      <c r="AMI36" s="121">
        <v>0</v>
      </c>
      <c r="AMJ36" s="119">
        <v>0</v>
      </c>
      <c r="AMK36" s="119">
        <v>0</v>
      </c>
      <c r="AML36">
        <v>0</v>
      </c>
      <c r="AMM36">
        <v>0</v>
      </c>
      <c r="AMN36">
        <v>0</v>
      </c>
      <c r="AMO36" s="119">
        <v>0</v>
      </c>
      <c r="AMP36">
        <v>0</v>
      </c>
      <c r="AMQ36">
        <v>0</v>
      </c>
      <c r="AMR36">
        <v>0</v>
      </c>
      <c r="AMS36">
        <v>0</v>
      </c>
      <c r="AMT36">
        <v>0</v>
      </c>
      <c r="AMU36">
        <v>0</v>
      </c>
      <c r="AMV36">
        <v>0</v>
      </c>
      <c r="AMW36">
        <v>0</v>
      </c>
      <c r="AMX36">
        <v>0</v>
      </c>
      <c r="AMY36">
        <v>0</v>
      </c>
      <c r="AMZ36">
        <v>0</v>
      </c>
      <c r="ANA36">
        <v>0</v>
      </c>
      <c r="ANB36">
        <v>0</v>
      </c>
      <c r="ANC36">
        <v>0</v>
      </c>
      <c r="AND36">
        <v>0</v>
      </c>
      <c r="ANE36">
        <v>0</v>
      </c>
      <c r="ANF36">
        <v>0</v>
      </c>
      <c r="ANG36">
        <v>0</v>
      </c>
      <c r="ANH36">
        <v>0</v>
      </c>
      <c r="ANI36">
        <v>0</v>
      </c>
      <c r="ANJ36">
        <v>0</v>
      </c>
      <c r="ANK36">
        <v>0</v>
      </c>
      <c r="ANL36">
        <v>0</v>
      </c>
      <c r="ANM36" s="116">
        <v>0</v>
      </c>
      <c r="ANN36" s="116">
        <v>0</v>
      </c>
      <c r="ANO36" s="116">
        <v>0</v>
      </c>
      <c r="ANP36" s="116">
        <v>0</v>
      </c>
      <c r="ANQ36" s="116">
        <v>0</v>
      </c>
      <c r="ANR36" s="116">
        <v>0</v>
      </c>
      <c r="ANS36" s="116">
        <v>0</v>
      </c>
      <c r="ANT36" s="116">
        <v>0</v>
      </c>
      <c r="ANU36" s="116">
        <v>0</v>
      </c>
      <c r="ANV36" s="128">
        <v>0</v>
      </c>
      <c r="ANW36" s="128">
        <v>0</v>
      </c>
      <c r="ANX36" s="128">
        <v>0</v>
      </c>
      <c r="ANY36" s="128">
        <v>0</v>
      </c>
      <c r="ANZ36">
        <v>0</v>
      </c>
      <c r="AOA36" s="119">
        <v>0</v>
      </c>
      <c r="AOB36" s="119">
        <v>0</v>
      </c>
      <c r="AOC36" s="119">
        <v>0</v>
      </c>
      <c r="AOD36" s="119">
        <v>0</v>
      </c>
      <c r="AOE36" s="121">
        <v>0</v>
      </c>
      <c r="AOF36" s="119">
        <v>0</v>
      </c>
      <c r="AOG36" s="119">
        <v>0</v>
      </c>
      <c r="AOH36">
        <v>0</v>
      </c>
      <c r="AOI36">
        <v>0</v>
      </c>
      <c r="AOJ36">
        <v>0</v>
      </c>
      <c r="AOK36" s="119">
        <v>0</v>
      </c>
      <c r="AOL36">
        <v>0</v>
      </c>
      <c r="AOM36">
        <v>0</v>
      </c>
      <c r="AON36">
        <v>0</v>
      </c>
      <c r="AOO36">
        <v>0</v>
      </c>
      <c r="AOP36">
        <v>0</v>
      </c>
      <c r="AOQ36">
        <v>0</v>
      </c>
      <c r="AOR36">
        <v>0</v>
      </c>
      <c r="AOS36">
        <v>0</v>
      </c>
      <c r="AOT36">
        <v>0</v>
      </c>
      <c r="AOU36">
        <v>0</v>
      </c>
      <c r="AOV36">
        <v>0</v>
      </c>
      <c r="AOW36">
        <v>0</v>
      </c>
      <c r="AOX36">
        <v>0</v>
      </c>
      <c r="AOY36">
        <v>0</v>
      </c>
      <c r="AOZ36">
        <v>0</v>
      </c>
      <c r="APA36">
        <v>0</v>
      </c>
      <c r="APB36">
        <v>0</v>
      </c>
      <c r="APC36">
        <v>0</v>
      </c>
      <c r="APD36">
        <v>0</v>
      </c>
      <c r="APE36">
        <v>0</v>
      </c>
      <c r="APF36">
        <v>0</v>
      </c>
      <c r="APG36">
        <v>0</v>
      </c>
      <c r="APH36">
        <v>0</v>
      </c>
      <c r="API36" s="116">
        <v>0</v>
      </c>
      <c r="APJ36" s="116">
        <v>0</v>
      </c>
      <c r="APK36" s="116">
        <v>0</v>
      </c>
      <c r="APL36" s="116">
        <v>0</v>
      </c>
      <c r="APM36" s="116">
        <v>0</v>
      </c>
      <c r="APN36" s="116">
        <v>0</v>
      </c>
      <c r="APO36" s="116">
        <v>0</v>
      </c>
      <c r="APP36" s="116">
        <v>0</v>
      </c>
      <c r="APQ36" s="116">
        <v>0</v>
      </c>
      <c r="APR36" s="128">
        <v>0</v>
      </c>
      <c r="APS36" s="128">
        <v>0</v>
      </c>
      <c r="APT36" s="128">
        <v>0</v>
      </c>
      <c r="APU36" s="128">
        <v>0</v>
      </c>
      <c r="APV36">
        <v>0</v>
      </c>
      <c r="APW36" s="119">
        <v>0</v>
      </c>
      <c r="APX36" s="119">
        <v>0</v>
      </c>
      <c r="APY36" s="119">
        <v>0</v>
      </c>
      <c r="APZ36" s="119">
        <v>0</v>
      </c>
      <c r="AQA36" s="121">
        <v>0</v>
      </c>
      <c r="AQB36" s="119">
        <v>0</v>
      </c>
      <c r="AQC36" s="119">
        <v>0</v>
      </c>
      <c r="AQD36">
        <v>0</v>
      </c>
      <c r="AQE36">
        <v>0</v>
      </c>
      <c r="AQF36">
        <v>0</v>
      </c>
      <c r="AQG36" s="119">
        <v>0</v>
      </c>
      <c r="AQH36">
        <v>0</v>
      </c>
      <c r="AQI36">
        <v>0</v>
      </c>
      <c r="AQJ36">
        <v>0</v>
      </c>
      <c r="AQK36">
        <v>0</v>
      </c>
      <c r="AQL36">
        <v>0</v>
      </c>
      <c r="AQM36">
        <v>0</v>
      </c>
      <c r="AQN36">
        <v>0</v>
      </c>
      <c r="AQO36">
        <v>0</v>
      </c>
      <c r="AQP36">
        <v>0</v>
      </c>
      <c r="AQQ36">
        <v>0</v>
      </c>
      <c r="AQR36">
        <v>0</v>
      </c>
      <c r="AQS36">
        <v>0</v>
      </c>
      <c r="AQT36">
        <v>0</v>
      </c>
      <c r="AQU36">
        <v>0</v>
      </c>
      <c r="AQV36">
        <v>0</v>
      </c>
      <c r="AQW36">
        <v>0</v>
      </c>
      <c r="AQX36">
        <v>0</v>
      </c>
      <c r="AQY36">
        <v>0</v>
      </c>
      <c r="AQZ36">
        <v>0</v>
      </c>
      <c r="ARA36">
        <v>0</v>
      </c>
      <c r="ARB36">
        <v>0</v>
      </c>
      <c r="ARC36">
        <v>0</v>
      </c>
      <c r="ARD36">
        <v>0</v>
      </c>
      <c r="ARE36">
        <v>0</v>
      </c>
      <c r="ARF36">
        <v>0</v>
      </c>
      <c r="ARG36">
        <v>0</v>
      </c>
      <c r="ARH36">
        <v>0</v>
      </c>
      <c r="ARI36">
        <v>0</v>
      </c>
      <c r="ARJ36">
        <v>0</v>
      </c>
      <c r="ARK36">
        <v>0</v>
      </c>
      <c r="ARL36">
        <v>0</v>
      </c>
      <c r="ARM36">
        <v>0</v>
      </c>
      <c r="ARN36" s="128">
        <v>0</v>
      </c>
      <c r="ARO36" s="128">
        <v>0</v>
      </c>
      <c r="ARP36" s="128">
        <v>0</v>
      </c>
      <c r="ARQ36" s="128">
        <v>0</v>
      </c>
      <c r="ARR36">
        <v>0</v>
      </c>
      <c r="ARS36" s="119">
        <v>0</v>
      </c>
      <c r="ART36" s="119">
        <v>0</v>
      </c>
      <c r="ARU36" s="119">
        <v>0</v>
      </c>
      <c r="ARV36" s="119">
        <v>0</v>
      </c>
      <c r="ARW36" s="121">
        <v>0</v>
      </c>
      <c r="ARX36" s="119">
        <v>0</v>
      </c>
      <c r="ARY36" s="119">
        <v>0</v>
      </c>
      <c r="ARZ36">
        <v>0</v>
      </c>
      <c r="ASA36">
        <v>0</v>
      </c>
      <c r="ASB36">
        <v>0</v>
      </c>
      <c r="ASC36" s="119">
        <v>0</v>
      </c>
      <c r="ASD36">
        <v>0</v>
      </c>
      <c r="ASE36">
        <v>0</v>
      </c>
      <c r="ASF36">
        <v>0</v>
      </c>
      <c r="ASG36">
        <v>0</v>
      </c>
      <c r="ASH36">
        <v>0</v>
      </c>
      <c r="ASI36">
        <v>0</v>
      </c>
      <c r="ASJ36">
        <v>0</v>
      </c>
      <c r="ASK36">
        <v>0</v>
      </c>
      <c r="ASL36">
        <v>0</v>
      </c>
      <c r="ASM36">
        <v>0</v>
      </c>
      <c r="ASN36">
        <v>0</v>
      </c>
      <c r="ASO36">
        <v>0</v>
      </c>
      <c r="ASP36">
        <v>0</v>
      </c>
      <c r="ASQ36">
        <v>0</v>
      </c>
      <c r="ASR36">
        <v>0</v>
      </c>
      <c r="ASS36">
        <v>0</v>
      </c>
      <c r="AST36">
        <v>0</v>
      </c>
      <c r="ASU36">
        <v>0</v>
      </c>
      <c r="ASV36">
        <v>0</v>
      </c>
      <c r="ASW36">
        <v>0</v>
      </c>
      <c r="ASX36">
        <v>0</v>
      </c>
      <c r="ASY36">
        <v>0</v>
      </c>
      <c r="ASZ36">
        <v>0</v>
      </c>
      <c r="ATA36" s="116">
        <v>0</v>
      </c>
      <c r="ATB36" s="116">
        <v>0</v>
      </c>
      <c r="ATC36" s="116">
        <v>0</v>
      </c>
      <c r="ATD36" s="116">
        <v>0</v>
      </c>
      <c r="ATE36" s="116">
        <v>0</v>
      </c>
      <c r="ATF36" s="116">
        <v>0</v>
      </c>
      <c r="ATG36" s="116">
        <v>0</v>
      </c>
      <c r="ATH36" s="116">
        <v>0</v>
      </c>
      <c r="ATI36" s="116">
        <v>0</v>
      </c>
      <c r="ATJ36" s="128">
        <v>0</v>
      </c>
      <c r="ATK36" s="128">
        <v>0</v>
      </c>
      <c r="ATL36" s="128">
        <v>0</v>
      </c>
      <c r="ATM36" s="128">
        <v>0</v>
      </c>
      <c r="ATN36">
        <v>0</v>
      </c>
      <c r="ATO36" s="119">
        <v>0</v>
      </c>
      <c r="ATP36" s="119">
        <v>0</v>
      </c>
      <c r="ATQ36" s="119">
        <v>0</v>
      </c>
      <c r="ATR36" s="119">
        <v>0</v>
      </c>
      <c r="ATS36" s="121">
        <v>0</v>
      </c>
      <c r="ATT36" s="119">
        <v>0</v>
      </c>
      <c r="ATU36" s="119">
        <v>0</v>
      </c>
      <c r="ATV36">
        <v>0</v>
      </c>
      <c r="ATW36">
        <v>0</v>
      </c>
      <c r="ATX36">
        <v>0</v>
      </c>
      <c r="ATY36" s="119">
        <v>0</v>
      </c>
      <c r="ATZ36">
        <v>0</v>
      </c>
      <c r="AUA36">
        <v>0</v>
      </c>
      <c r="AUB36">
        <v>0</v>
      </c>
      <c r="AUC36">
        <v>0</v>
      </c>
      <c r="AUD36">
        <v>0</v>
      </c>
      <c r="AUE36">
        <v>0</v>
      </c>
      <c r="AUF36">
        <v>0</v>
      </c>
      <c r="AUG36">
        <v>0</v>
      </c>
      <c r="AUH36">
        <v>0</v>
      </c>
      <c r="AUI36">
        <v>0</v>
      </c>
      <c r="AUJ36">
        <v>0</v>
      </c>
      <c r="AUK36">
        <v>0</v>
      </c>
      <c r="AUL36">
        <v>0</v>
      </c>
      <c r="AUM36">
        <v>0</v>
      </c>
      <c r="AUN36">
        <v>0</v>
      </c>
      <c r="AUO36">
        <v>0</v>
      </c>
      <c r="AUP36">
        <v>0</v>
      </c>
      <c r="AUQ36">
        <v>0</v>
      </c>
      <c r="AUR36">
        <v>0</v>
      </c>
      <c r="AUS36">
        <v>0</v>
      </c>
      <c r="AUT36">
        <v>0</v>
      </c>
      <c r="AUU36">
        <v>0</v>
      </c>
      <c r="AUV36">
        <v>0</v>
      </c>
      <c r="AUW36" s="116">
        <v>0</v>
      </c>
      <c r="AUX36" s="116">
        <v>0</v>
      </c>
      <c r="AUY36" s="116">
        <v>0</v>
      </c>
      <c r="AUZ36" s="116">
        <v>0</v>
      </c>
      <c r="AVA36" s="116">
        <v>0</v>
      </c>
      <c r="AVB36" s="116">
        <v>0</v>
      </c>
      <c r="AVC36" s="116">
        <v>0</v>
      </c>
      <c r="AVD36" s="116">
        <v>0</v>
      </c>
      <c r="AVE36" s="116">
        <v>0</v>
      </c>
      <c r="AVF36" s="128">
        <v>0</v>
      </c>
      <c r="AVG36" s="128">
        <v>0</v>
      </c>
      <c r="AVH36" s="128">
        <v>0</v>
      </c>
      <c r="AVI36" s="128">
        <v>0</v>
      </c>
      <c r="AVJ36">
        <v>0</v>
      </c>
      <c r="AVK36" s="119">
        <v>0</v>
      </c>
      <c r="AVL36" s="119">
        <v>0</v>
      </c>
      <c r="AVM36" s="119">
        <v>0</v>
      </c>
      <c r="AVN36" s="119">
        <v>0</v>
      </c>
      <c r="AVO36" s="121">
        <v>0</v>
      </c>
      <c r="AVP36" s="119">
        <v>0</v>
      </c>
      <c r="AVQ36" s="119">
        <v>0</v>
      </c>
      <c r="AVR36">
        <v>0</v>
      </c>
      <c r="AVS36">
        <v>0</v>
      </c>
      <c r="AVT36">
        <v>0</v>
      </c>
      <c r="AVU36" s="119">
        <v>0</v>
      </c>
      <c r="AVV36">
        <v>0</v>
      </c>
      <c r="AVW36">
        <v>0</v>
      </c>
      <c r="AVX36">
        <v>0</v>
      </c>
      <c r="AVY36">
        <v>0</v>
      </c>
      <c r="AVZ36">
        <v>0</v>
      </c>
      <c r="AWA36">
        <v>0</v>
      </c>
      <c r="AWB36">
        <v>0</v>
      </c>
      <c r="AWC36">
        <v>0</v>
      </c>
      <c r="AWD36">
        <v>0</v>
      </c>
      <c r="AWE36">
        <v>0</v>
      </c>
      <c r="AWF36">
        <v>0</v>
      </c>
      <c r="AWG36">
        <v>0</v>
      </c>
      <c r="AWH36">
        <v>0</v>
      </c>
      <c r="AWI36">
        <v>0</v>
      </c>
      <c r="AWJ36">
        <v>0</v>
      </c>
      <c r="AWK36">
        <v>0</v>
      </c>
      <c r="AWL36">
        <v>0</v>
      </c>
      <c r="AWM36">
        <v>0</v>
      </c>
      <c r="AWN36">
        <v>0</v>
      </c>
      <c r="AWO36">
        <v>0</v>
      </c>
      <c r="AWP36">
        <v>0</v>
      </c>
      <c r="AWQ36">
        <v>0</v>
      </c>
      <c r="AWR36">
        <v>0</v>
      </c>
      <c r="AWS36" s="116">
        <v>0</v>
      </c>
      <c r="AWT36" s="116">
        <v>0</v>
      </c>
      <c r="AWU36" s="116">
        <v>0</v>
      </c>
      <c r="AWV36" s="116">
        <v>0</v>
      </c>
      <c r="AWW36" s="116">
        <v>0</v>
      </c>
      <c r="AWX36" s="116">
        <v>0</v>
      </c>
      <c r="AWY36" s="116">
        <v>0</v>
      </c>
      <c r="AWZ36" s="116">
        <v>0</v>
      </c>
      <c r="AXA36" s="116">
        <v>0</v>
      </c>
      <c r="AXB36" s="128">
        <v>0</v>
      </c>
      <c r="AXC36" s="128">
        <v>0</v>
      </c>
      <c r="AXD36" s="128">
        <v>0</v>
      </c>
      <c r="AXE36" s="128">
        <v>0</v>
      </c>
      <c r="AXF36">
        <v>0</v>
      </c>
      <c r="AXG36" s="119">
        <v>0</v>
      </c>
      <c r="AXH36" s="119">
        <v>0</v>
      </c>
      <c r="AXI36" s="119">
        <v>0</v>
      </c>
      <c r="AXJ36" s="119">
        <v>0</v>
      </c>
      <c r="AXK36" s="121">
        <v>0</v>
      </c>
      <c r="AXL36" s="119">
        <v>0</v>
      </c>
      <c r="AXM36" s="119">
        <v>0</v>
      </c>
      <c r="AXN36">
        <v>0</v>
      </c>
      <c r="AXO36">
        <v>0</v>
      </c>
      <c r="AXP36">
        <v>0</v>
      </c>
      <c r="AXQ36" s="119">
        <v>0</v>
      </c>
      <c r="AXR36">
        <v>0</v>
      </c>
      <c r="AXS36">
        <v>0</v>
      </c>
      <c r="AXT36">
        <v>0</v>
      </c>
      <c r="AXU36">
        <v>0</v>
      </c>
      <c r="AXV36">
        <v>0</v>
      </c>
      <c r="AXW36">
        <v>0</v>
      </c>
      <c r="AXX36">
        <v>0</v>
      </c>
      <c r="AXY36">
        <v>0</v>
      </c>
      <c r="AXZ36">
        <v>0</v>
      </c>
      <c r="AYA36">
        <v>0</v>
      </c>
      <c r="AYB36">
        <v>0</v>
      </c>
      <c r="AYC36">
        <v>0</v>
      </c>
      <c r="AYD36">
        <v>0</v>
      </c>
      <c r="AYE36">
        <v>0</v>
      </c>
      <c r="AYF36">
        <v>0</v>
      </c>
      <c r="AYG36">
        <v>0</v>
      </c>
      <c r="AYH36">
        <v>0</v>
      </c>
      <c r="AYI36">
        <v>0</v>
      </c>
      <c r="AYJ36">
        <v>0</v>
      </c>
      <c r="AYK36">
        <v>0</v>
      </c>
      <c r="AYL36">
        <v>0</v>
      </c>
      <c r="AYM36">
        <v>0</v>
      </c>
      <c r="AYN36">
        <v>0</v>
      </c>
      <c r="AYO36" s="116">
        <v>0</v>
      </c>
      <c r="AYP36" s="116">
        <v>0</v>
      </c>
      <c r="AYQ36" s="116">
        <v>0</v>
      </c>
      <c r="AYR36" s="116">
        <v>0</v>
      </c>
      <c r="AYS36" s="116">
        <v>0</v>
      </c>
      <c r="AYT36" s="116">
        <v>0</v>
      </c>
      <c r="AYU36" s="116">
        <v>0</v>
      </c>
      <c r="AYV36" s="116">
        <v>0</v>
      </c>
      <c r="AYW36" s="116">
        <v>0</v>
      </c>
      <c r="AYX36" s="128">
        <v>0</v>
      </c>
      <c r="AYY36" s="128">
        <v>0</v>
      </c>
      <c r="AYZ36" s="128">
        <v>0</v>
      </c>
      <c r="AZA36" s="128">
        <v>0</v>
      </c>
      <c r="AZB36">
        <v>0</v>
      </c>
      <c r="AZC36" s="119">
        <v>0</v>
      </c>
      <c r="AZD36" s="119">
        <v>0</v>
      </c>
      <c r="AZE36" s="119">
        <v>0</v>
      </c>
      <c r="AZF36" s="119">
        <v>0</v>
      </c>
      <c r="AZG36" s="121">
        <v>0</v>
      </c>
      <c r="AZH36" s="119">
        <v>0</v>
      </c>
      <c r="AZI36" s="119">
        <v>0</v>
      </c>
      <c r="AZJ36">
        <v>0</v>
      </c>
      <c r="AZK36">
        <v>0</v>
      </c>
      <c r="AZL36">
        <v>0</v>
      </c>
      <c r="AZM36" s="119">
        <v>0</v>
      </c>
      <c r="AZN36">
        <v>0</v>
      </c>
      <c r="AZO36">
        <v>0</v>
      </c>
      <c r="AZP36">
        <v>0</v>
      </c>
      <c r="AZQ36">
        <v>0</v>
      </c>
      <c r="AZR36">
        <v>0</v>
      </c>
      <c r="AZS36">
        <v>0</v>
      </c>
      <c r="AZT36">
        <v>0</v>
      </c>
      <c r="AZU36">
        <v>0</v>
      </c>
      <c r="AZV36">
        <v>0</v>
      </c>
      <c r="AZW36">
        <v>0</v>
      </c>
      <c r="AZX36">
        <v>0</v>
      </c>
      <c r="AZY36">
        <v>0</v>
      </c>
      <c r="AZZ36">
        <v>0</v>
      </c>
      <c r="BAA36">
        <v>0</v>
      </c>
      <c r="BAB36">
        <v>0</v>
      </c>
      <c r="BAC36">
        <v>0</v>
      </c>
      <c r="BAD36">
        <v>0</v>
      </c>
      <c r="BAE36">
        <v>0</v>
      </c>
      <c r="BAF36">
        <v>0</v>
      </c>
      <c r="BAG36">
        <v>0</v>
      </c>
      <c r="BAH36">
        <v>0</v>
      </c>
      <c r="BAI36">
        <v>0</v>
      </c>
      <c r="BAJ36">
        <v>0</v>
      </c>
      <c r="BAK36">
        <v>833650</v>
      </c>
      <c r="BAL36" s="120">
        <v>7938.49</v>
      </c>
      <c r="BAM36" s="120">
        <v>6966.49</v>
      </c>
      <c r="BAN36" s="120">
        <v>972</v>
      </c>
      <c r="BAO36" s="120">
        <v>0</v>
      </c>
      <c r="BAP36" s="120">
        <v>0</v>
      </c>
      <c r="BAQ36" s="120">
        <v>0</v>
      </c>
      <c r="BAR36" s="116" t="s">
        <v>3450</v>
      </c>
      <c r="BAS36" s="116">
        <v>0</v>
      </c>
      <c r="BAT36" s="116">
        <v>0</v>
      </c>
      <c r="BAU36" s="116">
        <v>0</v>
      </c>
      <c r="BAV36" s="116">
        <v>0</v>
      </c>
      <c r="BAW36" s="116">
        <v>0</v>
      </c>
      <c r="BAX36" s="116">
        <v>0</v>
      </c>
      <c r="BAY36" s="116">
        <v>0</v>
      </c>
      <c r="BAZ36" s="116">
        <v>0</v>
      </c>
      <c r="BBA36" s="116">
        <v>0</v>
      </c>
      <c r="BBB36" s="116">
        <v>0</v>
      </c>
      <c r="BBC36" s="116">
        <v>0</v>
      </c>
      <c r="BBD36" s="116">
        <v>0</v>
      </c>
      <c r="BBE36" s="116">
        <v>0</v>
      </c>
      <c r="BBF36" s="116">
        <v>0</v>
      </c>
      <c r="BBG36" s="116">
        <v>0</v>
      </c>
      <c r="BBH36" s="116">
        <v>0</v>
      </c>
      <c r="BBI36" s="116">
        <v>0</v>
      </c>
      <c r="BBJ36" s="116">
        <v>0</v>
      </c>
      <c r="BBK36" s="116">
        <v>0</v>
      </c>
      <c r="BBL36" s="116">
        <v>0</v>
      </c>
      <c r="BBM36" s="116">
        <v>0</v>
      </c>
      <c r="BBN36" s="116">
        <v>0</v>
      </c>
      <c r="BBO36" s="116">
        <v>0</v>
      </c>
      <c r="BBP36" s="116">
        <v>0</v>
      </c>
      <c r="BBQ36" s="116">
        <v>0</v>
      </c>
      <c r="BBR36" s="116">
        <v>0</v>
      </c>
      <c r="BBS36" s="116">
        <v>0</v>
      </c>
      <c r="BBT36" s="116">
        <v>0</v>
      </c>
      <c r="BBU36" s="116">
        <v>0</v>
      </c>
      <c r="BBV36" s="116">
        <v>0</v>
      </c>
      <c r="BBW36" s="116">
        <v>0</v>
      </c>
      <c r="BBX36" s="116">
        <v>0</v>
      </c>
      <c r="BBY36" s="116">
        <v>0</v>
      </c>
      <c r="BBZ36" s="116">
        <v>0</v>
      </c>
      <c r="BCA36" s="116">
        <v>0</v>
      </c>
      <c r="BCB36" s="116">
        <v>0</v>
      </c>
      <c r="BCC36" s="116">
        <v>0</v>
      </c>
      <c r="BCD36" s="116">
        <v>0</v>
      </c>
      <c r="BCE36" s="116">
        <v>0</v>
      </c>
      <c r="BCF36" s="116">
        <v>0</v>
      </c>
      <c r="BCG36" s="116">
        <v>0</v>
      </c>
      <c r="BCH36" s="116">
        <v>0</v>
      </c>
      <c r="BCI36" s="116">
        <v>0</v>
      </c>
      <c r="BCJ36" s="116">
        <v>0</v>
      </c>
      <c r="BCK36" s="116">
        <v>0</v>
      </c>
      <c r="BCL36" s="116">
        <v>0</v>
      </c>
      <c r="BCM36" s="116">
        <v>0</v>
      </c>
      <c r="BCN36" s="116">
        <v>0</v>
      </c>
      <c r="BCO36" s="116">
        <v>0</v>
      </c>
      <c r="BCP36" s="304">
        <v>1</v>
      </c>
      <c r="BCQ36" s="304">
        <v>4</v>
      </c>
      <c r="BCR36" s="304">
        <v>1</v>
      </c>
      <c r="BCS36" s="304">
        <v>9</v>
      </c>
      <c r="BCT36" s="304">
        <v>4</v>
      </c>
      <c r="BCU36" s="304">
        <v>3</v>
      </c>
      <c r="BCV36" s="304">
        <v>8</v>
      </c>
      <c r="BCW36" s="304">
        <v>7</v>
      </c>
      <c r="BCX36" s="304">
        <v>4</v>
      </c>
      <c r="BCY36" s="304">
        <v>0</v>
      </c>
      <c r="BCZ36" s="304">
        <v>0</v>
      </c>
      <c r="BDA36" s="304">
        <v>0</v>
      </c>
      <c r="BDB36" s="304">
        <v>0</v>
      </c>
      <c r="BDC36" s="304">
        <v>0</v>
      </c>
      <c r="BDD36" s="304">
        <v>0</v>
      </c>
      <c r="BDE36" s="304">
        <v>0</v>
      </c>
      <c r="BDF36" s="304">
        <v>0</v>
      </c>
      <c r="BDG36" s="304">
        <v>0</v>
      </c>
      <c r="BDH36" s="304">
        <v>0</v>
      </c>
      <c r="BDI36" s="304">
        <v>0</v>
      </c>
      <c r="BDJ36" s="304">
        <v>0</v>
      </c>
      <c r="BDK36" s="304">
        <v>0</v>
      </c>
      <c r="BDL36" s="304">
        <v>0</v>
      </c>
      <c r="BDM36" s="304">
        <v>0</v>
      </c>
      <c r="BDN36" s="304">
        <v>0</v>
      </c>
      <c r="BDO36" s="304">
        <v>0</v>
      </c>
      <c r="BDP36" s="304">
        <v>0</v>
      </c>
      <c r="BDQ36" t="s">
        <v>3442</v>
      </c>
      <c r="BDR36" t="s">
        <v>3270</v>
      </c>
      <c r="BDS36">
        <v>0</v>
      </c>
      <c r="BDT36">
        <v>0</v>
      </c>
      <c r="BDU36">
        <v>0</v>
      </c>
      <c r="BDV36" t="s">
        <v>3270</v>
      </c>
      <c r="BDW36">
        <v>0</v>
      </c>
      <c r="BDX36">
        <v>0</v>
      </c>
      <c r="BDY36">
        <v>0</v>
      </c>
      <c r="BDZ36" t="s">
        <v>3269</v>
      </c>
      <c r="BEA36">
        <v>0</v>
      </c>
      <c r="BEB36">
        <v>0</v>
      </c>
      <c r="BEC36">
        <v>0</v>
      </c>
      <c r="BED36" t="s">
        <v>3269</v>
      </c>
      <c r="BEE36" t="s">
        <v>3270</v>
      </c>
      <c r="BEF36" t="s">
        <v>3445</v>
      </c>
      <c r="BEG36">
        <v>0</v>
      </c>
      <c r="BEH36">
        <v>0</v>
      </c>
      <c r="BEI36">
        <v>0</v>
      </c>
      <c r="BEJ36">
        <v>0</v>
      </c>
      <c r="BEK36" t="s">
        <v>3269</v>
      </c>
      <c r="BEL36">
        <v>0</v>
      </c>
      <c r="BEM36" t="s">
        <v>3269</v>
      </c>
      <c r="BEN36" t="s">
        <v>3269</v>
      </c>
      <c r="BEO36" t="s">
        <v>3446</v>
      </c>
      <c r="BEP36" t="s">
        <v>3447</v>
      </c>
      <c r="BEQ36" t="s">
        <v>3448</v>
      </c>
      <c r="BER36">
        <v>0</v>
      </c>
      <c r="BES36">
        <v>0</v>
      </c>
      <c r="BET36">
        <v>0</v>
      </c>
      <c r="BEU36">
        <v>0</v>
      </c>
      <c r="BEV36">
        <v>3200</v>
      </c>
      <c r="BEW36">
        <v>520</v>
      </c>
      <c r="BEX36" t="s">
        <v>3269</v>
      </c>
      <c r="BEY36" t="s">
        <v>3270</v>
      </c>
      <c r="BEZ36" t="s">
        <v>3278</v>
      </c>
      <c r="BFA36" t="s">
        <v>3270</v>
      </c>
      <c r="BFB36" t="s">
        <v>3270</v>
      </c>
      <c r="BFC36">
        <v>0</v>
      </c>
      <c r="BFD36" t="b">
        <v>1</v>
      </c>
      <c r="BFE36" t="b">
        <v>1</v>
      </c>
      <c r="BFF36" t="b">
        <v>1</v>
      </c>
      <c r="BFG36" t="b">
        <v>1</v>
      </c>
      <c r="BFH36">
        <v>43661</v>
      </c>
      <c r="BFI36">
        <v>43668</v>
      </c>
      <c r="BFJ36">
        <v>7</v>
      </c>
      <c r="BFK36">
        <v>0</v>
      </c>
      <c r="BFL36">
        <v>0</v>
      </c>
      <c r="BFM36">
        <v>0</v>
      </c>
      <c r="BFN36">
        <v>0</v>
      </c>
      <c r="BFO36">
        <v>0</v>
      </c>
      <c r="BFP36">
        <v>0</v>
      </c>
      <c r="BFQ36" t="s">
        <v>3294</v>
      </c>
      <c r="BFR36">
        <v>0</v>
      </c>
      <c r="BFS36">
        <v>0</v>
      </c>
      <c r="BFT36">
        <v>0</v>
      </c>
      <c r="BFU36">
        <v>0</v>
      </c>
      <c r="BFV36">
        <v>0</v>
      </c>
      <c r="BFW36">
        <v>0</v>
      </c>
      <c r="BFX36">
        <v>0</v>
      </c>
      <c r="BFY36">
        <v>0</v>
      </c>
    </row>
    <row r="37" spans="1:1533" ht="18.75" customHeight="1" x14ac:dyDescent="0.25">
      <c r="A37" t="s">
        <v>3453</v>
      </c>
      <c r="B37" t="s">
        <v>3451</v>
      </c>
      <c r="C37" s="120">
        <v>130</v>
      </c>
      <c r="D37" s="120">
        <v>45</v>
      </c>
      <c r="E37">
        <v>0</v>
      </c>
      <c r="F37">
        <v>0</v>
      </c>
      <c r="G37">
        <v>0</v>
      </c>
      <c r="H37" t="s">
        <v>2404</v>
      </c>
      <c r="I37" t="s">
        <v>2403</v>
      </c>
      <c r="J37" t="s">
        <v>2403</v>
      </c>
      <c r="K37" t="s">
        <v>2403</v>
      </c>
      <c r="L37" t="s">
        <v>2403</v>
      </c>
      <c r="M37" t="s">
        <v>1883</v>
      </c>
      <c r="N37" t="s">
        <v>2403</v>
      </c>
      <c r="O37" t="s">
        <v>1883</v>
      </c>
      <c r="P37" t="s">
        <v>1883</v>
      </c>
      <c r="Q37" t="s">
        <v>2403</v>
      </c>
      <c r="R37" t="s">
        <v>1883</v>
      </c>
      <c r="S37" t="s">
        <v>2403</v>
      </c>
      <c r="T37" t="s">
        <v>2404</v>
      </c>
      <c r="U37" t="s">
        <v>2424</v>
      </c>
      <c r="V37" t="s">
        <v>3207</v>
      </c>
      <c r="W37" t="s">
        <v>309</v>
      </c>
      <c r="X37" s="120">
        <v>900</v>
      </c>
      <c r="Y37" s="58">
        <v>43679</v>
      </c>
      <c r="Z37" s="120">
        <v>0</v>
      </c>
      <c r="AA37" s="120">
        <v>0</v>
      </c>
      <c r="AB37" s="120">
        <v>0</v>
      </c>
      <c r="AC37" t="s">
        <v>272</v>
      </c>
      <c r="AD37" s="120">
        <v>25</v>
      </c>
      <c r="AE37" s="120">
        <v>0</v>
      </c>
      <c r="AF37" s="58">
        <v>43707</v>
      </c>
      <c r="AG37" s="120">
        <v>45</v>
      </c>
      <c r="AH37" s="119">
        <v>0</v>
      </c>
      <c r="AI37">
        <v>0</v>
      </c>
      <c r="AJ37" t="s">
        <v>271</v>
      </c>
      <c r="AK37" s="114">
        <v>0.17899999999999999</v>
      </c>
      <c r="AL37" s="120">
        <v>0</v>
      </c>
      <c r="AM37" s="120">
        <v>50</v>
      </c>
      <c r="AN37" s="58">
        <v>45229</v>
      </c>
      <c r="AO37" s="114">
        <v>0.23816695835845625</v>
      </c>
      <c r="AP37" s="120">
        <v>6604.81</v>
      </c>
      <c r="AQ37" s="120">
        <v>3959.6399999999912</v>
      </c>
      <c r="AR37" s="120">
        <v>10564.449999999992</v>
      </c>
      <c r="AS37" s="120">
        <v>207.15</v>
      </c>
      <c r="AT37" s="120">
        <v>206.95</v>
      </c>
      <c r="AU37" t="s">
        <v>1910</v>
      </c>
      <c r="AV37" t="s">
        <v>2119</v>
      </c>
      <c r="AW37" t="s">
        <v>2738</v>
      </c>
      <c r="AX37" s="120">
        <v>19</v>
      </c>
      <c r="AY37">
        <v>0</v>
      </c>
      <c r="AZ37" s="58">
        <v>43670</v>
      </c>
      <c r="BA37" s="120">
        <v>100</v>
      </c>
      <c r="BB37">
        <v>1</v>
      </c>
      <c r="BC37">
        <v>1</v>
      </c>
      <c r="BD37" t="s">
        <v>415</v>
      </c>
      <c r="BE37" s="120">
        <v>436</v>
      </c>
      <c r="BF37" s="120">
        <v>72</v>
      </c>
      <c r="BG37" s="367">
        <v>43676</v>
      </c>
      <c r="BH37">
        <v>51</v>
      </c>
      <c r="BI37" s="120">
        <v>0</v>
      </c>
      <c r="BJ37" s="120">
        <v>50</v>
      </c>
      <c r="BK37" s="58">
        <v>43647</v>
      </c>
      <c r="BL37">
        <v>0</v>
      </c>
      <c r="BM37">
        <v>0</v>
      </c>
      <c r="BN37">
        <v>0</v>
      </c>
      <c r="BO37" t="s">
        <v>3454</v>
      </c>
      <c r="BP37" t="s">
        <v>2403</v>
      </c>
      <c r="BQ37" t="s">
        <v>2403</v>
      </c>
      <c r="BR37" t="s">
        <v>2403</v>
      </c>
      <c r="BS37" s="366">
        <v>417963397</v>
      </c>
      <c r="BT37" s="58">
        <v>21555</v>
      </c>
      <c r="BU37" t="s">
        <v>3455</v>
      </c>
      <c r="BV37" t="s">
        <v>3456</v>
      </c>
      <c r="BW37" t="s">
        <v>1633</v>
      </c>
      <c r="BX37">
        <v>78109</v>
      </c>
      <c r="BY37" t="s">
        <v>3455</v>
      </c>
      <c r="BZ37" t="s">
        <v>3456</v>
      </c>
      <c r="CA37">
        <v>78109</v>
      </c>
      <c r="CB37" t="s">
        <v>1633</v>
      </c>
      <c r="CC37" t="s">
        <v>2040</v>
      </c>
      <c r="CD37">
        <v>0</v>
      </c>
      <c r="CE37" t="s">
        <v>3467</v>
      </c>
      <c r="CF37">
        <v>0</v>
      </c>
      <c r="CG37">
        <v>0</v>
      </c>
      <c r="CH37">
        <v>0</v>
      </c>
      <c r="CI37">
        <v>0</v>
      </c>
      <c r="CJ37">
        <v>0</v>
      </c>
      <c r="CK37" s="118">
        <v>2108430271</v>
      </c>
      <c r="CL37" s="118">
        <v>2107239037</v>
      </c>
      <c r="CM37" s="118">
        <v>2108430271</v>
      </c>
      <c r="CN37" t="s">
        <v>3457</v>
      </c>
      <c r="CO37">
        <v>0</v>
      </c>
      <c r="CP37">
        <v>0</v>
      </c>
      <c r="CQ37">
        <v>0</v>
      </c>
      <c r="CR37">
        <v>0</v>
      </c>
      <c r="CS37">
        <v>0</v>
      </c>
      <c r="CT37">
        <v>0</v>
      </c>
      <c r="CU37">
        <v>0</v>
      </c>
      <c r="CV37">
        <v>0</v>
      </c>
      <c r="CW37" s="366">
        <v>0</v>
      </c>
      <c r="CX37" s="58">
        <v>0</v>
      </c>
      <c r="CY37">
        <v>0</v>
      </c>
      <c r="CZ37">
        <v>0</v>
      </c>
      <c r="DA37">
        <v>0</v>
      </c>
      <c r="DB37">
        <v>0</v>
      </c>
      <c r="DC37">
        <v>0</v>
      </c>
      <c r="DD37">
        <v>0</v>
      </c>
      <c r="DE37">
        <v>0</v>
      </c>
      <c r="DF37">
        <v>0</v>
      </c>
      <c r="DG37">
        <v>0</v>
      </c>
      <c r="DH37">
        <v>0</v>
      </c>
      <c r="DI37">
        <v>0</v>
      </c>
      <c r="DJ37">
        <v>0</v>
      </c>
      <c r="DK37" s="118">
        <v>0</v>
      </c>
      <c r="DL37" s="118">
        <v>0</v>
      </c>
      <c r="DM37" s="118">
        <v>0</v>
      </c>
      <c r="DN37" t="s">
        <v>3457</v>
      </c>
      <c r="DO37">
        <v>0</v>
      </c>
      <c r="DP37">
        <v>0</v>
      </c>
      <c r="DQ37">
        <v>0</v>
      </c>
      <c r="DR37">
        <v>0</v>
      </c>
      <c r="DS37">
        <v>0</v>
      </c>
      <c r="DT37">
        <v>0</v>
      </c>
      <c r="DU37">
        <v>0</v>
      </c>
      <c r="DV37">
        <v>0</v>
      </c>
      <c r="DW37" s="366">
        <v>0</v>
      </c>
      <c r="DX37" s="58">
        <v>0</v>
      </c>
      <c r="DY37">
        <v>0</v>
      </c>
      <c r="DZ37">
        <v>0</v>
      </c>
      <c r="EA37">
        <v>0</v>
      </c>
      <c r="EB37">
        <v>0</v>
      </c>
      <c r="EC37">
        <v>0</v>
      </c>
      <c r="ED37">
        <v>0</v>
      </c>
      <c r="EE37">
        <v>0</v>
      </c>
      <c r="EF37">
        <v>0</v>
      </c>
      <c r="EG37">
        <v>0</v>
      </c>
      <c r="EH37">
        <v>0</v>
      </c>
      <c r="EI37">
        <v>0</v>
      </c>
      <c r="EJ37">
        <v>0</v>
      </c>
      <c r="EK37" s="118">
        <v>0</v>
      </c>
      <c r="EL37" s="118">
        <v>0</v>
      </c>
      <c r="EM37" s="118">
        <v>0</v>
      </c>
      <c r="EN37">
        <v>0</v>
      </c>
      <c r="EO37">
        <v>900</v>
      </c>
      <c r="EP37" s="119">
        <v>6388.81005859375</v>
      </c>
      <c r="EQ37">
        <v>1</v>
      </c>
      <c r="ER37">
        <v>1</v>
      </c>
      <c r="ES37" t="s">
        <v>2824</v>
      </c>
      <c r="ET37">
        <v>0</v>
      </c>
      <c r="EU37">
        <v>0</v>
      </c>
      <c r="EV37">
        <v>0</v>
      </c>
      <c r="EW37">
        <v>0</v>
      </c>
      <c r="EX37">
        <v>0</v>
      </c>
      <c r="EY37">
        <v>0</v>
      </c>
      <c r="EZ37">
        <v>0</v>
      </c>
      <c r="FA37">
        <v>0</v>
      </c>
      <c r="FB37">
        <v>0</v>
      </c>
      <c r="FC37">
        <v>0</v>
      </c>
      <c r="FD37">
        <v>0</v>
      </c>
      <c r="FE37">
        <v>0</v>
      </c>
      <c r="FF37">
        <v>0</v>
      </c>
      <c r="FG37">
        <v>0</v>
      </c>
      <c r="FH37">
        <v>0</v>
      </c>
      <c r="FI37">
        <v>0</v>
      </c>
      <c r="FJ37">
        <v>0</v>
      </c>
      <c r="FK37">
        <v>0</v>
      </c>
      <c r="FL37">
        <v>0</v>
      </c>
      <c r="FM37" s="119">
        <v>6388.81</v>
      </c>
      <c r="FN37" s="119">
        <v>0</v>
      </c>
      <c r="FO37" s="119">
        <v>0</v>
      </c>
      <c r="FP37" s="119">
        <v>0</v>
      </c>
      <c r="FQ37" s="119">
        <v>0</v>
      </c>
      <c r="FR37" s="119">
        <v>0</v>
      </c>
      <c r="FS37" s="119">
        <v>0</v>
      </c>
      <c r="FT37" s="119">
        <v>0</v>
      </c>
      <c r="FU37" s="119">
        <v>0</v>
      </c>
      <c r="FV37" s="119">
        <v>0</v>
      </c>
      <c r="FW37" s="119">
        <v>0</v>
      </c>
      <c r="FX37" s="119">
        <v>0</v>
      </c>
      <c r="FY37" s="119">
        <v>0</v>
      </c>
      <c r="FZ37" s="119">
        <v>0</v>
      </c>
      <c r="GA37" s="119">
        <v>0</v>
      </c>
      <c r="GB37" s="119">
        <v>0</v>
      </c>
      <c r="GC37" s="119">
        <v>0</v>
      </c>
      <c r="GD37" s="119">
        <v>0</v>
      </c>
      <c r="GE37" s="119">
        <v>0</v>
      </c>
      <c r="GF37" s="119">
        <v>0</v>
      </c>
      <c r="GG37">
        <v>0</v>
      </c>
      <c r="GH37" t="s">
        <v>2403</v>
      </c>
      <c r="GI37">
        <v>0</v>
      </c>
      <c r="GJ37">
        <v>0</v>
      </c>
      <c r="GK37">
        <v>0</v>
      </c>
      <c r="GL37" t="s">
        <v>2403</v>
      </c>
      <c r="GM37" s="58">
        <v>0</v>
      </c>
      <c r="GN37" t="s">
        <v>2403</v>
      </c>
      <c r="GO37">
        <v>0</v>
      </c>
      <c r="GP37" s="128" t="s">
        <v>3458</v>
      </c>
      <c r="GQ37" s="128">
        <v>0</v>
      </c>
      <c r="GR37" s="128">
        <v>0</v>
      </c>
      <c r="GS37" s="128">
        <v>0</v>
      </c>
      <c r="GT37" t="s">
        <v>3455</v>
      </c>
      <c r="GU37" s="119">
        <v>6388.81</v>
      </c>
      <c r="GV37" s="119">
        <v>0</v>
      </c>
      <c r="GW37" s="119">
        <v>0</v>
      </c>
      <c r="GX37" s="119">
        <v>0</v>
      </c>
      <c r="GY37">
        <v>0</v>
      </c>
      <c r="GZ37">
        <v>0</v>
      </c>
      <c r="HA37">
        <v>0</v>
      </c>
      <c r="HB37">
        <v>0</v>
      </c>
      <c r="HC37" s="120">
        <v>6388.81005859375</v>
      </c>
      <c r="HD37" s="119">
        <v>167560</v>
      </c>
      <c r="HE37">
        <v>25780</v>
      </c>
      <c r="HF37" t="s">
        <v>3456</v>
      </c>
      <c r="HG37" t="s">
        <v>20</v>
      </c>
      <c r="HH37" t="s">
        <v>2403</v>
      </c>
      <c r="HI37" s="119">
        <v>167560</v>
      </c>
      <c r="HJ37" t="s">
        <v>2403</v>
      </c>
      <c r="HK37">
        <v>0</v>
      </c>
      <c r="HL37">
        <v>0</v>
      </c>
      <c r="HM37">
        <v>0</v>
      </c>
      <c r="HN37">
        <v>0</v>
      </c>
      <c r="HO37" t="s">
        <v>3466</v>
      </c>
      <c r="HP37" t="s">
        <v>2403</v>
      </c>
      <c r="HQ37">
        <v>0</v>
      </c>
      <c r="HR37" t="s">
        <v>1633</v>
      </c>
      <c r="HS37" t="s">
        <v>2824</v>
      </c>
      <c r="HT37">
        <v>0</v>
      </c>
      <c r="HU37">
        <v>0</v>
      </c>
      <c r="HV37">
        <v>0</v>
      </c>
      <c r="HW37">
        <v>2018</v>
      </c>
      <c r="HX37">
        <v>0</v>
      </c>
      <c r="HY37">
        <v>0</v>
      </c>
      <c r="HZ37">
        <v>0</v>
      </c>
      <c r="IA37">
        <v>78109</v>
      </c>
      <c r="IB37" t="s">
        <v>2403</v>
      </c>
      <c r="IC37">
        <v>0</v>
      </c>
      <c r="ID37">
        <v>0</v>
      </c>
      <c r="IE37">
        <v>0</v>
      </c>
      <c r="IF37">
        <v>0</v>
      </c>
      <c r="IG37">
        <v>0</v>
      </c>
      <c r="IH37">
        <v>0</v>
      </c>
      <c r="II37">
        <v>0</v>
      </c>
      <c r="IJ37">
        <v>0</v>
      </c>
      <c r="IK37">
        <v>0</v>
      </c>
      <c r="IL37" s="128">
        <v>0</v>
      </c>
      <c r="IM37" s="128">
        <v>0</v>
      </c>
      <c r="IN37" s="128">
        <v>0</v>
      </c>
      <c r="IO37" s="128">
        <v>0</v>
      </c>
      <c r="IP37">
        <v>0</v>
      </c>
      <c r="IQ37" s="119">
        <v>0</v>
      </c>
      <c r="IR37" s="119">
        <v>0</v>
      </c>
      <c r="IS37" s="119">
        <v>0</v>
      </c>
      <c r="IT37" s="119">
        <v>0</v>
      </c>
      <c r="IU37" s="119">
        <v>0</v>
      </c>
      <c r="IV37">
        <v>0</v>
      </c>
      <c r="IW37">
        <v>0</v>
      </c>
      <c r="IX37">
        <v>0</v>
      </c>
      <c r="IY37">
        <v>0</v>
      </c>
      <c r="IZ37">
        <v>0</v>
      </c>
      <c r="JA37" s="119">
        <v>0</v>
      </c>
      <c r="JB37">
        <v>0</v>
      </c>
      <c r="JC37">
        <v>0</v>
      </c>
      <c r="JD37">
        <v>0</v>
      </c>
      <c r="JE37">
        <v>0</v>
      </c>
      <c r="JF37">
        <v>0</v>
      </c>
      <c r="JG37">
        <v>0</v>
      </c>
      <c r="JH37">
        <v>0</v>
      </c>
      <c r="JI37">
        <v>0</v>
      </c>
      <c r="JJ37">
        <v>0</v>
      </c>
      <c r="JK37">
        <v>0</v>
      </c>
      <c r="JL37">
        <v>0</v>
      </c>
      <c r="JM37">
        <v>0</v>
      </c>
      <c r="JN37">
        <v>0</v>
      </c>
      <c r="JO37">
        <v>0</v>
      </c>
      <c r="JP37">
        <v>0</v>
      </c>
      <c r="JQ37">
        <v>0</v>
      </c>
      <c r="JR37">
        <v>0</v>
      </c>
      <c r="JS37">
        <v>0</v>
      </c>
      <c r="JT37">
        <v>0</v>
      </c>
      <c r="JU37">
        <v>0</v>
      </c>
      <c r="JV37">
        <v>0</v>
      </c>
      <c r="JW37">
        <v>0</v>
      </c>
      <c r="JX37">
        <v>0</v>
      </c>
      <c r="JY37">
        <v>0</v>
      </c>
      <c r="JZ37">
        <v>0</v>
      </c>
      <c r="KA37">
        <v>0</v>
      </c>
      <c r="KB37">
        <v>0</v>
      </c>
      <c r="KC37">
        <v>0</v>
      </c>
      <c r="KD37">
        <v>0</v>
      </c>
      <c r="KE37">
        <v>0</v>
      </c>
      <c r="KF37">
        <v>0</v>
      </c>
      <c r="KG37">
        <v>0</v>
      </c>
      <c r="KH37" s="128">
        <v>0</v>
      </c>
      <c r="KI37" s="128">
        <v>0</v>
      </c>
      <c r="KJ37" s="128">
        <v>0</v>
      </c>
      <c r="KK37" s="128">
        <v>0</v>
      </c>
      <c r="KL37">
        <v>0</v>
      </c>
      <c r="KM37" s="119">
        <v>0</v>
      </c>
      <c r="KN37" s="119">
        <v>0</v>
      </c>
      <c r="KO37" s="119">
        <v>0</v>
      </c>
      <c r="KP37" s="119">
        <v>0</v>
      </c>
      <c r="KQ37" s="121">
        <v>0</v>
      </c>
      <c r="KR37">
        <v>0</v>
      </c>
      <c r="KS37" s="119">
        <v>0</v>
      </c>
      <c r="KT37">
        <v>0</v>
      </c>
      <c r="KU37">
        <v>0</v>
      </c>
      <c r="KV37">
        <v>0</v>
      </c>
      <c r="KW37" s="119">
        <v>0</v>
      </c>
      <c r="KX37">
        <v>0</v>
      </c>
      <c r="KY37">
        <v>0</v>
      </c>
      <c r="KZ37">
        <v>0</v>
      </c>
      <c r="LA37">
        <v>0</v>
      </c>
      <c r="LB37">
        <v>0</v>
      </c>
      <c r="LC37">
        <v>0</v>
      </c>
      <c r="LD37">
        <v>0</v>
      </c>
      <c r="LE37">
        <v>0</v>
      </c>
      <c r="LF37">
        <v>0</v>
      </c>
      <c r="LG37">
        <v>0</v>
      </c>
      <c r="LH37">
        <v>0</v>
      </c>
      <c r="LI37">
        <v>0</v>
      </c>
      <c r="LJ37">
        <v>0</v>
      </c>
      <c r="LK37">
        <v>0</v>
      </c>
      <c r="LL37">
        <v>0</v>
      </c>
      <c r="LM37">
        <v>0</v>
      </c>
      <c r="LN37">
        <v>0</v>
      </c>
      <c r="LO37">
        <v>0</v>
      </c>
      <c r="LP37">
        <v>0</v>
      </c>
      <c r="LQ37">
        <v>0</v>
      </c>
      <c r="LR37">
        <v>0</v>
      </c>
      <c r="LS37">
        <v>0</v>
      </c>
      <c r="LT37">
        <v>0</v>
      </c>
      <c r="LU37">
        <v>0</v>
      </c>
      <c r="LV37">
        <v>0</v>
      </c>
      <c r="LW37">
        <v>0</v>
      </c>
      <c r="LX37">
        <v>0</v>
      </c>
      <c r="LY37">
        <v>0</v>
      </c>
      <c r="LZ37">
        <v>0</v>
      </c>
      <c r="MA37">
        <v>0</v>
      </c>
      <c r="MB37">
        <v>0</v>
      </c>
      <c r="MC37">
        <v>0</v>
      </c>
      <c r="MD37" s="128">
        <v>0</v>
      </c>
      <c r="ME37" s="128">
        <v>0</v>
      </c>
      <c r="MF37" s="128">
        <v>0</v>
      </c>
      <c r="MG37" s="128">
        <v>0</v>
      </c>
      <c r="MH37">
        <v>0</v>
      </c>
      <c r="MI37" s="119">
        <v>0</v>
      </c>
      <c r="MJ37" s="119">
        <v>0</v>
      </c>
      <c r="MK37" s="119">
        <v>0</v>
      </c>
      <c r="ML37" s="119">
        <v>0</v>
      </c>
      <c r="MM37" s="121">
        <v>0</v>
      </c>
      <c r="MN37" s="119">
        <v>0</v>
      </c>
      <c r="MO37">
        <v>0</v>
      </c>
      <c r="MP37">
        <v>0</v>
      </c>
      <c r="MQ37">
        <v>0</v>
      </c>
      <c r="MR37">
        <v>0</v>
      </c>
      <c r="MS37" s="119">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s="116">
        <v>0</v>
      </c>
      <c r="NR37" s="116">
        <v>0</v>
      </c>
      <c r="NS37" s="116">
        <v>0</v>
      </c>
      <c r="NT37" s="116">
        <v>0</v>
      </c>
      <c r="NU37" s="116">
        <v>0</v>
      </c>
      <c r="NV37" s="116">
        <v>0</v>
      </c>
      <c r="NW37" s="116">
        <v>0</v>
      </c>
      <c r="NX37" s="116">
        <v>0</v>
      </c>
      <c r="NY37" s="116">
        <v>0</v>
      </c>
      <c r="NZ37" s="128">
        <v>0</v>
      </c>
      <c r="OA37" s="128">
        <v>0</v>
      </c>
      <c r="OB37" s="128">
        <v>0</v>
      </c>
      <c r="OC37" s="128">
        <v>0</v>
      </c>
      <c r="OD37">
        <v>0</v>
      </c>
      <c r="OE37" s="119">
        <v>0</v>
      </c>
      <c r="OF37" s="119">
        <v>0</v>
      </c>
      <c r="OG37" s="119">
        <v>0</v>
      </c>
      <c r="OH37" s="119">
        <v>0</v>
      </c>
      <c r="OI37" s="121">
        <v>0</v>
      </c>
      <c r="OJ37" s="119">
        <v>0</v>
      </c>
      <c r="OK37">
        <v>0</v>
      </c>
      <c r="OL37">
        <v>0</v>
      </c>
      <c r="OM37">
        <v>0</v>
      </c>
      <c r="ON37">
        <v>0</v>
      </c>
      <c r="OO37" s="119">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s="128">
        <v>0</v>
      </c>
      <c r="PW37" s="128">
        <v>0</v>
      </c>
      <c r="PX37" s="128">
        <v>0</v>
      </c>
      <c r="PY37" s="128">
        <v>0</v>
      </c>
      <c r="PZ37">
        <v>0</v>
      </c>
      <c r="QA37" s="119">
        <v>0</v>
      </c>
      <c r="QB37" s="119">
        <v>0</v>
      </c>
      <c r="QC37" s="119">
        <v>0</v>
      </c>
      <c r="QD37" s="119">
        <v>0</v>
      </c>
      <c r="QE37" s="121">
        <v>0</v>
      </c>
      <c r="QF37" s="119">
        <v>0</v>
      </c>
      <c r="QG37">
        <v>0</v>
      </c>
      <c r="QH37">
        <v>0</v>
      </c>
      <c r="QI37">
        <v>0</v>
      </c>
      <c r="QJ37">
        <v>0</v>
      </c>
      <c r="QK37" s="119">
        <v>0</v>
      </c>
      <c r="QL37">
        <v>0</v>
      </c>
      <c r="QM37">
        <v>0</v>
      </c>
      <c r="QN37">
        <v>0</v>
      </c>
      <c r="QO37">
        <v>0</v>
      </c>
      <c r="QP37">
        <v>0</v>
      </c>
      <c r="QQ37">
        <v>0</v>
      </c>
      <c r="QR37">
        <v>0</v>
      </c>
      <c r="QS37">
        <v>0</v>
      </c>
      <c r="QT37">
        <v>0</v>
      </c>
      <c r="QU37">
        <v>0</v>
      </c>
      <c r="QV37">
        <v>0</v>
      </c>
      <c r="QW37">
        <v>0</v>
      </c>
      <c r="QX37">
        <v>0</v>
      </c>
      <c r="QY37">
        <v>0</v>
      </c>
      <c r="QZ37">
        <v>0</v>
      </c>
      <c r="RA37">
        <v>0</v>
      </c>
      <c r="RB37">
        <v>0</v>
      </c>
      <c r="RC37">
        <v>0</v>
      </c>
      <c r="RD37">
        <v>0</v>
      </c>
      <c r="RE37">
        <v>0</v>
      </c>
      <c r="RF37">
        <v>0</v>
      </c>
      <c r="RG37">
        <v>0</v>
      </c>
      <c r="RH37">
        <v>0</v>
      </c>
      <c r="RI37" s="116">
        <v>0</v>
      </c>
      <c r="RJ37" s="116">
        <v>0</v>
      </c>
      <c r="RK37" s="116">
        <v>0</v>
      </c>
      <c r="RL37" s="116">
        <v>0</v>
      </c>
      <c r="RM37" s="116">
        <v>0</v>
      </c>
      <c r="RN37" s="116">
        <v>0</v>
      </c>
      <c r="RO37" s="116">
        <v>0</v>
      </c>
      <c r="RP37" s="116">
        <v>0</v>
      </c>
      <c r="RQ37" s="116">
        <v>0</v>
      </c>
      <c r="RR37" s="128">
        <v>0</v>
      </c>
      <c r="RS37" s="128">
        <v>0</v>
      </c>
      <c r="RT37" s="128">
        <v>0</v>
      </c>
      <c r="RU37" s="128">
        <v>0</v>
      </c>
      <c r="RV37">
        <v>0</v>
      </c>
      <c r="RW37" s="119">
        <v>0</v>
      </c>
      <c r="RX37" s="119">
        <v>0</v>
      </c>
      <c r="RY37" s="119">
        <v>0</v>
      </c>
      <c r="RZ37" s="119">
        <v>0</v>
      </c>
      <c r="SA37" s="121">
        <v>0</v>
      </c>
      <c r="SB37" s="119">
        <v>0</v>
      </c>
      <c r="SC37">
        <v>0</v>
      </c>
      <c r="SD37">
        <v>0</v>
      </c>
      <c r="SE37">
        <v>0</v>
      </c>
      <c r="SF37">
        <v>0</v>
      </c>
      <c r="SG37" s="119">
        <v>0</v>
      </c>
      <c r="SH37">
        <v>0</v>
      </c>
      <c r="SI37">
        <v>0</v>
      </c>
      <c r="SJ37">
        <v>0</v>
      </c>
      <c r="SK37">
        <v>0</v>
      </c>
      <c r="SL37">
        <v>0</v>
      </c>
      <c r="SM37">
        <v>0</v>
      </c>
      <c r="SN37">
        <v>0</v>
      </c>
      <c r="SO37">
        <v>0</v>
      </c>
      <c r="SP37">
        <v>0</v>
      </c>
      <c r="SQ37">
        <v>0</v>
      </c>
      <c r="SR37">
        <v>0</v>
      </c>
      <c r="SS37">
        <v>0</v>
      </c>
      <c r="ST37">
        <v>0</v>
      </c>
      <c r="SU37">
        <v>0</v>
      </c>
      <c r="SV37">
        <v>0</v>
      </c>
      <c r="SW37">
        <v>0</v>
      </c>
      <c r="SX37">
        <v>0</v>
      </c>
      <c r="SY37">
        <v>0</v>
      </c>
      <c r="SZ37">
        <v>0</v>
      </c>
      <c r="TA37">
        <v>0</v>
      </c>
      <c r="TB37">
        <v>0</v>
      </c>
      <c r="TC37">
        <v>0</v>
      </c>
      <c r="TD37">
        <v>0</v>
      </c>
      <c r="TE37" s="116">
        <v>0</v>
      </c>
      <c r="TF37" s="116">
        <v>0</v>
      </c>
      <c r="TG37" s="116">
        <v>0</v>
      </c>
      <c r="TH37" s="116">
        <v>0</v>
      </c>
      <c r="TI37" s="116">
        <v>0</v>
      </c>
      <c r="TJ37" s="116">
        <v>0</v>
      </c>
      <c r="TK37" s="116">
        <v>0</v>
      </c>
      <c r="TL37" s="116">
        <v>0</v>
      </c>
      <c r="TM37" s="116">
        <v>0</v>
      </c>
      <c r="TN37" s="128">
        <v>0</v>
      </c>
      <c r="TO37" s="128">
        <v>0</v>
      </c>
      <c r="TP37" s="128">
        <v>0</v>
      </c>
      <c r="TQ37" s="128">
        <v>0</v>
      </c>
      <c r="TR37">
        <v>0</v>
      </c>
      <c r="TS37" s="119">
        <v>0</v>
      </c>
      <c r="TT37" s="119">
        <v>0</v>
      </c>
      <c r="TU37" s="119">
        <v>0</v>
      </c>
      <c r="TV37" s="119">
        <v>0</v>
      </c>
      <c r="TW37" s="121">
        <v>0</v>
      </c>
      <c r="TX37" s="119">
        <v>0</v>
      </c>
      <c r="TY37">
        <v>0</v>
      </c>
      <c r="TZ37">
        <v>0</v>
      </c>
      <c r="UA37">
        <v>0</v>
      </c>
      <c r="UB37">
        <v>0</v>
      </c>
      <c r="UC37" s="119">
        <v>0</v>
      </c>
      <c r="UD37">
        <v>0</v>
      </c>
      <c r="UE37">
        <v>0</v>
      </c>
      <c r="UF37">
        <v>0</v>
      </c>
      <c r="UG37">
        <v>0</v>
      </c>
      <c r="UH37">
        <v>0</v>
      </c>
      <c r="UI37">
        <v>0</v>
      </c>
      <c r="UJ37">
        <v>0</v>
      </c>
      <c r="UK37">
        <v>0</v>
      </c>
      <c r="UL37">
        <v>0</v>
      </c>
      <c r="UM37">
        <v>0</v>
      </c>
      <c r="UN37">
        <v>0</v>
      </c>
      <c r="UO37">
        <v>0</v>
      </c>
      <c r="UP37">
        <v>0</v>
      </c>
      <c r="UQ37">
        <v>0</v>
      </c>
      <c r="UR37">
        <v>0</v>
      </c>
      <c r="US37">
        <v>0</v>
      </c>
      <c r="UT37">
        <v>0</v>
      </c>
      <c r="UU37">
        <v>0</v>
      </c>
      <c r="UV37">
        <v>0</v>
      </c>
      <c r="UW37">
        <v>0</v>
      </c>
      <c r="UX37">
        <v>0</v>
      </c>
      <c r="UY37">
        <v>0</v>
      </c>
      <c r="UZ37">
        <v>0</v>
      </c>
      <c r="VA37" s="116">
        <v>0</v>
      </c>
      <c r="VB37" s="116">
        <v>0</v>
      </c>
      <c r="VC37" s="116">
        <v>0</v>
      </c>
      <c r="VD37" s="116">
        <v>0</v>
      </c>
      <c r="VE37" s="116">
        <v>0</v>
      </c>
      <c r="VF37" s="116">
        <v>0</v>
      </c>
      <c r="VG37" s="116">
        <v>0</v>
      </c>
      <c r="VH37" s="116">
        <v>0</v>
      </c>
      <c r="VI37" s="116">
        <v>0</v>
      </c>
      <c r="VJ37" s="128">
        <v>0</v>
      </c>
      <c r="VK37" s="128">
        <v>0</v>
      </c>
      <c r="VL37" s="128">
        <v>0</v>
      </c>
      <c r="VM37" s="128">
        <v>0</v>
      </c>
      <c r="VN37">
        <v>0</v>
      </c>
      <c r="VO37" s="119">
        <v>0</v>
      </c>
      <c r="VP37" s="119">
        <v>0</v>
      </c>
      <c r="VQ37" s="119">
        <v>0</v>
      </c>
      <c r="VR37" s="119">
        <v>0</v>
      </c>
      <c r="VS37" s="121">
        <v>0</v>
      </c>
      <c r="VT37" s="119">
        <v>0</v>
      </c>
      <c r="VU37" s="119">
        <v>0</v>
      </c>
      <c r="VV37">
        <v>0</v>
      </c>
      <c r="VW37">
        <v>0</v>
      </c>
      <c r="VX37">
        <v>0</v>
      </c>
      <c r="VY37" s="119">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s="116">
        <v>0</v>
      </c>
      <c r="WX37" s="116">
        <v>0</v>
      </c>
      <c r="WY37" s="116">
        <v>0</v>
      </c>
      <c r="WZ37" s="116">
        <v>0</v>
      </c>
      <c r="XA37" s="116">
        <v>0</v>
      </c>
      <c r="XB37" s="116">
        <v>0</v>
      </c>
      <c r="XC37" s="116">
        <v>0</v>
      </c>
      <c r="XD37" s="116">
        <v>0</v>
      </c>
      <c r="XE37" s="116">
        <v>0</v>
      </c>
      <c r="XF37" s="128">
        <v>0</v>
      </c>
      <c r="XG37" s="128">
        <v>0</v>
      </c>
      <c r="XH37" s="128">
        <v>0</v>
      </c>
      <c r="XI37" s="128">
        <v>0</v>
      </c>
      <c r="XJ37">
        <v>0</v>
      </c>
      <c r="XK37" s="119">
        <v>0</v>
      </c>
      <c r="XL37" s="119">
        <v>0</v>
      </c>
      <c r="XM37" s="119">
        <v>0</v>
      </c>
      <c r="XN37" s="119">
        <v>0</v>
      </c>
      <c r="XO37" s="121">
        <v>0</v>
      </c>
      <c r="XP37" s="119">
        <v>0</v>
      </c>
      <c r="XQ37" s="119">
        <v>0</v>
      </c>
      <c r="XR37">
        <v>0</v>
      </c>
      <c r="XS37">
        <v>0</v>
      </c>
      <c r="XT37">
        <v>0</v>
      </c>
      <c r="XU37" s="119">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S37">
        <v>0</v>
      </c>
      <c r="YT37">
        <v>0</v>
      </c>
      <c r="YU37">
        <v>0</v>
      </c>
      <c r="YV37">
        <v>0</v>
      </c>
      <c r="YW37">
        <v>0</v>
      </c>
      <c r="YX37">
        <v>0</v>
      </c>
      <c r="YY37">
        <v>0</v>
      </c>
      <c r="YZ37">
        <v>0</v>
      </c>
      <c r="ZA37">
        <v>0</v>
      </c>
      <c r="ZB37" s="128">
        <v>0</v>
      </c>
      <c r="ZC37" s="128">
        <v>0</v>
      </c>
      <c r="ZD37" s="128">
        <v>0</v>
      </c>
      <c r="ZE37" s="128">
        <v>0</v>
      </c>
      <c r="ZF37">
        <v>0</v>
      </c>
      <c r="ZG37" s="119">
        <v>0</v>
      </c>
      <c r="ZH37" s="119">
        <v>0</v>
      </c>
      <c r="ZI37" s="119">
        <v>0</v>
      </c>
      <c r="ZJ37" s="119">
        <v>0</v>
      </c>
      <c r="ZK37" s="121">
        <v>0</v>
      </c>
      <c r="ZL37" s="119">
        <v>0</v>
      </c>
      <c r="ZM37" s="119">
        <v>0</v>
      </c>
      <c r="ZN37">
        <v>0</v>
      </c>
      <c r="ZO37">
        <v>0</v>
      </c>
      <c r="ZP37">
        <v>0</v>
      </c>
      <c r="ZQ37" s="119">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s="116">
        <v>0</v>
      </c>
      <c r="AAP37" s="116">
        <v>0</v>
      </c>
      <c r="AAQ37" s="116">
        <v>0</v>
      </c>
      <c r="AAR37" s="116">
        <v>0</v>
      </c>
      <c r="AAS37" s="116">
        <v>0</v>
      </c>
      <c r="AAT37" s="116">
        <v>0</v>
      </c>
      <c r="AAU37" s="116">
        <v>0</v>
      </c>
      <c r="AAV37" s="116">
        <v>0</v>
      </c>
      <c r="AAW37" s="116">
        <v>0</v>
      </c>
      <c r="AAX37" s="128">
        <v>0</v>
      </c>
      <c r="AAY37" s="128">
        <v>0</v>
      </c>
      <c r="AAZ37" s="128">
        <v>0</v>
      </c>
      <c r="ABA37" s="128">
        <v>0</v>
      </c>
      <c r="ABB37">
        <v>0</v>
      </c>
      <c r="ABC37" s="119">
        <v>0</v>
      </c>
      <c r="ABD37" s="119">
        <v>0</v>
      </c>
      <c r="ABE37" s="119">
        <v>0</v>
      </c>
      <c r="ABF37" s="119">
        <v>0</v>
      </c>
      <c r="ABG37" s="121">
        <v>0</v>
      </c>
      <c r="ABH37" s="119">
        <v>0</v>
      </c>
      <c r="ABI37" s="119">
        <v>0</v>
      </c>
      <c r="ABJ37">
        <v>0</v>
      </c>
      <c r="ABK37">
        <v>0</v>
      </c>
      <c r="ABL37">
        <v>0</v>
      </c>
      <c r="ABM37" s="119">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s="116">
        <v>0</v>
      </c>
      <c r="ACL37" s="116">
        <v>0</v>
      </c>
      <c r="ACM37" s="116">
        <v>0</v>
      </c>
      <c r="ACN37" s="116">
        <v>0</v>
      </c>
      <c r="ACO37" s="116">
        <v>0</v>
      </c>
      <c r="ACP37" s="116">
        <v>0</v>
      </c>
      <c r="ACQ37" s="116">
        <v>0</v>
      </c>
      <c r="ACR37" s="116">
        <v>0</v>
      </c>
      <c r="ACS37" s="116">
        <v>0</v>
      </c>
      <c r="ACT37" s="128">
        <v>0</v>
      </c>
      <c r="ACU37" s="128">
        <v>0</v>
      </c>
      <c r="ACV37" s="128">
        <v>0</v>
      </c>
      <c r="ACW37" s="128">
        <v>0</v>
      </c>
      <c r="ACX37">
        <v>0</v>
      </c>
      <c r="ACY37" s="119">
        <v>0</v>
      </c>
      <c r="ACZ37" s="119">
        <v>0</v>
      </c>
      <c r="ADA37" s="119">
        <v>0</v>
      </c>
      <c r="ADB37" s="119">
        <v>0</v>
      </c>
      <c r="ADC37" s="121">
        <v>0</v>
      </c>
      <c r="ADD37" s="119">
        <v>0</v>
      </c>
      <c r="ADE37" s="119">
        <v>0</v>
      </c>
      <c r="ADF37">
        <v>0</v>
      </c>
      <c r="ADG37">
        <v>0</v>
      </c>
      <c r="ADH37">
        <v>0</v>
      </c>
      <c r="ADI37" s="119">
        <v>0</v>
      </c>
      <c r="ADJ37">
        <v>0</v>
      </c>
      <c r="ADK37">
        <v>0</v>
      </c>
      <c r="ADL37">
        <v>0</v>
      </c>
      <c r="ADM37">
        <v>0</v>
      </c>
      <c r="ADN37">
        <v>0</v>
      </c>
      <c r="ADO37">
        <v>0</v>
      </c>
      <c r="ADP37">
        <v>0</v>
      </c>
      <c r="ADQ37">
        <v>0</v>
      </c>
      <c r="ADR37">
        <v>0</v>
      </c>
      <c r="ADS37">
        <v>0</v>
      </c>
      <c r="ADT37">
        <v>0</v>
      </c>
      <c r="ADU37">
        <v>0</v>
      </c>
      <c r="ADV37">
        <v>0</v>
      </c>
      <c r="ADW37">
        <v>0</v>
      </c>
      <c r="ADX37">
        <v>0</v>
      </c>
      <c r="ADY37">
        <v>0</v>
      </c>
      <c r="ADZ37">
        <v>0</v>
      </c>
      <c r="AEA37">
        <v>0</v>
      </c>
      <c r="AEB37">
        <v>0</v>
      </c>
      <c r="AEC37">
        <v>0</v>
      </c>
      <c r="AED37">
        <v>0</v>
      </c>
      <c r="AEE37">
        <v>0</v>
      </c>
      <c r="AEF37">
        <v>0</v>
      </c>
      <c r="AEG37" s="116">
        <v>0</v>
      </c>
      <c r="AEH37" s="116">
        <v>0</v>
      </c>
      <c r="AEI37" s="116">
        <v>0</v>
      </c>
      <c r="AEJ37" s="116">
        <v>0</v>
      </c>
      <c r="AEK37" s="116">
        <v>0</v>
      </c>
      <c r="AEL37" s="116">
        <v>0</v>
      </c>
      <c r="AEM37" s="116">
        <v>0</v>
      </c>
      <c r="AEN37" s="116">
        <v>0</v>
      </c>
      <c r="AEO37" s="116">
        <v>0</v>
      </c>
      <c r="AEP37" s="128">
        <v>0</v>
      </c>
      <c r="AEQ37" s="128">
        <v>0</v>
      </c>
      <c r="AER37" s="128">
        <v>0</v>
      </c>
      <c r="AES37" s="128">
        <v>0</v>
      </c>
      <c r="AET37">
        <v>0</v>
      </c>
      <c r="AEU37" s="119">
        <v>0</v>
      </c>
      <c r="AEV37" s="119">
        <v>0</v>
      </c>
      <c r="AEW37" s="119">
        <v>0</v>
      </c>
      <c r="AEX37" s="119">
        <v>0</v>
      </c>
      <c r="AEY37" s="121">
        <v>0</v>
      </c>
      <c r="AEZ37" s="119">
        <v>0</v>
      </c>
      <c r="AFA37" s="119">
        <v>0</v>
      </c>
      <c r="AFB37">
        <v>0</v>
      </c>
      <c r="AFC37">
        <v>0</v>
      </c>
      <c r="AFD37">
        <v>0</v>
      </c>
      <c r="AFE37" s="119">
        <v>0</v>
      </c>
      <c r="AFF37">
        <v>0</v>
      </c>
      <c r="AFG37">
        <v>0</v>
      </c>
      <c r="AFH37">
        <v>0</v>
      </c>
      <c r="AFI37">
        <v>0</v>
      </c>
      <c r="AFJ37">
        <v>0</v>
      </c>
      <c r="AFK37">
        <v>0</v>
      </c>
      <c r="AFL37">
        <v>0</v>
      </c>
      <c r="AFM37">
        <v>0</v>
      </c>
      <c r="AFN37">
        <v>0</v>
      </c>
      <c r="AFO37">
        <v>0</v>
      </c>
      <c r="AFP37">
        <v>0</v>
      </c>
      <c r="AFQ37">
        <v>0</v>
      </c>
      <c r="AFR37">
        <v>0</v>
      </c>
      <c r="AFS37">
        <v>0</v>
      </c>
      <c r="AFT37">
        <v>0</v>
      </c>
      <c r="AFU37">
        <v>0</v>
      </c>
      <c r="AFV37">
        <v>0</v>
      </c>
      <c r="AFW37">
        <v>0</v>
      </c>
      <c r="AFX37">
        <v>0</v>
      </c>
      <c r="AFY37">
        <v>0</v>
      </c>
      <c r="AFZ37">
        <v>0</v>
      </c>
      <c r="AGA37">
        <v>0</v>
      </c>
      <c r="AGB37">
        <v>0</v>
      </c>
      <c r="AGC37" s="116">
        <v>0</v>
      </c>
      <c r="AGD37" s="116">
        <v>0</v>
      </c>
      <c r="AGE37" s="116">
        <v>0</v>
      </c>
      <c r="AGF37" s="116">
        <v>0</v>
      </c>
      <c r="AGG37" s="116">
        <v>0</v>
      </c>
      <c r="AGH37" s="116">
        <v>0</v>
      </c>
      <c r="AGI37" s="116">
        <v>0</v>
      </c>
      <c r="AGJ37" s="116">
        <v>0</v>
      </c>
      <c r="AGK37" s="116">
        <v>0</v>
      </c>
      <c r="AGL37" s="128">
        <v>0</v>
      </c>
      <c r="AGM37" s="128">
        <v>0</v>
      </c>
      <c r="AGN37" s="128">
        <v>0</v>
      </c>
      <c r="AGO37" s="128">
        <v>0</v>
      </c>
      <c r="AGP37">
        <v>0</v>
      </c>
      <c r="AGQ37" s="119">
        <v>0</v>
      </c>
      <c r="AGR37" s="119">
        <v>0</v>
      </c>
      <c r="AGS37" s="119">
        <v>0</v>
      </c>
      <c r="AGT37" s="119">
        <v>0</v>
      </c>
      <c r="AGU37" s="121">
        <v>0</v>
      </c>
      <c r="AGV37" s="119">
        <v>0</v>
      </c>
      <c r="AGW37" s="119">
        <v>0</v>
      </c>
      <c r="AGX37">
        <v>0</v>
      </c>
      <c r="AGY37">
        <v>0</v>
      </c>
      <c r="AGZ37">
        <v>0</v>
      </c>
      <c r="AHA37" s="119">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A37">
        <v>0</v>
      </c>
      <c r="AIB37">
        <v>0</v>
      </c>
      <c r="AIC37">
        <v>0</v>
      </c>
      <c r="AID37">
        <v>0</v>
      </c>
      <c r="AIE37">
        <v>0</v>
      </c>
      <c r="AIF37">
        <v>0</v>
      </c>
      <c r="AIG37">
        <v>0</v>
      </c>
      <c r="AIH37" s="128">
        <v>0</v>
      </c>
      <c r="AII37" s="128">
        <v>0</v>
      </c>
      <c r="AIJ37" s="128">
        <v>0</v>
      </c>
      <c r="AIK37" s="128">
        <v>0</v>
      </c>
      <c r="AIL37">
        <v>0</v>
      </c>
      <c r="AIM37" s="119">
        <v>0</v>
      </c>
      <c r="AIN37" s="119">
        <v>0</v>
      </c>
      <c r="AIO37" s="119">
        <v>0</v>
      </c>
      <c r="AIP37" s="119">
        <v>0</v>
      </c>
      <c r="AIQ37" s="121">
        <v>0</v>
      </c>
      <c r="AIR37" s="119">
        <v>0</v>
      </c>
      <c r="AIS37" s="119">
        <v>0</v>
      </c>
      <c r="AIT37">
        <v>0</v>
      </c>
      <c r="AIU37">
        <v>0</v>
      </c>
      <c r="AIV37">
        <v>0</v>
      </c>
      <c r="AIW37" s="119">
        <v>0</v>
      </c>
      <c r="AIX37">
        <v>0</v>
      </c>
      <c r="AIY37">
        <v>0</v>
      </c>
      <c r="AIZ37">
        <v>0</v>
      </c>
      <c r="AJA37">
        <v>0</v>
      </c>
      <c r="AJB37">
        <v>0</v>
      </c>
      <c r="AJC37">
        <v>0</v>
      </c>
      <c r="AJD37">
        <v>0</v>
      </c>
      <c r="AJE37">
        <v>0</v>
      </c>
      <c r="AJF37">
        <v>0</v>
      </c>
      <c r="AJG37">
        <v>0</v>
      </c>
      <c r="AJH37">
        <v>0</v>
      </c>
      <c r="AJI37">
        <v>0</v>
      </c>
      <c r="AJJ37">
        <v>0</v>
      </c>
      <c r="AJK37">
        <v>0</v>
      </c>
      <c r="AJL37">
        <v>0</v>
      </c>
      <c r="AJM37">
        <v>0</v>
      </c>
      <c r="AJN37">
        <v>0</v>
      </c>
      <c r="AJO37">
        <v>0</v>
      </c>
      <c r="AJP37">
        <v>0</v>
      </c>
      <c r="AJQ37">
        <v>0</v>
      </c>
      <c r="AJR37">
        <v>0</v>
      </c>
      <c r="AJS37">
        <v>0</v>
      </c>
      <c r="AJT37">
        <v>0</v>
      </c>
      <c r="AJU37" s="116">
        <v>0</v>
      </c>
      <c r="AJV37" s="116">
        <v>0</v>
      </c>
      <c r="AJW37" s="116">
        <v>0</v>
      </c>
      <c r="AJX37" s="116">
        <v>0</v>
      </c>
      <c r="AJY37" s="116">
        <v>0</v>
      </c>
      <c r="AJZ37" s="116">
        <v>0</v>
      </c>
      <c r="AKA37" s="116">
        <v>0</v>
      </c>
      <c r="AKB37" s="116">
        <v>0</v>
      </c>
      <c r="AKC37" s="116">
        <v>0</v>
      </c>
      <c r="AKD37" s="128">
        <v>0</v>
      </c>
      <c r="AKE37" s="128">
        <v>0</v>
      </c>
      <c r="AKF37" s="128">
        <v>0</v>
      </c>
      <c r="AKG37" s="128">
        <v>0</v>
      </c>
      <c r="AKH37">
        <v>0</v>
      </c>
      <c r="AKI37" s="119">
        <v>0</v>
      </c>
      <c r="AKJ37" s="119">
        <v>0</v>
      </c>
      <c r="AKK37" s="119">
        <v>0</v>
      </c>
      <c r="AKL37" s="119">
        <v>0</v>
      </c>
      <c r="AKM37" s="121">
        <v>0</v>
      </c>
      <c r="AKN37" s="119">
        <v>0</v>
      </c>
      <c r="AKO37" s="119">
        <v>0</v>
      </c>
      <c r="AKP37">
        <v>0</v>
      </c>
      <c r="AKQ37">
        <v>0</v>
      </c>
      <c r="AKR37">
        <v>0</v>
      </c>
      <c r="AKS37" s="119">
        <v>0</v>
      </c>
      <c r="AKT37">
        <v>0</v>
      </c>
      <c r="AKU37">
        <v>0</v>
      </c>
      <c r="AKV37">
        <v>0</v>
      </c>
      <c r="AKW37">
        <v>0</v>
      </c>
      <c r="AKX37">
        <v>0</v>
      </c>
      <c r="AKY37">
        <v>0</v>
      </c>
      <c r="AKZ37">
        <v>0</v>
      </c>
      <c r="ALA37">
        <v>0</v>
      </c>
      <c r="ALB37">
        <v>0</v>
      </c>
      <c r="ALC37">
        <v>0</v>
      </c>
      <c r="ALD37">
        <v>0</v>
      </c>
      <c r="ALE37">
        <v>0</v>
      </c>
      <c r="ALF37">
        <v>0</v>
      </c>
      <c r="ALG37">
        <v>0</v>
      </c>
      <c r="ALH37">
        <v>0</v>
      </c>
      <c r="ALI37">
        <v>0</v>
      </c>
      <c r="ALJ37">
        <v>0</v>
      </c>
      <c r="ALK37">
        <v>0</v>
      </c>
      <c r="ALL37">
        <v>0</v>
      </c>
      <c r="ALM37">
        <v>0</v>
      </c>
      <c r="ALN37">
        <v>0</v>
      </c>
      <c r="ALO37">
        <v>0</v>
      </c>
      <c r="ALP37">
        <v>0</v>
      </c>
      <c r="ALQ37" s="116">
        <v>0</v>
      </c>
      <c r="ALR37" s="116">
        <v>0</v>
      </c>
      <c r="ALS37" s="116">
        <v>0</v>
      </c>
      <c r="ALT37" s="116">
        <v>0</v>
      </c>
      <c r="ALU37" s="116">
        <v>0</v>
      </c>
      <c r="ALV37" s="116">
        <v>0</v>
      </c>
      <c r="ALW37" s="116">
        <v>0</v>
      </c>
      <c r="ALX37" s="116">
        <v>0</v>
      </c>
      <c r="ALY37" s="116">
        <v>0</v>
      </c>
      <c r="ALZ37" s="128">
        <v>0</v>
      </c>
      <c r="AMA37" s="128">
        <v>0</v>
      </c>
      <c r="AMB37" s="128">
        <v>0</v>
      </c>
      <c r="AMC37" s="128">
        <v>0</v>
      </c>
      <c r="AMD37">
        <v>0</v>
      </c>
      <c r="AME37" s="119">
        <v>0</v>
      </c>
      <c r="AMF37" s="119">
        <v>0</v>
      </c>
      <c r="AMG37" s="119">
        <v>0</v>
      </c>
      <c r="AMH37" s="119">
        <v>0</v>
      </c>
      <c r="AMI37" s="121">
        <v>0</v>
      </c>
      <c r="AMJ37" s="119">
        <v>0</v>
      </c>
      <c r="AMK37" s="119">
        <v>0</v>
      </c>
      <c r="AML37">
        <v>0</v>
      </c>
      <c r="AMM37">
        <v>0</v>
      </c>
      <c r="AMN37">
        <v>0</v>
      </c>
      <c r="AMO37" s="119">
        <v>0</v>
      </c>
      <c r="AMP37">
        <v>0</v>
      </c>
      <c r="AMQ37">
        <v>0</v>
      </c>
      <c r="AMR37">
        <v>0</v>
      </c>
      <c r="AMS37">
        <v>0</v>
      </c>
      <c r="AMT37">
        <v>0</v>
      </c>
      <c r="AMU37">
        <v>0</v>
      </c>
      <c r="AMV37">
        <v>0</v>
      </c>
      <c r="AMW37">
        <v>0</v>
      </c>
      <c r="AMX37">
        <v>0</v>
      </c>
      <c r="AMY37">
        <v>0</v>
      </c>
      <c r="AMZ37">
        <v>0</v>
      </c>
      <c r="ANA37">
        <v>0</v>
      </c>
      <c r="ANB37">
        <v>0</v>
      </c>
      <c r="ANC37">
        <v>0</v>
      </c>
      <c r="AND37">
        <v>0</v>
      </c>
      <c r="ANE37">
        <v>0</v>
      </c>
      <c r="ANF37">
        <v>0</v>
      </c>
      <c r="ANG37">
        <v>0</v>
      </c>
      <c r="ANH37">
        <v>0</v>
      </c>
      <c r="ANI37">
        <v>0</v>
      </c>
      <c r="ANJ37">
        <v>0</v>
      </c>
      <c r="ANK37">
        <v>0</v>
      </c>
      <c r="ANL37">
        <v>0</v>
      </c>
      <c r="ANM37" s="116">
        <v>0</v>
      </c>
      <c r="ANN37" s="116">
        <v>0</v>
      </c>
      <c r="ANO37" s="116">
        <v>0</v>
      </c>
      <c r="ANP37" s="116">
        <v>0</v>
      </c>
      <c r="ANQ37" s="116">
        <v>0</v>
      </c>
      <c r="ANR37" s="116">
        <v>0</v>
      </c>
      <c r="ANS37" s="116">
        <v>0</v>
      </c>
      <c r="ANT37" s="116">
        <v>0</v>
      </c>
      <c r="ANU37" s="116">
        <v>0</v>
      </c>
      <c r="ANV37" s="128">
        <v>0</v>
      </c>
      <c r="ANW37" s="128">
        <v>0</v>
      </c>
      <c r="ANX37" s="128">
        <v>0</v>
      </c>
      <c r="ANY37" s="128">
        <v>0</v>
      </c>
      <c r="ANZ37">
        <v>0</v>
      </c>
      <c r="AOA37" s="119">
        <v>0</v>
      </c>
      <c r="AOB37" s="119">
        <v>0</v>
      </c>
      <c r="AOC37" s="119">
        <v>0</v>
      </c>
      <c r="AOD37" s="119">
        <v>0</v>
      </c>
      <c r="AOE37" s="121">
        <v>0</v>
      </c>
      <c r="AOF37" s="119">
        <v>0</v>
      </c>
      <c r="AOG37" s="119">
        <v>0</v>
      </c>
      <c r="AOH37">
        <v>0</v>
      </c>
      <c r="AOI37">
        <v>0</v>
      </c>
      <c r="AOJ37">
        <v>0</v>
      </c>
      <c r="AOK37" s="119">
        <v>0</v>
      </c>
      <c r="AOL37">
        <v>0</v>
      </c>
      <c r="AOM37">
        <v>0</v>
      </c>
      <c r="AON37">
        <v>0</v>
      </c>
      <c r="AOO37">
        <v>0</v>
      </c>
      <c r="AOP37">
        <v>0</v>
      </c>
      <c r="AOQ37">
        <v>0</v>
      </c>
      <c r="AOR37">
        <v>0</v>
      </c>
      <c r="AOS37">
        <v>0</v>
      </c>
      <c r="AOT37">
        <v>0</v>
      </c>
      <c r="AOU37">
        <v>0</v>
      </c>
      <c r="AOV37">
        <v>0</v>
      </c>
      <c r="AOW37">
        <v>0</v>
      </c>
      <c r="AOX37">
        <v>0</v>
      </c>
      <c r="AOY37">
        <v>0</v>
      </c>
      <c r="AOZ37">
        <v>0</v>
      </c>
      <c r="APA37">
        <v>0</v>
      </c>
      <c r="APB37">
        <v>0</v>
      </c>
      <c r="APC37">
        <v>0</v>
      </c>
      <c r="APD37">
        <v>0</v>
      </c>
      <c r="APE37">
        <v>0</v>
      </c>
      <c r="APF37">
        <v>0</v>
      </c>
      <c r="APG37">
        <v>0</v>
      </c>
      <c r="APH37">
        <v>0</v>
      </c>
      <c r="API37" s="116">
        <v>0</v>
      </c>
      <c r="APJ37" s="116">
        <v>0</v>
      </c>
      <c r="APK37" s="116">
        <v>0</v>
      </c>
      <c r="APL37" s="116">
        <v>0</v>
      </c>
      <c r="APM37" s="116">
        <v>0</v>
      </c>
      <c r="APN37" s="116">
        <v>0</v>
      </c>
      <c r="APO37" s="116">
        <v>0</v>
      </c>
      <c r="APP37" s="116">
        <v>0</v>
      </c>
      <c r="APQ37" s="116">
        <v>0</v>
      </c>
      <c r="APR37" s="128">
        <v>0</v>
      </c>
      <c r="APS37" s="128">
        <v>0</v>
      </c>
      <c r="APT37" s="128">
        <v>0</v>
      </c>
      <c r="APU37" s="128">
        <v>0</v>
      </c>
      <c r="APV37">
        <v>0</v>
      </c>
      <c r="APW37" s="119">
        <v>0</v>
      </c>
      <c r="APX37" s="119">
        <v>0</v>
      </c>
      <c r="APY37" s="119">
        <v>0</v>
      </c>
      <c r="APZ37" s="119">
        <v>0</v>
      </c>
      <c r="AQA37" s="121">
        <v>0</v>
      </c>
      <c r="AQB37" s="119">
        <v>0</v>
      </c>
      <c r="AQC37" s="119">
        <v>0</v>
      </c>
      <c r="AQD37">
        <v>0</v>
      </c>
      <c r="AQE37">
        <v>0</v>
      </c>
      <c r="AQF37">
        <v>0</v>
      </c>
      <c r="AQG37" s="119">
        <v>0</v>
      </c>
      <c r="AQH37">
        <v>0</v>
      </c>
      <c r="AQI37">
        <v>0</v>
      </c>
      <c r="AQJ37">
        <v>0</v>
      </c>
      <c r="AQK37">
        <v>0</v>
      </c>
      <c r="AQL37">
        <v>0</v>
      </c>
      <c r="AQM37">
        <v>0</v>
      </c>
      <c r="AQN37">
        <v>0</v>
      </c>
      <c r="AQO37">
        <v>0</v>
      </c>
      <c r="AQP37">
        <v>0</v>
      </c>
      <c r="AQQ37">
        <v>0</v>
      </c>
      <c r="AQR37">
        <v>0</v>
      </c>
      <c r="AQS37">
        <v>0</v>
      </c>
      <c r="AQT37">
        <v>0</v>
      </c>
      <c r="AQU37">
        <v>0</v>
      </c>
      <c r="AQV37">
        <v>0</v>
      </c>
      <c r="AQW37">
        <v>0</v>
      </c>
      <c r="AQX37">
        <v>0</v>
      </c>
      <c r="AQY37">
        <v>0</v>
      </c>
      <c r="AQZ37">
        <v>0</v>
      </c>
      <c r="ARA37">
        <v>0</v>
      </c>
      <c r="ARB37">
        <v>0</v>
      </c>
      <c r="ARC37">
        <v>0</v>
      </c>
      <c r="ARD37">
        <v>0</v>
      </c>
      <c r="ARE37">
        <v>0</v>
      </c>
      <c r="ARF37">
        <v>0</v>
      </c>
      <c r="ARG37">
        <v>0</v>
      </c>
      <c r="ARH37">
        <v>0</v>
      </c>
      <c r="ARI37">
        <v>0</v>
      </c>
      <c r="ARJ37">
        <v>0</v>
      </c>
      <c r="ARK37">
        <v>0</v>
      </c>
      <c r="ARL37">
        <v>0</v>
      </c>
      <c r="ARM37">
        <v>0</v>
      </c>
      <c r="ARN37" s="128">
        <v>0</v>
      </c>
      <c r="ARO37" s="128">
        <v>0</v>
      </c>
      <c r="ARP37" s="128">
        <v>0</v>
      </c>
      <c r="ARQ37" s="128">
        <v>0</v>
      </c>
      <c r="ARR37">
        <v>0</v>
      </c>
      <c r="ARS37" s="119">
        <v>0</v>
      </c>
      <c r="ART37" s="119">
        <v>0</v>
      </c>
      <c r="ARU37" s="119">
        <v>0</v>
      </c>
      <c r="ARV37" s="119">
        <v>0</v>
      </c>
      <c r="ARW37" s="121">
        <v>0</v>
      </c>
      <c r="ARX37" s="119">
        <v>0</v>
      </c>
      <c r="ARY37" s="119">
        <v>0</v>
      </c>
      <c r="ARZ37">
        <v>0</v>
      </c>
      <c r="ASA37">
        <v>0</v>
      </c>
      <c r="ASB37">
        <v>0</v>
      </c>
      <c r="ASC37" s="119">
        <v>0</v>
      </c>
      <c r="ASD37">
        <v>0</v>
      </c>
      <c r="ASE37">
        <v>0</v>
      </c>
      <c r="ASF37">
        <v>0</v>
      </c>
      <c r="ASG37">
        <v>0</v>
      </c>
      <c r="ASH37">
        <v>0</v>
      </c>
      <c r="ASI37">
        <v>0</v>
      </c>
      <c r="ASJ37">
        <v>0</v>
      </c>
      <c r="ASK37">
        <v>0</v>
      </c>
      <c r="ASL37">
        <v>0</v>
      </c>
      <c r="ASM37">
        <v>0</v>
      </c>
      <c r="ASN37">
        <v>0</v>
      </c>
      <c r="ASO37">
        <v>0</v>
      </c>
      <c r="ASP37">
        <v>0</v>
      </c>
      <c r="ASQ37">
        <v>0</v>
      </c>
      <c r="ASR37">
        <v>0</v>
      </c>
      <c r="ASS37">
        <v>0</v>
      </c>
      <c r="AST37">
        <v>0</v>
      </c>
      <c r="ASU37">
        <v>0</v>
      </c>
      <c r="ASV37">
        <v>0</v>
      </c>
      <c r="ASW37">
        <v>0</v>
      </c>
      <c r="ASX37">
        <v>0</v>
      </c>
      <c r="ASY37">
        <v>0</v>
      </c>
      <c r="ASZ37">
        <v>0</v>
      </c>
      <c r="ATA37" s="116">
        <v>0</v>
      </c>
      <c r="ATB37" s="116">
        <v>0</v>
      </c>
      <c r="ATC37" s="116">
        <v>0</v>
      </c>
      <c r="ATD37" s="116">
        <v>0</v>
      </c>
      <c r="ATE37" s="116">
        <v>0</v>
      </c>
      <c r="ATF37" s="116">
        <v>0</v>
      </c>
      <c r="ATG37" s="116">
        <v>0</v>
      </c>
      <c r="ATH37" s="116">
        <v>0</v>
      </c>
      <c r="ATI37" s="116">
        <v>0</v>
      </c>
      <c r="ATJ37" s="128">
        <v>0</v>
      </c>
      <c r="ATK37" s="128">
        <v>0</v>
      </c>
      <c r="ATL37" s="128">
        <v>0</v>
      </c>
      <c r="ATM37" s="128">
        <v>0</v>
      </c>
      <c r="ATN37">
        <v>0</v>
      </c>
      <c r="ATO37" s="119">
        <v>0</v>
      </c>
      <c r="ATP37" s="119">
        <v>0</v>
      </c>
      <c r="ATQ37" s="119">
        <v>0</v>
      </c>
      <c r="ATR37" s="119">
        <v>0</v>
      </c>
      <c r="ATS37" s="121">
        <v>0</v>
      </c>
      <c r="ATT37" s="119">
        <v>0</v>
      </c>
      <c r="ATU37" s="119">
        <v>0</v>
      </c>
      <c r="ATV37">
        <v>0</v>
      </c>
      <c r="ATW37">
        <v>0</v>
      </c>
      <c r="ATX37">
        <v>0</v>
      </c>
      <c r="ATY37" s="119">
        <v>0</v>
      </c>
      <c r="ATZ37">
        <v>0</v>
      </c>
      <c r="AUA37">
        <v>0</v>
      </c>
      <c r="AUB37">
        <v>0</v>
      </c>
      <c r="AUC37">
        <v>0</v>
      </c>
      <c r="AUD37">
        <v>0</v>
      </c>
      <c r="AUE37">
        <v>0</v>
      </c>
      <c r="AUF37">
        <v>0</v>
      </c>
      <c r="AUG37">
        <v>0</v>
      </c>
      <c r="AUH37">
        <v>0</v>
      </c>
      <c r="AUI37">
        <v>0</v>
      </c>
      <c r="AUJ37">
        <v>0</v>
      </c>
      <c r="AUK37">
        <v>0</v>
      </c>
      <c r="AUL37">
        <v>0</v>
      </c>
      <c r="AUM37">
        <v>0</v>
      </c>
      <c r="AUN37">
        <v>0</v>
      </c>
      <c r="AUO37">
        <v>0</v>
      </c>
      <c r="AUP37">
        <v>0</v>
      </c>
      <c r="AUQ37">
        <v>0</v>
      </c>
      <c r="AUR37">
        <v>0</v>
      </c>
      <c r="AUS37">
        <v>0</v>
      </c>
      <c r="AUT37">
        <v>0</v>
      </c>
      <c r="AUU37">
        <v>0</v>
      </c>
      <c r="AUV37">
        <v>0</v>
      </c>
      <c r="AUW37" s="116">
        <v>0</v>
      </c>
      <c r="AUX37" s="116">
        <v>0</v>
      </c>
      <c r="AUY37" s="116">
        <v>0</v>
      </c>
      <c r="AUZ37" s="116">
        <v>0</v>
      </c>
      <c r="AVA37" s="116">
        <v>0</v>
      </c>
      <c r="AVB37" s="116">
        <v>0</v>
      </c>
      <c r="AVC37" s="116">
        <v>0</v>
      </c>
      <c r="AVD37" s="116">
        <v>0</v>
      </c>
      <c r="AVE37" s="116">
        <v>0</v>
      </c>
      <c r="AVF37" s="128">
        <v>0</v>
      </c>
      <c r="AVG37" s="128">
        <v>0</v>
      </c>
      <c r="AVH37" s="128">
        <v>0</v>
      </c>
      <c r="AVI37" s="128">
        <v>0</v>
      </c>
      <c r="AVJ37">
        <v>0</v>
      </c>
      <c r="AVK37" s="119">
        <v>0</v>
      </c>
      <c r="AVL37" s="119">
        <v>0</v>
      </c>
      <c r="AVM37" s="119">
        <v>0</v>
      </c>
      <c r="AVN37" s="119">
        <v>0</v>
      </c>
      <c r="AVO37" s="121">
        <v>0</v>
      </c>
      <c r="AVP37" s="119">
        <v>0</v>
      </c>
      <c r="AVQ37" s="119">
        <v>0</v>
      </c>
      <c r="AVR37">
        <v>0</v>
      </c>
      <c r="AVS37">
        <v>0</v>
      </c>
      <c r="AVT37">
        <v>0</v>
      </c>
      <c r="AVU37" s="119">
        <v>0</v>
      </c>
      <c r="AVV37">
        <v>0</v>
      </c>
      <c r="AVW37">
        <v>0</v>
      </c>
      <c r="AVX37">
        <v>0</v>
      </c>
      <c r="AVY37">
        <v>0</v>
      </c>
      <c r="AVZ37">
        <v>0</v>
      </c>
      <c r="AWA37">
        <v>0</v>
      </c>
      <c r="AWB37">
        <v>0</v>
      </c>
      <c r="AWC37">
        <v>0</v>
      </c>
      <c r="AWD37">
        <v>0</v>
      </c>
      <c r="AWE37">
        <v>0</v>
      </c>
      <c r="AWF37">
        <v>0</v>
      </c>
      <c r="AWG37">
        <v>0</v>
      </c>
      <c r="AWH37">
        <v>0</v>
      </c>
      <c r="AWI37">
        <v>0</v>
      </c>
      <c r="AWJ37">
        <v>0</v>
      </c>
      <c r="AWK37">
        <v>0</v>
      </c>
      <c r="AWL37">
        <v>0</v>
      </c>
      <c r="AWM37">
        <v>0</v>
      </c>
      <c r="AWN37">
        <v>0</v>
      </c>
      <c r="AWO37">
        <v>0</v>
      </c>
      <c r="AWP37">
        <v>0</v>
      </c>
      <c r="AWQ37">
        <v>0</v>
      </c>
      <c r="AWR37">
        <v>0</v>
      </c>
      <c r="AWS37" s="116">
        <v>0</v>
      </c>
      <c r="AWT37" s="116">
        <v>0</v>
      </c>
      <c r="AWU37" s="116">
        <v>0</v>
      </c>
      <c r="AWV37" s="116">
        <v>0</v>
      </c>
      <c r="AWW37" s="116">
        <v>0</v>
      </c>
      <c r="AWX37" s="116">
        <v>0</v>
      </c>
      <c r="AWY37" s="116">
        <v>0</v>
      </c>
      <c r="AWZ37" s="116">
        <v>0</v>
      </c>
      <c r="AXA37" s="116">
        <v>0</v>
      </c>
      <c r="AXB37" s="128">
        <v>0</v>
      </c>
      <c r="AXC37" s="128">
        <v>0</v>
      </c>
      <c r="AXD37" s="128">
        <v>0</v>
      </c>
      <c r="AXE37" s="128">
        <v>0</v>
      </c>
      <c r="AXF37">
        <v>0</v>
      </c>
      <c r="AXG37" s="119">
        <v>0</v>
      </c>
      <c r="AXH37" s="119">
        <v>0</v>
      </c>
      <c r="AXI37" s="119">
        <v>0</v>
      </c>
      <c r="AXJ37" s="119">
        <v>0</v>
      </c>
      <c r="AXK37" s="121">
        <v>0</v>
      </c>
      <c r="AXL37" s="119">
        <v>0</v>
      </c>
      <c r="AXM37" s="119">
        <v>0</v>
      </c>
      <c r="AXN37">
        <v>0</v>
      </c>
      <c r="AXO37">
        <v>0</v>
      </c>
      <c r="AXP37">
        <v>0</v>
      </c>
      <c r="AXQ37" s="119">
        <v>0</v>
      </c>
      <c r="AXR37">
        <v>0</v>
      </c>
      <c r="AXS37">
        <v>0</v>
      </c>
      <c r="AXT37">
        <v>0</v>
      </c>
      <c r="AXU37">
        <v>0</v>
      </c>
      <c r="AXV37">
        <v>0</v>
      </c>
      <c r="AXW37">
        <v>0</v>
      </c>
      <c r="AXX37">
        <v>0</v>
      </c>
      <c r="AXY37">
        <v>0</v>
      </c>
      <c r="AXZ37">
        <v>0</v>
      </c>
      <c r="AYA37">
        <v>0</v>
      </c>
      <c r="AYB37">
        <v>0</v>
      </c>
      <c r="AYC37">
        <v>0</v>
      </c>
      <c r="AYD37">
        <v>0</v>
      </c>
      <c r="AYE37">
        <v>0</v>
      </c>
      <c r="AYF37">
        <v>0</v>
      </c>
      <c r="AYG37">
        <v>0</v>
      </c>
      <c r="AYH37">
        <v>0</v>
      </c>
      <c r="AYI37">
        <v>0</v>
      </c>
      <c r="AYJ37">
        <v>0</v>
      </c>
      <c r="AYK37">
        <v>0</v>
      </c>
      <c r="AYL37">
        <v>0</v>
      </c>
      <c r="AYM37">
        <v>0</v>
      </c>
      <c r="AYN37">
        <v>0</v>
      </c>
      <c r="AYO37" s="116">
        <v>0</v>
      </c>
      <c r="AYP37" s="116">
        <v>0</v>
      </c>
      <c r="AYQ37" s="116">
        <v>0</v>
      </c>
      <c r="AYR37" s="116">
        <v>0</v>
      </c>
      <c r="AYS37" s="116">
        <v>0</v>
      </c>
      <c r="AYT37" s="116">
        <v>0</v>
      </c>
      <c r="AYU37" s="116">
        <v>0</v>
      </c>
      <c r="AYV37" s="116">
        <v>0</v>
      </c>
      <c r="AYW37" s="116">
        <v>0</v>
      </c>
      <c r="AYX37" s="128">
        <v>0</v>
      </c>
      <c r="AYY37" s="128">
        <v>0</v>
      </c>
      <c r="AYZ37" s="128">
        <v>0</v>
      </c>
      <c r="AZA37" s="128">
        <v>0</v>
      </c>
      <c r="AZB37">
        <v>0</v>
      </c>
      <c r="AZC37" s="119">
        <v>0</v>
      </c>
      <c r="AZD37" s="119">
        <v>0</v>
      </c>
      <c r="AZE37" s="119">
        <v>0</v>
      </c>
      <c r="AZF37" s="119">
        <v>0</v>
      </c>
      <c r="AZG37" s="121">
        <v>0</v>
      </c>
      <c r="AZH37" s="119">
        <v>0</v>
      </c>
      <c r="AZI37" s="119">
        <v>0</v>
      </c>
      <c r="AZJ37">
        <v>0</v>
      </c>
      <c r="AZK37">
        <v>0</v>
      </c>
      <c r="AZL37">
        <v>0</v>
      </c>
      <c r="AZM37" s="119">
        <v>0</v>
      </c>
      <c r="AZN37">
        <v>0</v>
      </c>
      <c r="AZO37">
        <v>0</v>
      </c>
      <c r="AZP37">
        <v>0</v>
      </c>
      <c r="AZQ37">
        <v>0</v>
      </c>
      <c r="AZR37">
        <v>0</v>
      </c>
      <c r="AZS37">
        <v>0</v>
      </c>
      <c r="AZT37">
        <v>0</v>
      </c>
      <c r="AZU37">
        <v>0</v>
      </c>
      <c r="AZV37">
        <v>0</v>
      </c>
      <c r="AZW37">
        <v>0</v>
      </c>
      <c r="AZX37">
        <v>0</v>
      </c>
      <c r="AZY37">
        <v>0</v>
      </c>
      <c r="AZZ37">
        <v>0</v>
      </c>
      <c r="BAA37">
        <v>0</v>
      </c>
      <c r="BAB37">
        <v>0</v>
      </c>
      <c r="BAC37">
        <v>0</v>
      </c>
      <c r="BAD37">
        <v>0</v>
      </c>
      <c r="BAE37">
        <v>0</v>
      </c>
      <c r="BAF37">
        <v>0</v>
      </c>
      <c r="BAG37">
        <v>0</v>
      </c>
      <c r="BAH37">
        <v>0</v>
      </c>
      <c r="BAI37">
        <v>0</v>
      </c>
      <c r="BAJ37">
        <v>0</v>
      </c>
      <c r="BAK37">
        <v>833650</v>
      </c>
      <c r="BAL37" s="120">
        <v>7360.81</v>
      </c>
      <c r="BAM37" s="120">
        <v>6388.81</v>
      </c>
      <c r="BAN37" s="120">
        <v>972</v>
      </c>
      <c r="BAO37" s="120">
        <v>0</v>
      </c>
      <c r="BAP37" s="120">
        <v>0</v>
      </c>
      <c r="BAQ37" s="120">
        <v>0</v>
      </c>
      <c r="BAR37" s="116" t="s">
        <v>3466</v>
      </c>
      <c r="BAS37" s="116">
        <v>0</v>
      </c>
      <c r="BAT37" s="116">
        <v>0</v>
      </c>
      <c r="BAU37" s="116">
        <v>0</v>
      </c>
      <c r="BAV37" s="116">
        <v>0</v>
      </c>
      <c r="BAW37" s="116">
        <v>0</v>
      </c>
      <c r="BAX37" s="116">
        <v>0</v>
      </c>
      <c r="BAY37" s="116">
        <v>0</v>
      </c>
      <c r="BAZ37" s="116">
        <v>0</v>
      </c>
      <c r="BBA37" s="116">
        <v>0</v>
      </c>
      <c r="BBB37" s="116">
        <v>0</v>
      </c>
      <c r="BBC37" s="116">
        <v>0</v>
      </c>
      <c r="BBD37" s="116">
        <v>0</v>
      </c>
      <c r="BBE37" s="116">
        <v>0</v>
      </c>
      <c r="BBF37" s="116">
        <v>0</v>
      </c>
      <c r="BBG37" s="116">
        <v>0</v>
      </c>
      <c r="BBH37" s="116">
        <v>0</v>
      </c>
      <c r="BBI37" s="116">
        <v>0</v>
      </c>
      <c r="BBJ37" s="116">
        <v>0</v>
      </c>
      <c r="BBK37" s="116">
        <v>0</v>
      </c>
      <c r="BBL37" s="116">
        <v>0</v>
      </c>
      <c r="BBM37" s="116">
        <v>0</v>
      </c>
      <c r="BBN37" s="116">
        <v>0</v>
      </c>
      <c r="BBO37" s="116">
        <v>0</v>
      </c>
      <c r="BBP37" s="116">
        <v>0</v>
      </c>
      <c r="BBQ37" s="116">
        <v>0</v>
      </c>
      <c r="BBR37" s="116">
        <v>0</v>
      </c>
      <c r="BBS37" s="116">
        <v>0</v>
      </c>
      <c r="BBT37" s="116">
        <v>0</v>
      </c>
      <c r="BBU37" s="116">
        <v>0</v>
      </c>
      <c r="BBV37" s="116">
        <v>0</v>
      </c>
      <c r="BBW37" s="116">
        <v>0</v>
      </c>
      <c r="BBX37" s="116">
        <v>0</v>
      </c>
      <c r="BBY37" s="116">
        <v>0</v>
      </c>
      <c r="BBZ37" s="116">
        <v>0</v>
      </c>
      <c r="BCA37" s="116">
        <v>0</v>
      </c>
      <c r="BCB37" s="116">
        <v>0</v>
      </c>
      <c r="BCC37" s="116">
        <v>0</v>
      </c>
      <c r="BCD37" s="116">
        <v>0</v>
      </c>
      <c r="BCE37" s="116">
        <v>0</v>
      </c>
      <c r="BCF37" s="116">
        <v>0</v>
      </c>
      <c r="BCG37" s="116">
        <v>0</v>
      </c>
      <c r="BCH37" s="116">
        <v>0</v>
      </c>
      <c r="BCI37" s="116">
        <v>0</v>
      </c>
      <c r="BCJ37" s="116">
        <v>0</v>
      </c>
      <c r="BCK37" s="116">
        <v>0</v>
      </c>
      <c r="BCL37" s="116">
        <v>0</v>
      </c>
      <c r="BCM37" s="116">
        <v>0</v>
      </c>
      <c r="BCN37" s="116">
        <v>0</v>
      </c>
      <c r="BCO37" s="116">
        <v>0</v>
      </c>
      <c r="BCP37" s="304">
        <v>4</v>
      </c>
      <c r="BCQ37" s="304">
        <v>1</v>
      </c>
      <c r="BCR37" s="304">
        <v>7</v>
      </c>
      <c r="BCS37" s="304">
        <v>9</v>
      </c>
      <c r="BCT37" s="304">
        <v>6</v>
      </c>
      <c r="BCU37" s="304">
        <v>3</v>
      </c>
      <c r="BCV37" s="304">
        <v>3</v>
      </c>
      <c r="BCW37" s="304">
        <v>9</v>
      </c>
      <c r="BCX37" s="304">
        <v>7</v>
      </c>
      <c r="BCY37" s="304">
        <v>0</v>
      </c>
      <c r="BCZ37" s="304">
        <v>0</v>
      </c>
      <c r="BDA37" s="304">
        <v>0</v>
      </c>
      <c r="BDB37" s="304">
        <v>0</v>
      </c>
      <c r="BDC37" s="304">
        <v>0</v>
      </c>
      <c r="BDD37" s="304">
        <v>0</v>
      </c>
      <c r="BDE37" s="304">
        <v>0</v>
      </c>
      <c r="BDF37" s="304">
        <v>0</v>
      </c>
      <c r="BDG37" s="304">
        <v>0</v>
      </c>
      <c r="BDH37" s="304">
        <v>0</v>
      </c>
      <c r="BDI37" s="304">
        <v>0</v>
      </c>
      <c r="BDJ37" s="304">
        <v>0</v>
      </c>
      <c r="BDK37" s="304">
        <v>0</v>
      </c>
      <c r="BDL37" s="304">
        <v>0</v>
      </c>
      <c r="BDM37" s="304">
        <v>0</v>
      </c>
      <c r="BDN37" s="304">
        <v>0</v>
      </c>
      <c r="BDO37" s="304">
        <v>0</v>
      </c>
      <c r="BDP37" s="304">
        <v>0</v>
      </c>
      <c r="BDQ37">
        <v>0</v>
      </c>
      <c r="BDR37" t="s">
        <v>3270</v>
      </c>
      <c r="BDS37">
        <v>0</v>
      </c>
      <c r="BDT37">
        <v>0</v>
      </c>
      <c r="BDU37">
        <v>0</v>
      </c>
      <c r="BDV37" t="s">
        <v>3270</v>
      </c>
      <c r="BDW37">
        <v>0</v>
      </c>
      <c r="BDX37">
        <v>0</v>
      </c>
      <c r="BDY37">
        <v>0</v>
      </c>
      <c r="BDZ37" t="s">
        <v>3269</v>
      </c>
      <c r="BEA37">
        <v>0</v>
      </c>
      <c r="BEB37">
        <v>0</v>
      </c>
      <c r="BEC37">
        <v>0</v>
      </c>
      <c r="BED37" t="s">
        <v>3269</v>
      </c>
      <c r="BEE37" t="s">
        <v>3269</v>
      </c>
      <c r="BEF37">
        <v>0</v>
      </c>
      <c r="BEG37">
        <v>0</v>
      </c>
      <c r="BEH37">
        <v>0</v>
      </c>
      <c r="BEI37">
        <v>0</v>
      </c>
      <c r="BEJ37">
        <v>0</v>
      </c>
      <c r="BEK37" t="s">
        <v>3269</v>
      </c>
      <c r="BEL37">
        <v>0</v>
      </c>
      <c r="BEM37" t="s">
        <v>3269</v>
      </c>
      <c r="BEN37" t="s">
        <v>3269</v>
      </c>
      <c r="BEO37" t="s">
        <v>3459</v>
      </c>
      <c r="BEP37" t="s">
        <v>3460</v>
      </c>
      <c r="BEQ37" t="s">
        <v>3461</v>
      </c>
      <c r="BER37">
        <v>0</v>
      </c>
      <c r="BES37">
        <v>0</v>
      </c>
      <c r="BET37">
        <v>0</v>
      </c>
      <c r="BEU37" t="s">
        <v>3462</v>
      </c>
      <c r="BEV37" t="s">
        <v>3463</v>
      </c>
      <c r="BEW37" t="s">
        <v>3464</v>
      </c>
      <c r="BEX37" t="s">
        <v>3269</v>
      </c>
      <c r="BEY37" t="s">
        <v>3270</v>
      </c>
      <c r="BEZ37" t="s">
        <v>3278</v>
      </c>
      <c r="BFA37" t="s">
        <v>3270</v>
      </c>
      <c r="BFB37" t="s">
        <v>3270</v>
      </c>
      <c r="BFC37">
        <v>0</v>
      </c>
      <c r="BFD37" t="b">
        <v>1</v>
      </c>
      <c r="BFE37" t="b">
        <v>1</v>
      </c>
      <c r="BFF37" t="b">
        <v>1</v>
      </c>
      <c r="BFG37" t="b">
        <v>1</v>
      </c>
      <c r="BFH37">
        <v>43670</v>
      </c>
      <c r="BFI37">
        <v>43670</v>
      </c>
      <c r="BFJ37">
        <v>1</v>
      </c>
      <c r="BFK37" t="s">
        <v>3294</v>
      </c>
      <c r="BFL37" t="s">
        <v>3465</v>
      </c>
      <c r="BFM37">
        <v>0</v>
      </c>
      <c r="BFN37">
        <v>0</v>
      </c>
      <c r="BFO37">
        <v>0</v>
      </c>
      <c r="BFP37">
        <v>0</v>
      </c>
      <c r="BFQ37">
        <v>0</v>
      </c>
      <c r="BFR37">
        <v>0</v>
      </c>
      <c r="BFS37">
        <v>0</v>
      </c>
      <c r="BFT37">
        <v>0</v>
      </c>
      <c r="BFU37">
        <v>0</v>
      </c>
      <c r="BFV37">
        <v>0</v>
      </c>
      <c r="BFW37">
        <v>0</v>
      </c>
      <c r="BFX37">
        <v>0</v>
      </c>
      <c r="BFY37">
        <v>0</v>
      </c>
    </row>
    <row r="38" spans="1:1533" ht="18.75" customHeight="1" x14ac:dyDescent="0.25"/>
    <row r="39" spans="1:1533" ht="18.75" customHeight="1" x14ac:dyDescent="0.25"/>
    <row r="40" spans="1:1533" ht="18.75" customHeight="1" x14ac:dyDescent="0.25"/>
    <row r="41" spans="1:1533" ht="18.75" customHeight="1" x14ac:dyDescent="0.25"/>
    <row r="42" spans="1:1533" ht="18.75" customHeight="1" x14ac:dyDescent="0.25"/>
    <row r="43" spans="1:1533" ht="18.75" customHeight="1" x14ac:dyDescent="0.25"/>
    <row r="44" spans="1:1533" ht="18.75" customHeight="1" x14ac:dyDescent="0.25"/>
    <row r="45" spans="1:1533" ht="18.75" customHeight="1" x14ac:dyDescent="0.25"/>
    <row r="46" spans="1:1533" ht="18.75" customHeight="1" x14ac:dyDescent="0.25"/>
    <row r="47" spans="1:1533" ht="18.75" customHeight="1" x14ac:dyDescent="0.25"/>
    <row r="48" spans="1:1533" ht="18.75" customHeight="1" x14ac:dyDescent="0.25"/>
    <row r="49" ht="18.75" customHeight="1" x14ac:dyDescent="0.25"/>
    <row r="50" ht="18.75" customHeight="1" x14ac:dyDescent="0.25"/>
    <row r="51" ht="18.75" customHeight="1" x14ac:dyDescent="0.25"/>
    <row r="52" ht="18.75" customHeight="1" x14ac:dyDescent="0.25"/>
    <row r="53" ht="18.75" customHeight="1" x14ac:dyDescent="0.25"/>
    <row r="54" ht="18.75" customHeight="1" x14ac:dyDescent="0.25"/>
    <row r="55" ht="18.75" customHeight="1" x14ac:dyDescent="0.25"/>
    <row r="56" ht="18.75" customHeight="1" x14ac:dyDescent="0.25"/>
    <row r="57" ht="18.75" customHeight="1" x14ac:dyDescent="0.25"/>
    <row r="58" ht="18.75" customHeight="1" x14ac:dyDescent="0.25"/>
    <row r="59" ht="18.75" customHeight="1" x14ac:dyDescent="0.25"/>
    <row r="60" ht="18.75" customHeight="1" x14ac:dyDescent="0.25"/>
    <row r="61" ht="18.75" customHeight="1" x14ac:dyDescent="0.25"/>
    <row r="62" ht="18.75" customHeight="1" x14ac:dyDescent="0.25"/>
    <row r="63" ht="18.75" customHeight="1" x14ac:dyDescent="0.25"/>
    <row r="64" ht="18.75" customHeight="1" x14ac:dyDescent="0.25"/>
    <row r="65" ht="18.75" customHeight="1" x14ac:dyDescent="0.25"/>
    <row r="66" ht="18.75" customHeight="1" x14ac:dyDescent="0.25"/>
    <row r="67" ht="18.75" customHeight="1" x14ac:dyDescent="0.25"/>
    <row r="68" ht="18.75" customHeight="1" x14ac:dyDescent="0.25"/>
    <row r="69" ht="22.5" customHeight="1" x14ac:dyDescent="0.25"/>
    <row r="70" ht="18.75" customHeight="1" x14ac:dyDescent="0.25"/>
    <row r="71" ht="18.75" customHeight="1" x14ac:dyDescent="0.25"/>
    <row r="72" ht="18.75" customHeight="1" x14ac:dyDescent="0.25"/>
    <row r="73" ht="18.75" customHeight="1" x14ac:dyDescent="0.25"/>
    <row r="74" ht="18.75" customHeight="1" x14ac:dyDescent="0.25"/>
    <row r="75" ht="18.75" customHeight="1" x14ac:dyDescent="0.25"/>
    <row r="76" ht="18.75" customHeight="1" x14ac:dyDescent="0.25"/>
    <row r="77" ht="18.75" customHeight="1" x14ac:dyDescent="0.25"/>
    <row r="78" ht="18.75" customHeight="1" x14ac:dyDescent="0.25"/>
    <row r="79" ht="18.75" customHeight="1" x14ac:dyDescent="0.25"/>
    <row r="80" ht="18.75" customHeight="1" x14ac:dyDescent="0.25"/>
    <row r="81" ht="18.75" customHeight="1" x14ac:dyDescent="0.25"/>
    <row r="82" ht="18.75" customHeight="1" x14ac:dyDescent="0.25"/>
    <row r="83" ht="18.75" customHeight="1" x14ac:dyDescent="0.25"/>
    <row r="84" ht="18.75" customHeight="1" x14ac:dyDescent="0.25"/>
    <row r="85" ht="18.75" customHeight="1" x14ac:dyDescent="0.25"/>
    <row r="86" ht="18.75" customHeight="1" x14ac:dyDescent="0.25"/>
    <row r="87" ht="18.75" customHeight="1" x14ac:dyDescent="0.25"/>
    <row r="88" ht="18.75" customHeight="1" x14ac:dyDescent="0.25"/>
    <row r="89" ht="18.75" customHeight="1" x14ac:dyDescent="0.25"/>
    <row r="90" ht="15" customHeight="1" x14ac:dyDescent="0.25"/>
    <row r="91" ht="18.75" hidden="1" customHeight="1" x14ac:dyDescent="0.25"/>
    <row r="92" ht="18.75" hidden="1" customHeight="1" x14ac:dyDescent="0.25"/>
    <row r="93" ht="18.75" hidden="1" customHeight="1" x14ac:dyDescent="0.25"/>
    <row r="94" ht="18.75" hidden="1" customHeight="1" x14ac:dyDescent="0.25"/>
    <row r="95" ht="18.75" hidden="1" customHeight="1" x14ac:dyDescent="0.25"/>
    <row r="96" ht="18.75" hidden="1" customHeight="1" x14ac:dyDescent="0.25"/>
    <row r="97" ht="18.75" hidden="1" customHeight="1" x14ac:dyDescent="0.25"/>
    <row r="98" ht="18.75" hidden="1" customHeight="1" x14ac:dyDescent="0.25"/>
    <row r="99" ht="18.75" hidden="1" customHeight="1" x14ac:dyDescent="0.25"/>
    <row r="100" ht="18.75" hidden="1" customHeight="1" x14ac:dyDescent="0.25"/>
    <row r="101" ht="18.75" hidden="1" customHeight="1" x14ac:dyDescent="0.25"/>
    <row r="102" ht="18.75" hidden="1" customHeight="1" x14ac:dyDescent="0.25"/>
    <row r="103" ht="18.75" hidden="1" customHeight="1" x14ac:dyDescent="0.25"/>
    <row r="104" ht="18.75" hidden="1" customHeight="1" x14ac:dyDescent="0.25"/>
    <row r="105" ht="18.75" hidden="1" customHeight="1" x14ac:dyDescent="0.25"/>
    <row r="106" ht="18.75" hidden="1" customHeight="1" x14ac:dyDescent="0.25"/>
    <row r="107" ht="18.75" hidden="1" customHeight="1" x14ac:dyDescent="0.25"/>
    <row r="108" ht="18.75" hidden="1" customHeight="1" x14ac:dyDescent="0.25"/>
    <row r="109" ht="18.75" hidden="1" customHeight="1" x14ac:dyDescent="0.25"/>
    <row r="110" ht="15" hidden="1" customHeight="1" x14ac:dyDescent="0.25"/>
    <row r="111" ht="18.75" hidden="1" customHeight="1" x14ac:dyDescent="0.25"/>
    <row r="112" ht="18.75" hidden="1" customHeight="1" x14ac:dyDescent="0.25"/>
    <row r="113" ht="18.75" hidden="1" customHeight="1" x14ac:dyDescent="0.25"/>
    <row r="114" ht="18.75" hidden="1" customHeight="1" x14ac:dyDescent="0.25"/>
    <row r="115" ht="18.75" hidden="1" customHeight="1" x14ac:dyDescent="0.25"/>
    <row r="116" ht="18.75" hidden="1" customHeight="1" x14ac:dyDescent="0.25"/>
    <row r="117" ht="18.75" hidden="1" customHeight="1" x14ac:dyDescent="0.25"/>
    <row r="118" ht="18.75" hidden="1" customHeight="1" x14ac:dyDescent="0.25"/>
    <row r="119" ht="18.75" hidden="1" customHeight="1" x14ac:dyDescent="0.25"/>
    <row r="120" ht="18.75" hidden="1" customHeight="1" x14ac:dyDescent="0.25"/>
    <row r="121" ht="18.75" hidden="1" customHeight="1" x14ac:dyDescent="0.25"/>
    <row r="122" ht="18.75" hidden="1" customHeight="1" x14ac:dyDescent="0.25"/>
    <row r="123" ht="18.75" hidden="1" customHeight="1" x14ac:dyDescent="0.25"/>
    <row r="124" ht="18.75" hidden="1" customHeight="1" x14ac:dyDescent="0.25"/>
    <row r="125" ht="18.75" hidden="1" customHeight="1" x14ac:dyDescent="0.25"/>
    <row r="126" ht="18.75" hidden="1" customHeight="1" x14ac:dyDescent="0.25"/>
    <row r="127" ht="18.75" hidden="1" customHeight="1" x14ac:dyDescent="0.25"/>
    <row r="128" ht="18.75" hidden="1" customHeight="1" x14ac:dyDescent="0.25"/>
    <row r="129" ht="18.75" hidden="1" customHeight="1" x14ac:dyDescent="0.25"/>
    <row r="130" hidden="1" x14ac:dyDescent="0.25"/>
    <row r="131" ht="18.75" hidden="1" customHeight="1" x14ac:dyDescent="0.25"/>
    <row r="132" ht="18.75" hidden="1" customHeight="1" x14ac:dyDescent="0.25"/>
    <row r="133" ht="18.75" hidden="1" customHeight="1" x14ac:dyDescent="0.25"/>
    <row r="134" ht="18.75" hidden="1" customHeight="1" x14ac:dyDescent="0.25"/>
    <row r="135" ht="18.75" hidden="1" customHeight="1" x14ac:dyDescent="0.25"/>
    <row r="136" ht="18.75" hidden="1" customHeight="1" x14ac:dyDescent="0.25"/>
    <row r="137" ht="18.75" hidden="1" customHeight="1" x14ac:dyDescent="0.25"/>
    <row r="138" ht="18.75" hidden="1" customHeight="1" x14ac:dyDescent="0.25"/>
    <row r="139" ht="18.75" hidden="1" customHeight="1" x14ac:dyDescent="0.25"/>
    <row r="140" ht="18.75" hidden="1" customHeight="1" x14ac:dyDescent="0.25"/>
    <row r="141" ht="18.75" hidden="1" customHeight="1" x14ac:dyDescent="0.25"/>
    <row r="142" ht="18.75" hidden="1" customHeight="1" x14ac:dyDescent="0.25"/>
    <row r="143" ht="18.75" hidden="1" customHeight="1" x14ac:dyDescent="0.25"/>
    <row r="144" ht="18.75" hidden="1" customHeight="1" x14ac:dyDescent="0.25"/>
    <row r="145" ht="18.75" hidden="1" customHeight="1" x14ac:dyDescent="0.25"/>
    <row r="146" ht="18.75" hidden="1" customHeight="1" x14ac:dyDescent="0.25"/>
    <row r="147" ht="18.75" hidden="1" customHeight="1" x14ac:dyDescent="0.25"/>
    <row r="148" ht="18.75" hidden="1" customHeight="1" x14ac:dyDescent="0.25"/>
    <row r="149" ht="18.75" hidden="1" customHeight="1" x14ac:dyDescent="0.25"/>
    <row r="150" hidden="1" x14ac:dyDescent="0.25"/>
    <row r="151" ht="18.75" hidden="1" customHeight="1" x14ac:dyDescent="0.25"/>
    <row r="152" ht="18.75" hidden="1" customHeight="1" x14ac:dyDescent="0.25"/>
    <row r="153" ht="18.75" hidden="1" customHeight="1" x14ac:dyDescent="0.25"/>
    <row r="154" ht="18.75" hidden="1" customHeight="1" x14ac:dyDescent="0.25"/>
    <row r="155" ht="18.75" hidden="1" customHeight="1" x14ac:dyDescent="0.25"/>
    <row r="156" ht="18.75" hidden="1" customHeight="1" x14ac:dyDescent="0.25"/>
    <row r="157" ht="18.75" hidden="1" customHeight="1" x14ac:dyDescent="0.25"/>
    <row r="158" ht="18.75" hidden="1" customHeight="1" x14ac:dyDescent="0.25"/>
    <row r="159" ht="18.75" hidden="1" customHeight="1" x14ac:dyDescent="0.25"/>
    <row r="160" ht="18.75" hidden="1" customHeight="1" x14ac:dyDescent="0.25"/>
    <row r="161" ht="18.75" hidden="1" customHeight="1" x14ac:dyDescent="0.25"/>
    <row r="162" ht="18.75" hidden="1" customHeight="1" x14ac:dyDescent="0.25"/>
    <row r="163" ht="18.75" hidden="1" customHeight="1" x14ac:dyDescent="0.25"/>
    <row r="164" ht="18.75" hidden="1" customHeight="1" x14ac:dyDescent="0.25"/>
    <row r="165" ht="18.75" hidden="1" customHeight="1" x14ac:dyDescent="0.25"/>
    <row r="166" ht="18.75" hidden="1" customHeight="1" x14ac:dyDescent="0.25"/>
    <row r="167" ht="18.75" hidden="1" customHeight="1" x14ac:dyDescent="0.25"/>
    <row r="168" ht="18.75" hidden="1" customHeight="1" x14ac:dyDescent="0.25"/>
    <row r="169" ht="18.75" hidden="1" customHeight="1" x14ac:dyDescent="0.25"/>
    <row r="170" hidden="1" x14ac:dyDescent="0.25"/>
    <row r="171" ht="18.75" hidden="1" customHeight="1" x14ac:dyDescent="0.25"/>
    <row r="172" ht="18.75" hidden="1" customHeight="1" x14ac:dyDescent="0.25"/>
    <row r="173" ht="18.75" hidden="1" customHeight="1" x14ac:dyDescent="0.25"/>
    <row r="174" ht="18.75" hidden="1" customHeight="1" x14ac:dyDescent="0.25"/>
    <row r="175" ht="18.75" hidden="1" customHeight="1" x14ac:dyDescent="0.25"/>
    <row r="176" ht="18.75" hidden="1" customHeight="1" x14ac:dyDescent="0.25"/>
    <row r="177" ht="18.75" hidden="1" customHeight="1" x14ac:dyDescent="0.25"/>
    <row r="178" ht="18.75" hidden="1" customHeight="1" x14ac:dyDescent="0.25"/>
    <row r="179" ht="18.75" hidden="1" customHeight="1" x14ac:dyDescent="0.25"/>
    <row r="180" ht="18.75" hidden="1" customHeight="1" x14ac:dyDescent="0.25"/>
    <row r="181" ht="18.75" hidden="1" customHeight="1" x14ac:dyDescent="0.25"/>
    <row r="182" ht="18.75" hidden="1" customHeight="1" x14ac:dyDescent="0.25"/>
    <row r="183" ht="18.75" hidden="1" customHeight="1" x14ac:dyDescent="0.25"/>
    <row r="184" ht="18.75" hidden="1" customHeight="1" x14ac:dyDescent="0.25"/>
    <row r="185" ht="18.75" hidden="1" customHeight="1" x14ac:dyDescent="0.25"/>
    <row r="186" ht="18.75" hidden="1" customHeight="1" x14ac:dyDescent="0.25"/>
    <row r="187" ht="18.75" hidden="1" customHeight="1" x14ac:dyDescent="0.25"/>
    <row r="188" ht="18.75" hidden="1" customHeight="1" x14ac:dyDescent="0.25"/>
    <row r="189" ht="18.75" hidden="1" customHeight="1" x14ac:dyDescent="0.25"/>
    <row r="190" hidden="1" x14ac:dyDescent="0.25"/>
    <row r="191" ht="18.75" hidden="1" customHeight="1" x14ac:dyDescent="0.25"/>
    <row r="192" ht="18.75" hidden="1" customHeight="1" x14ac:dyDescent="0.25"/>
    <row r="193" ht="18.75" hidden="1" customHeight="1" x14ac:dyDescent="0.25"/>
    <row r="194" ht="18.75" hidden="1" customHeight="1" x14ac:dyDescent="0.25"/>
    <row r="195" ht="18.75" hidden="1" customHeight="1" x14ac:dyDescent="0.25"/>
    <row r="196" ht="18.75" hidden="1" customHeight="1" x14ac:dyDescent="0.25"/>
    <row r="197" ht="18.75" hidden="1" customHeight="1" x14ac:dyDescent="0.25"/>
    <row r="198" ht="18.75" hidden="1" customHeight="1" x14ac:dyDescent="0.25"/>
    <row r="199" ht="18.75" hidden="1" customHeight="1" x14ac:dyDescent="0.25"/>
    <row r="200" ht="18.75" hidden="1" customHeight="1" x14ac:dyDescent="0.25"/>
    <row r="201" ht="18.75" hidden="1" customHeight="1" x14ac:dyDescent="0.25"/>
    <row r="202" ht="18.75" hidden="1" customHeight="1" x14ac:dyDescent="0.25"/>
    <row r="203" ht="18.75" hidden="1" customHeight="1" x14ac:dyDescent="0.25"/>
    <row r="204" ht="18.75" hidden="1" customHeight="1" x14ac:dyDescent="0.25"/>
    <row r="205" ht="18.75" hidden="1" customHeight="1" x14ac:dyDescent="0.25"/>
    <row r="206" ht="18.75" hidden="1" customHeight="1" x14ac:dyDescent="0.25"/>
    <row r="207" ht="18.75" hidden="1" customHeight="1" x14ac:dyDescent="0.25"/>
    <row r="208" ht="18.75" hidden="1" customHeight="1" x14ac:dyDescent="0.25"/>
    <row r="209" ht="18.75" hidden="1" customHeight="1" x14ac:dyDescent="0.25"/>
    <row r="210" hidden="1" x14ac:dyDescent="0.25"/>
    <row r="211" ht="18.75" hidden="1" customHeight="1" x14ac:dyDescent="0.25"/>
    <row r="212" ht="18.75" hidden="1" customHeight="1" x14ac:dyDescent="0.25"/>
    <row r="213" ht="18.75" hidden="1" customHeight="1" x14ac:dyDescent="0.25"/>
    <row r="214" ht="18.75" hidden="1" customHeight="1" x14ac:dyDescent="0.25"/>
    <row r="215" ht="18.75" hidden="1" customHeight="1" x14ac:dyDescent="0.25"/>
    <row r="216" ht="18.75" hidden="1" customHeight="1" x14ac:dyDescent="0.25"/>
    <row r="217" ht="18.75" hidden="1" customHeight="1" x14ac:dyDescent="0.25"/>
    <row r="218" ht="18.75" hidden="1" customHeight="1" x14ac:dyDescent="0.25"/>
    <row r="219" ht="18.75" hidden="1" customHeight="1" x14ac:dyDescent="0.25"/>
    <row r="220" ht="18.75" hidden="1" customHeight="1" x14ac:dyDescent="0.25"/>
    <row r="221" ht="18.75" hidden="1" customHeight="1" x14ac:dyDescent="0.25"/>
    <row r="222" ht="18.75" hidden="1" customHeight="1" x14ac:dyDescent="0.25"/>
    <row r="223" ht="18.75" hidden="1" customHeight="1" x14ac:dyDescent="0.25"/>
    <row r="224" ht="18.75" hidden="1" customHeight="1" x14ac:dyDescent="0.25"/>
    <row r="225" ht="18.75" hidden="1" customHeight="1" x14ac:dyDescent="0.25"/>
    <row r="226" ht="18.75" hidden="1" customHeight="1" x14ac:dyDescent="0.25"/>
    <row r="227" ht="18.75" hidden="1" customHeight="1" x14ac:dyDescent="0.25"/>
    <row r="228" ht="18.75" hidden="1" customHeight="1" x14ac:dyDescent="0.25"/>
    <row r="229" ht="18.75" hidden="1" customHeight="1" x14ac:dyDescent="0.25"/>
    <row r="230" hidden="1" x14ac:dyDescent="0.25"/>
    <row r="231" ht="18.75" hidden="1" customHeight="1" x14ac:dyDescent="0.25"/>
    <row r="232" ht="18.75" hidden="1" customHeight="1" x14ac:dyDescent="0.25"/>
    <row r="233" ht="18.75" hidden="1" customHeight="1" x14ac:dyDescent="0.25"/>
    <row r="234" ht="18.75" hidden="1" customHeight="1" x14ac:dyDescent="0.25"/>
    <row r="235" ht="18.75" hidden="1" customHeight="1" x14ac:dyDescent="0.25"/>
    <row r="236" ht="18.75" hidden="1" customHeight="1" x14ac:dyDescent="0.25"/>
    <row r="237" ht="18.75" hidden="1" customHeight="1" x14ac:dyDescent="0.25"/>
    <row r="238" ht="18.75" hidden="1" customHeight="1" x14ac:dyDescent="0.25"/>
    <row r="239" ht="18.75" hidden="1" customHeight="1" x14ac:dyDescent="0.25"/>
    <row r="240" ht="18.75" hidden="1" customHeight="1" x14ac:dyDescent="0.25"/>
    <row r="241" ht="18.75" hidden="1" customHeight="1" x14ac:dyDescent="0.25"/>
    <row r="242" ht="18.75" hidden="1" customHeight="1" x14ac:dyDescent="0.25"/>
    <row r="243" ht="18.75" hidden="1" customHeight="1" x14ac:dyDescent="0.25"/>
    <row r="244" ht="18.75" hidden="1" customHeight="1" x14ac:dyDescent="0.25"/>
    <row r="245" ht="18.75" hidden="1" customHeight="1" x14ac:dyDescent="0.25"/>
    <row r="246" ht="18.75" hidden="1" customHeight="1" x14ac:dyDescent="0.25"/>
    <row r="247" ht="18.75" hidden="1" customHeight="1" x14ac:dyDescent="0.25"/>
    <row r="248" ht="18.75" hidden="1" customHeight="1" x14ac:dyDescent="0.25"/>
    <row r="249" ht="18.75" hidden="1" customHeight="1" x14ac:dyDescent="0.25"/>
    <row r="250" hidden="1" x14ac:dyDescent="0.25"/>
    <row r="251" ht="18.75" hidden="1" customHeight="1" x14ac:dyDescent="0.25"/>
    <row r="252" ht="18.75" hidden="1" customHeight="1" x14ac:dyDescent="0.25"/>
    <row r="253" ht="18.75" hidden="1" customHeight="1" x14ac:dyDescent="0.25"/>
    <row r="254" ht="18.75" hidden="1" customHeight="1" x14ac:dyDescent="0.25"/>
    <row r="255" ht="18.75" hidden="1" customHeight="1" x14ac:dyDescent="0.25"/>
    <row r="256" ht="18.75" hidden="1" customHeight="1" x14ac:dyDescent="0.25"/>
    <row r="257" ht="18.75" hidden="1" customHeight="1" x14ac:dyDescent="0.25"/>
    <row r="258" ht="18.75" hidden="1" customHeight="1" x14ac:dyDescent="0.25"/>
    <row r="259" ht="18.75" hidden="1" customHeight="1" x14ac:dyDescent="0.25"/>
    <row r="260" ht="18.75" hidden="1" customHeight="1" x14ac:dyDescent="0.25"/>
    <row r="261" ht="18.75" hidden="1" customHeight="1" x14ac:dyDescent="0.25"/>
    <row r="262" ht="18.75" hidden="1" customHeight="1" x14ac:dyDescent="0.25"/>
    <row r="263" ht="18.75" hidden="1" customHeight="1" x14ac:dyDescent="0.25"/>
    <row r="264" ht="18.75" hidden="1" customHeight="1" x14ac:dyDescent="0.25"/>
    <row r="265" ht="18.75" hidden="1" customHeight="1" x14ac:dyDescent="0.25"/>
    <row r="266" ht="18.75" hidden="1" customHeight="1" x14ac:dyDescent="0.25"/>
    <row r="267" ht="18.75" hidden="1" customHeight="1" x14ac:dyDescent="0.25"/>
    <row r="268" ht="18.75" hidden="1" customHeight="1" x14ac:dyDescent="0.25"/>
    <row r="269" ht="18.75" hidden="1" customHeight="1" x14ac:dyDescent="0.25"/>
    <row r="270" ht="15" hidden="1" customHeight="1" x14ac:dyDescent="0.25"/>
    <row r="271" ht="18.75" hidden="1" customHeight="1" x14ac:dyDescent="0.25"/>
    <row r="272" ht="18.75" hidden="1" customHeight="1" x14ac:dyDescent="0.25"/>
    <row r="273" ht="18.75" hidden="1" customHeight="1" x14ac:dyDescent="0.25"/>
    <row r="274" ht="18.75" hidden="1" customHeight="1" x14ac:dyDescent="0.25"/>
    <row r="275" ht="18.75" hidden="1" customHeight="1" x14ac:dyDescent="0.25"/>
    <row r="276" ht="18.75" hidden="1" customHeight="1" x14ac:dyDescent="0.25"/>
    <row r="277" ht="18.75" hidden="1" customHeight="1" x14ac:dyDescent="0.25"/>
    <row r="278" ht="18.75" hidden="1" customHeight="1" x14ac:dyDescent="0.25"/>
    <row r="279" ht="18.75" hidden="1" customHeight="1" x14ac:dyDescent="0.25"/>
    <row r="280" ht="18.75" hidden="1" customHeight="1" x14ac:dyDescent="0.25"/>
    <row r="281" ht="18.75" hidden="1" customHeight="1" x14ac:dyDescent="0.25"/>
    <row r="282" ht="18.75" hidden="1" customHeight="1" x14ac:dyDescent="0.25"/>
    <row r="283" ht="18.75" hidden="1" customHeight="1" x14ac:dyDescent="0.25"/>
    <row r="284" ht="18.75" hidden="1" customHeight="1" x14ac:dyDescent="0.25"/>
    <row r="285" ht="18.75" hidden="1" customHeight="1" x14ac:dyDescent="0.25"/>
    <row r="286" ht="18.75" hidden="1" customHeight="1" x14ac:dyDescent="0.25"/>
    <row r="287" ht="18.75" hidden="1" customHeight="1" x14ac:dyDescent="0.25"/>
    <row r="288" ht="18.75" hidden="1" customHeight="1" x14ac:dyDescent="0.25"/>
    <row r="289" ht="18.75" hidden="1" customHeight="1" x14ac:dyDescent="0.25"/>
    <row r="290" hidden="1" x14ac:dyDescent="0.25"/>
    <row r="291" ht="18.75" hidden="1" customHeight="1" x14ac:dyDescent="0.25"/>
    <row r="292" ht="18.75" hidden="1" customHeight="1" x14ac:dyDescent="0.25"/>
    <row r="293" ht="18.75" hidden="1" customHeight="1" x14ac:dyDescent="0.25"/>
    <row r="294" ht="18.75" hidden="1" customHeight="1" x14ac:dyDescent="0.25"/>
    <row r="295" ht="18.75" hidden="1" customHeight="1" x14ac:dyDescent="0.25"/>
    <row r="296" ht="18.75" hidden="1" customHeight="1" x14ac:dyDescent="0.25"/>
    <row r="297" ht="18.75" hidden="1" customHeight="1" x14ac:dyDescent="0.25"/>
    <row r="298" ht="18.75" hidden="1" customHeight="1" x14ac:dyDescent="0.25"/>
    <row r="299" ht="18.75" hidden="1" customHeight="1" x14ac:dyDescent="0.25"/>
    <row r="300" ht="18.75" hidden="1" customHeight="1" x14ac:dyDescent="0.25"/>
    <row r="301" ht="18.75" hidden="1" customHeight="1" x14ac:dyDescent="0.25"/>
    <row r="302" ht="18.75" hidden="1" customHeight="1" x14ac:dyDescent="0.25"/>
    <row r="303" ht="18.75" hidden="1" customHeight="1" x14ac:dyDescent="0.25"/>
    <row r="304" ht="18.75" hidden="1" customHeight="1" x14ac:dyDescent="0.25"/>
    <row r="305" ht="18.75" hidden="1" customHeight="1" x14ac:dyDescent="0.25"/>
    <row r="306" ht="18.75" hidden="1" customHeight="1" x14ac:dyDescent="0.25"/>
    <row r="307" ht="18.75" hidden="1" customHeight="1" x14ac:dyDescent="0.25"/>
    <row r="308" ht="18.75" hidden="1" customHeight="1" x14ac:dyDescent="0.25"/>
    <row r="309" ht="18.75" hidden="1" customHeight="1" x14ac:dyDescent="0.25"/>
    <row r="310" hidden="1" x14ac:dyDescent="0.25"/>
    <row r="311" ht="18.75" hidden="1" customHeight="1" x14ac:dyDescent="0.25"/>
    <row r="312" ht="18.75" hidden="1" customHeight="1" x14ac:dyDescent="0.25"/>
    <row r="313" ht="18.75" hidden="1" customHeight="1" x14ac:dyDescent="0.25"/>
    <row r="314" ht="18.75" hidden="1" customHeight="1" x14ac:dyDescent="0.25"/>
    <row r="315" ht="18.75" hidden="1" customHeight="1" x14ac:dyDescent="0.25"/>
    <row r="316" ht="18.75" hidden="1" customHeight="1" x14ac:dyDescent="0.25"/>
    <row r="317" ht="18.75" hidden="1" customHeight="1" x14ac:dyDescent="0.25"/>
    <row r="318" ht="18.75" hidden="1" customHeight="1" x14ac:dyDescent="0.25"/>
    <row r="319" ht="18.75" hidden="1" customHeight="1" x14ac:dyDescent="0.25"/>
    <row r="320" ht="18.75" hidden="1" customHeight="1" x14ac:dyDescent="0.25"/>
    <row r="321" ht="18.75" hidden="1" customHeight="1" x14ac:dyDescent="0.25"/>
    <row r="322" ht="18.75" hidden="1" customHeight="1" x14ac:dyDescent="0.25"/>
    <row r="323" ht="18.75" hidden="1" customHeight="1" x14ac:dyDescent="0.25"/>
    <row r="324" ht="18.75" hidden="1" customHeight="1" x14ac:dyDescent="0.25"/>
    <row r="325" ht="18.75" hidden="1" customHeight="1" x14ac:dyDescent="0.25"/>
    <row r="326" ht="18.75" hidden="1" customHeight="1" x14ac:dyDescent="0.25"/>
    <row r="327" ht="18.75" hidden="1" customHeight="1" x14ac:dyDescent="0.25"/>
    <row r="328" ht="18.75" hidden="1" customHeight="1" x14ac:dyDescent="0.25"/>
    <row r="329" ht="18.75" hidden="1" customHeight="1" x14ac:dyDescent="0.25"/>
    <row r="330" hidden="1" x14ac:dyDescent="0.25"/>
    <row r="331" ht="18.75" hidden="1" customHeight="1" x14ac:dyDescent="0.25"/>
    <row r="332" ht="18.75" hidden="1" customHeight="1" x14ac:dyDescent="0.25"/>
    <row r="333" ht="18.75" hidden="1" customHeight="1" x14ac:dyDescent="0.25"/>
    <row r="334" ht="18.75" hidden="1" customHeight="1" x14ac:dyDescent="0.25"/>
    <row r="335" ht="18.75" hidden="1" customHeight="1" x14ac:dyDescent="0.25"/>
    <row r="336" ht="18.75" hidden="1" customHeight="1" x14ac:dyDescent="0.25"/>
    <row r="337" ht="18.75" hidden="1" customHeight="1" x14ac:dyDescent="0.25"/>
    <row r="338" ht="18.75" hidden="1" customHeight="1" x14ac:dyDescent="0.25"/>
    <row r="339" ht="18.75" hidden="1" customHeight="1" x14ac:dyDescent="0.25"/>
    <row r="340" ht="18.75" hidden="1" customHeight="1" x14ac:dyDescent="0.25"/>
    <row r="341" ht="18.75" hidden="1" customHeight="1" x14ac:dyDescent="0.25"/>
    <row r="342" ht="18.75" hidden="1" customHeight="1" x14ac:dyDescent="0.25"/>
    <row r="343" ht="18.75" hidden="1" customHeight="1" x14ac:dyDescent="0.25"/>
    <row r="344" ht="18.75" hidden="1" customHeight="1" x14ac:dyDescent="0.25"/>
    <row r="345" ht="18.75" hidden="1" customHeight="1" x14ac:dyDescent="0.25"/>
    <row r="346" ht="18.75" hidden="1" customHeight="1" x14ac:dyDescent="0.25"/>
    <row r="347" ht="18.75" hidden="1" customHeight="1" x14ac:dyDescent="0.25"/>
    <row r="348" ht="18.75" hidden="1" customHeight="1" x14ac:dyDescent="0.25"/>
    <row r="349" ht="18.75" hidden="1" customHeight="1" x14ac:dyDescent="0.25"/>
    <row r="350" hidden="1" x14ac:dyDescent="0.25"/>
    <row r="351" ht="18.75" hidden="1" customHeight="1" x14ac:dyDescent="0.25"/>
    <row r="352" ht="18.75" hidden="1" customHeight="1" x14ac:dyDescent="0.25"/>
    <row r="353" ht="18.75" hidden="1" customHeight="1" x14ac:dyDescent="0.25"/>
    <row r="354" ht="18.75" hidden="1" customHeight="1" x14ac:dyDescent="0.25"/>
    <row r="355" ht="18.75" hidden="1" customHeight="1" x14ac:dyDescent="0.25"/>
    <row r="356" ht="18.75" hidden="1" customHeight="1" x14ac:dyDescent="0.25"/>
    <row r="357" ht="18.75" hidden="1" customHeight="1" x14ac:dyDescent="0.25"/>
    <row r="358" ht="18.75" hidden="1" customHeight="1" x14ac:dyDescent="0.25"/>
    <row r="359" ht="18.75" hidden="1" customHeight="1" x14ac:dyDescent="0.25"/>
    <row r="360" ht="18.75" hidden="1" customHeight="1" x14ac:dyDescent="0.25"/>
    <row r="361" ht="18.75" hidden="1" customHeight="1" x14ac:dyDescent="0.25"/>
    <row r="362" ht="18.75" hidden="1" customHeight="1" x14ac:dyDescent="0.25"/>
    <row r="363" ht="18.75" hidden="1" customHeight="1" x14ac:dyDescent="0.25"/>
    <row r="364" ht="18.75" hidden="1" customHeight="1" x14ac:dyDescent="0.25"/>
    <row r="365" ht="18.75" hidden="1" customHeight="1" x14ac:dyDescent="0.25"/>
    <row r="366" ht="18.75" hidden="1" customHeight="1" x14ac:dyDescent="0.25"/>
    <row r="367" ht="18.75" hidden="1" customHeight="1" x14ac:dyDescent="0.25"/>
    <row r="368" ht="18.75" hidden="1" customHeight="1" x14ac:dyDescent="0.25"/>
    <row r="369" ht="18.75" hidden="1" customHeight="1" x14ac:dyDescent="0.25"/>
    <row r="370" hidden="1" x14ac:dyDescent="0.25"/>
    <row r="371" ht="18.75" hidden="1" customHeight="1" x14ac:dyDescent="0.25"/>
    <row r="372" ht="18.75" hidden="1" customHeight="1" x14ac:dyDescent="0.25"/>
    <row r="373" ht="18.75" hidden="1" customHeight="1" x14ac:dyDescent="0.25"/>
    <row r="374" ht="18.75" hidden="1" customHeight="1" x14ac:dyDescent="0.25"/>
    <row r="375" ht="18.75" hidden="1" customHeight="1" x14ac:dyDescent="0.25"/>
    <row r="376" ht="18.75" hidden="1" customHeight="1" x14ac:dyDescent="0.25"/>
    <row r="377" ht="18.75" hidden="1" customHeight="1" x14ac:dyDescent="0.25"/>
    <row r="378" ht="18.75" hidden="1" customHeight="1" x14ac:dyDescent="0.25"/>
    <row r="379" ht="18.75" hidden="1" customHeight="1" x14ac:dyDescent="0.25"/>
    <row r="380" ht="18.75" hidden="1" customHeight="1" x14ac:dyDescent="0.25"/>
    <row r="381" ht="18.75" hidden="1" customHeight="1" x14ac:dyDescent="0.25"/>
    <row r="382" ht="18.75" hidden="1" customHeight="1" x14ac:dyDescent="0.25"/>
    <row r="383" ht="18.75" hidden="1" customHeight="1" x14ac:dyDescent="0.25"/>
    <row r="384" ht="18.75" hidden="1" customHeight="1" x14ac:dyDescent="0.25"/>
    <row r="385" ht="18.75" hidden="1" customHeight="1" x14ac:dyDescent="0.25"/>
    <row r="386" ht="18.75" hidden="1" customHeight="1" x14ac:dyDescent="0.25"/>
    <row r="387" ht="18.75" hidden="1" customHeight="1" x14ac:dyDescent="0.25"/>
    <row r="388" ht="18.75" hidden="1" customHeight="1" x14ac:dyDescent="0.25"/>
    <row r="389" ht="18.75" hidden="1" customHeight="1" x14ac:dyDescent="0.25"/>
    <row r="390" hidden="1" x14ac:dyDescent="0.25"/>
    <row r="391" ht="18.75" hidden="1" customHeight="1" x14ac:dyDescent="0.25"/>
    <row r="392" ht="18.75" hidden="1" customHeight="1" x14ac:dyDescent="0.25"/>
    <row r="393" ht="18.75" hidden="1" customHeight="1" x14ac:dyDescent="0.25"/>
    <row r="394" ht="18.75" hidden="1" customHeight="1" x14ac:dyDescent="0.25"/>
    <row r="395" ht="18.75" hidden="1" customHeight="1" x14ac:dyDescent="0.25"/>
    <row r="396" ht="18.75" hidden="1" customHeight="1" x14ac:dyDescent="0.25"/>
    <row r="397" ht="18.75" hidden="1" customHeight="1" x14ac:dyDescent="0.25"/>
    <row r="398" ht="18.75" hidden="1" customHeight="1" x14ac:dyDescent="0.25"/>
    <row r="399" ht="18.75" hidden="1" customHeight="1" x14ac:dyDescent="0.25"/>
    <row r="400" ht="18.75" hidden="1" customHeight="1" x14ac:dyDescent="0.25"/>
    <row r="401" ht="18.75" hidden="1" customHeight="1" x14ac:dyDescent="0.25"/>
    <row r="402" ht="18.75" hidden="1" customHeight="1" x14ac:dyDescent="0.25"/>
    <row r="403" ht="18.75" hidden="1" customHeight="1" x14ac:dyDescent="0.25"/>
    <row r="404" ht="18.75" hidden="1" customHeight="1" x14ac:dyDescent="0.25"/>
    <row r="405" ht="18.75" hidden="1" customHeight="1" x14ac:dyDescent="0.25"/>
    <row r="406" ht="18.75" hidden="1" customHeight="1" x14ac:dyDescent="0.25"/>
    <row r="407" ht="18.75" hidden="1" customHeight="1" x14ac:dyDescent="0.25"/>
    <row r="408" ht="18.75" hidden="1" customHeight="1" x14ac:dyDescent="0.25"/>
    <row r="409" ht="18.75" hidden="1" customHeight="1" x14ac:dyDescent="0.25"/>
    <row r="410" hidden="1" x14ac:dyDescent="0.25"/>
    <row r="411" ht="18.75" hidden="1" customHeight="1" x14ac:dyDescent="0.25"/>
    <row r="412" ht="18.75" hidden="1" customHeight="1" x14ac:dyDescent="0.25"/>
    <row r="413" ht="18.75" hidden="1" customHeight="1" x14ac:dyDescent="0.25"/>
    <row r="414" ht="18.75" hidden="1" customHeight="1" x14ac:dyDescent="0.25"/>
    <row r="415" ht="18.75" hidden="1" customHeight="1" x14ac:dyDescent="0.25"/>
    <row r="416" ht="18.75" hidden="1" customHeight="1" x14ac:dyDescent="0.25"/>
    <row r="417" ht="18.75" hidden="1" customHeight="1" x14ac:dyDescent="0.25"/>
    <row r="418" ht="18.75" hidden="1" customHeight="1" x14ac:dyDescent="0.25"/>
    <row r="419" ht="18.75" hidden="1" customHeight="1" x14ac:dyDescent="0.25"/>
    <row r="420" ht="18.75" hidden="1" customHeight="1" x14ac:dyDescent="0.25"/>
    <row r="421" ht="18.75" hidden="1" customHeight="1" x14ac:dyDescent="0.25"/>
    <row r="422" ht="18.75" hidden="1" customHeight="1" x14ac:dyDescent="0.25"/>
    <row r="423" ht="18.75" hidden="1" customHeight="1" x14ac:dyDescent="0.25"/>
    <row r="424" ht="18.75" hidden="1" customHeight="1" x14ac:dyDescent="0.25"/>
    <row r="425" ht="18.75" hidden="1" customHeight="1" x14ac:dyDescent="0.25"/>
    <row r="426" ht="18.75" hidden="1" customHeight="1" x14ac:dyDescent="0.25"/>
    <row r="427" ht="18.75" hidden="1" customHeight="1" x14ac:dyDescent="0.25"/>
    <row r="428" ht="18.75" hidden="1" customHeight="1" x14ac:dyDescent="0.25"/>
    <row r="429" ht="18.75" hidden="1" customHeight="1" x14ac:dyDescent="0.25"/>
    <row r="430" hidden="1" x14ac:dyDescent="0.25"/>
    <row r="431" ht="18.75" hidden="1" customHeight="1" x14ac:dyDescent="0.25"/>
    <row r="432" ht="18.75" hidden="1" customHeight="1" x14ac:dyDescent="0.25"/>
    <row r="433" ht="18.75" hidden="1" customHeight="1" x14ac:dyDescent="0.25"/>
    <row r="434" ht="18.75" hidden="1" customHeight="1" x14ac:dyDescent="0.25"/>
    <row r="435" ht="18.75" hidden="1" customHeight="1" x14ac:dyDescent="0.25"/>
    <row r="436" ht="18.75" hidden="1" customHeight="1" x14ac:dyDescent="0.25"/>
    <row r="437" ht="18.75" hidden="1" customHeight="1" x14ac:dyDescent="0.25"/>
    <row r="438" ht="18.75" hidden="1" customHeight="1" x14ac:dyDescent="0.25"/>
    <row r="439" ht="18.75" hidden="1" customHeight="1" x14ac:dyDescent="0.25"/>
    <row r="440" ht="18.75" hidden="1" customHeight="1" x14ac:dyDescent="0.25"/>
    <row r="441" ht="18.75" hidden="1" customHeight="1" x14ac:dyDescent="0.25"/>
    <row r="442" ht="18.75" hidden="1" customHeight="1" x14ac:dyDescent="0.25"/>
    <row r="443" ht="18.75" hidden="1" customHeight="1" x14ac:dyDescent="0.25"/>
    <row r="444" ht="18.75" hidden="1" customHeight="1" x14ac:dyDescent="0.25"/>
    <row r="445" ht="18.75" hidden="1" customHeight="1" x14ac:dyDescent="0.25"/>
    <row r="446" ht="18.75" hidden="1" customHeight="1" x14ac:dyDescent="0.25"/>
    <row r="447" ht="18.75" hidden="1" customHeight="1" x14ac:dyDescent="0.25"/>
    <row r="448" ht="18.75" hidden="1" customHeight="1" x14ac:dyDescent="0.25"/>
    <row r="449" ht="18.75" hidden="1" customHeight="1" x14ac:dyDescent="0.25"/>
    <row r="450" hidden="1" x14ac:dyDescent="0.25"/>
    <row r="451" ht="18.75" hidden="1" customHeight="1" x14ac:dyDescent="0.25"/>
    <row r="452" ht="18.75" hidden="1" customHeight="1" x14ac:dyDescent="0.25"/>
    <row r="453" ht="18.75" hidden="1" customHeight="1" x14ac:dyDescent="0.25"/>
    <row r="454" ht="18.75" hidden="1" customHeight="1" x14ac:dyDescent="0.25"/>
    <row r="455" ht="18.75" hidden="1" customHeight="1" x14ac:dyDescent="0.25"/>
    <row r="456" ht="18.75" hidden="1" customHeight="1" x14ac:dyDescent="0.25"/>
    <row r="457" ht="18.75" hidden="1" customHeight="1" x14ac:dyDescent="0.25"/>
    <row r="458" ht="18.75" hidden="1" customHeight="1" x14ac:dyDescent="0.25"/>
    <row r="459" ht="18.75" hidden="1" customHeight="1" x14ac:dyDescent="0.25"/>
    <row r="460" ht="18.75" hidden="1" customHeight="1" x14ac:dyDescent="0.25"/>
    <row r="461" ht="18.75" hidden="1" customHeight="1" x14ac:dyDescent="0.25"/>
    <row r="462" ht="18.75" hidden="1" customHeight="1" x14ac:dyDescent="0.25"/>
    <row r="463" ht="18.75" hidden="1" customHeight="1" x14ac:dyDescent="0.25"/>
    <row r="464" ht="18.75" hidden="1" customHeight="1" x14ac:dyDescent="0.25"/>
    <row r="465" ht="18.75" hidden="1" customHeight="1" x14ac:dyDescent="0.25"/>
    <row r="466" ht="18.75" hidden="1" customHeight="1" x14ac:dyDescent="0.25"/>
    <row r="467" ht="18.75" hidden="1" customHeight="1" x14ac:dyDescent="0.25"/>
    <row r="468" ht="18.75" hidden="1" customHeight="1" x14ac:dyDescent="0.25"/>
    <row r="469" ht="18.75" hidden="1" customHeight="1" x14ac:dyDescent="0.25"/>
    <row r="470" hidden="1" x14ac:dyDescent="0.25"/>
    <row r="471" ht="18.75" hidden="1" customHeight="1" x14ac:dyDescent="0.25"/>
    <row r="472" ht="18.75" hidden="1" customHeight="1" x14ac:dyDescent="0.25"/>
    <row r="473" ht="18.75" hidden="1" customHeight="1" x14ac:dyDescent="0.25"/>
    <row r="474" ht="18.75" hidden="1" customHeight="1" x14ac:dyDescent="0.25"/>
    <row r="475" ht="18.75" hidden="1" customHeight="1" x14ac:dyDescent="0.25"/>
    <row r="476" ht="18.75" hidden="1" customHeight="1" x14ac:dyDescent="0.25"/>
    <row r="477" ht="18.75" hidden="1" customHeight="1" x14ac:dyDescent="0.25"/>
    <row r="478" ht="18.75" hidden="1" customHeight="1" x14ac:dyDescent="0.25"/>
    <row r="479" ht="18.75" hidden="1" customHeight="1" x14ac:dyDescent="0.25"/>
    <row r="480" ht="18.75" hidden="1" customHeight="1" x14ac:dyDescent="0.25"/>
    <row r="481" ht="18.75" hidden="1" customHeight="1" x14ac:dyDescent="0.25"/>
    <row r="482" ht="18.75" hidden="1" customHeight="1" x14ac:dyDescent="0.25"/>
    <row r="483" ht="18.75" hidden="1" customHeight="1" x14ac:dyDescent="0.25"/>
    <row r="484" ht="18.75" hidden="1" customHeight="1" x14ac:dyDescent="0.25"/>
    <row r="485" ht="18.75" hidden="1" customHeight="1" x14ac:dyDescent="0.25"/>
    <row r="486" ht="18.75" hidden="1" customHeight="1" x14ac:dyDescent="0.25"/>
    <row r="487" ht="18.75" hidden="1" customHeight="1" x14ac:dyDescent="0.25"/>
    <row r="488" ht="18.75" hidden="1" customHeight="1" x14ac:dyDescent="0.25"/>
    <row r="489" ht="18.75" hidden="1" customHeight="1" x14ac:dyDescent="0.25"/>
    <row r="490" hidden="1" x14ac:dyDescent="0.25"/>
    <row r="491" ht="18.75" hidden="1" customHeight="1" x14ac:dyDescent="0.25"/>
    <row r="492" ht="18.75" hidden="1" customHeight="1" x14ac:dyDescent="0.25"/>
    <row r="493" ht="18.75" hidden="1" customHeight="1" x14ac:dyDescent="0.25"/>
    <row r="494" ht="18.75" hidden="1" customHeight="1" x14ac:dyDescent="0.25"/>
    <row r="495" ht="18.75" hidden="1" customHeight="1" x14ac:dyDescent="0.25"/>
    <row r="496" ht="18.75" hidden="1" customHeight="1" x14ac:dyDescent="0.25"/>
    <row r="497" ht="18.75" hidden="1" customHeight="1" x14ac:dyDescent="0.25"/>
    <row r="498" ht="18.75" hidden="1" customHeight="1" x14ac:dyDescent="0.25"/>
    <row r="499" ht="18.75" hidden="1" customHeight="1" x14ac:dyDescent="0.25"/>
    <row r="500" ht="18.75" hidden="1" customHeight="1" x14ac:dyDescent="0.25"/>
    <row r="501" ht="18.75" hidden="1" customHeight="1" x14ac:dyDescent="0.25"/>
    <row r="502" ht="18.75" hidden="1" customHeight="1" x14ac:dyDescent="0.25"/>
    <row r="503" ht="18.75" hidden="1" customHeight="1" x14ac:dyDescent="0.25"/>
    <row r="504" ht="18.75" hidden="1" customHeight="1" x14ac:dyDescent="0.25"/>
    <row r="505" ht="18.75" hidden="1" customHeight="1" x14ac:dyDescent="0.25"/>
    <row r="506" ht="18.75" hidden="1" customHeight="1" x14ac:dyDescent="0.25"/>
    <row r="507" ht="18.75" hidden="1" customHeight="1" x14ac:dyDescent="0.25"/>
    <row r="508" ht="18.75" hidden="1" customHeight="1" x14ac:dyDescent="0.25"/>
    <row r="509" ht="18.75" hidden="1" customHeight="1" x14ac:dyDescent="0.25"/>
    <row r="510" hidden="1" x14ac:dyDescent="0.25"/>
    <row r="511" ht="18.75" hidden="1" customHeight="1" x14ac:dyDescent="0.25"/>
    <row r="512" ht="18.75" hidden="1" customHeight="1" x14ac:dyDescent="0.25"/>
    <row r="513" ht="18.75" hidden="1" customHeight="1" x14ac:dyDescent="0.25"/>
    <row r="514" ht="18.75" hidden="1" customHeight="1" x14ac:dyDescent="0.25"/>
    <row r="515" ht="18.75" hidden="1" customHeight="1" x14ac:dyDescent="0.25"/>
    <row r="516" ht="18.75" hidden="1" customHeight="1" x14ac:dyDescent="0.25"/>
    <row r="517" ht="18.75" hidden="1" customHeight="1" x14ac:dyDescent="0.25"/>
    <row r="518" ht="18.75" hidden="1" customHeight="1" x14ac:dyDescent="0.25"/>
    <row r="519" ht="18.75" hidden="1" customHeight="1" x14ac:dyDescent="0.25"/>
    <row r="520" ht="18.75" hidden="1" customHeight="1" x14ac:dyDescent="0.25"/>
    <row r="521" ht="18.75" hidden="1" customHeight="1" x14ac:dyDescent="0.25"/>
    <row r="522" ht="18.75" hidden="1" customHeight="1" x14ac:dyDescent="0.25"/>
    <row r="523" ht="18.75" hidden="1" customHeight="1" x14ac:dyDescent="0.25"/>
    <row r="524" ht="18.75" hidden="1" customHeight="1" x14ac:dyDescent="0.25"/>
    <row r="525" ht="18.75" hidden="1" customHeight="1" x14ac:dyDescent="0.25"/>
    <row r="526" ht="18.75" hidden="1" customHeight="1" x14ac:dyDescent="0.25"/>
    <row r="527" ht="18.75" hidden="1" customHeight="1" x14ac:dyDescent="0.25"/>
    <row r="528" ht="18.75" hidden="1" customHeight="1" x14ac:dyDescent="0.25"/>
    <row r="529" ht="18.75" hidden="1" customHeight="1" x14ac:dyDescent="0.25"/>
    <row r="530" hidden="1" x14ac:dyDescent="0.25"/>
    <row r="531" ht="18.75" hidden="1" customHeight="1" x14ac:dyDescent="0.25"/>
    <row r="532" ht="18.75" hidden="1" customHeight="1" x14ac:dyDescent="0.25"/>
    <row r="533" ht="18.75" hidden="1" customHeight="1" x14ac:dyDescent="0.25"/>
    <row r="534" ht="18.75" hidden="1" customHeight="1" x14ac:dyDescent="0.25"/>
    <row r="535" ht="18.75" hidden="1" customHeight="1" x14ac:dyDescent="0.25"/>
    <row r="536" ht="18.75" hidden="1" customHeight="1" x14ac:dyDescent="0.25"/>
    <row r="537" ht="18.75" hidden="1" customHeight="1" x14ac:dyDescent="0.25"/>
    <row r="538" ht="18.75" hidden="1" customHeight="1" x14ac:dyDescent="0.25"/>
    <row r="539" ht="18.75" hidden="1" customHeight="1" x14ac:dyDescent="0.25"/>
    <row r="540" ht="18.75" hidden="1" customHeight="1" x14ac:dyDescent="0.25"/>
    <row r="541" ht="18.75" hidden="1" customHeight="1" x14ac:dyDescent="0.25"/>
    <row r="542" ht="18.75" hidden="1" customHeight="1" x14ac:dyDescent="0.25"/>
    <row r="543" ht="18.75" hidden="1" customHeight="1" x14ac:dyDescent="0.25"/>
    <row r="544" ht="18.75" hidden="1" customHeight="1" x14ac:dyDescent="0.25"/>
    <row r="545" ht="18.75" hidden="1" customHeight="1" x14ac:dyDescent="0.25"/>
    <row r="546" ht="18.75" hidden="1" customHeight="1" x14ac:dyDescent="0.25"/>
    <row r="547" ht="18.75" hidden="1" customHeight="1" x14ac:dyDescent="0.25"/>
    <row r="548" ht="18.75" hidden="1" customHeight="1" x14ac:dyDescent="0.25"/>
    <row r="549" ht="18.75" hidden="1" customHeight="1" x14ac:dyDescent="0.25"/>
    <row r="550" hidden="1" x14ac:dyDescent="0.25"/>
    <row r="551" ht="18.75" hidden="1" customHeight="1" x14ac:dyDescent="0.25"/>
    <row r="552" ht="18.75" hidden="1" customHeight="1" x14ac:dyDescent="0.25"/>
    <row r="553" ht="18.75" hidden="1" customHeight="1" x14ac:dyDescent="0.25"/>
    <row r="554" ht="18.75" hidden="1" customHeight="1" x14ac:dyDescent="0.25"/>
    <row r="555" ht="18.75" hidden="1" customHeight="1" x14ac:dyDescent="0.25"/>
    <row r="556" ht="18.75" hidden="1" customHeight="1" x14ac:dyDescent="0.25"/>
    <row r="557" ht="18.75" hidden="1" customHeight="1" x14ac:dyDescent="0.25"/>
    <row r="558" ht="18.75" hidden="1" customHeight="1" x14ac:dyDescent="0.25"/>
    <row r="559" ht="18.75" hidden="1" customHeight="1" x14ac:dyDescent="0.25"/>
    <row r="560" ht="18.75" hidden="1" customHeight="1" x14ac:dyDescent="0.25"/>
    <row r="561" ht="18.75" hidden="1" customHeight="1" x14ac:dyDescent="0.25"/>
    <row r="562" ht="18.75" hidden="1" customHeight="1" x14ac:dyDescent="0.25"/>
    <row r="563" ht="18.75" hidden="1" customHeight="1" x14ac:dyDescent="0.25"/>
    <row r="564" ht="18.75" hidden="1" customHeight="1" x14ac:dyDescent="0.25"/>
    <row r="565" ht="18.75" hidden="1" customHeight="1" x14ac:dyDescent="0.25"/>
    <row r="566" ht="18.75" hidden="1" customHeight="1" x14ac:dyDescent="0.25"/>
    <row r="567" ht="18.75" hidden="1" customHeight="1" x14ac:dyDescent="0.25"/>
    <row r="568" ht="18.75" hidden="1" customHeight="1" x14ac:dyDescent="0.25"/>
    <row r="569" ht="18.75" hidden="1" customHeight="1" x14ac:dyDescent="0.25"/>
    <row r="570" hidden="1"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5F1FA-9077-47F0-844D-5B93AB8AB2C8}">
  <sheetPr codeName="Sheet13"/>
  <dimension ref="A1:J30"/>
  <sheetViews>
    <sheetView workbookViewId="0">
      <selection activeCell="C1" sqref="C1"/>
    </sheetView>
  </sheetViews>
  <sheetFormatPr defaultRowHeight="15" x14ac:dyDescent="0.25"/>
  <cols>
    <col min="1" max="3" width="19.28515625" customWidth="1"/>
    <col min="6" max="8" width="19.28515625" customWidth="1"/>
  </cols>
  <sheetData>
    <row r="1" spans="1:10" x14ac:dyDescent="0.25">
      <c r="A1" t="s">
        <v>3344</v>
      </c>
      <c r="B1" t="s">
        <v>3346</v>
      </c>
      <c r="C1" t="s">
        <v>3345</v>
      </c>
      <c r="F1" t="s">
        <v>3346</v>
      </c>
      <c r="G1" t="s">
        <v>3344</v>
      </c>
      <c r="H1" t="s">
        <v>3345</v>
      </c>
      <c r="J1">
        <v>2</v>
      </c>
    </row>
    <row r="2" spans="1:10" x14ac:dyDescent="0.25">
      <c r="C2" s="58"/>
      <c r="F2" s="371" t="s">
        <v>2631</v>
      </c>
      <c r="G2">
        <v>33333</v>
      </c>
      <c r="H2" s="58">
        <v>0</v>
      </c>
      <c r="J2" t="s">
        <v>3375</v>
      </c>
    </row>
    <row r="3" spans="1:10" x14ac:dyDescent="0.25">
      <c r="C3" s="373"/>
      <c r="F3" t="s">
        <v>2803</v>
      </c>
      <c r="G3" t="s">
        <v>2801</v>
      </c>
      <c r="H3" s="58">
        <v>43437</v>
      </c>
      <c r="J3" t="s">
        <v>3370</v>
      </c>
    </row>
    <row r="4" spans="1:10" x14ac:dyDescent="0.25">
      <c r="C4" s="58"/>
      <c r="F4" t="s">
        <v>2828</v>
      </c>
      <c r="G4" t="s">
        <v>2825</v>
      </c>
      <c r="H4" s="58">
        <v>43509</v>
      </c>
      <c r="J4" t="s">
        <v>3379</v>
      </c>
    </row>
    <row r="5" spans="1:10" x14ac:dyDescent="0.25">
      <c r="C5" s="58"/>
      <c r="F5" t="s">
        <v>2890</v>
      </c>
      <c r="G5" t="s">
        <v>2887</v>
      </c>
      <c r="H5">
        <v>43524</v>
      </c>
    </row>
    <row r="6" spans="1:10" x14ac:dyDescent="0.25">
      <c r="C6" s="372"/>
      <c r="F6" t="s">
        <v>3244</v>
      </c>
      <c r="G6" t="s">
        <v>3249</v>
      </c>
      <c r="H6" s="372">
        <v>43614</v>
      </c>
    </row>
    <row r="7" spans="1:10" x14ac:dyDescent="0.25">
      <c r="C7" s="58"/>
    </row>
    <row r="9" spans="1:10" x14ac:dyDescent="0.25">
      <c r="H9" s="372"/>
    </row>
    <row r="10" spans="1:10" x14ac:dyDescent="0.25">
      <c r="C10" s="58"/>
      <c r="J10" t="s">
        <v>3368</v>
      </c>
    </row>
    <row r="11" spans="1:10" x14ac:dyDescent="0.25">
      <c r="C11" s="58"/>
      <c r="H11" s="58"/>
    </row>
    <row r="12" spans="1:10" x14ac:dyDescent="0.25">
      <c r="C12" s="58"/>
    </row>
    <row r="13" spans="1:10" x14ac:dyDescent="0.25">
      <c r="C13" s="58"/>
    </row>
    <row r="14" spans="1:10" x14ac:dyDescent="0.25">
      <c r="C14" s="58"/>
    </row>
    <row r="15" spans="1:10" x14ac:dyDescent="0.25">
      <c r="C15" s="372"/>
    </row>
    <row r="16" spans="1:10" x14ac:dyDescent="0.25">
      <c r="C16" s="58"/>
      <c r="H16" s="58"/>
    </row>
    <row r="17" spans="3:8" x14ac:dyDescent="0.25">
      <c r="C17" s="58"/>
      <c r="H17" s="58"/>
    </row>
    <row r="18" spans="3:8" x14ac:dyDescent="0.25">
      <c r="C18" s="58"/>
      <c r="H18" s="58"/>
    </row>
    <row r="19" spans="3:8" x14ac:dyDescent="0.25">
      <c r="C19" s="58"/>
      <c r="H19" s="58"/>
    </row>
    <row r="20" spans="3:8" x14ac:dyDescent="0.25">
      <c r="C20" s="58"/>
      <c r="H20" s="58"/>
    </row>
    <row r="21" spans="3:8" x14ac:dyDescent="0.25">
      <c r="C21" s="58"/>
      <c r="H21" s="58"/>
    </row>
    <row r="22" spans="3:8" x14ac:dyDescent="0.25">
      <c r="C22" s="58"/>
      <c r="H22" s="372"/>
    </row>
    <row r="23" spans="3:8" x14ac:dyDescent="0.25">
      <c r="C23" s="58"/>
      <c r="H23" s="58"/>
    </row>
    <row r="24" spans="3:8" x14ac:dyDescent="0.25">
      <c r="C24" s="372"/>
      <c r="H24" s="58"/>
    </row>
    <row r="25" spans="3:8" x14ac:dyDescent="0.25">
      <c r="C25" s="58"/>
      <c r="H25" s="58"/>
    </row>
    <row r="26" spans="3:8" x14ac:dyDescent="0.25">
      <c r="C26" s="58"/>
      <c r="H26" s="58"/>
    </row>
    <row r="27" spans="3:8" x14ac:dyDescent="0.25">
      <c r="C27" s="58"/>
      <c r="H27" s="58"/>
    </row>
    <row r="28" spans="3:8" x14ac:dyDescent="0.25">
      <c r="C28" s="58"/>
      <c r="H28" s="58"/>
    </row>
    <row r="29" spans="3:8" x14ac:dyDescent="0.25">
      <c r="C29" s="58"/>
      <c r="H29" s="58"/>
    </row>
    <row r="30" spans="3:8" x14ac:dyDescent="0.25">
      <c r="C30" s="5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E90ED-79BD-495F-A9EA-2A7913D3A1D1}">
  <sheetPr codeName="Sheet2"/>
  <dimension ref="A1:AN375"/>
  <sheetViews>
    <sheetView topLeftCell="G1" workbookViewId="0">
      <selection activeCell="X18" sqref="X18:AC18"/>
    </sheetView>
  </sheetViews>
  <sheetFormatPr defaultRowHeight="15" x14ac:dyDescent="0.25"/>
  <cols>
    <col min="2" max="2" width="25.85546875" bestFit="1" customWidth="1"/>
    <col min="3" max="3" width="19.85546875" bestFit="1" customWidth="1"/>
    <col min="4" max="4" width="7" bestFit="1" customWidth="1"/>
    <col min="5" max="5" width="32" bestFit="1" customWidth="1"/>
    <col min="17" max="34" width="9.140625" customWidth="1"/>
    <col min="35" max="35" width="27" bestFit="1" customWidth="1"/>
    <col min="36" max="40" width="13.140625" bestFit="1" customWidth="1"/>
    <col min="41" max="53" width="9.140625" customWidth="1"/>
  </cols>
  <sheetData>
    <row r="1" spans="1:40" ht="18.75" x14ac:dyDescent="0.3">
      <c r="A1" s="637" t="s">
        <v>0</v>
      </c>
      <c r="B1" s="637"/>
      <c r="C1" s="637"/>
      <c r="E1" s="4" t="s">
        <v>429</v>
      </c>
      <c r="F1" s="112"/>
      <c r="H1" s="637" t="s">
        <v>260</v>
      </c>
      <c r="I1" s="637"/>
      <c r="J1" s="637"/>
      <c r="M1" s="637" t="s">
        <v>281</v>
      </c>
      <c r="N1" s="637"/>
      <c r="O1" s="637"/>
      <c r="Q1" s="637" t="s">
        <v>308</v>
      </c>
      <c r="R1" s="637"/>
      <c r="S1" s="637"/>
      <c r="T1" s="4"/>
      <c r="U1" s="637" t="s">
        <v>314</v>
      </c>
      <c r="V1" s="637"/>
      <c r="AF1" s="637" t="s">
        <v>1932</v>
      </c>
      <c r="AG1" s="637"/>
      <c r="AI1" s="637" t="s">
        <v>2051</v>
      </c>
      <c r="AJ1" s="637"/>
      <c r="AK1" s="637"/>
      <c r="AL1" s="637"/>
      <c r="AM1" s="637"/>
      <c r="AN1" s="637"/>
    </row>
    <row r="2" spans="1:40" ht="15.75" x14ac:dyDescent="0.25">
      <c r="B2" s="1" t="s">
        <v>276</v>
      </c>
      <c r="C2" s="1"/>
      <c r="D2" s="1"/>
      <c r="E2" t="s">
        <v>430</v>
      </c>
      <c r="H2" t="e">
        <f>County</f>
        <v>#NAME?</v>
      </c>
      <c r="I2" s="2" t="b">
        <f>IF(ISERROR(VLOOKUP(H2,$J$2:$J$255, 1, FALSE)),FALSE,TRUE )</f>
        <v>0</v>
      </c>
      <c r="J2" s="3" t="s">
        <v>6</v>
      </c>
      <c r="M2">
        <v>1</v>
      </c>
      <c r="Q2" t="s">
        <v>309</v>
      </c>
      <c r="U2" t="s">
        <v>2119</v>
      </c>
      <c r="Y2" t="s">
        <v>337</v>
      </c>
      <c r="AF2" s="127" t="s">
        <v>1933</v>
      </c>
      <c r="AG2" t="s">
        <v>1989</v>
      </c>
      <c r="AJ2" t="s">
        <v>2052</v>
      </c>
      <c r="AK2" t="s">
        <v>2053</v>
      </c>
      <c r="AL2" t="s">
        <v>2054</v>
      </c>
      <c r="AM2" t="s">
        <v>2055</v>
      </c>
      <c r="AN2" t="s">
        <v>2056</v>
      </c>
    </row>
    <row r="3" spans="1:40" ht="15.75" x14ac:dyDescent="0.25">
      <c r="A3" s="1">
        <v>1</v>
      </c>
      <c r="B3" t="s">
        <v>409</v>
      </c>
      <c r="C3" s="111" t="s">
        <v>410</v>
      </c>
      <c r="E3" t="s">
        <v>431</v>
      </c>
      <c r="I3" s="2"/>
      <c r="J3" s="3" t="s">
        <v>7</v>
      </c>
      <c r="M3">
        <v>2</v>
      </c>
      <c r="Q3" t="s">
        <v>310</v>
      </c>
      <c r="U3" t="s">
        <v>3380</v>
      </c>
      <c r="Y3" t="s">
        <v>341</v>
      </c>
      <c r="AF3" s="127" t="s">
        <v>1934</v>
      </c>
      <c r="AG3" t="s">
        <v>2002</v>
      </c>
      <c r="AI3" t="s">
        <v>2057</v>
      </c>
      <c r="AJ3" s="58">
        <v>43466</v>
      </c>
      <c r="AK3" s="58">
        <v>43831</v>
      </c>
      <c r="AL3" s="58">
        <v>44197</v>
      </c>
      <c r="AM3" s="58">
        <v>44562</v>
      </c>
      <c r="AN3" s="58">
        <v>44927</v>
      </c>
    </row>
    <row r="4" spans="1:40" ht="15.75" x14ac:dyDescent="0.25">
      <c r="A4" s="1">
        <v>2</v>
      </c>
      <c r="B4" t="s">
        <v>274</v>
      </c>
      <c r="C4" s="111" t="s">
        <v>411</v>
      </c>
      <c r="E4" t="s">
        <v>432</v>
      </c>
      <c r="I4" s="2"/>
      <c r="J4" s="3" t="s">
        <v>8</v>
      </c>
      <c r="M4">
        <v>3</v>
      </c>
      <c r="Q4" t="s">
        <v>311</v>
      </c>
      <c r="Y4" t="s">
        <v>340</v>
      </c>
      <c r="AF4" s="127" t="s">
        <v>1935</v>
      </c>
      <c r="AG4" t="s">
        <v>2003</v>
      </c>
      <c r="AI4" t="s">
        <v>2058</v>
      </c>
      <c r="AJ4" s="58">
        <v>43486</v>
      </c>
      <c r="AK4" s="58">
        <v>43850</v>
      </c>
      <c r="AL4" s="58">
        <v>44214</v>
      </c>
      <c r="AM4" s="58">
        <v>44578</v>
      </c>
      <c r="AN4" s="58">
        <v>44942</v>
      </c>
    </row>
    <row r="5" spans="1:40" x14ac:dyDescent="0.25">
      <c r="A5" s="1">
        <v>3</v>
      </c>
      <c r="B5" t="s">
        <v>273</v>
      </c>
      <c r="C5" s="111" t="s">
        <v>412</v>
      </c>
      <c r="E5" t="s">
        <v>433</v>
      </c>
      <c r="J5" s="3" t="s">
        <v>9</v>
      </c>
      <c r="M5">
        <v>4</v>
      </c>
      <c r="Y5" t="s">
        <v>348</v>
      </c>
      <c r="AF5" s="127" t="s">
        <v>1936</v>
      </c>
      <c r="AG5" t="s">
        <v>1990</v>
      </c>
      <c r="AI5" t="s">
        <v>2059</v>
      </c>
      <c r="AJ5" s="58">
        <v>43514</v>
      </c>
      <c r="AK5" s="58">
        <v>43878</v>
      </c>
      <c r="AL5" s="58">
        <v>44242</v>
      </c>
      <c r="AM5" s="58">
        <v>44613</v>
      </c>
      <c r="AN5" s="58">
        <v>44977</v>
      </c>
    </row>
    <row r="6" spans="1:40" x14ac:dyDescent="0.25">
      <c r="A6" s="1">
        <v>4</v>
      </c>
      <c r="B6" t="s">
        <v>413</v>
      </c>
      <c r="C6" s="111" t="s">
        <v>414</v>
      </c>
      <c r="E6" t="s">
        <v>434</v>
      </c>
      <c r="J6" s="3" t="s">
        <v>10</v>
      </c>
      <c r="M6">
        <v>5</v>
      </c>
      <c r="AF6" s="127" t="s">
        <v>1937</v>
      </c>
      <c r="AG6" t="s">
        <v>1991</v>
      </c>
      <c r="AI6" t="s">
        <v>2060</v>
      </c>
      <c r="AJ6" s="58">
        <v>43612</v>
      </c>
      <c r="AK6" s="58">
        <v>43976</v>
      </c>
      <c r="AL6" s="58">
        <v>44347</v>
      </c>
      <c r="AM6" s="58">
        <v>44711</v>
      </c>
      <c r="AN6" s="58">
        <v>45075</v>
      </c>
    </row>
    <row r="7" spans="1:40" x14ac:dyDescent="0.25">
      <c r="A7" s="1">
        <v>5</v>
      </c>
      <c r="B7" t="s">
        <v>272</v>
      </c>
      <c r="C7" s="111" t="s">
        <v>415</v>
      </c>
      <c r="E7" t="s">
        <v>435</v>
      </c>
      <c r="J7" s="3" t="s">
        <v>11</v>
      </c>
      <c r="M7">
        <v>6</v>
      </c>
      <c r="AF7" s="127" t="s">
        <v>50</v>
      </c>
      <c r="AG7" t="s">
        <v>1992</v>
      </c>
      <c r="AI7" t="s">
        <v>2061</v>
      </c>
      <c r="AJ7" s="58">
        <v>43650</v>
      </c>
      <c r="AK7" s="58">
        <v>44016</v>
      </c>
      <c r="AL7" s="58">
        <v>44381</v>
      </c>
      <c r="AM7" s="58">
        <v>44746</v>
      </c>
      <c r="AN7" s="58">
        <v>45111</v>
      </c>
    </row>
    <row r="8" spans="1:40" ht="18.75" x14ac:dyDescent="0.3">
      <c r="A8" s="1">
        <v>6</v>
      </c>
      <c r="B8" t="s">
        <v>275</v>
      </c>
      <c r="C8" s="111" t="s">
        <v>416</v>
      </c>
      <c r="E8" t="s">
        <v>436</v>
      </c>
      <c r="J8" s="3" t="s">
        <v>12</v>
      </c>
      <c r="M8">
        <v>7</v>
      </c>
      <c r="Q8" s="637" t="s">
        <v>315</v>
      </c>
      <c r="R8" s="637"/>
      <c r="S8" s="637"/>
      <c r="AF8" s="127" t="s">
        <v>1938</v>
      </c>
      <c r="AG8" t="s">
        <v>2004</v>
      </c>
      <c r="AI8" t="s">
        <v>2062</v>
      </c>
      <c r="AJ8" s="58">
        <v>43710</v>
      </c>
      <c r="AK8" s="58">
        <v>44081</v>
      </c>
      <c r="AL8" s="58">
        <v>44445</v>
      </c>
      <c r="AM8" s="58">
        <v>44809</v>
      </c>
      <c r="AN8" s="58">
        <v>45173</v>
      </c>
    </row>
    <row r="9" spans="1:40" x14ac:dyDescent="0.25">
      <c r="A9" s="1">
        <v>7</v>
      </c>
      <c r="B9" t="s">
        <v>417</v>
      </c>
      <c r="C9" s="111" t="s">
        <v>418</v>
      </c>
      <c r="E9" t="s">
        <v>437</v>
      </c>
      <c r="J9" s="3" t="s">
        <v>13</v>
      </c>
      <c r="M9">
        <v>8</v>
      </c>
      <c r="Q9" t="s">
        <v>1919</v>
      </c>
      <c r="AF9" s="127" t="s">
        <v>1939</v>
      </c>
      <c r="AG9" t="s">
        <v>1993</v>
      </c>
      <c r="AI9" t="s">
        <v>2063</v>
      </c>
      <c r="AJ9" s="58">
        <v>43797</v>
      </c>
      <c r="AK9" s="58">
        <v>44161</v>
      </c>
      <c r="AL9" s="58">
        <v>44525</v>
      </c>
      <c r="AM9" s="58">
        <v>44889</v>
      </c>
      <c r="AN9" s="58">
        <v>45253</v>
      </c>
    </row>
    <row r="10" spans="1:40" x14ac:dyDescent="0.25">
      <c r="A10" s="1">
        <v>8</v>
      </c>
      <c r="B10" t="s">
        <v>419</v>
      </c>
      <c r="C10" s="111" t="s">
        <v>420</v>
      </c>
      <c r="E10" t="s">
        <v>438</v>
      </c>
      <c r="J10" s="3" t="s">
        <v>14</v>
      </c>
      <c r="M10">
        <v>9</v>
      </c>
      <c r="Q10" t="s">
        <v>316</v>
      </c>
      <c r="U10" s="638" t="s">
        <v>1884</v>
      </c>
      <c r="V10" s="638"/>
      <c r="W10" s="638"/>
      <c r="X10" s="638" t="s">
        <v>3411</v>
      </c>
      <c r="Y10" s="638"/>
      <c r="Z10" s="638"/>
      <c r="AA10" s="638"/>
      <c r="AB10" s="638"/>
      <c r="AC10" s="638"/>
      <c r="AF10" s="127" t="s">
        <v>1940</v>
      </c>
      <c r="AG10" t="s">
        <v>1994</v>
      </c>
      <c r="AI10" t="s">
        <v>2064</v>
      </c>
      <c r="AJ10" s="58">
        <v>43798</v>
      </c>
      <c r="AK10" s="58">
        <v>44162</v>
      </c>
      <c r="AL10" s="58">
        <v>44526</v>
      </c>
      <c r="AM10" s="58">
        <v>44890</v>
      </c>
      <c r="AN10" s="58">
        <v>45254</v>
      </c>
    </row>
    <row r="11" spans="1:40" x14ac:dyDescent="0.25">
      <c r="A11" s="1">
        <v>9</v>
      </c>
      <c r="B11" t="s">
        <v>421</v>
      </c>
      <c r="C11" s="111" t="s">
        <v>422</v>
      </c>
      <c r="E11" t="s">
        <v>439</v>
      </c>
      <c r="J11" s="3" t="s">
        <v>15</v>
      </c>
      <c r="M11">
        <v>10</v>
      </c>
      <c r="Q11" t="s">
        <v>1883</v>
      </c>
      <c r="U11" s="638" t="s">
        <v>2544</v>
      </c>
      <c r="V11" s="638"/>
      <c r="W11" s="638"/>
      <c r="X11" s="639" t="s">
        <v>3476</v>
      </c>
      <c r="Y11" s="638"/>
      <c r="Z11" s="638"/>
      <c r="AA11" s="638"/>
      <c r="AB11" s="638"/>
      <c r="AC11" s="638"/>
      <c r="AF11" s="127" t="s">
        <v>1941</v>
      </c>
      <c r="AG11" t="s">
        <v>2005</v>
      </c>
      <c r="AI11" t="s">
        <v>2065</v>
      </c>
      <c r="AJ11" s="58">
        <v>43824</v>
      </c>
      <c r="AK11" s="58">
        <v>44190</v>
      </c>
      <c r="AL11" s="58">
        <v>44555</v>
      </c>
      <c r="AM11" s="58">
        <v>44920</v>
      </c>
      <c r="AN11" s="58">
        <v>45285</v>
      </c>
    </row>
    <row r="12" spans="1:40" x14ac:dyDescent="0.25">
      <c r="A12" s="1">
        <v>10</v>
      </c>
      <c r="B12" t="s">
        <v>423</v>
      </c>
      <c r="C12" s="111" t="s">
        <v>424</v>
      </c>
      <c r="E12" t="s">
        <v>440</v>
      </c>
      <c r="J12" s="3" t="s">
        <v>16</v>
      </c>
      <c r="M12">
        <v>11</v>
      </c>
      <c r="Q12" t="s">
        <v>2040</v>
      </c>
      <c r="U12" s="638" t="s">
        <v>1885</v>
      </c>
      <c r="V12" s="638"/>
      <c r="W12" s="638"/>
      <c r="X12" s="639" t="s">
        <v>3477</v>
      </c>
      <c r="Y12" s="638"/>
      <c r="Z12" s="638"/>
      <c r="AA12" s="638"/>
      <c r="AB12" s="638"/>
      <c r="AC12" s="638"/>
      <c r="AF12" s="127" t="s">
        <v>1942</v>
      </c>
      <c r="AG12" t="s">
        <v>2006</v>
      </c>
    </row>
    <row r="13" spans="1:40" x14ac:dyDescent="0.25">
      <c r="A13" s="1">
        <v>11</v>
      </c>
      <c r="B13" t="s">
        <v>425</v>
      </c>
      <c r="C13" s="111" t="s">
        <v>426</v>
      </c>
      <c r="E13" t="s">
        <v>441</v>
      </c>
      <c r="J13" s="3" t="s">
        <v>17</v>
      </c>
      <c r="M13">
        <v>12</v>
      </c>
      <c r="U13" s="638" t="s">
        <v>1886</v>
      </c>
      <c r="V13" s="638"/>
      <c r="W13" s="638"/>
      <c r="X13" s="638" t="s">
        <v>3412</v>
      </c>
      <c r="Y13" s="638"/>
      <c r="Z13" s="638"/>
      <c r="AA13" s="638"/>
      <c r="AB13" s="638"/>
      <c r="AC13" s="638"/>
      <c r="AF13" s="127" t="s">
        <v>1943</v>
      </c>
      <c r="AG13" t="s">
        <v>1995</v>
      </c>
    </row>
    <row r="14" spans="1:40" ht="18.75" x14ac:dyDescent="0.3">
      <c r="A14" s="1">
        <v>12</v>
      </c>
      <c r="B14" t="s">
        <v>427</v>
      </c>
      <c r="C14" s="111" t="s">
        <v>428</v>
      </c>
      <c r="E14" t="s">
        <v>442</v>
      </c>
      <c r="J14" s="3" t="s">
        <v>18</v>
      </c>
      <c r="M14">
        <v>13</v>
      </c>
      <c r="Q14" s="637" t="s">
        <v>1638</v>
      </c>
      <c r="R14" s="637"/>
      <c r="S14" s="637"/>
      <c r="U14" s="638" t="s">
        <v>1888</v>
      </c>
      <c r="V14" s="638"/>
      <c r="W14" s="638"/>
      <c r="X14" s="638" t="s">
        <v>3472</v>
      </c>
      <c r="Y14" s="638"/>
      <c r="Z14" s="638"/>
      <c r="AA14" s="638"/>
      <c r="AB14" s="638"/>
      <c r="AC14" s="638"/>
      <c r="AF14" s="127" t="s">
        <v>1944</v>
      </c>
      <c r="AG14" t="s">
        <v>1996</v>
      </c>
    </row>
    <row r="15" spans="1:40" x14ac:dyDescent="0.25">
      <c r="A15" s="1">
        <v>13</v>
      </c>
      <c r="B15" t="s">
        <v>2041</v>
      </c>
      <c r="C15" s="111" t="s">
        <v>2042</v>
      </c>
      <c r="E15" t="s">
        <v>443</v>
      </c>
      <c r="J15" s="3" t="s">
        <v>19</v>
      </c>
      <c r="M15">
        <v>14</v>
      </c>
      <c r="Q15" t="s">
        <v>2404</v>
      </c>
      <c r="U15" s="638" t="s">
        <v>1887</v>
      </c>
      <c r="V15" s="638"/>
      <c r="W15" s="638"/>
      <c r="X15" s="638" t="s">
        <v>3473</v>
      </c>
      <c r="Y15" s="638"/>
      <c r="Z15" s="638"/>
      <c r="AA15" s="638"/>
      <c r="AB15" s="638"/>
      <c r="AC15" s="638"/>
      <c r="AF15" s="127" t="s">
        <v>1945</v>
      </c>
      <c r="AG15" t="s">
        <v>1997</v>
      </c>
    </row>
    <row r="16" spans="1:40" x14ac:dyDescent="0.25">
      <c r="A16" s="1"/>
      <c r="C16" s="111"/>
      <c r="E16" t="s">
        <v>444</v>
      </c>
      <c r="J16" s="3" t="s">
        <v>20</v>
      </c>
      <c r="M16">
        <v>15</v>
      </c>
      <c r="Q16" t="s">
        <v>2403</v>
      </c>
      <c r="U16" t="s">
        <v>1917</v>
      </c>
      <c r="X16" s="638" t="s">
        <v>3474</v>
      </c>
      <c r="Y16" s="638"/>
      <c r="Z16" s="638"/>
      <c r="AA16" s="638"/>
      <c r="AB16" s="638"/>
      <c r="AC16" s="638"/>
      <c r="AF16" s="127" t="s">
        <v>1946</v>
      </c>
      <c r="AG16" t="s">
        <v>2007</v>
      </c>
    </row>
    <row r="17" spans="1:33" x14ac:dyDescent="0.25">
      <c r="A17" s="1"/>
      <c r="C17" s="111"/>
      <c r="E17" t="s">
        <v>445</v>
      </c>
      <c r="J17" s="3" t="s">
        <v>21</v>
      </c>
      <c r="M17">
        <v>16</v>
      </c>
      <c r="Q17" t="s">
        <v>1639</v>
      </c>
      <c r="U17" t="s">
        <v>2049</v>
      </c>
      <c r="X17" s="638" t="s">
        <v>3475</v>
      </c>
      <c r="Y17" s="638"/>
      <c r="Z17" s="638"/>
      <c r="AA17" s="638"/>
      <c r="AB17" s="638"/>
      <c r="AC17" s="638"/>
      <c r="AF17" s="127" t="s">
        <v>1947</v>
      </c>
      <c r="AG17" t="s">
        <v>2008</v>
      </c>
    </row>
    <row r="18" spans="1:33" x14ac:dyDescent="0.25">
      <c r="A18" s="1"/>
      <c r="C18" s="111"/>
      <c r="E18" t="s">
        <v>446</v>
      </c>
      <c r="J18" s="3" t="s">
        <v>22</v>
      </c>
      <c r="M18">
        <v>17</v>
      </c>
      <c r="Q18" t="s">
        <v>1640</v>
      </c>
      <c r="U18" t="s">
        <v>3469</v>
      </c>
      <c r="X18" s="638" t="s">
        <v>3478</v>
      </c>
      <c r="Y18" s="638"/>
      <c r="Z18" s="638"/>
      <c r="AA18" s="638"/>
      <c r="AB18" s="638"/>
      <c r="AC18" s="638"/>
      <c r="AF18" s="127" t="s">
        <v>1948</v>
      </c>
      <c r="AG18" t="s">
        <v>2009</v>
      </c>
    </row>
    <row r="19" spans="1:33" x14ac:dyDescent="0.25">
      <c r="A19" s="1"/>
      <c r="C19" s="111"/>
      <c r="E19" t="s">
        <v>447</v>
      </c>
      <c r="J19" s="3" t="s">
        <v>23</v>
      </c>
      <c r="M19">
        <v>18</v>
      </c>
      <c r="AF19" s="127" t="s">
        <v>1949</v>
      </c>
      <c r="AG19" t="s">
        <v>1981</v>
      </c>
    </row>
    <row r="20" spans="1:33" x14ac:dyDescent="0.25">
      <c r="A20" s="1"/>
      <c r="C20" s="111"/>
      <c r="E20" t="s">
        <v>448</v>
      </c>
      <c r="J20" s="3" t="s">
        <v>24</v>
      </c>
      <c r="M20">
        <v>19</v>
      </c>
      <c r="AF20" s="127" t="s">
        <v>1950</v>
      </c>
      <c r="AG20" t="s">
        <v>2010</v>
      </c>
    </row>
    <row r="21" spans="1:33" ht="18.75" x14ac:dyDescent="0.3">
      <c r="A21" s="1"/>
      <c r="C21" s="111"/>
      <c r="E21" t="s">
        <v>449</v>
      </c>
      <c r="J21" s="3" t="s">
        <v>25</v>
      </c>
      <c r="M21">
        <v>20</v>
      </c>
      <c r="Q21" s="637" t="s">
        <v>1908</v>
      </c>
      <c r="R21" s="637"/>
      <c r="S21" s="112"/>
      <c r="T21" s="112"/>
      <c r="U21" s="112"/>
      <c r="X21" s="374" t="s">
        <v>3369</v>
      </c>
      <c r="AF21" s="127" t="s">
        <v>1951</v>
      </c>
      <c r="AG21" t="s">
        <v>2011</v>
      </c>
    </row>
    <row r="22" spans="1:33" x14ac:dyDescent="0.25">
      <c r="A22" s="1"/>
      <c r="C22" s="110"/>
      <c r="E22" t="s">
        <v>450</v>
      </c>
      <c r="J22" s="3" t="s">
        <v>26</v>
      </c>
      <c r="M22">
        <v>21</v>
      </c>
      <c r="Q22" t="s">
        <v>1909</v>
      </c>
      <c r="R22">
        <v>353915</v>
      </c>
      <c r="AF22" s="127" t="s">
        <v>1952</v>
      </c>
      <c r="AG22" t="s">
        <v>1998</v>
      </c>
    </row>
    <row r="23" spans="1:33" x14ac:dyDescent="0.25">
      <c r="A23" s="638" t="s">
        <v>2158</v>
      </c>
      <c r="B23" s="638"/>
      <c r="C23" s="129">
        <f ca="1">TODAY()</f>
        <v>43686</v>
      </c>
      <c r="E23" t="s">
        <v>451</v>
      </c>
      <c r="J23" s="3" t="s">
        <v>27</v>
      </c>
      <c r="M23">
        <v>22</v>
      </c>
      <c r="Q23" t="s">
        <v>1910</v>
      </c>
      <c r="R23">
        <v>833650</v>
      </c>
      <c r="AF23" s="127" t="s">
        <v>1953</v>
      </c>
      <c r="AG23" t="s">
        <v>1999</v>
      </c>
    </row>
    <row r="24" spans="1:33" x14ac:dyDescent="0.25">
      <c r="E24" t="s">
        <v>452</v>
      </c>
      <c r="J24" s="3" t="s">
        <v>28</v>
      </c>
      <c r="M24">
        <v>23</v>
      </c>
      <c r="Q24" t="s">
        <v>1911</v>
      </c>
      <c r="R24">
        <v>1006715</v>
      </c>
      <c r="AF24" s="127" t="s">
        <v>1954</v>
      </c>
      <c r="AG24" t="s">
        <v>2012</v>
      </c>
    </row>
    <row r="25" spans="1:33" ht="18.75" x14ac:dyDescent="0.3">
      <c r="A25" s="637" t="s">
        <v>265</v>
      </c>
      <c r="B25" s="637"/>
      <c r="C25" s="112"/>
      <c r="D25" s="112"/>
      <c r="E25" t="s">
        <v>453</v>
      </c>
      <c r="F25" s="4"/>
      <c r="J25" s="3" t="s">
        <v>29</v>
      </c>
      <c r="M25">
        <v>24</v>
      </c>
      <c r="Q25" t="s">
        <v>1912</v>
      </c>
      <c r="R25">
        <v>1095020</v>
      </c>
      <c r="AF25" s="127" t="s">
        <v>1955</v>
      </c>
      <c r="AG25" t="s">
        <v>2013</v>
      </c>
    </row>
    <row r="26" spans="1:33" x14ac:dyDescent="0.25">
      <c r="A26">
        <v>1</v>
      </c>
      <c r="E26" t="s">
        <v>454</v>
      </c>
      <c r="J26" s="3" t="s">
        <v>30</v>
      </c>
      <c r="M26">
        <v>25</v>
      </c>
      <c r="Q26" t="s">
        <v>1913</v>
      </c>
      <c r="R26">
        <v>1689973</v>
      </c>
      <c r="AF26" s="127" t="s">
        <v>1956</v>
      </c>
      <c r="AG26" t="s">
        <v>2000</v>
      </c>
    </row>
    <row r="27" spans="1:33" x14ac:dyDescent="0.25">
      <c r="A27">
        <v>2</v>
      </c>
      <c r="E27" t="s">
        <v>27</v>
      </c>
      <c r="J27" s="3" t="s">
        <v>31</v>
      </c>
      <c r="Q27" t="s">
        <v>1914</v>
      </c>
      <c r="R27">
        <v>353857</v>
      </c>
      <c r="AF27" s="127" t="s">
        <v>1957</v>
      </c>
      <c r="AG27" t="s">
        <v>2014</v>
      </c>
    </row>
    <row r="28" spans="1:33" x14ac:dyDescent="0.25">
      <c r="A28">
        <v>3</v>
      </c>
      <c r="E28" t="s">
        <v>455</v>
      </c>
      <c r="J28" s="3" t="s">
        <v>32</v>
      </c>
      <c r="Q28" t="s">
        <v>1915</v>
      </c>
      <c r="R28">
        <v>1502298</v>
      </c>
      <c r="AF28" s="127" t="s">
        <v>1958</v>
      </c>
      <c r="AG28" t="s">
        <v>2001</v>
      </c>
    </row>
    <row r="29" spans="1:33" x14ac:dyDescent="0.25">
      <c r="E29" t="s">
        <v>456</v>
      </c>
      <c r="J29" s="3" t="s">
        <v>33</v>
      </c>
      <c r="Q29" t="s">
        <v>1889</v>
      </c>
      <c r="R29">
        <v>337895</v>
      </c>
      <c r="AF29" s="127" t="s">
        <v>1959</v>
      </c>
      <c r="AG29" t="s">
        <v>2015</v>
      </c>
    </row>
    <row r="30" spans="1:33" x14ac:dyDescent="0.25">
      <c r="E30" t="s">
        <v>457</v>
      </c>
      <c r="J30" s="3" t="s">
        <v>34</v>
      </c>
      <c r="AF30" s="127" t="s">
        <v>1960</v>
      </c>
      <c r="AG30" t="s">
        <v>2016</v>
      </c>
    </row>
    <row r="31" spans="1:33" x14ac:dyDescent="0.25">
      <c r="E31" t="s">
        <v>458</v>
      </c>
      <c r="J31" s="3" t="s">
        <v>35</v>
      </c>
      <c r="AF31" s="127" t="s">
        <v>1961</v>
      </c>
      <c r="AG31" t="s">
        <v>2017</v>
      </c>
    </row>
    <row r="32" spans="1:33" ht="18.75" x14ac:dyDescent="0.3">
      <c r="A32" s="637" t="s">
        <v>2050</v>
      </c>
      <c r="B32" s="637"/>
      <c r="E32" t="s">
        <v>459</v>
      </c>
      <c r="J32" s="3" t="s">
        <v>36</v>
      </c>
      <c r="AF32" s="127" t="s">
        <v>1962</v>
      </c>
      <c r="AG32" t="s">
        <v>2018</v>
      </c>
    </row>
    <row r="33" spans="1:33" ht="18.75" x14ac:dyDescent="0.3">
      <c r="A33" s="638" t="s">
        <v>2075</v>
      </c>
      <c r="B33" s="638"/>
      <c r="C33" s="58">
        <v>4</v>
      </c>
      <c r="E33" t="s">
        <v>460</v>
      </c>
      <c r="J33" s="3" t="s">
        <v>37</v>
      </c>
      <c r="M33" s="637" t="s">
        <v>2523</v>
      </c>
      <c r="N33" s="637"/>
      <c r="O33" s="637"/>
      <c r="Q33" s="637" t="s">
        <v>2423</v>
      </c>
      <c r="R33" s="637"/>
      <c r="S33" s="637"/>
      <c r="AF33" s="127" t="s">
        <v>1963</v>
      </c>
      <c r="AG33" t="s">
        <v>2019</v>
      </c>
    </row>
    <row r="34" spans="1:33" x14ac:dyDescent="0.25">
      <c r="C34" s="58"/>
      <c r="E34" t="s">
        <v>461</v>
      </c>
      <c r="J34" s="3" t="s">
        <v>38</v>
      </c>
      <c r="M34">
        <f>LoanType</f>
        <v>0</v>
      </c>
      <c r="Q34" t="s">
        <v>2424</v>
      </c>
      <c r="AF34" s="127" t="s">
        <v>1964</v>
      </c>
      <c r="AG34" t="s">
        <v>2020</v>
      </c>
    </row>
    <row r="35" spans="1:33" x14ac:dyDescent="0.25">
      <c r="E35" t="s">
        <v>462</v>
      </c>
      <c r="J35" s="3" t="s">
        <v>39</v>
      </c>
      <c r="M35" t="s">
        <v>271</v>
      </c>
      <c r="Q35" t="s">
        <v>2425</v>
      </c>
      <c r="AF35" s="127" t="s">
        <v>1965</v>
      </c>
      <c r="AG35" t="s">
        <v>2021</v>
      </c>
    </row>
    <row r="36" spans="1:33" x14ac:dyDescent="0.25">
      <c r="E36" t="s">
        <v>463</v>
      </c>
      <c r="J36" s="3" t="s">
        <v>40</v>
      </c>
      <c r="M36" t="s">
        <v>2524</v>
      </c>
      <c r="Q36" t="s">
        <v>2426</v>
      </c>
      <c r="AF36" s="127" t="s">
        <v>1966</v>
      </c>
      <c r="AG36" t="s">
        <v>2022</v>
      </c>
    </row>
    <row r="37" spans="1:33" x14ac:dyDescent="0.25">
      <c r="C37" s="58"/>
      <c r="E37" t="s">
        <v>464</v>
      </c>
      <c r="J37" s="3" t="s">
        <v>41</v>
      </c>
      <c r="M37" t="s">
        <v>3408</v>
      </c>
      <c r="AF37" s="127" t="s">
        <v>1967</v>
      </c>
      <c r="AG37" t="s">
        <v>2023</v>
      </c>
    </row>
    <row r="38" spans="1:33" x14ac:dyDescent="0.25">
      <c r="A38" t="s">
        <v>2440</v>
      </c>
      <c r="E38" t="s">
        <v>465</v>
      </c>
      <c r="J38" s="3" t="s">
        <v>42</v>
      </c>
      <c r="AF38" s="127" t="s">
        <v>1968</v>
      </c>
      <c r="AG38" t="s">
        <v>2024</v>
      </c>
    </row>
    <row r="39" spans="1:33" ht="18.75" x14ac:dyDescent="0.3">
      <c r="A39" s="637" t="s">
        <v>2441</v>
      </c>
      <c r="B39" s="637"/>
      <c r="E39" t="s">
        <v>466</v>
      </c>
      <c r="J39" s="3" t="s">
        <v>43</v>
      </c>
      <c r="Q39" s="640" t="s">
        <v>2528</v>
      </c>
      <c r="R39" s="640"/>
      <c r="S39" s="640"/>
      <c r="AF39" s="127" t="s">
        <v>1969</v>
      </c>
      <c r="AG39" t="s">
        <v>2025</v>
      </c>
    </row>
    <row r="40" spans="1:33" x14ac:dyDescent="0.25">
      <c r="B40">
        <f>Prop1AccountNumber1</f>
        <v>0</v>
      </c>
      <c r="C40" s="131">
        <f>SUM(IF(FREQUENCY(MATCH(B40:B139,B40:B139,0),MATCH(B40:B139,B40:B139,0))&gt;0,1)) -1</f>
        <v>0</v>
      </c>
      <c r="E40" t="s">
        <v>467</v>
      </c>
      <c r="J40" s="3" t="s">
        <v>44</v>
      </c>
      <c r="Q40" s="641" t="e">
        <f>AmountFinanced/Prop1CADTotal</f>
        <v>#DIV/0!</v>
      </c>
      <c r="R40" s="641"/>
      <c r="S40" s="641"/>
      <c r="AF40" s="127" t="s">
        <v>1970</v>
      </c>
      <c r="AG40" t="s">
        <v>2026</v>
      </c>
    </row>
    <row r="41" spans="1:33" x14ac:dyDescent="0.25">
      <c r="B41">
        <f>Prop1AccountNumber2</f>
        <v>0</v>
      </c>
      <c r="E41" t="s">
        <v>468</v>
      </c>
      <c r="J41" s="3" t="s">
        <v>45</v>
      </c>
      <c r="AF41" s="127" t="s">
        <v>1971</v>
      </c>
      <c r="AG41" t="s">
        <v>2028</v>
      </c>
    </row>
    <row r="42" spans="1:33" ht="18.75" x14ac:dyDescent="0.3">
      <c r="B42">
        <f>Prop1AccountNumber3</f>
        <v>0</v>
      </c>
      <c r="C42" s="58"/>
      <c r="E42" t="s">
        <v>469</v>
      </c>
      <c r="J42" s="3" t="s">
        <v>46</v>
      </c>
      <c r="Q42" s="640" t="s">
        <v>2529</v>
      </c>
      <c r="R42" s="640"/>
      <c r="S42" s="640"/>
      <c r="AF42" s="127" t="s">
        <v>1972</v>
      </c>
      <c r="AG42" t="s">
        <v>2027</v>
      </c>
    </row>
    <row r="43" spans="1:33" x14ac:dyDescent="0.25">
      <c r="B43">
        <f>Prop1AccountNumber4</f>
        <v>0</v>
      </c>
      <c r="E43" t="s">
        <v>470</v>
      </c>
      <c r="J43" s="3" t="s">
        <v>47</v>
      </c>
      <c r="Q43" s="631" t="s">
        <v>271</v>
      </c>
      <c r="R43" s="631"/>
      <c r="S43" s="631"/>
      <c r="AF43" s="127" t="s">
        <v>1973</v>
      </c>
      <c r="AG43" t="s">
        <v>2028</v>
      </c>
    </row>
    <row r="44" spans="1:33" x14ac:dyDescent="0.25">
      <c r="B44">
        <f>Prop2AccountNumber1</f>
        <v>0</v>
      </c>
      <c r="E44" t="s">
        <v>471</v>
      </c>
      <c r="J44" s="3" t="s">
        <v>48</v>
      </c>
      <c r="AF44" s="127" t="s">
        <v>1974</v>
      </c>
      <c r="AG44" t="s">
        <v>1633</v>
      </c>
    </row>
    <row r="45" spans="1:33" x14ac:dyDescent="0.25">
      <c r="B45">
        <f>Prop2AccountNumber2</f>
        <v>0</v>
      </c>
      <c r="E45" t="s">
        <v>472</v>
      </c>
      <c r="J45" s="3" t="s">
        <v>49</v>
      </c>
      <c r="AF45" s="127" t="s">
        <v>1975</v>
      </c>
      <c r="AG45" t="s">
        <v>2029</v>
      </c>
    </row>
    <row r="46" spans="1:33" x14ac:dyDescent="0.25">
      <c r="B46">
        <f>Prop2AccountNumber3</f>
        <v>0</v>
      </c>
      <c r="E46" t="s">
        <v>473</v>
      </c>
      <c r="J46" s="3" t="s">
        <v>50</v>
      </c>
      <c r="AF46" s="127" t="s">
        <v>1976</v>
      </c>
      <c r="AG46" t="s">
        <v>2030</v>
      </c>
    </row>
    <row r="47" spans="1:33" x14ac:dyDescent="0.25">
      <c r="B47">
        <f>Prop2AccountNumber4</f>
        <v>0</v>
      </c>
      <c r="E47" t="s">
        <v>474</v>
      </c>
      <c r="J47" s="3" t="s">
        <v>51</v>
      </c>
      <c r="M47" t="s">
        <v>3131</v>
      </c>
      <c r="AF47" s="127" t="s">
        <v>1977</v>
      </c>
      <c r="AG47" t="s">
        <v>2031</v>
      </c>
    </row>
    <row r="48" spans="1:33" ht="75" x14ac:dyDescent="0.25">
      <c r="B48">
        <f>Prop3AccountNumber1</f>
        <v>0</v>
      </c>
      <c r="E48" t="s">
        <v>475</v>
      </c>
      <c r="J48" s="3" t="s">
        <v>52</v>
      </c>
      <c r="L48">
        <v>1</v>
      </c>
      <c r="M48" s="363" t="s">
        <v>3431</v>
      </c>
      <c r="N48" s="363">
        <v>0</v>
      </c>
      <c r="P48" s="362"/>
      <c r="AF48" s="127" t="s">
        <v>244</v>
      </c>
      <c r="AG48" t="s">
        <v>2032</v>
      </c>
    </row>
    <row r="49" spans="2:33" x14ac:dyDescent="0.25">
      <c r="B49">
        <f>Prop3AccountNumber2</f>
        <v>0</v>
      </c>
      <c r="E49" t="s">
        <v>476</v>
      </c>
      <c r="J49" s="3" t="s">
        <v>53</v>
      </c>
      <c r="L49">
        <v>2</v>
      </c>
      <c r="M49" s="363">
        <v>0</v>
      </c>
      <c r="N49" s="363">
        <v>0</v>
      </c>
      <c r="P49" s="362"/>
      <c r="AF49" s="127" t="s">
        <v>1978</v>
      </c>
      <c r="AG49" t="s">
        <v>2033</v>
      </c>
    </row>
    <row r="50" spans="2:33" x14ac:dyDescent="0.25">
      <c r="B50">
        <f>Prop3AccountNumber3</f>
        <v>0</v>
      </c>
      <c r="E50" t="s">
        <v>477</v>
      </c>
      <c r="J50" s="3" t="s">
        <v>54</v>
      </c>
      <c r="L50">
        <v>3</v>
      </c>
      <c r="M50" s="362">
        <v>0</v>
      </c>
      <c r="N50" s="362">
        <v>0</v>
      </c>
      <c r="P50" s="362"/>
      <c r="AF50" s="127" t="s">
        <v>1979</v>
      </c>
      <c r="AG50" t="s">
        <v>1637</v>
      </c>
    </row>
    <row r="51" spans="2:33" x14ac:dyDescent="0.25">
      <c r="B51">
        <f>Prop3AccountNumber4</f>
        <v>0</v>
      </c>
      <c r="E51" t="s">
        <v>478</v>
      </c>
      <c r="J51" s="3" t="s">
        <v>55</v>
      </c>
      <c r="L51">
        <v>4</v>
      </c>
      <c r="M51" s="362">
        <v>0</v>
      </c>
      <c r="N51" s="362">
        <v>0</v>
      </c>
      <c r="P51" s="362"/>
      <c r="AF51" s="127" t="s">
        <v>1980</v>
      </c>
      <c r="AG51" t="s">
        <v>2034</v>
      </c>
    </row>
    <row r="52" spans="2:33" x14ac:dyDescent="0.25">
      <c r="B52">
        <f>Prop4AccountNumber1</f>
        <v>0</v>
      </c>
      <c r="E52" t="s">
        <v>479</v>
      </c>
      <c r="J52" s="3" t="s">
        <v>56</v>
      </c>
      <c r="L52">
        <v>5</v>
      </c>
      <c r="M52" s="362">
        <v>0</v>
      </c>
      <c r="N52" s="362">
        <v>0</v>
      </c>
      <c r="P52" s="362"/>
    </row>
    <row r="53" spans="2:33" x14ac:dyDescent="0.25">
      <c r="B53">
        <f>Prop4AccountNumber2</f>
        <v>0</v>
      </c>
      <c r="E53" t="s">
        <v>480</v>
      </c>
      <c r="J53" s="3" t="s">
        <v>57</v>
      </c>
      <c r="L53">
        <v>6</v>
      </c>
      <c r="M53" s="362">
        <v>0</v>
      </c>
      <c r="N53" s="362">
        <v>0</v>
      </c>
      <c r="P53" s="362"/>
    </row>
    <row r="54" spans="2:33" x14ac:dyDescent="0.25">
      <c r="B54">
        <f>Prop4AccountNumber3</f>
        <v>0</v>
      </c>
      <c r="E54" t="s">
        <v>481</v>
      </c>
      <c r="J54" s="3" t="s">
        <v>58</v>
      </c>
      <c r="L54">
        <v>7</v>
      </c>
      <c r="M54" s="362">
        <v>0</v>
      </c>
      <c r="N54" s="362">
        <v>0</v>
      </c>
      <c r="P54" s="362"/>
    </row>
    <row r="55" spans="2:33" x14ac:dyDescent="0.25">
      <c r="B55">
        <f>Prop4AccountNumber4</f>
        <v>0</v>
      </c>
      <c r="E55" t="s">
        <v>482</v>
      </c>
      <c r="J55" s="3" t="s">
        <v>59</v>
      </c>
      <c r="L55">
        <v>8</v>
      </c>
      <c r="M55" s="362">
        <v>0</v>
      </c>
      <c r="N55" s="362">
        <v>0</v>
      </c>
      <c r="P55" s="362"/>
    </row>
    <row r="56" spans="2:33" x14ac:dyDescent="0.25">
      <c r="B56">
        <f>Prop5AccountNumber1</f>
        <v>0</v>
      </c>
      <c r="E56" t="s">
        <v>483</v>
      </c>
      <c r="J56" s="3" t="s">
        <v>60</v>
      </c>
      <c r="L56">
        <v>9</v>
      </c>
      <c r="M56" s="362">
        <v>0</v>
      </c>
      <c r="N56" s="362">
        <v>0</v>
      </c>
      <c r="P56" s="362"/>
    </row>
    <row r="57" spans="2:33" x14ac:dyDescent="0.25">
      <c r="B57">
        <f>Prop5AccountNumber2</f>
        <v>0</v>
      </c>
      <c r="E57" t="s">
        <v>484</v>
      </c>
      <c r="J57" s="3" t="s">
        <v>61</v>
      </c>
      <c r="L57">
        <v>10</v>
      </c>
      <c r="M57" s="362">
        <v>0</v>
      </c>
      <c r="N57" s="362">
        <v>0</v>
      </c>
      <c r="P57" s="362"/>
    </row>
    <row r="58" spans="2:33" x14ac:dyDescent="0.25">
      <c r="B58">
        <f>Prop5AccountNumber3</f>
        <v>0</v>
      </c>
      <c r="E58" t="s">
        <v>485</v>
      </c>
      <c r="J58" s="3" t="s">
        <v>62</v>
      </c>
      <c r="L58">
        <v>11</v>
      </c>
      <c r="M58" s="362">
        <v>0</v>
      </c>
      <c r="N58" s="362">
        <v>0</v>
      </c>
      <c r="P58" s="362"/>
    </row>
    <row r="59" spans="2:33" x14ac:dyDescent="0.25">
      <c r="B59">
        <f>Prop5AccountNumber4</f>
        <v>0</v>
      </c>
      <c r="E59" t="s">
        <v>486</v>
      </c>
      <c r="J59" s="3" t="s">
        <v>63</v>
      </c>
      <c r="L59">
        <v>12</v>
      </c>
      <c r="M59" s="362">
        <v>0</v>
      </c>
      <c r="N59" s="362">
        <v>0</v>
      </c>
      <c r="P59" s="362"/>
    </row>
    <row r="60" spans="2:33" x14ac:dyDescent="0.25">
      <c r="B60">
        <f>Prop6AccountNumber1</f>
        <v>0</v>
      </c>
      <c r="E60" t="s">
        <v>487</v>
      </c>
      <c r="J60" s="3" t="s">
        <v>64</v>
      </c>
      <c r="L60">
        <v>13</v>
      </c>
      <c r="M60" s="362">
        <v>0</v>
      </c>
      <c r="N60" s="362">
        <v>0</v>
      </c>
      <c r="P60" s="362"/>
    </row>
    <row r="61" spans="2:33" x14ac:dyDescent="0.25">
      <c r="B61">
        <f>Prop6AccountNumber2</f>
        <v>0</v>
      </c>
      <c r="E61" t="s">
        <v>488</v>
      </c>
      <c r="J61" s="3" t="s">
        <v>65</v>
      </c>
      <c r="L61">
        <v>14</v>
      </c>
      <c r="M61" s="362">
        <v>0</v>
      </c>
      <c r="N61" s="362">
        <v>0</v>
      </c>
      <c r="P61" s="362"/>
    </row>
    <row r="62" spans="2:33" x14ac:dyDescent="0.25">
      <c r="B62">
        <f>Prop6AccountNumber3</f>
        <v>0</v>
      </c>
      <c r="E62" t="s">
        <v>489</v>
      </c>
      <c r="J62" s="3" t="s">
        <v>66</v>
      </c>
      <c r="L62">
        <v>15</v>
      </c>
      <c r="M62" s="362">
        <v>0</v>
      </c>
      <c r="N62" s="362">
        <v>0</v>
      </c>
      <c r="P62" s="362"/>
    </row>
    <row r="63" spans="2:33" x14ac:dyDescent="0.25">
      <c r="B63">
        <f>Prop6AccountNumber4</f>
        <v>0</v>
      </c>
      <c r="E63" t="s">
        <v>490</v>
      </c>
      <c r="J63" s="3" t="s">
        <v>67</v>
      </c>
      <c r="L63">
        <v>16</v>
      </c>
      <c r="M63" s="362">
        <v>0</v>
      </c>
      <c r="N63" s="362">
        <v>0</v>
      </c>
      <c r="P63" s="362"/>
    </row>
    <row r="64" spans="2:33" x14ac:dyDescent="0.25">
      <c r="B64">
        <f>Prop7AccountNumber1</f>
        <v>0</v>
      </c>
      <c r="E64" t="s">
        <v>491</v>
      </c>
      <c r="J64" s="3" t="s">
        <v>68</v>
      </c>
      <c r="L64">
        <v>17</v>
      </c>
      <c r="M64" s="362">
        <v>0</v>
      </c>
      <c r="N64" s="362">
        <v>0</v>
      </c>
      <c r="P64" s="362"/>
    </row>
    <row r="65" spans="2:20" x14ac:dyDescent="0.25">
      <c r="B65">
        <f>Prop7AccountNumber2</f>
        <v>0</v>
      </c>
      <c r="E65" t="s">
        <v>492</v>
      </c>
      <c r="J65" s="3" t="s">
        <v>69</v>
      </c>
      <c r="L65">
        <v>18</v>
      </c>
      <c r="M65" s="362">
        <v>0</v>
      </c>
      <c r="N65" s="362">
        <v>0</v>
      </c>
      <c r="P65" s="362"/>
    </row>
    <row r="66" spans="2:20" x14ac:dyDescent="0.25">
      <c r="B66">
        <f>Prop7AccountNumber3</f>
        <v>0</v>
      </c>
      <c r="E66" t="s">
        <v>493</v>
      </c>
      <c r="J66" s="3" t="s">
        <v>70</v>
      </c>
      <c r="L66">
        <v>19</v>
      </c>
      <c r="M66" s="362">
        <v>0</v>
      </c>
      <c r="N66" s="362">
        <v>0</v>
      </c>
      <c r="P66" s="362"/>
    </row>
    <row r="67" spans="2:20" x14ac:dyDescent="0.25">
      <c r="B67">
        <f>Prop7AccountNumber4</f>
        <v>0</v>
      </c>
      <c r="E67" t="s">
        <v>494</v>
      </c>
      <c r="J67" s="3" t="s">
        <v>71</v>
      </c>
      <c r="L67">
        <v>20</v>
      </c>
      <c r="M67" s="362">
        <v>0</v>
      </c>
      <c r="N67" s="362">
        <v>0</v>
      </c>
      <c r="P67" s="362"/>
    </row>
    <row r="68" spans="2:20" x14ac:dyDescent="0.25">
      <c r="B68">
        <f>Prop8AccountNumber1</f>
        <v>0</v>
      </c>
      <c r="E68" t="s">
        <v>495</v>
      </c>
      <c r="J68" s="3" t="s">
        <v>72</v>
      </c>
      <c r="L68">
        <v>21</v>
      </c>
      <c r="M68" s="362">
        <v>0</v>
      </c>
      <c r="N68" s="362">
        <v>0</v>
      </c>
      <c r="P68" s="362"/>
    </row>
    <row r="69" spans="2:20" x14ac:dyDescent="0.25">
      <c r="B69">
        <f>Prop8AccountNumber2</f>
        <v>0</v>
      </c>
      <c r="E69" t="s">
        <v>496</v>
      </c>
      <c r="J69" s="3" t="s">
        <v>73</v>
      </c>
      <c r="L69">
        <v>22</v>
      </c>
      <c r="M69" s="362">
        <v>0</v>
      </c>
      <c r="N69" s="362">
        <v>0</v>
      </c>
      <c r="P69" s="362"/>
    </row>
    <row r="70" spans="2:20" x14ac:dyDescent="0.25">
      <c r="B70">
        <f>Prop8AccountNumber3</f>
        <v>0</v>
      </c>
      <c r="E70" t="s">
        <v>497</v>
      </c>
      <c r="J70" s="3" t="s">
        <v>74</v>
      </c>
      <c r="L70">
        <v>23</v>
      </c>
      <c r="M70" s="362">
        <v>0</v>
      </c>
      <c r="N70" s="362">
        <v>0</v>
      </c>
      <c r="P70" s="362"/>
    </row>
    <row r="71" spans="2:20" x14ac:dyDescent="0.25">
      <c r="B71">
        <f>Prop8AccountNumber4</f>
        <v>0</v>
      </c>
      <c r="E71" t="s">
        <v>498</v>
      </c>
      <c r="J71" s="3" t="s">
        <v>75</v>
      </c>
      <c r="L71">
        <v>24</v>
      </c>
      <c r="M71" s="362">
        <v>0</v>
      </c>
      <c r="N71" s="362">
        <v>0</v>
      </c>
      <c r="P71" s="362"/>
    </row>
    <row r="72" spans="2:20" x14ac:dyDescent="0.25">
      <c r="B72">
        <f>Prop9AccountNumber1</f>
        <v>0</v>
      </c>
      <c r="E72" t="s">
        <v>499</v>
      </c>
      <c r="J72" s="3" t="s">
        <v>76</v>
      </c>
      <c r="L72">
        <v>25</v>
      </c>
      <c r="M72" s="362">
        <v>0</v>
      </c>
      <c r="N72" s="362">
        <v>0</v>
      </c>
      <c r="P72" s="362"/>
    </row>
    <row r="73" spans="2:20" x14ac:dyDescent="0.25">
      <c r="B73">
        <f>Prop9AccountNumber2</f>
        <v>0</v>
      </c>
      <c r="E73" t="s">
        <v>500</v>
      </c>
      <c r="J73" s="3" t="s">
        <v>77</v>
      </c>
    </row>
    <row r="74" spans="2:20" x14ac:dyDescent="0.25">
      <c r="B74">
        <f>Prop9AccountNumber3</f>
        <v>0</v>
      </c>
      <c r="E74" t="s">
        <v>501</v>
      </c>
      <c r="J74" s="3" t="s">
        <v>78</v>
      </c>
    </row>
    <row r="75" spans="2:20" x14ac:dyDescent="0.25">
      <c r="B75">
        <f>Prop9AccountNumber4</f>
        <v>0</v>
      </c>
      <c r="E75" t="s">
        <v>502</v>
      </c>
      <c r="J75" s="3" t="s">
        <v>79</v>
      </c>
      <c r="L75" t="s">
        <v>3225</v>
      </c>
    </row>
    <row r="76" spans="2:20" x14ac:dyDescent="0.25">
      <c r="B76">
        <f>Prop10AccountNumber1</f>
        <v>0</v>
      </c>
      <c r="E76" t="s">
        <v>503</v>
      </c>
      <c r="J76" s="3" t="s">
        <v>80</v>
      </c>
      <c r="L76">
        <v>1</v>
      </c>
      <c r="M76" s="634">
        <v>0</v>
      </c>
      <c r="N76" s="635"/>
      <c r="O76" s="636"/>
      <c r="P76" s="361"/>
      <c r="Q76" s="361"/>
      <c r="R76" s="361"/>
      <c r="S76" s="361"/>
      <c r="T76" s="361"/>
    </row>
    <row r="77" spans="2:20" x14ac:dyDescent="0.25">
      <c r="B77">
        <f>Prop10AccountNumber2</f>
        <v>0</v>
      </c>
      <c r="E77" t="s">
        <v>504</v>
      </c>
      <c r="J77" s="3" t="s">
        <v>81</v>
      </c>
      <c r="L77">
        <v>2</v>
      </c>
      <c r="M77" s="634"/>
      <c r="N77" s="635"/>
      <c r="O77" s="636"/>
      <c r="P77" s="361"/>
      <c r="Q77" s="361"/>
      <c r="R77" s="361"/>
      <c r="S77" s="361"/>
      <c r="T77" s="361"/>
    </row>
    <row r="78" spans="2:20" x14ac:dyDescent="0.25">
      <c r="B78">
        <f>Prop10AccountNumber3</f>
        <v>0</v>
      </c>
      <c r="E78" t="s">
        <v>505</v>
      </c>
      <c r="J78" s="3" t="s">
        <v>82</v>
      </c>
      <c r="L78">
        <v>3</v>
      </c>
      <c r="M78" s="634"/>
      <c r="N78" s="635"/>
      <c r="O78" s="636"/>
      <c r="P78" s="361"/>
      <c r="Q78" s="361"/>
      <c r="R78" s="361"/>
      <c r="S78" s="361"/>
      <c r="T78" s="361"/>
    </row>
    <row r="79" spans="2:20" x14ac:dyDescent="0.25">
      <c r="B79">
        <f>Prop10AccountNumber4</f>
        <v>0</v>
      </c>
      <c r="E79" t="s">
        <v>506</v>
      </c>
      <c r="J79" s="3" t="s">
        <v>83</v>
      </c>
      <c r="L79">
        <v>4</v>
      </c>
      <c r="M79" s="634"/>
      <c r="N79" s="635"/>
      <c r="O79" s="636"/>
      <c r="P79" s="361"/>
      <c r="Q79" s="361"/>
      <c r="R79" s="361"/>
      <c r="S79" s="361"/>
      <c r="T79" s="361"/>
    </row>
    <row r="80" spans="2:20" x14ac:dyDescent="0.25">
      <c r="B80">
        <f>Prop11AccountNumber1</f>
        <v>0</v>
      </c>
      <c r="E80" t="s">
        <v>507</v>
      </c>
      <c r="J80" s="3" t="s">
        <v>84</v>
      </c>
      <c r="L80">
        <v>5</v>
      </c>
      <c r="M80" s="634"/>
      <c r="N80" s="635"/>
      <c r="O80" s="636"/>
      <c r="P80" s="361"/>
      <c r="Q80" s="361"/>
      <c r="R80" s="361"/>
      <c r="S80" s="361"/>
      <c r="T80" s="361"/>
    </row>
    <row r="81" spans="2:20" x14ac:dyDescent="0.25">
      <c r="B81">
        <f>Prop11AccountNumber2</f>
        <v>0</v>
      </c>
      <c r="E81" t="s">
        <v>508</v>
      </c>
      <c r="J81" s="3" t="s">
        <v>85</v>
      </c>
      <c r="L81">
        <v>6</v>
      </c>
      <c r="M81" s="634"/>
      <c r="N81" s="635"/>
      <c r="O81" s="636"/>
      <c r="P81" s="361"/>
      <c r="Q81" s="361"/>
      <c r="R81" s="361"/>
      <c r="S81" s="361"/>
      <c r="T81" s="361"/>
    </row>
    <row r="82" spans="2:20" x14ac:dyDescent="0.25">
      <c r="B82">
        <f>Prop11AccountNumber3</f>
        <v>0</v>
      </c>
      <c r="E82" t="s">
        <v>509</v>
      </c>
      <c r="J82" s="3" t="s">
        <v>86</v>
      </c>
      <c r="L82">
        <v>7</v>
      </c>
      <c r="M82" s="634"/>
      <c r="N82" s="635"/>
      <c r="O82" s="636"/>
      <c r="P82" s="361"/>
      <c r="Q82" s="361"/>
      <c r="R82" s="361"/>
      <c r="S82" s="361"/>
      <c r="T82" s="361"/>
    </row>
    <row r="83" spans="2:20" x14ac:dyDescent="0.25">
      <c r="B83">
        <f>Prop11AccountNumber4</f>
        <v>0</v>
      </c>
      <c r="E83" t="s">
        <v>510</v>
      </c>
      <c r="J83" s="3" t="s">
        <v>87</v>
      </c>
      <c r="L83">
        <v>8</v>
      </c>
      <c r="M83" s="634"/>
      <c r="N83" s="635"/>
      <c r="O83" s="636"/>
      <c r="P83" s="361"/>
      <c r="Q83" s="361"/>
      <c r="R83" s="361"/>
      <c r="S83" s="361"/>
      <c r="T83" s="361"/>
    </row>
    <row r="84" spans="2:20" x14ac:dyDescent="0.25">
      <c r="B84">
        <f>Prop12AccountNumber1</f>
        <v>0</v>
      </c>
      <c r="E84" t="s">
        <v>511</v>
      </c>
      <c r="J84" s="3" t="s">
        <v>88</v>
      </c>
      <c r="L84">
        <v>9</v>
      </c>
      <c r="M84" s="634"/>
      <c r="N84" s="635"/>
      <c r="O84" s="636"/>
      <c r="P84" s="361"/>
      <c r="Q84" s="361"/>
      <c r="R84" s="361"/>
      <c r="S84" s="361"/>
      <c r="T84" s="361"/>
    </row>
    <row r="85" spans="2:20" x14ac:dyDescent="0.25">
      <c r="B85">
        <f>Prop12AccountNumber2</f>
        <v>0</v>
      </c>
      <c r="E85" t="s">
        <v>512</v>
      </c>
      <c r="J85" s="3" t="s">
        <v>89</v>
      </c>
      <c r="L85">
        <v>10</v>
      </c>
      <c r="M85" s="634"/>
      <c r="N85" s="635"/>
      <c r="O85" s="636"/>
      <c r="P85" s="361"/>
      <c r="Q85" s="361"/>
      <c r="R85" s="361"/>
      <c r="S85" s="361"/>
      <c r="T85" s="361"/>
    </row>
    <row r="86" spans="2:20" x14ac:dyDescent="0.25">
      <c r="B86">
        <f>Prop12AccountNumber3</f>
        <v>0</v>
      </c>
      <c r="E86" t="s">
        <v>513</v>
      </c>
      <c r="J86" s="3" t="s">
        <v>90</v>
      </c>
      <c r="L86">
        <v>11</v>
      </c>
      <c r="M86" s="634"/>
      <c r="N86" s="635"/>
      <c r="O86" s="636"/>
      <c r="P86" s="361"/>
      <c r="Q86" s="361"/>
      <c r="R86" s="361"/>
      <c r="S86" s="361"/>
      <c r="T86" s="361"/>
    </row>
    <row r="87" spans="2:20" x14ac:dyDescent="0.25">
      <c r="B87">
        <f>Prop12AccountNumber4</f>
        <v>0</v>
      </c>
      <c r="E87" t="s">
        <v>514</v>
      </c>
      <c r="J87" s="3" t="s">
        <v>91</v>
      </c>
      <c r="L87">
        <v>12</v>
      </c>
      <c r="M87" s="634"/>
      <c r="N87" s="635"/>
      <c r="O87" s="636"/>
      <c r="P87" s="361"/>
      <c r="Q87" s="361"/>
      <c r="R87" s="361"/>
      <c r="S87" s="361"/>
      <c r="T87" s="361"/>
    </row>
    <row r="88" spans="2:20" x14ac:dyDescent="0.25">
      <c r="B88">
        <f>Prop13AccountNumber1</f>
        <v>0</v>
      </c>
      <c r="E88" t="s">
        <v>515</v>
      </c>
      <c r="J88" s="3" t="s">
        <v>92</v>
      </c>
      <c r="L88">
        <v>13</v>
      </c>
      <c r="M88" s="634"/>
      <c r="N88" s="635"/>
      <c r="O88" s="636"/>
      <c r="P88" s="361"/>
      <c r="Q88" s="361"/>
      <c r="R88" s="361"/>
      <c r="S88" s="361"/>
      <c r="T88" s="361"/>
    </row>
    <row r="89" spans="2:20" x14ac:dyDescent="0.25">
      <c r="B89">
        <f>Prop13AccountNumber2</f>
        <v>0</v>
      </c>
      <c r="E89" t="s">
        <v>516</v>
      </c>
      <c r="J89" s="3" t="s">
        <v>93</v>
      </c>
      <c r="L89">
        <v>14</v>
      </c>
      <c r="M89" s="634"/>
      <c r="N89" s="635"/>
      <c r="O89" s="636"/>
      <c r="P89" s="361"/>
      <c r="Q89" s="361"/>
      <c r="R89" s="361"/>
      <c r="S89" s="361"/>
      <c r="T89" s="361"/>
    </row>
    <row r="90" spans="2:20" x14ac:dyDescent="0.25">
      <c r="B90">
        <f>Prop13AccountNumber3</f>
        <v>0</v>
      </c>
      <c r="E90" t="s">
        <v>517</v>
      </c>
      <c r="J90" s="3" t="s">
        <v>94</v>
      </c>
      <c r="L90">
        <v>15</v>
      </c>
      <c r="M90" s="634"/>
      <c r="N90" s="635"/>
      <c r="O90" s="636"/>
      <c r="P90" s="361"/>
      <c r="Q90" s="361"/>
      <c r="R90" s="361"/>
      <c r="S90" s="361"/>
      <c r="T90" s="361"/>
    </row>
    <row r="91" spans="2:20" x14ac:dyDescent="0.25">
      <c r="B91">
        <f>Prop13AccountNumber4</f>
        <v>0</v>
      </c>
      <c r="E91" t="s">
        <v>518</v>
      </c>
      <c r="J91" s="3" t="s">
        <v>95</v>
      </c>
      <c r="L91">
        <v>16</v>
      </c>
      <c r="M91" s="634"/>
      <c r="N91" s="635"/>
      <c r="O91" s="636"/>
      <c r="P91" s="361"/>
      <c r="Q91" s="361"/>
      <c r="R91" s="361"/>
      <c r="S91" s="361"/>
      <c r="T91" s="361"/>
    </row>
    <row r="92" spans="2:20" x14ac:dyDescent="0.25">
      <c r="B92">
        <f>Prop14AccountNumber1</f>
        <v>0</v>
      </c>
      <c r="E92" t="s">
        <v>519</v>
      </c>
      <c r="J92" s="3" t="s">
        <v>96</v>
      </c>
      <c r="L92">
        <v>17</v>
      </c>
      <c r="M92" s="634"/>
      <c r="N92" s="635"/>
      <c r="O92" s="636"/>
      <c r="P92" s="361"/>
      <c r="Q92" s="361"/>
      <c r="R92" s="361"/>
      <c r="S92" s="361"/>
      <c r="T92" s="361"/>
    </row>
    <row r="93" spans="2:20" x14ac:dyDescent="0.25">
      <c r="B93">
        <f>Prop14AccountNumber2</f>
        <v>0</v>
      </c>
      <c r="E93" t="s">
        <v>520</v>
      </c>
      <c r="J93" s="3" t="s">
        <v>97</v>
      </c>
      <c r="L93">
        <v>18</v>
      </c>
      <c r="M93" s="634"/>
      <c r="N93" s="635"/>
      <c r="O93" s="636"/>
      <c r="P93" s="361"/>
      <c r="Q93" s="361"/>
      <c r="R93" s="361"/>
      <c r="S93" s="361"/>
      <c r="T93" s="361"/>
    </row>
    <row r="94" spans="2:20" x14ac:dyDescent="0.25">
      <c r="B94">
        <f>Prop14AccountNumber3</f>
        <v>0</v>
      </c>
      <c r="E94" t="s">
        <v>521</v>
      </c>
      <c r="J94" s="3" t="s">
        <v>98</v>
      </c>
      <c r="L94">
        <v>19</v>
      </c>
      <c r="M94" s="634"/>
      <c r="N94" s="635"/>
      <c r="O94" s="636"/>
      <c r="P94" s="361"/>
      <c r="Q94" s="361"/>
      <c r="R94" s="361"/>
      <c r="S94" s="361"/>
      <c r="T94" s="361"/>
    </row>
    <row r="95" spans="2:20" x14ac:dyDescent="0.25">
      <c r="B95">
        <f>Prop14AccountNumber4</f>
        <v>0</v>
      </c>
      <c r="E95" t="s">
        <v>522</v>
      </c>
      <c r="J95" s="3" t="s">
        <v>99</v>
      </c>
      <c r="L95">
        <v>20</v>
      </c>
      <c r="M95" s="634"/>
      <c r="N95" s="635"/>
      <c r="O95" s="636"/>
      <c r="P95" s="361"/>
      <c r="Q95" s="361"/>
      <c r="R95" s="361"/>
      <c r="S95" s="361"/>
      <c r="T95" s="361"/>
    </row>
    <row r="96" spans="2:20" x14ac:dyDescent="0.25">
      <c r="B96">
        <f>Prop15AccountNumber1</f>
        <v>0</v>
      </c>
      <c r="E96" t="s">
        <v>523</v>
      </c>
      <c r="J96" s="3" t="s">
        <v>100</v>
      </c>
      <c r="L96">
        <v>21</v>
      </c>
      <c r="M96" s="634"/>
      <c r="N96" s="635"/>
      <c r="O96" s="636"/>
      <c r="P96" s="361"/>
      <c r="Q96" s="361"/>
      <c r="R96" s="361"/>
      <c r="S96" s="361"/>
      <c r="T96" s="361"/>
    </row>
    <row r="97" spans="2:20" x14ac:dyDescent="0.25">
      <c r="B97">
        <f>Prop15AccountNumber2</f>
        <v>0</v>
      </c>
      <c r="E97" t="s">
        <v>59</v>
      </c>
      <c r="J97" s="3" t="s">
        <v>101</v>
      </c>
      <c r="L97">
        <v>22</v>
      </c>
      <c r="M97" s="634"/>
      <c r="N97" s="635"/>
      <c r="O97" s="636"/>
      <c r="P97" s="361"/>
      <c r="Q97" s="361"/>
      <c r="R97" s="361"/>
      <c r="S97" s="361"/>
      <c r="T97" s="361"/>
    </row>
    <row r="98" spans="2:20" x14ac:dyDescent="0.25">
      <c r="B98">
        <f>Prop15AccountNumber3</f>
        <v>0</v>
      </c>
      <c r="E98" t="s">
        <v>524</v>
      </c>
      <c r="J98" s="3" t="s">
        <v>102</v>
      </c>
      <c r="L98">
        <v>23</v>
      </c>
      <c r="M98" s="634"/>
      <c r="N98" s="635"/>
      <c r="O98" s="636"/>
      <c r="P98" s="361"/>
      <c r="Q98" s="361"/>
      <c r="R98" s="361"/>
      <c r="S98" s="361"/>
      <c r="T98" s="361"/>
    </row>
    <row r="99" spans="2:20" x14ac:dyDescent="0.25">
      <c r="B99">
        <f>Prop15AccountNumber4</f>
        <v>0</v>
      </c>
      <c r="E99" t="s">
        <v>525</v>
      </c>
      <c r="J99" s="3" t="s">
        <v>103</v>
      </c>
      <c r="L99">
        <v>24</v>
      </c>
      <c r="M99" s="634"/>
      <c r="N99" s="635"/>
      <c r="O99" s="636"/>
      <c r="P99" s="361"/>
      <c r="Q99" s="361"/>
      <c r="R99" s="361"/>
      <c r="S99" s="361"/>
      <c r="T99" s="361"/>
    </row>
    <row r="100" spans="2:20" x14ac:dyDescent="0.25">
      <c r="B100">
        <f>Prop16AccountNumber1</f>
        <v>0</v>
      </c>
      <c r="E100" t="s">
        <v>526</v>
      </c>
      <c r="J100" s="3" t="s">
        <v>104</v>
      </c>
      <c r="L100">
        <v>25</v>
      </c>
      <c r="M100" s="634"/>
      <c r="N100" s="635"/>
      <c r="O100" s="636"/>
      <c r="P100" s="361"/>
      <c r="Q100" s="361"/>
      <c r="R100" s="361"/>
      <c r="S100" s="361"/>
      <c r="T100" s="361"/>
    </row>
    <row r="101" spans="2:20" x14ac:dyDescent="0.25">
      <c r="B101">
        <f>Prop16AccountNumber2</f>
        <v>0</v>
      </c>
      <c r="E101" t="s">
        <v>527</v>
      </c>
      <c r="J101" s="3" t="s">
        <v>105</v>
      </c>
    </row>
    <row r="102" spans="2:20" x14ac:dyDescent="0.25">
      <c r="B102">
        <f>Prop16AccountNumber3</f>
        <v>0</v>
      </c>
      <c r="E102" t="s">
        <v>528</v>
      </c>
      <c r="J102" s="3" t="s">
        <v>106</v>
      </c>
    </row>
    <row r="103" spans="2:20" x14ac:dyDescent="0.25">
      <c r="B103">
        <f>Prop16AccountNumber4</f>
        <v>0</v>
      </c>
      <c r="E103" t="s">
        <v>529</v>
      </c>
      <c r="J103" s="3" t="s">
        <v>107</v>
      </c>
    </row>
    <row r="104" spans="2:20" x14ac:dyDescent="0.25">
      <c r="B104">
        <f>Prop17AccountNumber1</f>
        <v>0</v>
      </c>
      <c r="E104" t="s">
        <v>530</v>
      </c>
      <c r="J104" s="3" t="s">
        <v>108</v>
      </c>
    </row>
    <row r="105" spans="2:20" x14ac:dyDescent="0.25">
      <c r="B105">
        <f>Prop17AccountNumber2</f>
        <v>0</v>
      </c>
      <c r="E105" t="s">
        <v>531</v>
      </c>
      <c r="J105" s="3" t="s">
        <v>109</v>
      </c>
    </row>
    <row r="106" spans="2:20" x14ac:dyDescent="0.25">
      <c r="B106">
        <f>Prop17AccountNumber3</f>
        <v>0</v>
      </c>
      <c r="E106" t="s">
        <v>532</v>
      </c>
      <c r="J106" s="3" t="s">
        <v>110</v>
      </c>
    </row>
    <row r="107" spans="2:20" x14ac:dyDescent="0.25">
      <c r="B107">
        <f>Prop17AccountNumber4</f>
        <v>0</v>
      </c>
      <c r="E107" t="s">
        <v>533</v>
      </c>
      <c r="J107" s="3" t="s">
        <v>111</v>
      </c>
    </row>
    <row r="108" spans="2:20" x14ac:dyDescent="0.25">
      <c r="B108">
        <f>Prop18AccountNumber1</f>
        <v>0</v>
      </c>
      <c r="E108" t="s">
        <v>534</v>
      </c>
      <c r="J108" s="3" t="s">
        <v>112</v>
      </c>
    </row>
    <row r="109" spans="2:20" x14ac:dyDescent="0.25">
      <c r="B109">
        <f>Prop18AccountNumber2</f>
        <v>0</v>
      </c>
      <c r="E109" t="s">
        <v>535</v>
      </c>
      <c r="J109" s="3" t="s">
        <v>113</v>
      </c>
    </row>
    <row r="110" spans="2:20" x14ac:dyDescent="0.25">
      <c r="B110">
        <f>Prop18AccountNumber3</f>
        <v>0</v>
      </c>
      <c r="E110" t="s">
        <v>536</v>
      </c>
      <c r="J110" s="3" t="s">
        <v>114</v>
      </c>
    </row>
    <row r="111" spans="2:20" x14ac:dyDescent="0.25">
      <c r="B111">
        <f>Prop18AccountNumber4</f>
        <v>0</v>
      </c>
      <c r="E111" t="s">
        <v>537</v>
      </c>
      <c r="J111" s="3" t="s">
        <v>115</v>
      </c>
    </row>
    <row r="112" spans="2:20" x14ac:dyDescent="0.25">
      <c r="B112">
        <f>Prop19AccountNumber1</f>
        <v>0</v>
      </c>
      <c r="E112" t="s">
        <v>538</v>
      </c>
      <c r="J112" s="3" t="s">
        <v>116</v>
      </c>
    </row>
    <row r="113" spans="2:10" x14ac:dyDescent="0.25">
      <c r="B113">
        <f>Prop19AccountNumber2</f>
        <v>0</v>
      </c>
      <c r="E113" t="s">
        <v>539</v>
      </c>
      <c r="J113" s="3" t="s">
        <v>117</v>
      </c>
    </row>
    <row r="114" spans="2:10" x14ac:dyDescent="0.25">
      <c r="B114">
        <f>Prop19AccountNumber3</f>
        <v>0</v>
      </c>
      <c r="E114" t="s">
        <v>540</v>
      </c>
      <c r="J114" s="3" t="s">
        <v>118</v>
      </c>
    </row>
    <row r="115" spans="2:10" x14ac:dyDescent="0.25">
      <c r="B115">
        <f>Prop19AccountNumber4</f>
        <v>0</v>
      </c>
      <c r="E115" t="s">
        <v>541</v>
      </c>
      <c r="J115" s="3" t="s">
        <v>119</v>
      </c>
    </row>
    <row r="116" spans="2:10" x14ac:dyDescent="0.25">
      <c r="B116">
        <f>Prop20AccountNumber1</f>
        <v>0</v>
      </c>
      <c r="E116" t="s">
        <v>542</v>
      </c>
      <c r="J116" s="3" t="s">
        <v>120</v>
      </c>
    </row>
    <row r="117" spans="2:10" x14ac:dyDescent="0.25">
      <c r="B117">
        <f>Prop20AccountNumber2</f>
        <v>0</v>
      </c>
      <c r="E117" t="s">
        <v>543</v>
      </c>
      <c r="J117" s="3" t="s">
        <v>121</v>
      </c>
    </row>
    <row r="118" spans="2:10" x14ac:dyDescent="0.25">
      <c r="B118">
        <f>Prop20AccountNumber3</f>
        <v>0</v>
      </c>
      <c r="E118" t="s">
        <v>544</v>
      </c>
      <c r="J118" s="3" t="s">
        <v>122</v>
      </c>
    </row>
    <row r="119" spans="2:10" x14ac:dyDescent="0.25">
      <c r="B119">
        <f>Prop20AccountNumber4</f>
        <v>0</v>
      </c>
      <c r="E119" t="s">
        <v>545</v>
      </c>
      <c r="J119" s="3" t="s">
        <v>123</v>
      </c>
    </row>
    <row r="120" spans="2:10" x14ac:dyDescent="0.25">
      <c r="B120">
        <f>Prop21AccountNumber1</f>
        <v>0</v>
      </c>
      <c r="E120" t="s">
        <v>546</v>
      </c>
      <c r="J120" s="3" t="s">
        <v>124</v>
      </c>
    </row>
    <row r="121" spans="2:10" x14ac:dyDescent="0.25">
      <c r="B121">
        <f>Prop21AccountNumber2</f>
        <v>0</v>
      </c>
      <c r="E121" t="s">
        <v>547</v>
      </c>
      <c r="J121" s="3" t="s">
        <v>125</v>
      </c>
    </row>
    <row r="122" spans="2:10" x14ac:dyDescent="0.25">
      <c r="B122">
        <f>Prop21AccountNumber3</f>
        <v>0</v>
      </c>
      <c r="E122" t="s">
        <v>548</v>
      </c>
      <c r="J122" s="3" t="s">
        <v>126</v>
      </c>
    </row>
    <row r="123" spans="2:10" x14ac:dyDescent="0.25">
      <c r="B123">
        <f>Prop21AccountNumber4</f>
        <v>0</v>
      </c>
      <c r="E123" t="s">
        <v>82</v>
      </c>
      <c r="J123" s="3" t="s">
        <v>127</v>
      </c>
    </row>
    <row r="124" spans="2:10" x14ac:dyDescent="0.25">
      <c r="B124">
        <f>Prop22AccountNumber1</f>
        <v>0</v>
      </c>
      <c r="E124" t="s">
        <v>549</v>
      </c>
      <c r="J124" s="3" t="s">
        <v>128</v>
      </c>
    </row>
    <row r="125" spans="2:10" x14ac:dyDescent="0.25">
      <c r="B125">
        <f>Prop22AccountNumber2</f>
        <v>0</v>
      </c>
      <c r="E125" t="s">
        <v>550</v>
      </c>
      <c r="J125" s="3" t="s">
        <v>129</v>
      </c>
    </row>
    <row r="126" spans="2:10" x14ac:dyDescent="0.25">
      <c r="B126">
        <f>Prop22AccountNumber3</f>
        <v>0</v>
      </c>
      <c r="E126" t="s">
        <v>551</v>
      </c>
      <c r="J126" s="3" t="s">
        <v>130</v>
      </c>
    </row>
    <row r="127" spans="2:10" x14ac:dyDescent="0.25">
      <c r="B127">
        <f>Prop22AccountNumber4</f>
        <v>0</v>
      </c>
      <c r="E127" t="s">
        <v>552</v>
      </c>
      <c r="J127" s="3" t="s">
        <v>131</v>
      </c>
    </row>
    <row r="128" spans="2:10" x14ac:dyDescent="0.25">
      <c r="B128">
        <f>Prop23AccountNumber1</f>
        <v>0</v>
      </c>
      <c r="E128" t="s">
        <v>553</v>
      </c>
      <c r="J128" s="3" t="s">
        <v>132</v>
      </c>
    </row>
    <row r="129" spans="2:10" x14ac:dyDescent="0.25">
      <c r="B129">
        <f>Prop23AccountNumber2</f>
        <v>0</v>
      </c>
      <c r="E129" t="s">
        <v>554</v>
      </c>
      <c r="J129" s="3" t="s">
        <v>133</v>
      </c>
    </row>
    <row r="130" spans="2:10" x14ac:dyDescent="0.25">
      <c r="B130">
        <f>Prop23AccountNumber3</f>
        <v>0</v>
      </c>
      <c r="E130" t="s">
        <v>555</v>
      </c>
      <c r="J130" s="3" t="s">
        <v>134</v>
      </c>
    </row>
    <row r="131" spans="2:10" x14ac:dyDescent="0.25">
      <c r="B131">
        <f>Prop23AccountNumber4</f>
        <v>0</v>
      </c>
      <c r="E131" t="s">
        <v>556</v>
      </c>
      <c r="J131" s="3" t="s">
        <v>135</v>
      </c>
    </row>
    <row r="132" spans="2:10" x14ac:dyDescent="0.25">
      <c r="B132">
        <f>Prop24AccountNumber1</f>
        <v>0</v>
      </c>
      <c r="E132" t="s">
        <v>557</v>
      </c>
      <c r="J132" s="3" t="s">
        <v>136</v>
      </c>
    </row>
    <row r="133" spans="2:10" x14ac:dyDescent="0.25">
      <c r="B133">
        <f>Prop24AccountNumber2</f>
        <v>0</v>
      </c>
      <c r="E133" t="s">
        <v>558</v>
      </c>
      <c r="J133" s="3" t="s">
        <v>137</v>
      </c>
    </row>
    <row r="134" spans="2:10" x14ac:dyDescent="0.25">
      <c r="B134">
        <f>Prop24AccountNumber3</f>
        <v>0</v>
      </c>
      <c r="E134" t="s">
        <v>559</v>
      </c>
      <c r="J134" s="3" t="s">
        <v>138</v>
      </c>
    </row>
    <row r="135" spans="2:10" x14ac:dyDescent="0.25">
      <c r="B135">
        <f>Prop24AccountNumber4</f>
        <v>0</v>
      </c>
      <c r="E135" t="s">
        <v>560</v>
      </c>
      <c r="J135" s="3" t="s">
        <v>139</v>
      </c>
    </row>
    <row r="136" spans="2:10" x14ac:dyDescent="0.25">
      <c r="B136">
        <f>Prop25AccountNumber1</f>
        <v>0</v>
      </c>
      <c r="E136" t="s">
        <v>561</v>
      </c>
      <c r="J136" s="3" t="s">
        <v>140</v>
      </c>
    </row>
    <row r="137" spans="2:10" x14ac:dyDescent="0.25">
      <c r="B137">
        <f>Prop25AccountNumber2</f>
        <v>0</v>
      </c>
      <c r="E137" t="s">
        <v>562</v>
      </c>
      <c r="J137" s="3" t="s">
        <v>141</v>
      </c>
    </row>
    <row r="138" spans="2:10" x14ac:dyDescent="0.25">
      <c r="B138">
        <f>Prop25AccountNumber3</f>
        <v>0</v>
      </c>
      <c r="E138" t="s">
        <v>563</v>
      </c>
      <c r="J138" s="3" t="s">
        <v>142</v>
      </c>
    </row>
    <row r="139" spans="2:10" x14ac:dyDescent="0.25">
      <c r="B139">
        <f>Prop25AccountNumber4</f>
        <v>0</v>
      </c>
      <c r="E139" t="s">
        <v>564</v>
      </c>
      <c r="J139" s="3" t="s">
        <v>143</v>
      </c>
    </row>
    <row r="140" spans="2:10" x14ac:dyDescent="0.25">
      <c r="E140" t="s">
        <v>89</v>
      </c>
      <c r="J140" s="3" t="s">
        <v>144</v>
      </c>
    </row>
    <row r="141" spans="2:10" x14ac:dyDescent="0.25">
      <c r="E141" t="s">
        <v>565</v>
      </c>
      <c r="J141" s="3" t="s">
        <v>145</v>
      </c>
    </row>
    <row r="142" spans="2:10" x14ac:dyDescent="0.25">
      <c r="E142" t="s">
        <v>566</v>
      </c>
      <c r="J142" s="3" t="s">
        <v>146</v>
      </c>
    </row>
    <row r="143" spans="2:10" x14ac:dyDescent="0.25">
      <c r="E143" t="s">
        <v>567</v>
      </c>
      <c r="J143" s="3" t="s">
        <v>147</v>
      </c>
    </row>
    <row r="144" spans="2:10" x14ac:dyDescent="0.25">
      <c r="E144" t="s">
        <v>568</v>
      </c>
      <c r="J144" s="3" t="s">
        <v>148</v>
      </c>
    </row>
    <row r="145" spans="1:10" x14ac:dyDescent="0.25">
      <c r="A145" t="s">
        <v>2941</v>
      </c>
      <c r="E145" t="s">
        <v>569</v>
      </c>
      <c r="J145" s="3" t="s">
        <v>149</v>
      </c>
    </row>
    <row r="146" spans="1:10" x14ac:dyDescent="0.25">
      <c r="A146">
        <v>1</v>
      </c>
      <c r="B146">
        <f>LEN(Prop1Legal) - LEN(SUBSTITUTE(Prop1Legal,CHAR(10),"")) + 1</f>
        <v>1</v>
      </c>
      <c r="E146" t="s">
        <v>570</v>
      </c>
      <c r="J146" s="3" t="s">
        <v>150</v>
      </c>
    </row>
    <row r="147" spans="1:10" x14ac:dyDescent="0.25">
      <c r="A147">
        <v>2</v>
      </c>
      <c r="B147">
        <f>LEN(Prop2Legal) - LEN(SUBSTITUTE(Prop2Legal,CHAR(10),"")) + 1</f>
        <v>1</v>
      </c>
      <c r="E147" t="s">
        <v>571</v>
      </c>
      <c r="J147" s="3" t="s">
        <v>151</v>
      </c>
    </row>
    <row r="148" spans="1:10" x14ac:dyDescent="0.25">
      <c r="A148">
        <v>3</v>
      </c>
      <c r="B148">
        <f>LEN(Prop3Legal) - LEN(SUBSTITUTE(Prop3Legal,CHAR(10),"")) + 1</f>
        <v>1</v>
      </c>
      <c r="E148" t="s">
        <v>572</v>
      </c>
      <c r="J148" s="3" t="s">
        <v>152</v>
      </c>
    </row>
    <row r="149" spans="1:10" x14ac:dyDescent="0.25">
      <c r="A149">
        <v>4</v>
      </c>
      <c r="B149">
        <f>LEN(Prop4Legal) - LEN(SUBSTITUTE(Prop4Legal,CHAR(10),"")) + 1</f>
        <v>1</v>
      </c>
      <c r="E149" t="s">
        <v>573</v>
      </c>
      <c r="J149" s="3" t="s">
        <v>153</v>
      </c>
    </row>
    <row r="150" spans="1:10" x14ac:dyDescent="0.25">
      <c r="A150">
        <v>5</v>
      </c>
      <c r="B150">
        <f>LEN(Prop5Legal) - LEN(SUBSTITUTE(Prop5Legal,CHAR(10),"")) + 1</f>
        <v>1</v>
      </c>
      <c r="E150" t="s">
        <v>574</v>
      </c>
      <c r="J150" s="3" t="s">
        <v>154</v>
      </c>
    </row>
    <row r="151" spans="1:10" x14ac:dyDescent="0.25">
      <c r="A151">
        <v>6</v>
      </c>
      <c r="B151">
        <f>LEN(Prop6Legal) - LEN(SUBSTITUTE(Prop6Legal,CHAR(10),"")) + 1</f>
        <v>1</v>
      </c>
      <c r="E151" t="s">
        <v>575</v>
      </c>
      <c r="J151" s="3" t="s">
        <v>155</v>
      </c>
    </row>
    <row r="152" spans="1:10" x14ac:dyDescent="0.25">
      <c r="A152">
        <v>7</v>
      </c>
      <c r="B152">
        <f>LEN(Prop7Legal) - LEN(SUBSTITUTE(Prop7Legal,CHAR(10),"")) + 1</f>
        <v>1</v>
      </c>
      <c r="E152" t="s">
        <v>576</v>
      </c>
      <c r="J152" s="3" t="s">
        <v>156</v>
      </c>
    </row>
    <row r="153" spans="1:10" x14ac:dyDescent="0.25">
      <c r="A153">
        <v>8</v>
      </c>
      <c r="B153">
        <f>LEN(Prop8Legal) - LEN(SUBSTITUTE(Prop8Legal,CHAR(10),"")) + 1</f>
        <v>1</v>
      </c>
      <c r="E153" t="s">
        <v>577</v>
      </c>
      <c r="J153" s="3" t="s">
        <v>157</v>
      </c>
    </row>
    <row r="154" spans="1:10" x14ac:dyDescent="0.25">
      <c r="A154">
        <v>9</v>
      </c>
      <c r="B154">
        <f>LEN(Prop9Legal) - LEN(SUBSTITUTE(Prop9Legal,CHAR(10),"")) + 1</f>
        <v>1</v>
      </c>
      <c r="E154" t="s">
        <v>578</v>
      </c>
      <c r="J154" s="3" t="s">
        <v>158</v>
      </c>
    </row>
    <row r="155" spans="1:10" x14ac:dyDescent="0.25">
      <c r="A155">
        <v>10</v>
      </c>
      <c r="B155">
        <f>LEN(Prop10Legal) - LEN(SUBSTITUTE(Prop10Legal,CHAR(10),"")) + 1</f>
        <v>1</v>
      </c>
      <c r="E155" t="s">
        <v>579</v>
      </c>
      <c r="J155" s="3" t="s">
        <v>159</v>
      </c>
    </row>
    <row r="156" spans="1:10" x14ac:dyDescent="0.25">
      <c r="A156">
        <v>11</v>
      </c>
      <c r="B156">
        <f>LEN(Prop11Legal) - LEN(SUBSTITUTE(Prop11Legal,CHAR(10),"")) + 1</f>
        <v>1</v>
      </c>
      <c r="E156" t="s">
        <v>580</v>
      </c>
      <c r="J156" s="3" t="s">
        <v>160</v>
      </c>
    </row>
    <row r="157" spans="1:10" x14ac:dyDescent="0.25">
      <c r="A157">
        <v>12</v>
      </c>
      <c r="B157">
        <f>LEN(Prop12Legal) - LEN(SUBSTITUTE(Prop12Legal,CHAR(10),"")) + 1</f>
        <v>1</v>
      </c>
      <c r="E157" t="s">
        <v>581</v>
      </c>
      <c r="J157" s="3" t="s">
        <v>161</v>
      </c>
    </row>
    <row r="158" spans="1:10" x14ac:dyDescent="0.25">
      <c r="A158">
        <v>13</v>
      </c>
      <c r="B158">
        <f>LEN(Prop13Legal) - LEN(SUBSTITUTE(Prop13Legal,CHAR(10),"")) + 1</f>
        <v>1</v>
      </c>
      <c r="E158" t="s">
        <v>582</v>
      </c>
      <c r="J158" s="3" t="s">
        <v>162</v>
      </c>
    </row>
    <row r="159" spans="1:10" x14ac:dyDescent="0.25">
      <c r="A159">
        <v>14</v>
      </c>
      <c r="B159">
        <f>LEN(Prop14Legal) - LEN(SUBSTITUTE(Prop14Legal,CHAR(10),"")) + 1</f>
        <v>1</v>
      </c>
      <c r="E159" t="s">
        <v>583</v>
      </c>
      <c r="J159" s="3" t="s">
        <v>163</v>
      </c>
    </row>
    <row r="160" spans="1:10" x14ac:dyDescent="0.25">
      <c r="A160">
        <v>15</v>
      </c>
      <c r="B160">
        <f>LEN(Prop15Legal) - LEN(SUBSTITUTE(Prop15Legal,CHAR(10),"")) + 1</f>
        <v>1</v>
      </c>
      <c r="E160" t="s">
        <v>584</v>
      </c>
      <c r="J160" s="3" t="s">
        <v>164</v>
      </c>
    </row>
    <row r="161" spans="1:10" x14ac:dyDescent="0.25">
      <c r="A161">
        <v>16</v>
      </c>
      <c r="B161">
        <f>LEN(Prop16Legal) - LEN(SUBSTITUTE(Prop16Legal,CHAR(10),"")) + 1</f>
        <v>1</v>
      </c>
      <c r="E161" t="s">
        <v>585</v>
      </c>
      <c r="J161" s="3" t="s">
        <v>165</v>
      </c>
    </row>
    <row r="162" spans="1:10" x14ac:dyDescent="0.25">
      <c r="A162">
        <v>17</v>
      </c>
      <c r="B162">
        <f>LEN(Prop17Legal) - LEN(SUBSTITUTE(Prop17Legal,CHAR(10),"")) + 1</f>
        <v>1</v>
      </c>
      <c r="E162" t="s">
        <v>586</v>
      </c>
      <c r="J162" s="3" t="s">
        <v>166</v>
      </c>
    </row>
    <row r="163" spans="1:10" x14ac:dyDescent="0.25">
      <c r="A163">
        <v>18</v>
      </c>
      <c r="B163">
        <f>LEN(Prop18Legal) - LEN(SUBSTITUTE(Prop18Legal,CHAR(10),"")) + 1</f>
        <v>1</v>
      </c>
      <c r="E163" t="s">
        <v>587</v>
      </c>
      <c r="J163" s="3" t="s">
        <v>167</v>
      </c>
    </row>
    <row r="164" spans="1:10" x14ac:dyDescent="0.25">
      <c r="A164">
        <v>19</v>
      </c>
      <c r="B164">
        <f>LEN(Prop19Legal) - LEN(SUBSTITUTE(Prop19Legal,CHAR(10),"")) + 1</f>
        <v>1</v>
      </c>
      <c r="E164" t="s">
        <v>588</v>
      </c>
      <c r="J164" s="3" t="s">
        <v>168</v>
      </c>
    </row>
    <row r="165" spans="1:10" x14ac:dyDescent="0.25">
      <c r="A165">
        <v>20</v>
      </c>
      <c r="B165">
        <f>LEN(Prop20Legal) - LEN(SUBSTITUTE(Prop20Legal,CHAR(10),"")) + 1</f>
        <v>1</v>
      </c>
      <c r="E165" t="s">
        <v>589</v>
      </c>
      <c r="J165" s="3" t="s">
        <v>169</v>
      </c>
    </row>
    <row r="166" spans="1:10" x14ac:dyDescent="0.25">
      <c r="A166">
        <v>21</v>
      </c>
      <c r="B166">
        <f>LEN(Prop21Legal) - LEN(SUBSTITUTE(Prop21Legal,CHAR(10),"")) + 1</f>
        <v>1</v>
      </c>
      <c r="E166" t="s">
        <v>590</v>
      </c>
      <c r="J166" s="3" t="s">
        <v>170</v>
      </c>
    </row>
    <row r="167" spans="1:10" x14ac:dyDescent="0.25">
      <c r="A167">
        <v>22</v>
      </c>
      <c r="B167">
        <f>LEN(Prop22Legal) - LEN(SUBSTITUTE(Prop22Legal,CHAR(10),"")) + 1</f>
        <v>1</v>
      </c>
      <c r="E167" t="s">
        <v>591</v>
      </c>
      <c r="J167" s="3" t="s">
        <v>171</v>
      </c>
    </row>
    <row r="168" spans="1:10" x14ac:dyDescent="0.25">
      <c r="A168">
        <v>23</v>
      </c>
      <c r="B168">
        <f>LEN(Prop23Legal) - LEN(SUBSTITUTE(Prop23Legal,CHAR(10),"")) + 1</f>
        <v>1</v>
      </c>
      <c r="E168" t="s">
        <v>592</v>
      </c>
      <c r="J168" s="3" t="s">
        <v>172</v>
      </c>
    </row>
    <row r="169" spans="1:10" x14ac:dyDescent="0.25">
      <c r="A169">
        <v>24</v>
      </c>
      <c r="B169">
        <f>LEN(Prop24Legal) - LEN(SUBSTITUTE(Prop24Legal,CHAR(10),"")) + 1</f>
        <v>1</v>
      </c>
      <c r="E169" t="s">
        <v>593</v>
      </c>
      <c r="J169" s="3" t="s">
        <v>173</v>
      </c>
    </row>
    <row r="170" spans="1:10" x14ac:dyDescent="0.25">
      <c r="A170">
        <v>25</v>
      </c>
      <c r="B170">
        <f>LEN(Prop25Legal) - LEN(SUBSTITUTE(Prop25Legal,CHAR(10),"")) + 1</f>
        <v>1</v>
      </c>
      <c r="E170" t="s">
        <v>594</v>
      </c>
      <c r="J170" s="3" t="s">
        <v>174</v>
      </c>
    </row>
    <row r="171" spans="1:10" x14ac:dyDescent="0.25">
      <c r="E171" t="s">
        <v>595</v>
      </c>
      <c r="J171" s="3" t="s">
        <v>175</v>
      </c>
    </row>
    <row r="172" spans="1:10" x14ac:dyDescent="0.25">
      <c r="E172" t="s">
        <v>596</v>
      </c>
      <c r="J172" s="3" t="s">
        <v>176</v>
      </c>
    </row>
    <row r="173" spans="1:10" x14ac:dyDescent="0.25">
      <c r="E173" t="s">
        <v>597</v>
      </c>
      <c r="J173" s="3" t="s">
        <v>177</v>
      </c>
    </row>
    <row r="174" spans="1:10" x14ac:dyDescent="0.25">
      <c r="E174" t="s">
        <v>598</v>
      </c>
      <c r="J174" s="3" t="s">
        <v>178</v>
      </c>
    </row>
    <row r="175" spans="1:10" x14ac:dyDescent="0.25">
      <c r="E175" t="s">
        <v>599</v>
      </c>
      <c r="J175" s="3" t="s">
        <v>179</v>
      </c>
    </row>
    <row r="176" spans="1:10" x14ac:dyDescent="0.25">
      <c r="E176" t="s">
        <v>600</v>
      </c>
      <c r="J176" s="3" t="s">
        <v>180</v>
      </c>
    </row>
    <row r="177" spans="5:10" x14ac:dyDescent="0.25">
      <c r="E177" t="s">
        <v>601</v>
      </c>
      <c r="J177" s="3" t="s">
        <v>181</v>
      </c>
    </row>
    <row r="178" spans="5:10" x14ac:dyDescent="0.25">
      <c r="E178" t="s">
        <v>602</v>
      </c>
      <c r="J178" s="3" t="s">
        <v>182</v>
      </c>
    </row>
    <row r="179" spans="5:10" x14ac:dyDescent="0.25">
      <c r="E179" t="s">
        <v>603</v>
      </c>
      <c r="J179" s="3" t="s">
        <v>183</v>
      </c>
    </row>
    <row r="180" spans="5:10" x14ac:dyDescent="0.25">
      <c r="E180" t="s">
        <v>604</v>
      </c>
      <c r="J180" s="3" t="s">
        <v>184</v>
      </c>
    </row>
    <row r="181" spans="5:10" x14ac:dyDescent="0.25">
      <c r="E181" t="s">
        <v>605</v>
      </c>
      <c r="J181" s="3" t="s">
        <v>185</v>
      </c>
    </row>
    <row r="182" spans="5:10" x14ac:dyDescent="0.25">
      <c r="E182" t="s">
        <v>606</v>
      </c>
      <c r="J182" s="3" t="s">
        <v>186</v>
      </c>
    </row>
    <row r="183" spans="5:10" x14ac:dyDescent="0.25">
      <c r="E183" t="s">
        <v>607</v>
      </c>
      <c r="J183" s="3" t="s">
        <v>187</v>
      </c>
    </row>
    <row r="184" spans="5:10" x14ac:dyDescent="0.25">
      <c r="E184" t="s">
        <v>608</v>
      </c>
      <c r="J184" s="3" t="s">
        <v>188</v>
      </c>
    </row>
    <row r="185" spans="5:10" x14ac:dyDescent="0.25">
      <c r="E185" t="s">
        <v>609</v>
      </c>
      <c r="J185" s="3" t="s">
        <v>189</v>
      </c>
    </row>
    <row r="186" spans="5:10" x14ac:dyDescent="0.25">
      <c r="E186" t="s">
        <v>610</v>
      </c>
      <c r="J186" s="3" t="s">
        <v>190</v>
      </c>
    </row>
    <row r="187" spans="5:10" x14ac:dyDescent="0.25">
      <c r="E187" t="s">
        <v>611</v>
      </c>
      <c r="J187" s="3" t="s">
        <v>191</v>
      </c>
    </row>
    <row r="188" spans="5:10" x14ac:dyDescent="0.25">
      <c r="E188" t="s">
        <v>612</v>
      </c>
      <c r="J188" s="3" t="s">
        <v>192</v>
      </c>
    </row>
    <row r="189" spans="5:10" x14ac:dyDescent="0.25">
      <c r="E189" t="s">
        <v>613</v>
      </c>
      <c r="J189" s="3" t="s">
        <v>193</v>
      </c>
    </row>
    <row r="190" spans="5:10" x14ac:dyDescent="0.25">
      <c r="E190" t="s">
        <v>614</v>
      </c>
      <c r="J190" s="3" t="s">
        <v>194</v>
      </c>
    </row>
    <row r="191" spans="5:10" x14ac:dyDescent="0.25">
      <c r="E191" t="s">
        <v>615</v>
      </c>
      <c r="J191" s="3" t="s">
        <v>195</v>
      </c>
    </row>
    <row r="192" spans="5:10" x14ac:dyDescent="0.25">
      <c r="E192" t="s">
        <v>616</v>
      </c>
      <c r="J192" s="3" t="s">
        <v>196</v>
      </c>
    </row>
    <row r="193" spans="5:10" x14ac:dyDescent="0.25">
      <c r="E193" t="s">
        <v>617</v>
      </c>
      <c r="J193" s="3" t="s">
        <v>197</v>
      </c>
    </row>
    <row r="194" spans="5:10" x14ac:dyDescent="0.25">
      <c r="E194" t="s">
        <v>618</v>
      </c>
      <c r="J194" s="3" t="s">
        <v>198</v>
      </c>
    </row>
    <row r="195" spans="5:10" x14ac:dyDescent="0.25">
      <c r="E195" t="s">
        <v>619</v>
      </c>
      <c r="J195" s="3" t="s">
        <v>199</v>
      </c>
    </row>
    <row r="196" spans="5:10" x14ac:dyDescent="0.25">
      <c r="E196" t="s">
        <v>620</v>
      </c>
      <c r="J196" s="3" t="s">
        <v>200</v>
      </c>
    </row>
    <row r="197" spans="5:10" x14ac:dyDescent="0.25">
      <c r="E197" t="s">
        <v>621</v>
      </c>
      <c r="J197" s="3" t="s">
        <v>201</v>
      </c>
    </row>
    <row r="198" spans="5:10" x14ac:dyDescent="0.25">
      <c r="E198" t="s">
        <v>622</v>
      </c>
      <c r="J198" s="3" t="s">
        <v>202</v>
      </c>
    </row>
    <row r="199" spans="5:10" x14ac:dyDescent="0.25">
      <c r="E199" t="s">
        <v>623</v>
      </c>
      <c r="J199" s="3" t="s">
        <v>203</v>
      </c>
    </row>
    <row r="200" spans="5:10" x14ac:dyDescent="0.25">
      <c r="E200" t="s">
        <v>624</v>
      </c>
      <c r="J200" s="3" t="s">
        <v>204</v>
      </c>
    </row>
    <row r="201" spans="5:10" x14ac:dyDescent="0.25">
      <c r="E201" t="s">
        <v>625</v>
      </c>
      <c r="J201" s="3" t="s">
        <v>205</v>
      </c>
    </row>
    <row r="202" spans="5:10" x14ac:dyDescent="0.25">
      <c r="E202" t="s">
        <v>626</v>
      </c>
      <c r="J202" s="3" t="s">
        <v>206</v>
      </c>
    </row>
    <row r="203" spans="5:10" x14ac:dyDescent="0.25">
      <c r="E203" t="s">
        <v>627</v>
      </c>
      <c r="J203" s="3" t="s">
        <v>207</v>
      </c>
    </row>
    <row r="204" spans="5:10" x14ac:dyDescent="0.25">
      <c r="E204" t="s">
        <v>628</v>
      </c>
      <c r="J204" s="3" t="s">
        <v>208</v>
      </c>
    </row>
    <row r="205" spans="5:10" x14ac:dyDescent="0.25">
      <c r="E205" t="s">
        <v>629</v>
      </c>
      <c r="J205" s="3" t="s">
        <v>209</v>
      </c>
    </row>
    <row r="206" spans="5:10" x14ac:dyDescent="0.25">
      <c r="E206" t="s">
        <v>630</v>
      </c>
      <c r="J206" s="3" t="s">
        <v>210</v>
      </c>
    </row>
    <row r="207" spans="5:10" x14ac:dyDescent="0.25">
      <c r="E207" t="s">
        <v>631</v>
      </c>
      <c r="J207" s="3" t="s">
        <v>211</v>
      </c>
    </row>
    <row r="208" spans="5:10" x14ac:dyDescent="0.25">
      <c r="E208" t="s">
        <v>632</v>
      </c>
      <c r="J208" s="3" t="s">
        <v>212</v>
      </c>
    </row>
    <row r="209" spans="5:10" x14ac:dyDescent="0.25">
      <c r="E209" t="s">
        <v>633</v>
      </c>
      <c r="J209" s="3" t="s">
        <v>213</v>
      </c>
    </row>
    <row r="210" spans="5:10" x14ac:dyDescent="0.25">
      <c r="E210" t="s">
        <v>634</v>
      </c>
      <c r="J210" s="3" t="s">
        <v>214</v>
      </c>
    </row>
    <row r="211" spans="5:10" x14ac:dyDescent="0.25">
      <c r="E211" t="s">
        <v>635</v>
      </c>
      <c r="J211" s="3" t="s">
        <v>215</v>
      </c>
    </row>
    <row r="212" spans="5:10" x14ac:dyDescent="0.25">
      <c r="E212" t="s">
        <v>636</v>
      </c>
      <c r="J212" s="3" t="s">
        <v>216</v>
      </c>
    </row>
    <row r="213" spans="5:10" x14ac:dyDescent="0.25">
      <c r="E213" t="s">
        <v>637</v>
      </c>
      <c r="J213" s="3" t="s">
        <v>217</v>
      </c>
    </row>
    <row r="214" spans="5:10" x14ac:dyDescent="0.25">
      <c r="E214" t="s">
        <v>638</v>
      </c>
      <c r="J214" s="3" t="s">
        <v>218</v>
      </c>
    </row>
    <row r="215" spans="5:10" x14ac:dyDescent="0.25">
      <c r="E215" t="s">
        <v>639</v>
      </c>
      <c r="J215" s="3" t="s">
        <v>219</v>
      </c>
    </row>
    <row r="216" spans="5:10" x14ac:dyDescent="0.25">
      <c r="E216" t="s">
        <v>640</v>
      </c>
      <c r="J216" s="3" t="s">
        <v>220</v>
      </c>
    </row>
    <row r="217" spans="5:10" x14ac:dyDescent="0.25">
      <c r="E217" t="s">
        <v>641</v>
      </c>
      <c r="J217" s="3" t="s">
        <v>221</v>
      </c>
    </row>
    <row r="218" spans="5:10" x14ac:dyDescent="0.25">
      <c r="E218" t="s">
        <v>642</v>
      </c>
      <c r="J218" s="3" t="s">
        <v>222</v>
      </c>
    </row>
    <row r="219" spans="5:10" x14ac:dyDescent="0.25">
      <c r="E219" t="s">
        <v>643</v>
      </c>
      <c r="J219" s="3" t="s">
        <v>223</v>
      </c>
    </row>
    <row r="220" spans="5:10" x14ac:dyDescent="0.25">
      <c r="E220" t="s">
        <v>644</v>
      </c>
      <c r="J220" s="3" t="s">
        <v>224</v>
      </c>
    </row>
    <row r="221" spans="5:10" x14ac:dyDescent="0.25">
      <c r="E221" t="s">
        <v>645</v>
      </c>
      <c r="J221" s="3" t="s">
        <v>225</v>
      </c>
    </row>
    <row r="222" spans="5:10" x14ac:dyDescent="0.25">
      <c r="E222" t="s">
        <v>646</v>
      </c>
      <c r="J222" s="3" t="s">
        <v>226</v>
      </c>
    </row>
    <row r="223" spans="5:10" x14ac:dyDescent="0.25">
      <c r="E223" t="s">
        <v>647</v>
      </c>
      <c r="J223" s="3" t="s">
        <v>227</v>
      </c>
    </row>
    <row r="224" spans="5:10" x14ac:dyDescent="0.25">
      <c r="E224" t="s">
        <v>648</v>
      </c>
      <c r="J224" s="3" t="s">
        <v>228</v>
      </c>
    </row>
    <row r="225" spans="5:10" x14ac:dyDescent="0.25">
      <c r="E225" t="s">
        <v>649</v>
      </c>
      <c r="J225" s="3" t="s">
        <v>229</v>
      </c>
    </row>
    <row r="226" spans="5:10" x14ac:dyDescent="0.25">
      <c r="E226" t="s">
        <v>650</v>
      </c>
      <c r="J226" s="3" t="s">
        <v>230</v>
      </c>
    </row>
    <row r="227" spans="5:10" x14ac:dyDescent="0.25">
      <c r="E227" t="s">
        <v>651</v>
      </c>
      <c r="J227" s="3" t="s">
        <v>231</v>
      </c>
    </row>
    <row r="228" spans="5:10" x14ac:dyDescent="0.25">
      <c r="E228" t="s">
        <v>652</v>
      </c>
      <c r="J228" s="3" t="s">
        <v>232</v>
      </c>
    </row>
    <row r="229" spans="5:10" x14ac:dyDescent="0.25">
      <c r="E229" t="s">
        <v>653</v>
      </c>
      <c r="J229" s="3" t="s">
        <v>233</v>
      </c>
    </row>
    <row r="230" spans="5:10" x14ac:dyDescent="0.25">
      <c r="E230" t="s">
        <v>654</v>
      </c>
      <c r="J230" s="3" t="s">
        <v>234</v>
      </c>
    </row>
    <row r="231" spans="5:10" x14ac:dyDescent="0.25">
      <c r="E231" t="s">
        <v>655</v>
      </c>
      <c r="J231" s="3" t="s">
        <v>235</v>
      </c>
    </row>
    <row r="232" spans="5:10" x14ac:dyDescent="0.25">
      <c r="E232" t="s">
        <v>656</v>
      </c>
      <c r="J232" s="3" t="s">
        <v>236</v>
      </c>
    </row>
    <row r="233" spans="5:10" x14ac:dyDescent="0.25">
      <c r="E233" t="s">
        <v>657</v>
      </c>
      <c r="J233" s="3" t="s">
        <v>237</v>
      </c>
    </row>
    <row r="234" spans="5:10" x14ac:dyDescent="0.25">
      <c r="E234" t="s">
        <v>658</v>
      </c>
      <c r="J234" s="3" t="s">
        <v>238</v>
      </c>
    </row>
    <row r="235" spans="5:10" x14ac:dyDescent="0.25">
      <c r="E235" t="s">
        <v>659</v>
      </c>
      <c r="J235" s="3" t="s">
        <v>239</v>
      </c>
    </row>
    <row r="236" spans="5:10" x14ac:dyDescent="0.25">
      <c r="E236" t="s">
        <v>660</v>
      </c>
      <c r="J236" s="3" t="s">
        <v>240</v>
      </c>
    </row>
    <row r="237" spans="5:10" x14ac:dyDescent="0.25">
      <c r="E237" t="s">
        <v>661</v>
      </c>
      <c r="J237" s="3" t="s">
        <v>241</v>
      </c>
    </row>
    <row r="238" spans="5:10" x14ac:dyDescent="0.25">
      <c r="E238" t="s">
        <v>662</v>
      </c>
      <c r="J238" s="3" t="s">
        <v>242</v>
      </c>
    </row>
    <row r="239" spans="5:10" x14ac:dyDescent="0.25">
      <c r="E239" t="s">
        <v>663</v>
      </c>
      <c r="J239" s="3" t="s">
        <v>243</v>
      </c>
    </row>
    <row r="240" spans="5:10" x14ac:dyDescent="0.25">
      <c r="E240" t="s">
        <v>147</v>
      </c>
      <c r="J240" s="3" t="s">
        <v>244</v>
      </c>
    </row>
    <row r="241" spans="5:10" x14ac:dyDescent="0.25">
      <c r="E241" t="s">
        <v>664</v>
      </c>
      <c r="J241" s="3" t="s">
        <v>245</v>
      </c>
    </row>
    <row r="242" spans="5:10" x14ac:dyDescent="0.25">
      <c r="E242" t="s">
        <v>665</v>
      </c>
      <c r="J242" s="3" t="s">
        <v>246</v>
      </c>
    </row>
    <row r="243" spans="5:10" x14ac:dyDescent="0.25">
      <c r="E243" t="s">
        <v>666</v>
      </c>
      <c r="J243" s="3" t="s">
        <v>247</v>
      </c>
    </row>
    <row r="244" spans="5:10" x14ac:dyDescent="0.25">
      <c r="E244" t="s">
        <v>667</v>
      </c>
      <c r="J244" s="3" t="s">
        <v>248</v>
      </c>
    </row>
    <row r="245" spans="5:10" x14ac:dyDescent="0.25">
      <c r="E245" t="s">
        <v>668</v>
      </c>
      <c r="J245" s="3" t="s">
        <v>249</v>
      </c>
    </row>
    <row r="246" spans="5:10" x14ac:dyDescent="0.25">
      <c r="E246" t="s">
        <v>669</v>
      </c>
      <c r="J246" s="3" t="s">
        <v>250</v>
      </c>
    </row>
    <row r="247" spans="5:10" x14ac:dyDescent="0.25">
      <c r="E247" t="s">
        <v>670</v>
      </c>
      <c r="J247" s="3" t="s">
        <v>251</v>
      </c>
    </row>
    <row r="248" spans="5:10" x14ac:dyDescent="0.25">
      <c r="E248" t="s">
        <v>671</v>
      </c>
      <c r="J248" s="3" t="s">
        <v>252</v>
      </c>
    </row>
    <row r="249" spans="5:10" x14ac:dyDescent="0.25">
      <c r="E249" t="s">
        <v>672</v>
      </c>
      <c r="J249" s="3" t="s">
        <v>253</v>
      </c>
    </row>
    <row r="250" spans="5:10" x14ac:dyDescent="0.25">
      <c r="E250" t="s">
        <v>673</v>
      </c>
      <c r="J250" s="3" t="s">
        <v>254</v>
      </c>
    </row>
    <row r="251" spans="5:10" x14ac:dyDescent="0.25">
      <c r="E251" t="s">
        <v>674</v>
      </c>
      <c r="J251" s="3" t="s">
        <v>255</v>
      </c>
    </row>
    <row r="252" spans="5:10" x14ac:dyDescent="0.25">
      <c r="E252" t="s">
        <v>675</v>
      </c>
      <c r="J252" s="3" t="s">
        <v>256</v>
      </c>
    </row>
    <row r="253" spans="5:10" x14ac:dyDescent="0.25">
      <c r="E253" t="s">
        <v>676</v>
      </c>
      <c r="J253" s="3" t="s">
        <v>257</v>
      </c>
    </row>
    <row r="254" spans="5:10" x14ac:dyDescent="0.25">
      <c r="E254" t="s">
        <v>677</v>
      </c>
      <c r="J254" s="3" t="s">
        <v>258</v>
      </c>
    </row>
    <row r="255" spans="5:10" x14ac:dyDescent="0.25">
      <c r="E255" t="s">
        <v>678</v>
      </c>
      <c r="J255" s="3" t="s">
        <v>259</v>
      </c>
    </row>
    <row r="256" spans="5:10" x14ac:dyDescent="0.25">
      <c r="E256" t="s">
        <v>679</v>
      </c>
    </row>
    <row r="257" spans="5:5" x14ac:dyDescent="0.25">
      <c r="E257" t="s">
        <v>680</v>
      </c>
    </row>
    <row r="258" spans="5:5" x14ac:dyDescent="0.25">
      <c r="E258" t="s">
        <v>681</v>
      </c>
    </row>
    <row r="259" spans="5:5" x14ac:dyDescent="0.25">
      <c r="E259" t="s">
        <v>682</v>
      </c>
    </row>
    <row r="260" spans="5:5" x14ac:dyDescent="0.25">
      <c r="E260" t="s">
        <v>683</v>
      </c>
    </row>
    <row r="261" spans="5:5" x14ac:dyDescent="0.25">
      <c r="E261" t="s">
        <v>684</v>
      </c>
    </row>
    <row r="262" spans="5:5" x14ac:dyDescent="0.25">
      <c r="E262" t="s">
        <v>685</v>
      </c>
    </row>
    <row r="263" spans="5:5" x14ac:dyDescent="0.25">
      <c r="E263" t="s">
        <v>686</v>
      </c>
    </row>
    <row r="264" spans="5:5" x14ac:dyDescent="0.25">
      <c r="E264" t="s">
        <v>687</v>
      </c>
    </row>
    <row r="265" spans="5:5" x14ac:dyDescent="0.25">
      <c r="E265" t="s">
        <v>688</v>
      </c>
    </row>
    <row r="266" spans="5:5" x14ac:dyDescent="0.25">
      <c r="E266" t="s">
        <v>689</v>
      </c>
    </row>
    <row r="267" spans="5:5" x14ac:dyDescent="0.25">
      <c r="E267" t="s">
        <v>690</v>
      </c>
    </row>
    <row r="268" spans="5:5" x14ac:dyDescent="0.25">
      <c r="E268" t="s">
        <v>691</v>
      </c>
    </row>
    <row r="269" spans="5:5" x14ac:dyDescent="0.25">
      <c r="E269" t="s">
        <v>692</v>
      </c>
    </row>
    <row r="270" spans="5:5" x14ac:dyDescent="0.25">
      <c r="E270" t="s">
        <v>693</v>
      </c>
    </row>
    <row r="271" spans="5:5" x14ac:dyDescent="0.25">
      <c r="E271" t="s">
        <v>694</v>
      </c>
    </row>
    <row r="272" spans="5:5" x14ac:dyDescent="0.25">
      <c r="E272" t="s">
        <v>695</v>
      </c>
    </row>
    <row r="273" spans="5:5" x14ac:dyDescent="0.25">
      <c r="E273" t="s">
        <v>696</v>
      </c>
    </row>
    <row r="274" spans="5:5" x14ac:dyDescent="0.25">
      <c r="E274" t="s">
        <v>697</v>
      </c>
    </row>
    <row r="275" spans="5:5" x14ac:dyDescent="0.25">
      <c r="E275" t="s">
        <v>698</v>
      </c>
    </row>
    <row r="276" spans="5:5" x14ac:dyDescent="0.25">
      <c r="E276" t="s">
        <v>699</v>
      </c>
    </row>
    <row r="277" spans="5:5" x14ac:dyDescent="0.25">
      <c r="E277" t="s">
        <v>700</v>
      </c>
    </row>
    <row r="278" spans="5:5" x14ac:dyDescent="0.25">
      <c r="E278" t="s">
        <v>701</v>
      </c>
    </row>
    <row r="279" spans="5:5" x14ac:dyDescent="0.25">
      <c r="E279" t="s">
        <v>702</v>
      </c>
    </row>
    <row r="280" spans="5:5" x14ac:dyDescent="0.25">
      <c r="E280" t="s">
        <v>703</v>
      </c>
    </row>
    <row r="281" spans="5:5" x14ac:dyDescent="0.25">
      <c r="E281" t="s">
        <v>704</v>
      </c>
    </row>
    <row r="282" spans="5:5" x14ac:dyDescent="0.25">
      <c r="E282" t="s">
        <v>705</v>
      </c>
    </row>
    <row r="283" spans="5:5" x14ac:dyDescent="0.25">
      <c r="E283" t="s">
        <v>184</v>
      </c>
    </row>
    <row r="284" spans="5:5" x14ac:dyDescent="0.25">
      <c r="E284" t="s">
        <v>706</v>
      </c>
    </row>
    <row r="285" spans="5:5" x14ac:dyDescent="0.25">
      <c r="E285" t="s">
        <v>707</v>
      </c>
    </row>
    <row r="286" spans="5:5" x14ac:dyDescent="0.25">
      <c r="E286" t="s">
        <v>708</v>
      </c>
    </row>
    <row r="287" spans="5:5" x14ac:dyDescent="0.25">
      <c r="E287" t="s">
        <v>709</v>
      </c>
    </row>
    <row r="288" spans="5:5" x14ac:dyDescent="0.25">
      <c r="E288" t="s">
        <v>710</v>
      </c>
    </row>
    <row r="289" spans="5:5" x14ac:dyDescent="0.25">
      <c r="E289" t="s">
        <v>711</v>
      </c>
    </row>
    <row r="290" spans="5:5" x14ac:dyDescent="0.25">
      <c r="E290" t="s">
        <v>712</v>
      </c>
    </row>
    <row r="291" spans="5:5" x14ac:dyDescent="0.25">
      <c r="E291" t="s">
        <v>713</v>
      </c>
    </row>
    <row r="292" spans="5:5" x14ac:dyDescent="0.25">
      <c r="E292" t="s">
        <v>714</v>
      </c>
    </row>
    <row r="293" spans="5:5" x14ac:dyDescent="0.25">
      <c r="E293" t="s">
        <v>715</v>
      </c>
    </row>
    <row r="294" spans="5:5" x14ac:dyDescent="0.25">
      <c r="E294" t="s">
        <v>716</v>
      </c>
    </row>
    <row r="295" spans="5:5" x14ac:dyDescent="0.25">
      <c r="E295" t="s">
        <v>717</v>
      </c>
    </row>
    <row r="296" spans="5:5" x14ac:dyDescent="0.25">
      <c r="E296" t="s">
        <v>718</v>
      </c>
    </row>
    <row r="297" spans="5:5" x14ac:dyDescent="0.25">
      <c r="E297" t="s">
        <v>719</v>
      </c>
    </row>
    <row r="298" spans="5:5" x14ac:dyDescent="0.25">
      <c r="E298" t="s">
        <v>720</v>
      </c>
    </row>
    <row r="299" spans="5:5" x14ac:dyDescent="0.25">
      <c r="E299" t="s">
        <v>721</v>
      </c>
    </row>
    <row r="300" spans="5:5" x14ac:dyDescent="0.25">
      <c r="E300" t="s">
        <v>722</v>
      </c>
    </row>
    <row r="301" spans="5:5" x14ac:dyDescent="0.25">
      <c r="E301" t="s">
        <v>723</v>
      </c>
    </row>
    <row r="302" spans="5:5" x14ac:dyDescent="0.25">
      <c r="E302" t="s">
        <v>724</v>
      </c>
    </row>
    <row r="303" spans="5:5" x14ac:dyDescent="0.25">
      <c r="E303" t="s">
        <v>725</v>
      </c>
    </row>
    <row r="304" spans="5:5" x14ac:dyDescent="0.25">
      <c r="E304" t="s">
        <v>726</v>
      </c>
    </row>
    <row r="305" spans="5:5" x14ac:dyDescent="0.25">
      <c r="E305" t="s">
        <v>727</v>
      </c>
    </row>
    <row r="306" spans="5:5" x14ac:dyDescent="0.25">
      <c r="E306" t="s">
        <v>728</v>
      </c>
    </row>
    <row r="307" spans="5:5" x14ac:dyDescent="0.25">
      <c r="E307" t="s">
        <v>729</v>
      </c>
    </row>
    <row r="308" spans="5:5" x14ac:dyDescent="0.25">
      <c r="E308" t="s">
        <v>730</v>
      </c>
    </row>
    <row r="309" spans="5:5" x14ac:dyDescent="0.25">
      <c r="E309" t="s">
        <v>731</v>
      </c>
    </row>
    <row r="310" spans="5:5" x14ac:dyDescent="0.25">
      <c r="E310" t="s">
        <v>732</v>
      </c>
    </row>
    <row r="311" spans="5:5" x14ac:dyDescent="0.25">
      <c r="E311" t="s">
        <v>733</v>
      </c>
    </row>
    <row r="312" spans="5:5" x14ac:dyDescent="0.25">
      <c r="E312" t="s">
        <v>734</v>
      </c>
    </row>
    <row r="313" spans="5:5" x14ac:dyDescent="0.25">
      <c r="E313" t="s">
        <v>735</v>
      </c>
    </row>
    <row r="314" spans="5:5" x14ac:dyDescent="0.25">
      <c r="E314" t="s">
        <v>736</v>
      </c>
    </row>
    <row r="315" spans="5:5" x14ac:dyDescent="0.25">
      <c r="E315" t="s">
        <v>737</v>
      </c>
    </row>
    <row r="316" spans="5:5" x14ac:dyDescent="0.25">
      <c r="E316" t="s">
        <v>738</v>
      </c>
    </row>
    <row r="317" spans="5:5" x14ac:dyDescent="0.25">
      <c r="E317" t="s">
        <v>739</v>
      </c>
    </row>
    <row r="318" spans="5:5" x14ac:dyDescent="0.25">
      <c r="E318" t="s">
        <v>740</v>
      </c>
    </row>
    <row r="319" spans="5:5" x14ac:dyDescent="0.25">
      <c r="E319" t="s">
        <v>741</v>
      </c>
    </row>
    <row r="320" spans="5:5" x14ac:dyDescent="0.25">
      <c r="E320" t="s">
        <v>742</v>
      </c>
    </row>
    <row r="321" spans="5:5" x14ac:dyDescent="0.25">
      <c r="E321" t="s">
        <v>743</v>
      </c>
    </row>
    <row r="322" spans="5:5" x14ac:dyDescent="0.25">
      <c r="E322" t="s">
        <v>744</v>
      </c>
    </row>
    <row r="323" spans="5:5" x14ac:dyDescent="0.25">
      <c r="E323" t="s">
        <v>745</v>
      </c>
    </row>
    <row r="324" spans="5:5" x14ac:dyDescent="0.25">
      <c r="E324" t="s">
        <v>746</v>
      </c>
    </row>
    <row r="325" spans="5:5" x14ac:dyDescent="0.25">
      <c r="E325" t="s">
        <v>747</v>
      </c>
    </row>
    <row r="326" spans="5:5" x14ac:dyDescent="0.25">
      <c r="E326" t="s">
        <v>748</v>
      </c>
    </row>
    <row r="327" spans="5:5" x14ac:dyDescent="0.25">
      <c r="E327" t="s">
        <v>749</v>
      </c>
    </row>
    <row r="328" spans="5:5" x14ac:dyDescent="0.25">
      <c r="E328" t="s">
        <v>750</v>
      </c>
    </row>
    <row r="329" spans="5:5" x14ac:dyDescent="0.25">
      <c r="E329" t="s">
        <v>751</v>
      </c>
    </row>
    <row r="330" spans="5:5" x14ac:dyDescent="0.25">
      <c r="E330" t="s">
        <v>752</v>
      </c>
    </row>
    <row r="331" spans="5:5" x14ac:dyDescent="0.25">
      <c r="E331" t="s">
        <v>753</v>
      </c>
    </row>
    <row r="332" spans="5:5" x14ac:dyDescent="0.25">
      <c r="E332" t="s">
        <v>223</v>
      </c>
    </row>
    <row r="333" spans="5:5" x14ac:dyDescent="0.25">
      <c r="E333" t="s">
        <v>754</v>
      </c>
    </row>
    <row r="334" spans="5:5" x14ac:dyDescent="0.25">
      <c r="E334" t="s">
        <v>755</v>
      </c>
    </row>
    <row r="335" spans="5:5" x14ac:dyDescent="0.25">
      <c r="E335" t="s">
        <v>756</v>
      </c>
    </row>
    <row r="336" spans="5:5" x14ac:dyDescent="0.25">
      <c r="E336" t="s">
        <v>757</v>
      </c>
    </row>
    <row r="337" spans="5:5" x14ac:dyDescent="0.25">
      <c r="E337" t="s">
        <v>758</v>
      </c>
    </row>
    <row r="338" spans="5:5" x14ac:dyDescent="0.25">
      <c r="E338" t="s">
        <v>759</v>
      </c>
    </row>
    <row r="339" spans="5:5" x14ac:dyDescent="0.25">
      <c r="E339" t="s">
        <v>760</v>
      </c>
    </row>
    <row r="340" spans="5:5" x14ac:dyDescent="0.25">
      <c r="E340" t="s">
        <v>761</v>
      </c>
    </row>
    <row r="341" spans="5:5" x14ac:dyDescent="0.25">
      <c r="E341" t="s">
        <v>762</v>
      </c>
    </row>
    <row r="342" spans="5:5" x14ac:dyDescent="0.25">
      <c r="E342" t="s">
        <v>763</v>
      </c>
    </row>
    <row r="343" spans="5:5" x14ac:dyDescent="0.25">
      <c r="E343" t="s">
        <v>764</v>
      </c>
    </row>
    <row r="344" spans="5:5" x14ac:dyDescent="0.25">
      <c r="E344" t="s">
        <v>765</v>
      </c>
    </row>
    <row r="345" spans="5:5" x14ac:dyDescent="0.25">
      <c r="E345" t="s">
        <v>766</v>
      </c>
    </row>
    <row r="346" spans="5:5" x14ac:dyDescent="0.25">
      <c r="E346" t="s">
        <v>767</v>
      </c>
    </row>
    <row r="347" spans="5:5" x14ac:dyDescent="0.25">
      <c r="E347" t="s">
        <v>768</v>
      </c>
    </row>
    <row r="348" spans="5:5" x14ac:dyDescent="0.25">
      <c r="E348" t="s">
        <v>769</v>
      </c>
    </row>
    <row r="349" spans="5:5" x14ac:dyDescent="0.25">
      <c r="E349" t="s">
        <v>770</v>
      </c>
    </row>
    <row r="350" spans="5:5" x14ac:dyDescent="0.25">
      <c r="E350" t="s">
        <v>771</v>
      </c>
    </row>
    <row r="351" spans="5:5" x14ac:dyDescent="0.25">
      <c r="E351" t="s">
        <v>772</v>
      </c>
    </row>
    <row r="352" spans="5:5" x14ac:dyDescent="0.25">
      <c r="E352" t="s">
        <v>773</v>
      </c>
    </row>
    <row r="353" spans="5:5" x14ac:dyDescent="0.25">
      <c r="E353" t="s">
        <v>774</v>
      </c>
    </row>
    <row r="354" spans="5:5" x14ac:dyDescent="0.25">
      <c r="E354" t="s">
        <v>775</v>
      </c>
    </row>
    <row r="355" spans="5:5" x14ac:dyDescent="0.25">
      <c r="E355" t="s">
        <v>776</v>
      </c>
    </row>
    <row r="356" spans="5:5" x14ac:dyDescent="0.25">
      <c r="E356" t="s">
        <v>777</v>
      </c>
    </row>
    <row r="357" spans="5:5" x14ac:dyDescent="0.25">
      <c r="E357" t="s">
        <v>778</v>
      </c>
    </row>
    <row r="358" spans="5:5" x14ac:dyDescent="0.25">
      <c r="E358" t="s">
        <v>779</v>
      </c>
    </row>
    <row r="359" spans="5:5" x14ac:dyDescent="0.25">
      <c r="E359" t="s">
        <v>780</v>
      </c>
    </row>
    <row r="360" spans="5:5" x14ac:dyDescent="0.25">
      <c r="E360" t="s">
        <v>781</v>
      </c>
    </row>
    <row r="361" spans="5:5" x14ac:dyDescent="0.25">
      <c r="E361" t="s">
        <v>782</v>
      </c>
    </row>
    <row r="362" spans="5:5" x14ac:dyDescent="0.25">
      <c r="E362" t="s">
        <v>783</v>
      </c>
    </row>
    <row r="363" spans="5:5" x14ac:dyDescent="0.25">
      <c r="E363" t="s">
        <v>784</v>
      </c>
    </row>
    <row r="364" spans="5:5" x14ac:dyDescent="0.25">
      <c r="E364" t="s">
        <v>250</v>
      </c>
    </row>
    <row r="365" spans="5:5" x14ac:dyDescent="0.25">
      <c r="E365" t="s">
        <v>785</v>
      </c>
    </row>
    <row r="366" spans="5:5" x14ac:dyDescent="0.25">
      <c r="E366" t="s">
        <v>786</v>
      </c>
    </row>
    <row r="367" spans="5:5" x14ac:dyDescent="0.25">
      <c r="E367" t="s">
        <v>787</v>
      </c>
    </row>
    <row r="368" spans="5:5" x14ac:dyDescent="0.25">
      <c r="E368" t="s">
        <v>788</v>
      </c>
    </row>
    <row r="369" spans="5:5" x14ac:dyDescent="0.25">
      <c r="E369" t="s">
        <v>789</v>
      </c>
    </row>
    <row r="370" spans="5:5" x14ac:dyDescent="0.25">
      <c r="E370" t="s">
        <v>790</v>
      </c>
    </row>
    <row r="371" spans="5:5" x14ac:dyDescent="0.25">
      <c r="E371" t="s">
        <v>791</v>
      </c>
    </row>
    <row r="372" spans="5:5" x14ac:dyDescent="0.25">
      <c r="E372" t="s">
        <v>792</v>
      </c>
    </row>
    <row r="373" spans="5:5" x14ac:dyDescent="0.25">
      <c r="E373" t="s">
        <v>793</v>
      </c>
    </row>
    <row r="374" spans="5:5" x14ac:dyDescent="0.25">
      <c r="E374" t="s">
        <v>794</v>
      </c>
    </row>
    <row r="375" spans="5:5" x14ac:dyDescent="0.25">
      <c r="E375" t="s">
        <v>795</v>
      </c>
    </row>
  </sheetData>
  <mergeCells count="61">
    <mergeCell ref="Q43:S43"/>
    <mergeCell ref="Q39:S39"/>
    <mergeCell ref="Q40:S40"/>
    <mergeCell ref="A39:B39"/>
    <mergeCell ref="X15:AC15"/>
    <mergeCell ref="A33:B33"/>
    <mergeCell ref="A32:B32"/>
    <mergeCell ref="M33:O33"/>
    <mergeCell ref="Q33:S33"/>
    <mergeCell ref="U15:W15"/>
    <mergeCell ref="A23:B23"/>
    <mergeCell ref="X17:AC17"/>
    <mergeCell ref="X18:AC18"/>
    <mergeCell ref="AF1:AG1"/>
    <mergeCell ref="Q42:S42"/>
    <mergeCell ref="X10:AC10"/>
    <mergeCell ref="U11:W11"/>
    <mergeCell ref="U12:W12"/>
    <mergeCell ref="U14:W14"/>
    <mergeCell ref="X12:AC12"/>
    <mergeCell ref="X14:AC14"/>
    <mergeCell ref="M76:O76"/>
    <mergeCell ref="AI1:AN1"/>
    <mergeCell ref="Q21:R21"/>
    <mergeCell ref="A25:B25"/>
    <mergeCell ref="H1:J1"/>
    <mergeCell ref="Q1:S1"/>
    <mergeCell ref="U1:V1"/>
    <mergeCell ref="M1:O1"/>
    <mergeCell ref="Q8:S8"/>
    <mergeCell ref="A1:C1"/>
    <mergeCell ref="Q14:S14"/>
    <mergeCell ref="U10:W10"/>
    <mergeCell ref="X11:AC11"/>
    <mergeCell ref="X16:AC16"/>
    <mergeCell ref="X13:AC13"/>
    <mergeCell ref="U13:W13"/>
    <mergeCell ref="M97:O97"/>
    <mergeCell ref="M98:O98"/>
    <mergeCell ref="M99:O99"/>
    <mergeCell ref="M90:O90"/>
    <mergeCell ref="M91:O91"/>
    <mergeCell ref="M92:O92"/>
    <mergeCell ref="M93:O93"/>
    <mergeCell ref="M94:O94"/>
    <mergeCell ref="M100:O100"/>
    <mergeCell ref="M77:O77"/>
    <mergeCell ref="M78:O78"/>
    <mergeCell ref="M79:O79"/>
    <mergeCell ref="M80:O80"/>
    <mergeCell ref="M81:O81"/>
    <mergeCell ref="M82:O82"/>
    <mergeCell ref="M83:O83"/>
    <mergeCell ref="M84:O84"/>
    <mergeCell ref="M85:O85"/>
    <mergeCell ref="M86:O86"/>
    <mergeCell ref="M87:O87"/>
    <mergeCell ref="M88:O88"/>
    <mergeCell ref="M89:O89"/>
    <mergeCell ref="M95:O95"/>
    <mergeCell ref="M96:O96"/>
  </mergeCells>
  <dataValidations disablePrompts="1" count="1">
    <dataValidation allowBlank="1" showInputMessage="1" showErrorMessage="1" prompt="Please select the lending entity._x000a_" sqref="M2 M7 M12 M17 M22" xr:uid="{9B535858-D8B3-4CE3-9B67-ECF9E033E9B2}"/>
  </dataValidations>
  <hyperlinks>
    <hyperlink ref="X21" r:id="rId1" xr:uid="{59749F51-0567-4BDF-B06D-D27E1761D680}"/>
    <hyperlink ref="X11" r:id="rId2" display="\\zeus\hkdata\LDG Files\Files\Loan Database.xlsx" xr:uid="{FFE97D9B-FB68-4202-B11D-18805AF7F8AE}"/>
    <hyperlink ref="X12" r:id="rId3" display="\\zeus\hkdata\LDG Files\Files\MergeFields.csv" xr:uid="{A4181EAB-25C4-4188-BB30-AF6BF1487C0F}"/>
  </hyperlinks>
  <pageMargins left="0.7" right="0.7" top="0.75" bottom="0.75" header="0.3" footer="0.3"/>
  <pageSetup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7170" r:id="rId7" name="Button 2">
              <controlPr defaultSize="0" print="0" autoFill="0" autoPict="0" macro="[0]!UserFilePath">
                <anchor moveWithCells="1" sizeWithCells="1">
                  <from>
                    <xdr:col>20</xdr:col>
                    <xdr:colOff>600075</xdr:colOff>
                    <xdr:row>5</xdr:row>
                    <xdr:rowOff>133350</xdr:rowOff>
                  </from>
                  <to>
                    <xdr:col>25</xdr:col>
                    <xdr:colOff>171450</xdr:colOff>
                    <xdr:row>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D8F85-036C-47FA-8F9E-FE56F4E1D7BA}">
  <sheetPr codeName="Sheet6"/>
  <dimension ref="A1:R100"/>
  <sheetViews>
    <sheetView workbookViewId="0"/>
  </sheetViews>
  <sheetFormatPr defaultRowHeight="15" x14ac:dyDescent="0.25"/>
  <cols>
    <col min="3" max="5" width="22.5703125" bestFit="1" customWidth="1"/>
    <col min="6" max="6" width="11.140625" bestFit="1" customWidth="1"/>
    <col min="18" max="18" width="22.5703125" bestFit="1" customWidth="1"/>
  </cols>
  <sheetData>
    <row r="1" spans="1:18" x14ac:dyDescent="0.25">
      <c r="A1">
        <f>Prop1TaxingEntity1</f>
        <v>0</v>
      </c>
      <c r="B1">
        <f>Prop1AmountDue1</f>
        <v>0</v>
      </c>
      <c r="C1" t="s">
        <v>2824</v>
      </c>
      <c r="E1" s="67" t="s">
        <v>3210</v>
      </c>
      <c r="F1" s="133">
        <v>12962.59</v>
      </c>
      <c r="K1" t="s">
        <v>2445</v>
      </c>
      <c r="R1" t="s">
        <v>2824</v>
      </c>
    </row>
    <row r="2" spans="1:18" x14ac:dyDescent="0.25">
      <c r="A2">
        <f>Prop1TaxingEntity2</f>
        <v>0</v>
      </c>
      <c r="B2">
        <f>Prop1AmountDue2</f>
        <v>0</v>
      </c>
      <c r="E2" s="6">
        <v>0</v>
      </c>
      <c r="F2" s="134">
        <v>0</v>
      </c>
    </row>
    <row r="3" spans="1:18" x14ac:dyDescent="0.25">
      <c r="A3">
        <f>Prop1TaxingEntity3</f>
        <v>0</v>
      </c>
      <c r="B3">
        <f>Prop1AmountDue3</f>
        <v>0</v>
      </c>
      <c r="E3" s="6">
        <v>0</v>
      </c>
      <c r="F3" s="134">
        <v>0</v>
      </c>
      <c r="K3" s="67" t="s">
        <v>2489</v>
      </c>
      <c r="L3" s="40"/>
      <c r="M3" s="41"/>
    </row>
    <row r="4" spans="1:18" x14ac:dyDescent="0.25">
      <c r="A4">
        <f>Prop1TaxingEntity4</f>
        <v>0</v>
      </c>
      <c r="B4">
        <f>Prop1AmountDue4</f>
        <v>0</v>
      </c>
      <c r="E4" s="6">
        <v>0</v>
      </c>
      <c r="F4" s="134">
        <v>0</v>
      </c>
      <c r="K4" s="642">
        <v>1</v>
      </c>
      <c r="L4" s="643"/>
      <c r="M4" s="644"/>
    </row>
    <row r="5" spans="1:18" x14ac:dyDescent="0.25">
      <c r="A5">
        <f>Prop2TaxingEntity1</f>
        <v>0</v>
      </c>
      <c r="B5">
        <f>Prop2AmountDue1</f>
        <v>0</v>
      </c>
      <c r="E5" s="6">
        <v>0</v>
      </c>
      <c r="F5" s="134">
        <v>0</v>
      </c>
      <c r="K5" s="67" t="s">
        <v>2493</v>
      </c>
      <c r="L5" s="40"/>
      <c r="M5" s="41"/>
    </row>
    <row r="6" spans="1:18" x14ac:dyDescent="0.25">
      <c r="A6">
        <f>Prop2TaxingEntity2</f>
        <v>0</v>
      </c>
      <c r="B6">
        <f>Prop2AmountDue2</f>
        <v>0</v>
      </c>
      <c r="E6" s="6">
        <v>0</v>
      </c>
      <c r="F6" s="134">
        <v>0</v>
      </c>
      <c r="K6" s="642">
        <v>1</v>
      </c>
      <c r="L6" s="643"/>
      <c r="M6" s="644"/>
    </row>
    <row r="7" spans="1:18" x14ac:dyDescent="0.25">
      <c r="A7">
        <f>Prop2TaxingEntity3</f>
        <v>0</v>
      </c>
      <c r="B7">
        <f>Prop2AmountDue3</f>
        <v>0</v>
      </c>
      <c r="E7" s="6">
        <v>0</v>
      </c>
      <c r="F7" s="134">
        <v>0</v>
      </c>
    </row>
    <row r="8" spans="1:18" x14ac:dyDescent="0.25">
      <c r="A8">
        <f>Prop2TaxingEntity4</f>
        <v>0</v>
      </c>
      <c r="B8">
        <f>Prop2AmountDue4</f>
        <v>0</v>
      </c>
      <c r="E8" s="6">
        <v>0</v>
      </c>
      <c r="F8" s="134">
        <v>0</v>
      </c>
    </row>
    <row r="9" spans="1:18" x14ac:dyDescent="0.25">
      <c r="A9">
        <f>Prop3TaxingEntity1</f>
        <v>0</v>
      </c>
      <c r="B9">
        <f>Prop3AmountDue1</f>
        <v>0</v>
      </c>
      <c r="E9" s="6">
        <v>0</v>
      </c>
      <c r="F9" s="134">
        <v>0</v>
      </c>
      <c r="K9" t="s">
        <v>2495</v>
      </c>
    </row>
    <row r="10" spans="1:18" x14ac:dyDescent="0.25">
      <c r="A10">
        <f>Prop3TaxingEntity2</f>
        <v>0</v>
      </c>
      <c r="B10">
        <f>Prop3AmountDue2</f>
        <v>0</v>
      </c>
      <c r="E10" s="6">
        <v>0</v>
      </c>
      <c r="F10" s="134">
        <v>0</v>
      </c>
      <c r="K10" t="s">
        <v>2496</v>
      </c>
    </row>
    <row r="11" spans="1:18" x14ac:dyDescent="0.25">
      <c r="A11">
        <f>Prop3TaxingEntity3</f>
        <v>0</v>
      </c>
      <c r="B11">
        <f>Prop3AmountDue3</f>
        <v>0</v>
      </c>
      <c r="E11" s="6">
        <v>0</v>
      </c>
      <c r="F11" s="134">
        <v>0</v>
      </c>
      <c r="K11" t="s">
        <v>2499</v>
      </c>
    </row>
    <row r="12" spans="1:18" x14ac:dyDescent="0.25">
      <c r="A12">
        <f>Prop3TaxingEntity4</f>
        <v>0</v>
      </c>
      <c r="B12">
        <f>Prop3AmountDue4</f>
        <v>0</v>
      </c>
      <c r="E12" s="6">
        <v>0</v>
      </c>
      <c r="F12" s="134">
        <v>0</v>
      </c>
      <c r="K12" t="s">
        <v>2497</v>
      </c>
    </row>
    <row r="13" spans="1:18" x14ac:dyDescent="0.25">
      <c r="A13">
        <f>Prop4TaxingEntity1</f>
        <v>0</v>
      </c>
      <c r="B13">
        <f>Prop4AmountDue1</f>
        <v>0</v>
      </c>
      <c r="E13" s="6">
        <v>0</v>
      </c>
      <c r="F13" s="134">
        <v>0</v>
      </c>
      <c r="K13" t="s">
        <v>2498</v>
      </c>
    </row>
    <row r="14" spans="1:18" x14ac:dyDescent="0.25">
      <c r="A14">
        <f>Prop4TaxingEntity2</f>
        <v>0</v>
      </c>
      <c r="B14">
        <f>Prop4AmountDue2</f>
        <v>0</v>
      </c>
      <c r="E14" s="6">
        <v>0</v>
      </c>
      <c r="F14" s="134">
        <v>0</v>
      </c>
      <c r="K14" t="s">
        <v>2500</v>
      </c>
    </row>
    <row r="15" spans="1:18" x14ac:dyDescent="0.25">
      <c r="A15">
        <f>Prop4TaxingEntity3</f>
        <v>0</v>
      </c>
      <c r="B15">
        <f>Prop4AmountDue3</f>
        <v>0</v>
      </c>
      <c r="E15" s="6">
        <v>0</v>
      </c>
      <c r="F15" s="134">
        <v>0</v>
      </c>
    </row>
    <row r="16" spans="1:18" x14ac:dyDescent="0.25">
      <c r="A16">
        <f>Prop4TaxingEntity4</f>
        <v>0</v>
      </c>
      <c r="B16">
        <f>Prop4AmountDue4</f>
        <v>0</v>
      </c>
      <c r="E16" s="6">
        <v>0</v>
      </c>
      <c r="F16" s="134">
        <v>0</v>
      </c>
    </row>
    <row r="17" spans="1:10" x14ac:dyDescent="0.25">
      <c r="A17">
        <f>Prop5TaxingEntity1</f>
        <v>0</v>
      </c>
      <c r="B17">
        <f>Prop5AmountDue1</f>
        <v>0</v>
      </c>
      <c r="E17" s="6">
        <v>0</v>
      </c>
      <c r="F17" s="134">
        <v>0</v>
      </c>
    </row>
    <row r="18" spans="1:10" x14ac:dyDescent="0.25">
      <c r="A18">
        <f>Prop5TaxingEntity2</f>
        <v>0</v>
      </c>
      <c r="B18">
        <f>Prop5AmountDue2</f>
        <v>0</v>
      </c>
      <c r="E18" s="6">
        <v>0</v>
      </c>
      <c r="F18" s="134">
        <v>0</v>
      </c>
    </row>
    <row r="19" spans="1:10" x14ac:dyDescent="0.25">
      <c r="A19">
        <f>Prop5TaxingEntity3</f>
        <v>0</v>
      </c>
      <c r="B19">
        <f>Prop5AmountDue3</f>
        <v>0</v>
      </c>
      <c r="E19" s="6">
        <v>0</v>
      </c>
      <c r="F19" s="134">
        <v>0</v>
      </c>
    </row>
    <row r="20" spans="1:10" x14ac:dyDescent="0.25">
      <c r="A20">
        <f>Prop5TaxingEntity4</f>
        <v>0</v>
      </c>
      <c r="B20">
        <f>Prop5AmountDue4</f>
        <v>0</v>
      </c>
      <c r="E20" s="6">
        <v>0</v>
      </c>
      <c r="F20" s="134">
        <v>0</v>
      </c>
      <c r="J20" s="132"/>
    </row>
    <row r="21" spans="1:10" x14ac:dyDescent="0.25">
      <c r="A21">
        <f>Prop6TaxingEntity1</f>
        <v>0</v>
      </c>
      <c r="B21">
        <f>Prop6AmountDue1</f>
        <v>0</v>
      </c>
      <c r="E21" s="6"/>
      <c r="F21" s="7"/>
    </row>
    <row r="22" spans="1:10" x14ac:dyDescent="0.25">
      <c r="A22">
        <f>Prop6TaxingEntity2</f>
        <v>0</v>
      </c>
      <c r="B22">
        <f>Prop6AmountDue2</f>
        <v>0</v>
      </c>
      <c r="E22" s="6"/>
      <c r="F22" s="7"/>
    </row>
    <row r="23" spans="1:10" x14ac:dyDescent="0.25">
      <c r="A23">
        <f>Prop6TaxingEntity3</f>
        <v>0</v>
      </c>
      <c r="B23">
        <f>Prop6AmountDue3</f>
        <v>0</v>
      </c>
      <c r="E23" s="6"/>
      <c r="F23" s="7"/>
    </row>
    <row r="24" spans="1:10" x14ac:dyDescent="0.25">
      <c r="A24">
        <f>Prop6TaxingEntity4</f>
        <v>0</v>
      </c>
      <c r="B24">
        <f>Prop6AmountDue4</f>
        <v>0</v>
      </c>
      <c r="E24" s="6"/>
      <c r="F24" s="7"/>
    </row>
    <row r="25" spans="1:10" x14ac:dyDescent="0.25">
      <c r="A25">
        <f>Prop7TaxingEntity1</f>
        <v>0</v>
      </c>
      <c r="B25">
        <f>Prop7AmountDue1</f>
        <v>0</v>
      </c>
      <c r="E25" s="6"/>
      <c r="F25" s="7"/>
    </row>
    <row r="26" spans="1:10" x14ac:dyDescent="0.25">
      <c r="A26">
        <f>Prop7TaxingEntity2</f>
        <v>0</v>
      </c>
      <c r="B26">
        <f>Prop7AmountDue2</f>
        <v>0</v>
      </c>
      <c r="E26" s="6"/>
      <c r="F26" s="7"/>
    </row>
    <row r="27" spans="1:10" x14ac:dyDescent="0.25">
      <c r="A27">
        <f>Prop7TaxingEntity3</f>
        <v>0</v>
      </c>
      <c r="B27">
        <f>Prop7AmountDue3</f>
        <v>0</v>
      </c>
      <c r="E27" s="6"/>
      <c r="F27" s="7"/>
    </row>
    <row r="28" spans="1:10" x14ac:dyDescent="0.25">
      <c r="A28">
        <f>Prop7TaxingEntity4</f>
        <v>0</v>
      </c>
      <c r="B28">
        <f>Prop7AmountDue4</f>
        <v>0</v>
      </c>
      <c r="E28" s="6"/>
      <c r="F28" s="7"/>
    </row>
    <row r="29" spans="1:10" x14ac:dyDescent="0.25">
      <c r="A29">
        <f>Prop8TaxingEntity1</f>
        <v>0</v>
      </c>
      <c r="B29">
        <f>Prop8AmountDue1</f>
        <v>0</v>
      </c>
      <c r="E29" s="6"/>
      <c r="F29" s="7"/>
    </row>
    <row r="30" spans="1:10" x14ac:dyDescent="0.25">
      <c r="A30">
        <f>Prop8TaxingEntity2</f>
        <v>0</v>
      </c>
      <c r="B30">
        <f>Prop8AmountDue2</f>
        <v>0</v>
      </c>
      <c r="E30" s="6"/>
      <c r="F30" s="7"/>
    </row>
    <row r="31" spans="1:10" x14ac:dyDescent="0.25">
      <c r="A31">
        <f>Prop8TaxingEntity3</f>
        <v>0</v>
      </c>
      <c r="B31">
        <f>Prop8AmountDue3</f>
        <v>0</v>
      </c>
      <c r="E31" s="6"/>
      <c r="F31" s="7"/>
    </row>
    <row r="32" spans="1:10" x14ac:dyDescent="0.25">
      <c r="A32">
        <f>Prop8TaxingEntity4</f>
        <v>0</v>
      </c>
      <c r="B32">
        <f>Prop8AmountDue4</f>
        <v>0</v>
      </c>
      <c r="E32" s="6"/>
      <c r="F32" s="7"/>
    </row>
    <row r="33" spans="1:6" x14ac:dyDescent="0.25">
      <c r="A33">
        <f>Prop9TaxingEntity1</f>
        <v>0</v>
      </c>
      <c r="B33">
        <f>Prop9AmountDue1</f>
        <v>0</v>
      </c>
      <c r="E33" s="6"/>
      <c r="F33" s="7"/>
    </row>
    <row r="34" spans="1:6" x14ac:dyDescent="0.25">
      <c r="A34">
        <f>Prop9TaxingEntity2</f>
        <v>0</v>
      </c>
      <c r="B34">
        <f>Prop9AmountDue2</f>
        <v>0</v>
      </c>
      <c r="E34" s="6"/>
      <c r="F34" s="7"/>
    </row>
    <row r="35" spans="1:6" x14ac:dyDescent="0.25">
      <c r="A35">
        <f>Prop9TaxingEntity3</f>
        <v>0</v>
      </c>
      <c r="B35">
        <f>Prop9AmountDue3</f>
        <v>0</v>
      </c>
      <c r="E35" s="6"/>
      <c r="F35" s="7"/>
    </row>
    <row r="36" spans="1:6" x14ac:dyDescent="0.25">
      <c r="A36">
        <f>Prop9TaxingEntity4</f>
        <v>0</v>
      </c>
      <c r="B36">
        <f>Prop9AmountDue4</f>
        <v>0</v>
      </c>
      <c r="E36" s="6"/>
      <c r="F36" s="7"/>
    </row>
    <row r="37" spans="1:6" x14ac:dyDescent="0.25">
      <c r="A37">
        <f>Prop10TaxingEntity1</f>
        <v>0</v>
      </c>
      <c r="B37">
        <f>Prop10AmountDue1</f>
        <v>0</v>
      </c>
      <c r="E37" s="6"/>
      <c r="F37" s="7"/>
    </row>
    <row r="38" spans="1:6" x14ac:dyDescent="0.25">
      <c r="A38">
        <f>Prop10TaxingEntity2</f>
        <v>0</v>
      </c>
      <c r="B38">
        <f>Prop10AmountDue2</f>
        <v>0</v>
      </c>
      <c r="E38" s="6"/>
      <c r="F38" s="7"/>
    </row>
    <row r="39" spans="1:6" x14ac:dyDescent="0.25">
      <c r="A39">
        <f>Prop10TaxingEntity3</f>
        <v>0</v>
      </c>
      <c r="B39">
        <f>Prop10AmountDue3</f>
        <v>0</v>
      </c>
      <c r="E39" s="6"/>
      <c r="F39" s="7"/>
    </row>
    <row r="40" spans="1:6" x14ac:dyDescent="0.25">
      <c r="A40">
        <f>Prop10TaxingEntity4</f>
        <v>0</v>
      </c>
      <c r="B40">
        <f>Prop10AmountDue4</f>
        <v>0</v>
      </c>
      <c r="E40" s="6"/>
      <c r="F40" s="7"/>
    </row>
    <row r="41" spans="1:6" x14ac:dyDescent="0.25">
      <c r="A41">
        <f>Prop11TaxingEntity1</f>
        <v>0</v>
      </c>
      <c r="B41">
        <f>Prop11AmountDue1</f>
        <v>0</v>
      </c>
      <c r="E41" s="6"/>
      <c r="F41" s="7"/>
    </row>
    <row r="42" spans="1:6" x14ac:dyDescent="0.25">
      <c r="A42">
        <f>Prop11TaxingEntity2</f>
        <v>0</v>
      </c>
      <c r="B42">
        <f>Prop11AmountDue2</f>
        <v>0</v>
      </c>
      <c r="E42" s="6"/>
      <c r="F42" s="7"/>
    </row>
    <row r="43" spans="1:6" x14ac:dyDescent="0.25">
      <c r="A43">
        <f>Prop11TaxingEntity3</f>
        <v>0</v>
      </c>
      <c r="B43">
        <f>Prop11AmountDue3</f>
        <v>0</v>
      </c>
      <c r="E43" s="6"/>
      <c r="F43" s="7"/>
    </row>
    <row r="44" spans="1:6" x14ac:dyDescent="0.25">
      <c r="A44">
        <f>Prop11TaxingEntity4</f>
        <v>0</v>
      </c>
      <c r="B44">
        <f>Prop11AmountDue4</f>
        <v>0</v>
      </c>
      <c r="E44" s="6"/>
      <c r="F44" s="7"/>
    </row>
    <row r="45" spans="1:6" x14ac:dyDescent="0.25">
      <c r="A45">
        <f>Prop12TaxingEntity1</f>
        <v>0</v>
      </c>
      <c r="B45">
        <f>Prop12AmountDue1</f>
        <v>0</v>
      </c>
      <c r="E45" s="6"/>
      <c r="F45" s="7"/>
    </row>
    <row r="46" spans="1:6" x14ac:dyDescent="0.25">
      <c r="A46">
        <f>Prop12TaxingEntity2</f>
        <v>0</v>
      </c>
      <c r="B46">
        <f>Prop12AmountDue2</f>
        <v>0</v>
      </c>
      <c r="E46" s="6"/>
      <c r="F46" s="7"/>
    </row>
    <row r="47" spans="1:6" x14ac:dyDescent="0.25">
      <c r="A47">
        <f>Prop12TaxingEntity3</f>
        <v>0</v>
      </c>
      <c r="B47">
        <f>Prop12AmountDue3</f>
        <v>0</v>
      </c>
      <c r="E47" s="6"/>
      <c r="F47" s="7"/>
    </row>
    <row r="48" spans="1:6" x14ac:dyDescent="0.25">
      <c r="A48">
        <f>Prop12TaxingEntity4</f>
        <v>0</v>
      </c>
      <c r="B48">
        <f>Prop12AmountDue4</f>
        <v>0</v>
      </c>
      <c r="E48" s="6"/>
      <c r="F48" s="7"/>
    </row>
    <row r="49" spans="1:6" x14ac:dyDescent="0.25">
      <c r="A49">
        <f>Prop13TaxingEntity1</f>
        <v>0</v>
      </c>
      <c r="B49">
        <f>Prop13AmountDue1</f>
        <v>0</v>
      </c>
      <c r="E49" s="6"/>
      <c r="F49" s="7"/>
    </row>
    <row r="50" spans="1:6" x14ac:dyDescent="0.25">
      <c r="A50">
        <f>Prop13TaxingEntity2</f>
        <v>0</v>
      </c>
      <c r="B50">
        <f>Prop13AmountDue2</f>
        <v>0</v>
      </c>
      <c r="E50" s="6"/>
      <c r="F50" s="7"/>
    </row>
    <row r="51" spans="1:6" x14ac:dyDescent="0.25">
      <c r="A51">
        <f>Prop13TaxingEntity3</f>
        <v>0</v>
      </c>
      <c r="B51">
        <f>Prop13AmountDue3</f>
        <v>0</v>
      </c>
      <c r="E51" s="6"/>
      <c r="F51" s="7"/>
    </row>
    <row r="52" spans="1:6" x14ac:dyDescent="0.25">
      <c r="A52">
        <f>Prop13TaxingEntity4</f>
        <v>0</v>
      </c>
      <c r="B52">
        <f>Prop13AmountDue4</f>
        <v>0</v>
      </c>
      <c r="E52" s="6"/>
      <c r="F52" s="7"/>
    </row>
    <row r="53" spans="1:6" x14ac:dyDescent="0.25">
      <c r="A53">
        <f>Prop14TaxingEntity1</f>
        <v>0</v>
      </c>
      <c r="B53">
        <f>Prop14AmountDue1</f>
        <v>0</v>
      </c>
      <c r="E53" s="6"/>
      <c r="F53" s="7"/>
    </row>
    <row r="54" spans="1:6" x14ac:dyDescent="0.25">
      <c r="A54">
        <f>Prop14TaxingEntity2</f>
        <v>0</v>
      </c>
      <c r="B54">
        <f>Prop14AmountDue2</f>
        <v>0</v>
      </c>
      <c r="E54" s="6"/>
      <c r="F54" s="7"/>
    </row>
    <row r="55" spans="1:6" x14ac:dyDescent="0.25">
      <c r="A55">
        <f>Prop14TaxingEntity3</f>
        <v>0</v>
      </c>
      <c r="B55">
        <f>Prop14AmountDue3</f>
        <v>0</v>
      </c>
      <c r="E55" s="6"/>
      <c r="F55" s="7"/>
    </row>
    <row r="56" spans="1:6" x14ac:dyDescent="0.25">
      <c r="A56">
        <f>Prop14TaxingEntity4</f>
        <v>0</v>
      </c>
      <c r="B56">
        <f>Prop14AmountDue4</f>
        <v>0</v>
      </c>
      <c r="E56" s="6"/>
      <c r="F56" s="7"/>
    </row>
    <row r="57" spans="1:6" x14ac:dyDescent="0.25">
      <c r="A57">
        <f>Prop15TaxingEntity1</f>
        <v>0</v>
      </c>
      <c r="B57">
        <f>Prop15AmountDue1</f>
        <v>0</v>
      </c>
      <c r="E57" s="6"/>
      <c r="F57" s="7"/>
    </row>
    <row r="58" spans="1:6" x14ac:dyDescent="0.25">
      <c r="A58">
        <f>Prop15TaxingEntity2</f>
        <v>0</v>
      </c>
      <c r="B58">
        <f>Prop15AmountDue2</f>
        <v>0</v>
      </c>
      <c r="E58" s="6"/>
      <c r="F58" s="7"/>
    </row>
    <row r="59" spans="1:6" x14ac:dyDescent="0.25">
      <c r="A59">
        <f>Prop15TaxingEntity3</f>
        <v>0</v>
      </c>
      <c r="B59">
        <f>Prop15AmountDue3</f>
        <v>0</v>
      </c>
      <c r="E59" s="6"/>
      <c r="F59" s="7"/>
    </row>
    <row r="60" spans="1:6" x14ac:dyDescent="0.25">
      <c r="A60">
        <f>Prop15TaxingEntity4</f>
        <v>0</v>
      </c>
      <c r="B60">
        <f>Prop15AmountDue4</f>
        <v>0</v>
      </c>
      <c r="E60" s="6"/>
      <c r="F60" s="7"/>
    </row>
    <row r="61" spans="1:6" x14ac:dyDescent="0.25">
      <c r="A61">
        <f>Prop16TaxingEntity1</f>
        <v>0</v>
      </c>
      <c r="B61">
        <f>Prop16AmountDue1</f>
        <v>0</v>
      </c>
      <c r="E61" s="6"/>
      <c r="F61" s="7"/>
    </row>
    <row r="62" spans="1:6" x14ac:dyDescent="0.25">
      <c r="A62">
        <f>Prop16TaxingEntity2</f>
        <v>0</v>
      </c>
      <c r="B62">
        <f>Prop16AmountDue2</f>
        <v>0</v>
      </c>
      <c r="E62" s="6"/>
      <c r="F62" s="7"/>
    </row>
    <row r="63" spans="1:6" x14ac:dyDescent="0.25">
      <c r="A63">
        <f>Prop16TaxingEntity3</f>
        <v>0</v>
      </c>
      <c r="B63">
        <f>Prop16AmountDue3</f>
        <v>0</v>
      </c>
      <c r="E63" s="6"/>
      <c r="F63" s="7"/>
    </row>
    <row r="64" spans="1:6" x14ac:dyDescent="0.25">
      <c r="A64">
        <f>Prop16TaxingEntity4</f>
        <v>0</v>
      </c>
      <c r="B64">
        <f>Prop16AmountDue4</f>
        <v>0</v>
      </c>
      <c r="E64" s="6"/>
      <c r="F64" s="7"/>
    </row>
    <row r="65" spans="1:6" x14ac:dyDescent="0.25">
      <c r="A65">
        <f>Prop17TaxingEntity1</f>
        <v>0</v>
      </c>
      <c r="B65">
        <f>Prop17AmountDue1</f>
        <v>0</v>
      </c>
      <c r="E65" s="6"/>
      <c r="F65" s="7"/>
    </row>
    <row r="66" spans="1:6" x14ac:dyDescent="0.25">
      <c r="A66">
        <f>Prop17TaxingEntity2</f>
        <v>0</v>
      </c>
      <c r="B66">
        <f>Prop17AmountDue2</f>
        <v>0</v>
      </c>
      <c r="E66" s="6"/>
      <c r="F66" s="7"/>
    </row>
    <row r="67" spans="1:6" x14ac:dyDescent="0.25">
      <c r="A67">
        <f>Prop17TaxingEntity3</f>
        <v>0</v>
      </c>
      <c r="B67">
        <f>Prop17AmountDue3</f>
        <v>0</v>
      </c>
      <c r="E67" s="6"/>
      <c r="F67" s="7"/>
    </row>
    <row r="68" spans="1:6" x14ac:dyDescent="0.25">
      <c r="A68">
        <f>Prop17TaxingEntity4</f>
        <v>0</v>
      </c>
      <c r="B68">
        <f>Prop17AmountDue4</f>
        <v>0</v>
      </c>
      <c r="E68" s="6"/>
      <c r="F68" s="7"/>
    </row>
    <row r="69" spans="1:6" x14ac:dyDescent="0.25">
      <c r="A69">
        <f>Prop18TaxingEntity1</f>
        <v>0</v>
      </c>
      <c r="B69">
        <f>Prop18AmountDue1</f>
        <v>0</v>
      </c>
      <c r="E69" s="6"/>
      <c r="F69" s="7"/>
    </row>
    <row r="70" spans="1:6" x14ac:dyDescent="0.25">
      <c r="A70">
        <f>Prop18TaxingEntity2</f>
        <v>0</v>
      </c>
      <c r="B70">
        <f>Prop18AmountDue2</f>
        <v>0</v>
      </c>
      <c r="E70" s="6"/>
      <c r="F70" s="7"/>
    </row>
    <row r="71" spans="1:6" x14ac:dyDescent="0.25">
      <c r="A71">
        <f>Prop18TaxingEntity3</f>
        <v>0</v>
      </c>
      <c r="B71">
        <f>Prop18AmountDue3</f>
        <v>0</v>
      </c>
      <c r="E71" s="6"/>
      <c r="F71" s="7"/>
    </row>
    <row r="72" spans="1:6" x14ac:dyDescent="0.25">
      <c r="A72">
        <f>Prop18TaxingEntity4</f>
        <v>0</v>
      </c>
      <c r="B72">
        <f>Prop18AmountDue4</f>
        <v>0</v>
      </c>
      <c r="E72" s="6"/>
      <c r="F72" s="7"/>
    </row>
    <row r="73" spans="1:6" x14ac:dyDescent="0.25">
      <c r="A73">
        <f>Prop19TaxingEntity1</f>
        <v>0</v>
      </c>
      <c r="B73">
        <f>Prop19AmountDue1</f>
        <v>0</v>
      </c>
      <c r="E73" s="6"/>
      <c r="F73" s="7"/>
    </row>
    <row r="74" spans="1:6" x14ac:dyDescent="0.25">
      <c r="A74">
        <f>Prop19TaxingEntity2</f>
        <v>0</v>
      </c>
      <c r="B74">
        <f>Prop19AmountDue2</f>
        <v>0</v>
      </c>
      <c r="E74" s="6"/>
      <c r="F74" s="7"/>
    </row>
    <row r="75" spans="1:6" x14ac:dyDescent="0.25">
      <c r="A75">
        <f>Prop19TaxingEntity3</f>
        <v>0</v>
      </c>
      <c r="B75">
        <f>Prop19AmountDue3</f>
        <v>0</v>
      </c>
      <c r="E75" s="6"/>
      <c r="F75" s="7"/>
    </row>
    <row r="76" spans="1:6" x14ac:dyDescent="0.25">
      <c r="A76">
        <f>Prop19TaxingEntity4</f>
        <v>0</v>
      </c>
      <c r="B76">
        <f>Prop19AmountDue4</f>
        <v>0</v>
      </c>
      <c r="E76" s="6"/>
      <c r="F76" s="7"/>
    </row>
    <row r="77" spans="1:6" x14ac:dyDescent="0.25">
      <c r="A77">
        <f>Prop20TaxingEntity1</f>
        <v>0</v>
      </c>
      <c r="B77">
        <f>Prop20AmountDue1</f>
        <v>0</v>
      </c>
      <c r="E77" s="6"/>
      <c r="F77" s="7"/>
    </row>
    <row r="78" spans="1:6" x14ac:dyDescent="0.25">
      <c r="A78">
        <f>Prop20TaxingEntity2</f>
        <v>0</v>
      </c>
      <c r="B78">
        <f>Prop20AmountDue2</f>
        <v>0</v>
      </c>
      <c r="E78" s="6"/>
      <c r="F78" s="7"/>
    </row>
    <row r="79" spans="1:6" x14ac:dyDescent="0.25">
      <c r="A79">
        <f>Prop20TaxingEntity3</f>
        <v>0</v>
      </c>
      <c r="B79">
        <f>Prop20AmountDue3</f>
        <v>0</v>
      </c>
      <c r="E79" s="6"/>
      <c r="F79" s="7"/>
    </row>
    <row r="80" spans="1:6" x14ac:dyDescent="0.25">
      <c r="A80">
        <f>Prop20TaxingEntity4</f>
        <v>0</v>
      </c>
      <c r="B80">
        <f>Prop20AmountDue4</f>
        <v>0</v>
      </c>
      <c r="E80" s="6"/>
      <c r="F80" s="7"/>
    </row>
    <row r="81" spans="1:6" x14ac:dyDescent="0.25">
      <c r="A81">
        <f>Prop21TaxingEntity1</f>
        <v>0</v>
      </c>
      <c r="B81">
        <f>Prop21AmountDue1</f>
        <v>0</v>
      </c>
      <c r="E81" s="6"/>
      <c r="F81" s="7"/>
    </row>
    <row r="82" spans="1:6" x14ac:dyDescent="0.25">
      <c r="A82">
        <f>Prop21TaxingEntity2</f>
        <v>0</v>
      </c>
      <c r="B82">
        <f>Prop21AmountDue2</f>
        <v>0</v>
      </c>
      <c r="E82" s="6"/>
      <c r="F82" s="7"/>
    </row>
    <row r="83" spans="1:6" x14ac:dyDescent="0.25">
      <c r="A83">
        <f>Prop21TaxingEntity3</f>
        <v>0</v>
      </c>
      <c r="B83">
        <f>Prop21AmountDue3</f>
        <v>0</v>
      </c>
      <c r="E83" s="6"/>
      <c r="F83" s="7"/>
    </row>
    <row r="84" spans="1:6" x14ac:dyDescent="0.25">
      <c r="A84">
        <f>Prop21TaxingEntity4</f>
        <v>0</v>
      </c>
      <c r="B84">
        <f>Prop21AmountDue4</f>
        <v>0</v>
      </c>
      <c r="E84" s="6"/>
      <c r="F84" s="7"/>
    </row>
    <row r="85" spans="1:6" x14ac:dyDescent="0.25">
      <c r="A85">
        <f>Prop22TaxingEntity1</f>
        <v>0</v>
      </c>
      <c r="B85">
        <f>Prop22AmountDue1</f>
        <v>0</v>
      </c>
      <c r="E85" s="6"/>
      <c r="F85" s="7"/>
    </row>
    <row r="86" spans="1:6" x14ac:dyDescent="0.25">
      <c r="A86">
        <f>Prop22TaxingEntity2</f>
        <v>0</v>
      </c>
      <c r="B86">
        <f>Prop22AmountDue2</f>
        <v>0</v>
      </c>
      <c r="E86" s="6"/>
      <c r="F86" s="7"/>
    </row>
    <row r="87" spans="1:6" x14ac:dyDescent="0.25">
      <c r="A87">
        <f>Prop22TaxingEntity3</f>
        <v>0</v>
      </c>
      <c r="B87">
        <f>Prop22AmountDue3</f>
        <v>0</v>
      </c>
      <c r="E87" s="6"/>
      <c r="F87" s="7"/>
    </row>
    <row r="88" spans="1:6" x14ac:dyDescent="0.25">
      <c r="A88">
        <f>Prop22TaxingEntity4</f>
        <v>0</v>
      </c>
      <c r="B88">
        <f>Prop22AmountDue4</f>
        <v>0</v>
      </c>
      <c r="E88" s="6"/>
      <c r="F88" s="7"/>
    </row>
    <row r="89" spans="1:6" x14ac:dyDescent="0.25">
      <c r="A89">
        <f>Prop23TaxingEntity1</f>
        <v>0</v>
      </c>
      <c r="B89">
        <f>Prop23AmountDue1</f>
        <v>0</v>
      </c>
      <c r="E89" s="6"/>
      <c r="F89" s="7"/>
    </row>
    <row r="90" spans="1:6" x14ac:dyDescent="0.25">
      <c r="A90">
        <f>Prop23TaxingEntity2</f>
        <v>0</v>
      </c>
      <c r="B90">
        <f>Prop23AmountDue2</f>
        <v>0</v>
      </c>
      <c r="E90" s="6"/>
      <c r="F90" s="7"/>
    </row>
    <row r="91" spans="1:6" x14ac:dyDescent="0.25">
      <c r="A91">
        <f>Prop23TaxingEntity3</f>
        <v>0</v>
      </c>
      <c r="B91">
        <f>Prop23AmountDue3</f>
        <v>0</v>
      </c>
      <c r="E91" s="6"/>
      <c r="F91" s="7"/>
    </row>
    <row r="92" spans="1:6" x14ac:dyDescent="0.25">
      <c r="A92">
        <f>Prop23TaxingEntity4</f>
        <v>0</v>
      </c>
      <c r="B92">
        <f>Prop23AmountDue4</f>
        <v>0</v>
      </c>
      <c r="E92" s="6"/>
      <c r="F92" s="7"/>
    </row>
    <row r="93" spans="1:6" x14ac:dyDescent="0.25">
      <c r="A93">
        <f>Prop24TaxingEntity1</f>
        <v>0</v>
      </c>
      <c r="B93">
        <f>Prop24AmountDue1</f>
        <v>0</v>
      </c>
      <c r="E93" s="6"/>
      <c r="F93" s="7"/>
    </row>
    <row r="94" spans="1:6" x14ac:dyDescent="0.25">
      <c r="A94">
        <f>Prop24TaxingEntity2</f>
        <v>0</v>
      </c>
      <c r="B94">
        <f>Prop24AmountDue2</f>
        <v>0</v>
      </c>
      <c r="E94" s="6"/>
      <c r="F94" s="7"/>
    </row>
    <row r="95" spans="1:6" x14ac:dyDescent="0.25">
      <c r="A95">
        <f>Prop24TaxingEntity3</f>
        <v>0</v>
      </c>
      <c r="B95">
        <f>Prop24AmountDue3</f>
        <v>0</v>
      </c>
      <c r="E95" s="6"/>
      <c r="F95" s="7"/>
    </row>
    <row r="96" spans="1:6" x14ac:dyDescent="0.25">
      <c r="A96">
        <f>Prop24TaxingEntity4</f>
        <v>0</v>
      </c>
      <c r="B96">
        <f>Prop24AmountDue4</f>
        <v>0</v>
      </c>
      <c r="E96" s="6"/>
      <c r="F96" s="7"/>
    </row>
    <row r="97" spans="1:6" x14ac:dyDescent="0.25">
      <c r="A97">
        <f>Prop25TaxingEntity1</f>
        <v>0</v>
      </c>
      <c r="B97">
        <f>Prop25AmountDue1</f>
        <v>0</v>
      </c>
      <c r="E97" s="6"/>
      <c r="F97" s="7"/>
    </row>
    <row r="98" spans="1:6" x14ac:dyDescent="0.25">
      <c r="A98">
        <f>Prop25TaxingEntity2</f>
        <v>0</v>
      </c>
      <c r="B98">
        <f>Prop25AmountDue2</f>
        <v>0</v>
      </c>
      <c r="E98" s="6"/>
      <c r="F98" s="7"/>
    </row>
    <row r="99" spans="1:6" x14ac:dyDescent="0.25">
      <c r="A99">
        <f>Prop25TaxingEntity3</f>
        <v>0</v>
      </c>
      <c r="B99">
        <f>Prop25AmountDue3</f>
        <v>0</v>
      </c>
      <c r="E99" s="6"/>
      <c r="F99" s="7"/>
    </row>
    <row r="100" spans="1:6" x14ac:dyDescent="0.25">
      <c r="A100">
        <f>Prop25TaxingEntity4</f>
        <v>0</v>
      </c>
      <c r="B100">
        <f>Prop25AmountDue4</f>
        <v>0</v>
      </c>
      <c r="E100" s="47"/>
      <c r="F100" s="8"/>
    </row>
  </sheetData>
  <mergeCells count="2">
    <mergeCell ref="K4:M4"/>
    <mergeCell ref="K6:M6"/>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ddDupes">
                <anchor moveWithCells="1" sizeWithCells="1">
                  <from>
                    <xdr:col>7</xdr:col>
                    <xdr:colOff>0</xdr:colOff>
                    <xdr:row>2</xdr:row>
                    <xdr:rowOff>0</xdr:rowOff>
                  </from>
                  <to>
                    <xdr:col>9</xdr:col>
                    <xdr:colOff>0</xdr:colOff>
                    <xdr:row>4</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Easy">
                <anchor moveWithCells="1" sizeWithCells="1">
                  <from>
                    <xdr:col>7</xdr:col>
                    <xdr:colOff>0</xdr:colOff>
                    <xdr:row>6</xdr:row>
                    <xdr:rowOff>0</xdr:rowOff>
                  </from>
                  <to>
                    <xdr:col>9</xdr:col>
                    <xdr:colOff>0</xdr:colOff>
                    <xdr:row>10</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A5CA3-AAAF-40B0-B45A-AEF312E07CFE}">
  <sheetPr codeName="Sheet3"/>
  <dimension ref="A1:S23"/>
  <sheetViews>
    <sheetView workbookViewId="0">
      <selection activeCell="A11" sqref="A11"/>
    </sheetView>
  </sheetViews>
  <sheetFormatPr defaultRowHeight="15" x14ac:dyDescent="0.25"/>
  <sheetData>
    <row r="1" spans="1:19" x14ac:dyDescent="0.25">
      <c r="A1" t="s">
        <v>408</v>
      </c>
      <c r="O1" t="s">
        <v>2486</v>
      </c>
      <c r="P1" t="s">
        <v>2487</v>
      </c>
    </row>
    <row r="2" spans="1:19" x14ac:dyDescent="0.25">
      <c r="A2" t="s">
        <v>1877</v>
      </c>
      <c r="O2" t="s">
        <v>2486</v>
      </c>
      <c r="P2" t="s">
        <v>2518</v>
      </c>
    </row>
    <row r="3" spans="1:19" x14ac:dyDescent="0.25">
      <c r="A3" t="s">
        <v>2044</v>
      </c>
      <c r="O3" t="s">
        <v>2526</v>
      </c>
      <c r="P3" t="s">
        <v>2527</v>
      </c>
    </row>
    <row r="4" spans="1:19" x14ac:dyDescent="0.25">
      <c r="A4" t="s">
        <v>3321</v>
      </c>
      <c r="P4" t="s">
        <v>2515</v>
      </c>
    </row>
    <row r="5" spans="1:19" x14ac:dyDescent="0.25">
      <c r="P5" t="s">
        <v>2516</v>
      </c>
    </row>
    <row r="6" spans="1:19" x14ac:dyDescent="0.25">
      <c r="A6" t="s">
        <v>2444</v>
      </c>
      <c r="O6" t="s">
        <v>2486</v>
      </c>
      <c r="P6" t="s">
        <v>3310</v>
      </c>
    </row>
    <row r="7" spans="1:19" x14ac:dyDescent="0.25">
      <c r="A7" t="s">
        <v>2935</v>
      </c>
      <c r="O7" t="s">
        <v>2526</v>
      </c>
      <c r="P7" t="s">
        <v>3319</v>
      </c>
      <c r="S7" t="s">
        <v>3322</v>
      </c>
    </row>
    <row r="8" spans="1:19" x14ac:dyDescent="0.25">
      <c r="A8" t="s">
        <v>3220</v>
      </c>
    </row>
    <row r="10" spans="1:19" x14ac:dyDescent="0.25">
      <c r="A10" t="s">
        <v>3410</v>
      </c>
    </row>
    <row r="20" spans="1:9" x14ac:dyDescent="0.25">
      <c r="A20" t="s">
        <v>3318</v>
      </c>
    </row>
    <row r="21" spans="1:9" x14ac:dyDescent="0.25">
      <c r="A21" t="s">
        <v>3219</v>
      </c>
    </row>
    <row r="22" spans="1:9" x14ac:dyDescent="0.25">
      <c r="A22" t="s">
        <v>3403</v>
      </c>
      <c r="I22" s="369"/>
    </row>
    <row r="23" spans="1:9" x14ac:dyDescent="0.25">
      <c r="A23" t="s">
        <v>3320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B5532-FAD0-4E6B-A17B-ABF777372276}">
  <sheetPr codeName="Sheet4"/>
  <dimension ref="A1:T29"/>
  <sheetViews>
    <sheetView workbookViewId="0">
      <selection activeCell="R19" sqref="R19"/>
    </sheetView>
  </sheetViews>
  <sheetFormatPr defaultRowHeight="15" x14ac:dyDescent="0.25"/>
  <cols>
    <col min="1" max="1" width="4.5703125" customWidth="1"/>
    <col min="2" max="2" width="4.28515625" customWidth="1"/>
    <col min="3" max="3" width="13.5703125" customWidth="1"/>
    <col min="4" max="4" width="9.5703125" customWidth="1"/>
    <col min="5" max="5" width="13.42578125" customWidth="1"/>
    <col min="6" max="6" width="11.42578125" customWidth="1"/>
    <col min="7" max="7" width="9.42578125" customWidth="1"/>
    <col min="8" max="8" width="11.7109375" customWidth="1"/>
    <col min="9" max="9" width="12" customWidth="1"/>
    <col min="10" max="10" width="11.5703125" bestFit="1" customWidth="1"/>
    <col min="11" max="11" width="11.5703125" customWidth="1"/>
    <col min="12" max="12" width="10.28515625" customWidth="1"/>
    <col min="13" max="13" width="4.5703125" customWidth="1"/>
    <col min="16" max="17" width="10.5703125" bestFit="1" customWidth="1"/>
    <col min="18" max="18" width="46" customWidth="1"/>
    <col min="20" max="20" width="10.7109375" bestFit="1" customWidth="1"/>
  </cols>
  <sheetData>
    <row r="1" spans="1:20" ht="13.5" customHeight="1" x14ac:dyDescent="0.25">
      <c r="A1" s="10"/>
      <c r="B1" s="10"/>
      <c r="C1" s="10"/>
      <c r="D1" s="10"/>
      <c r="E1" s="10"/>
      <c r="F1" s="10"/>
      <c r="G1" s="10"/>
      <c r="H1" s="10"/>
      <c r="I1" s="10"/>
      <c r="J1" s="10"/>
      <c r="K1" s="10" t="s">
        <v>332</v>
      </c>
      <c r="L1" s="11">
        <v>43292</v>
      </c>
      <c r="M1" s="10"/>
    </row>
    <row r="2" spans="1:20" ht="23.25" x14ac:dyDescent="0.35">
      <c r="A2" s="653" t="s">
        <v>333</v>
      </c>
      <c r="B2" s="653"/>
      <c r="C2" s="653"/>
      <c r="D2" s="653"/>
      <c r="E2" s="653"/>
      <c r="F2" s="653"/>
      <c r="G2" s="653"/>
      <c r="H2" s="653"/>
      <c r="I2" s="653"/>
      <c r="J2" s="653"/>
      <c r="K2" s="653"/>
      <c r="L2" s="653"/>
      <c r="M2" s="10"/>
    </row>
    <row r="3" spans="1:20" ht="15" customHeight="1" x14ac:dyDescent="0.25">
      <c r="A3" s="10"/>
      <c r="B3" s="12"/>
      <c r="C3" s="13" t="s">
        <v>334</v>
      </c>
      <c r="D3" s="12"/>
      <c r="E3" s="12"/>
      <c r="F3" s="12"/>
      <c r="G3" s="12"/>
      <c r="H3" s="12"/>
      <c r="I3" s="12"/>
      <c r="J3" s="12"/>
      <c r="K3" s="12"/>
      <c r="M3" s="10"/>
      <c r="P3" s="638" t="s">
        <v>1924</v>
      </c>
      <c r="Q3" s="638"/>
      <c r="R3" s="58">
        <v>47323</v>
      </c>
    </row>
    <row r="4" spans="1:20" x14ac:dyDescent="0.25">
      <c r="A4" s="10"/>
      <c r="B4" s="12"/>
      <c r="C4" s="647" t="s">
        <v>335</v>
      </c>
      <c r="D4" s="648"/>
      <c r="E4" s="654">
        <f>Borrower1Name</f>
        <v>0</v>
      </c>
      <c r="F4" s="654"/>
      <c r="G4" s="654"/>
      <c r="H4" s="655"/>
      <c r="I4" s="648" t="s">
        <v>336</v>
      </c>
      <c r="J4" s="648"/>
      <c r="K4" s="14">
        <f>[0]!LoanOfficer</f>
        <v>0</v>
      </c>
      <c r="L4" s="15"/>
      <c r="M4" s="10"/>
      <c r="P4" s="638" t="s">
        <v>1925</v>
      </c>
      <c r="Q4" s="638"/>
      <c r="R4" s="119">
        <v>232.56</v>
      </c>
    </row>
    <row r="5" spans="1:20" x14ac:dyDescent="0.25">
      <c r="A5" s="10"/>
      <c r="B5" s="12"/>
      <c r="C5" s="651" t="s">
        <v>338</v>
      </c>
      <c r="D5" s="652"/>
      <c r="E5" s="656">
        <f>[0]!Prop1County</f>
        <v>0</v>
      </c>
      <c r="F5" s="656"/>
      <c r="G5" s="656"/>
      <c r="H5" s="657"/>
      <c r="I5" s="652" t="s">
        <v>339</v>
      </c>
      <c r="J5" s="652"/>
      <c r="K5" s="16">
        <f>[0]!LoanType</f>
        <v>0</v>
      </c>
      <c r="L5" s="15"/>
      <c r="M5" s="10"/>
      <c r="P5" s="638" t="s">
        <v>1926</v>
      </c>
      <c r="Q5" s="638"/>
      <c r="R5" s="119">
        <v>230.98</v>
      </c>
    </row>
    <row r="6" spans="1:20" x14ac:dyDescent="0.25">
      <c r="A6" s="10"/>
      <c r="B6" s="12"/>
      <c r="C6" s="647" t="s">
        <v>342</v>
      </c>
      <c r="D6" s="648"/>
      <c r="E6" s="17">
        <f>[0]!AmountToTaxCollector</f>
        <v>0</v>
      </c>
      <c r="F6" s="647" t="s">
        <v>343</v>
      </c>
      <c r="G6" s="648"/>
      <c r="H6" s="18">
        <f>[0]!InterestRate</f>
        <v>0</v>
      </c>
      <c r="I6" s="19" t="s">
        <v>344</v>
      </c>
      <c r="J6" s="20"/>
      <c r="K6" s="21">
        <f>[0]!SigningDate</f>
        <v>0</v>
      </c>
      <c r="L6" s="15"/>
      <c r="M6" s="10"/>
      <c r="P6" s="638" t="s">
        <v>385</v>
      </c>
      <c r="Q6" s="638"/>
      <c r="R6" s="114">
        <v>0.17417214211855914</v>
      </c>
      <c r="T6" s="22"/>
    </row>
    <row r="7" spans="1:20" x14ac:dyDescent="0.25">
      <c r="A7" s="10"/>
      <c r="B7" s="12"/>
      <c r="C7" s="649" t="s">
        <v>345</v>
      </c>
      <c r="D7" s="650"/>
      <c r="E7" s="17"/>
      <c r="F7" s="649" t="s">
        <v>346</v>
      </c>
      <c r="G7" s="650"/>
      <c r="H7" s="23" t="s">
        <v>271</v>
      </c>
      <c r="I7" s="24" t="s">
        <v>347</v>
      </c>
      <c r="J7" s="25"/>
      <c r="K7" s="26">
        <f>[0]!FirstPaymentDate</f>
        <v>0</v>
      </c>
      <c r="L7" s="15"/>
      <c r="M7" s="10"/>
      <c r="P7" s="638" t="s">
        <v>1927</v>
      </c>
      <c r="Q7" s="638"/>
      <c r="R7" s="119">
        <v>144</v>
      </c>
      <c r="T7" s="22"/>
    </row>
    <row r="8" spans="1:20" ht="15.75" thickBot="1" x14ac:dyDescent="0.3">
      <c r="A8" s="10"/>
      <c r="B8" s="12"/>
      <c r="C8" s="649" t="s">
        <v>349</v>
      </c>
      <c r="D8" s="650"/>
      <c r="E8" s="27">
        <f>G23</f>
        <v>756</v>
      </c>
      <c r="F8" s="651" t="s">
        <v>350</v>
      </c>
      <c r="G8" s="652"/>
      <c r="H8" s="28">
        <f>[0]!Term</f>
        <v>0</v>
      </c>
      <c r="I8" s="29" t="s">
        <v>351</v>
      </c>
      <c r="J8" s="30"/>
      <c r="K8" s="31">
        <f>K7-K6</f>
        <v>0</v>
      </c>
      <c r="L8" s="15"/>
      <c r="M8" s="10"/>
      <c r="P8" s="638" t="s">
        <v>1928</v>
      </c>
      <c r="Q8" s="638"/>
      <c r="R8" s="119">
        <v>14727.030000000053</v>
      </c>
      <c r="T8" s="22"/>
    </row>
    <row r="9" spans="1:20" ht="15.75" thickBot="1" x14ac:dyDescent="0.3">
      <c r="A9" s="10"/>
      <c r="B9" s="12"/>
      <c r="C9" s="32" t="s">
        <v>352</v>
      </c>
      <c r="D9" s="12"/>
      <c r="E9" s="27">
        <f>L20</f>
        <v>144</v>
      </c>
      <c r="F9" s="645" t="s">
        <v>353</v>
      </c>
      <c r="G9" s="646"/>
      <c r="H9" s="33">
        <f>ROUNDUP('New Amort'!D9,2)</f>
        <v>142.66999999999999</v>
      </c>
      <c r="I9" s="29" t="s">
        <v>354</v>
      </c>
      <c r="J9" s="30"/>
      <c r="K9" s="34">
        <f>'New Amort'!$D$8</f>
        <v>1</v>
      </c>
      <c r="M9" s="10"/>
      <c r="P9" s="638" t="s">
        <v>1929</v>
      </c>
      <c r="Q9" s="638"/>
      <c r="R9" s="119">
        <v>27905.620000000054</v>
      </c>
      <c r="T9" s="22"/>
    </row>
    <row r="10" spans="1:20" ht="15.75" thickBot="1" x14ac:dyDescent="0.3">
      <c r="A10" s="10"/>
      <c r="B10" s="12"/>
      <c r="C10" s="35" t="s">
        <v>355</v>
      </c>
      <c r="D10" s="36"/>
      <c r="E10" s="37">
        <f>SUM(E6:E9)</f>
        <v>900</v>
      </c>
      <c r="F10" s="645" t="s">
        <v>356</v>
      </c>
      <c r="G10" s="646"/>
      <c r="H10" s="33">
        <f ca="1">OFFSET('New Amort'!D15,'New Amort'!D8,)</f>
        <v>900</v>
      </c>
      <c r="I10" s="29" t="s">
        <v>357</v>
      </c>
      <c r="J10" s="30"/>
      <c r="K10" s="38">
        <f>EDATE($K$7,'New Amort'!$D$8-1)</f>
        <v>0</v>
      </c>
      <c r="L10" s="15"/>
      <c r="M10" s="10"/>
      <c r="T10" s="22"/>
    </row>
    <row r="11" spans="1:20" ht="12" customHeight="1" x14ac:dyDescent="0.25">
      <c r="A11" s="10"/>
      <c r="M11" s="10"/>
    </row>
    <row r="12" spans="1:20" x14ac:dyDescent="0.25">
      <c r="A12" s="10"/>
      <c r="C12" s="39" t="s">
        <v>319</v>
      </c>
      <c r="D12" s="40"/>
      <c r="E12" s="40"/>
      <c r="F12" s="40"/>
      <c r="G12" s="41"/>
      <c r="H12" s="39" t="s">
        <v>322</v>
      </c>
      <c r="I12" s="40"/>
      <c r="J12" s="40"/>
      <c r="K12" s="40"/>
      <c r="L12" s="41"/>
      <c r="M12" s="10"/>
    </row>
    <row r="13" spans="1:20" x14ac:dyDescent="0.25">
      <c r="A13" s="10"/>
      <c r="C13" s="6" t="s">
        <v>317</v>
      </c>
      <c r="G13" s="42">
        <f>[0]!ProcessingFee</f>
        <v>436</v>
      </c>
      <c r="H13" s="6" t="s">
        <v>323</v>
      </c>
      <c r="L13" s="17">
        <f>[0]!NotaryFee</f>
        <v>100</v>
      </c>
      <c r="M13" s="10"/>
      <c r="R13" t="s">
        <v>3129</v>
      </c>
      <c r="S13" t="s">
        <v>3130</v>
      </c>
    </row>
    <row r="14" spans="1:20" x14ac:dyDescent="0.25">
      <c r="A14" s="10"/>
      <c r="C14" s="6" t="s">
        <v>358</v>
      </c>
      <c r="G14" s="42">
        <f>[0]!UnderwritingFee</f>
        <v>50</v>
      </c>
      <c r="H14" s="6" t="s">
        <v>324</v>
      </c>
      <c r="L14" s="17">
        <f>[0]!MailingFee</f>
        <v>19</v>
      </c>
      <c r="M14" s="10"/>
      <c r="P14" t="s">
        <v>3125</v>
      </c>
      <c r="R14" s="119">
        <f>ROUNDUP('Regular 30-360 Amortization'!D9,2)</f>
        <v>900</v>
      </c>
    </row>
    <row r="15" spans="1:20" x14ac:dyDescent="0.25">
      <c r="A15" s="10"/>
      <c r="C15" s="43" t="s">
        <v>318</v>
      </c>
      <c r="G15" s="44"/>
      <c r="H15" s="6" t="s">
        <v>325</v>
      </c>
      <c r="L15" s="17">
        <f>[0]!DocumentPreparationFee</f>
        <v>0</v>
      </c>
      <c r="M15" s="10"/>
      <c r="P15" t="s">
        <v>3126</v>
      </c>
      <c r="R15" s="119">
        <f ca="1">OFFSET('Regular 30-360 Amortization'!D15,'Regular 30-360 Amortization'!D8,)</f>
        <v>900</v>
      </c>
    </row>
    <row r="16" spans="1:20" x14ac:dyDescent="0.25">
      <c r="A16" s="10"/>
      <c r="C16" s="6" t="s">
        <v>359</v>
      </c>
      <c r="G16" s="42">
        <f>[0]!FloodFee</f>
        <v>45</v>
      </c>
      <c r="H16" s="6" t="s">
        <v>326</v>
      </c>
      <c r="L16" s="17">
        <f>[0]!TitleCurativeFee</f>
        <v>0</v>
      </c>
      <c r="M16" s="10"/>
      <c r="P16" t="s">
        <v>3128</v>
      </c>
      <c r="R16" s="107">
        <f>'Regular 30-360 Amortization'!D197</f>
        <v>900</v>
      </c>
    </row>
    <row r="17" spans="1:18" x14ac:dyDescent="0.25">
      <c r="A17" s="10"/>
      <c r="C17" s="6" t="s">
        <v>360</v>
      </c>
      <c r="G17" s="42">
        <f>[0]!AssessmentOfValue</f>
        <v>130</v>
      </c>
      <c r="H17" s="6" t="s">
        <v>399</v>
      </c>
      <c r="L17" s="17">
        <f>[0]!ExternalTitleSearch</f>
        <v>0</v>
      </c>
      <c r="M17" s="10"/>
      <c r="P17" t="s">
        <v>3127</v>
      </c>
      <c r="R17" s="107">
        <f>R16 -F27</f>
        <v>756</v>
      </c>
    </row>
    <row r="18" spans="1:18" x14ac:dyDescent="0.25">
      <c r="A18" s="10"/>
      <c r="C18" s="6" t="s">
        <v>361</v>
      </c>
      <c r="G18" s="42">
        <f>[0]!BankruptcySearch</f>
        <v>45</v>
      </c>
      <c r="H18" s="6" t="s">
        <v>400</v>
      </c>
      <c r="L18" s="17">
        <f>[0]!ExternalTitleReview</f>
        <v>25</v>
      </c>
      <c r="M18" s="10"/>
      <c r="Q18" s="44"/>
    </row>
    <row r="19" spans="1:18" x14ac:dyDescent="0.25">
      <c r="A19" s="10"/>
      <c r="C19" s="6" t="s">
        <v>362</v>
      </c>
      <c r="G19" s="42">
        <f>[0]!InternalTitleSearch</f>
        <v>50</v>
      </c>
      <c r="H19" s="6" t="s">
        <v>327</v>
      </c>
      <c r="L19" s="17">
        <f>[0]!RecordingFee</f>
        <v>0</v>
      </c>
      <c r="M19" s="10"/>
      <c r="O19" t="s">
        <v>3214</v>
      </c>
      <c r="Q19" s="44"/>
      <c r="R19" s="119">
        <f>ROUNDUP('Deferred to Maturity 30-360'!D9,2)</f>
        <v>900</v>
      </c>
    </row>
    <row r="20" spans="1:18" x14ac:dyDescent="0.25">
      <c r="A20" s="10"/>
      <c r="C20" s="6" t="s">
        <v>363</v>
      </c>
      <c r="G20" s="42">
        <f>[0]!InternalTitleReview</f>
        <v>0</v>
      </c>
      <c r="H20" s="6"/>
      <c r="L20" s="117">
        <f>SUM(L13:L19)</f>
        <v>144</v>
      </c>
      <c r="M20" s="10"/>
      <c r="O20" t="s">
        <v>3216</v>
      </c>
      <c r="Q20" s="44"/>
      <c r="R20" s="119">
        <f ca="1">OFFSET('Deferred to Maturity 30-360'!D15,'Deferred to Maturity 30-360'!D8,)</f>
        <v>900</v>
      </c>
    </row>
    <row r="21" spans="1:18" x14ac:dyDescent="0.25">
      <c r="A21" s="10"/>
      <c r="C21" s="43" t="s">
        <v>320</v>
      </c>
      <c r="G21" s="45"/>
      <c r="H21" s="6"/>
      <c r="M21" s="10"/>
      <c r="O21" t="s">
        <v>3217</v>
      </c>
      <c r="Q21" s="44"/>
      <c r="R21" s="107">
        <f>'Deferred to Maturity 30-360'!D197</f>
        <v>900</v>
      </c>
    </row>
    <row r="22" spans="1:18" x14ac:dyDescent="0.25">
      <c r="A22" s="10"/>
      <c r="C22" s="6" t="s">
        <v>321</v>
      </c>
      <c r="G22" s="46">
        <f>[0]!CreditAmount</f>
        <v>0</v>
      </c>
      <c r="H22" s="6"/>
      <c r="M22" s="10"/>
      <c r="O22" t="s">
        <v>3215</v>
      </c>
      <c r="Q22" s="44"/>
      <c r="R22" s="107">
        <f>R21 -F27</f>
        <v>756</v>
      </c>
    </row>
    <row r="23" spans="1:18" x14ac:dyDescent="0.25">
      <c r="A23" s="10"/>
      <c r="C23" s="47"/>
      <c r="D23" s="9"/>
      <c r="E23" s="9"/>
      <c r="F23" s="9"/>
      <c r="G23" s="48">
        <f>SUM(G13+G14+G16+G17+G18+G19+G20-G22)</f>
        <v>756</v>
      </c>
      <c r="H23" s="47"/>
      <c r="I23" s="9"/>
      <c r="J23" s="9"/>
      <c r="K23" s="9"/>
      <c r="L23" s="8"/>
      <c r="M23" s="10"/>
      <c r="Q23" s="44"/>
    </row>
    <row r="24" spans="1:18" x14ac:dyDescent="0.25">
      <c r="A24" s="10"/>
      <c r="D24" s="12"/>
      <c r="E24" s="49"/>
      <c r="F24" s="50"/>
      <c r="G24" s="50"/>
      <c r="H24" s="50"/>
      <c r="I24" s="50"/>
      <c r="J24" s="50"/>
      <c r="K24" s="50"/>
      <c r="L24" s="50"/>
      <c r="M24" s="10"/>
    </row>
    <row r="25" spans="1:18" x14ac:dyDescent="0.25">
      <c r="A25" s="10"/>
      <c r="D25" s="51" t="s">
        <v>364</v>
      </c>
      <c r="F25" s="52" t="s">
        <v>365</v>
      </c>
      <c r="H25" s="52" t="s">
        <v>366</v>
      </c>
      <c r="J25" s="53" t="s">
        <v>367</v>
      </c>
      <c r="L25" s="12"/>
      <c r="M25" s="10"/>
    </row>
    <row r="26" spans="1:18" x14ac:dyDescent="0.25">
      <c r="A26" s="10"/>
      <c r="D26" s="54" t="s">
        <v>368</v>
      </c>
      <c r="F26" s="55" t="s">
        <v>369</v>
      </c>
      <c r="G26" s="50"/>
      <c r="H26" s="55" t="s">
        <v>370</v>
      </c>
      <c r="I26" s="12"/>
      <c r="J26" s="55" t="s">
        <v>371</v>
      </c>
      <c r="M26" s="10"/>
    </row>
    <row r="27" spans="1:18" ht="15" customHeight="1" x14ac:dyDescent="0.25">
      <c r="A27" s="10"/>
      <c r="D27" s="56" t="e">
        <f ca="1">(((1+XIRR(OFFSET('New Amort'!$D$14,0,0,'New Amort'!$D$8+2),OFFSET('New Amort'!$C$14,0,0,'New Amort'!$D$8+2)))^(1/12))-1)*12</f>
        <v>#NUM!</v>
      </c>
      <c r="F27" s="122">
        <f>$E$10-$E$8</f>
        <v>144</v>
      </c>
      <c r="H27" s="126">
        <f>$J$27-$F$27</f>
        <v>756</v>
      </c>
      <c r="J27" s="123">
        <f>'New Amort'!$D$197</f>
        <v>900</v>
      </c>
      <c r="L27" s="12"/>
      <c r="M27" s="10"/>
    </row>
    <row r="28" spans="1:18" x14ac:dyDescent="0.25">
      <c r="A28" s="10"/>
      <c r="B28" s="12"/>
      <c r="C28" s="12"/>
      <c r="D28" s="50"/>
      <c r="E28" s="12"/>
      <c r="F28" s="12"/>
      <c r="G28" s="12"/>
      <c r="H28" s="12"/>
      <c r="I28" s="12"/>
      <c r="J28" s="12"/>
      <c r="K28" s="12"/>
      <c r="L28" s="57"/>
      <c r="M28" s="10"/>
    </row>
    <row r="29" spans="1:18" x14ac:dyDescent="0.25">
      <c r="A29" s="10"/>
      <c r="B29" s="10"/>
      <c r="C29" s="10"/>
      <c r="D29" s="10"/>
      <c r="E29" s="10"/>
      <c r="F29" s="10"/>
      <c r="G29" s="10"/>
      <c r="H29" s="10"/>
      <c r="I29" s="10"/>
      <c r="J29" s="10"/>
      <c r="K29" s="10"/>
      <c r="L29" s="10"/>
      <c r="M29" s="10"/>
    </row>
  </sheetData>
  <mergeCells count="22">
    <mergeCell ref="P8:Q8"/>
    <mergeCell ref="P9:Q9"/>
    <mergeCell ref="A2:L2"/>
    <mergeCell ref="C4:D4"/>
    <mergeCell ref="E4:H4"/>
    <mergeCell ref="I4:J4"/>
    <mergeCell ref="C5:D5"/>
    <mergeCell ref="E5:H5"/>
    <mergeCell ref="I5:J5"/>
    <mergeCell ref="F9:G9"/>
    <mergeCell ref="P3:Q3"/>
    <mergeCell ref="P4:Q4"/>
    <mergeCell ref="P5:Q5"/>
    <mergeCell ref="P6:Q6"/>
    <mergeCell ref="P7:Q7"/>
    <mergeCell ref="F10:G10"/>
    <mergeCell ref="C6:D6"/>
    <mergeCell ref="F6:G6"/>
    <mergeCell ref="C7:D7"/>
    <mergeCell ref="F7:G7"/>
    <mergeCell ref="C8:D8"/>
    <mergeCell ref="F8:G8"/>
  </mergeCells>
  <dataValidations count="5">
    <dataValidation type="list" allowBlank="1" showErrorMessage="1" errorTitle="Interest Only Loan" error="Is this an interest only loan?  Enter in only yes or no." promptTitle="Interest Only Loan?" prompt="Type No if this is a normal amortizing loan, or Yes if this is an interest only loan." sqref="H7" xr:uid="{146E4CB1-2A85-4436-986C-872F99FFD89B}">
      <formula1>#REF!</formula1>
    </dataValidation>
    <dataValidation type="list" allowBlank="1" showInputMessage="1" showErrorMessage="1" sqref="C3" xr:uid="{C2596E4A-E7DA-468D-8793-E86DEE2077F8}">
      <formula1>"CREL (interest on interest),Tax Loan"</formula1>
    </dataValidation>
    <dataValidation allowBlank="1" showErrorMessage="1" errorTitle="Loan Interest Rate" error="Enter in the loan's interest rate as a number with decimal point.  For example enter 17.1 for a 17.1% loan." promptTitle="Loan Interest Rate" prompt="Enter a number between 0 and 18." sqref="H6" xr:uid="{2A5EBF08-4BBD-40BF-9338-D559BA6ECD4A}"/>
    <dataValidation type="whole" allowBlank="1" showErrorMessage="1" errorTitle="Loan Term" error="Enter in the number of months this loan will be for, between 0 and 120 months. Enter in only whole numbers (no decimals points)_x000a_" promptTitle="Loan Term in number of Months" prompt="Enter a number between 1 and 120." sqref="H8" xr:uid="{D23A742D-CDD2-4612-9F33-50DD91C303F1}">
      <formula1>0</formula1>
      <formula2>480000</formula2>
    </dataValidation>
    <dataValidation type="decimal" allowBlank="1" showErrorMessage="1" errorTitle="Enter in the New Loan Amount" error="Enter in the total amount of all new loans to be made.  Do NOT include Re-ups on this sheet -- use the Re-Up sheet for that." promptTitle="New Loan Amount" prompt="Enter in the total amount to be loaned out.  This is not for re-ups." sqref="E10" xr:uid="{8AAA9F96-96CC-45FA-AA0F-175D8365DABF}">
      <formula1>0</formula1>
      <formula2>5000000</formula2>
    </dataValidation>
  </dataValidations>
  <pageMargins left="0.7" right="0.7" top="0.75" bottom="0.75" header="0.3" footer="0.3"/>
  <pageSetup orientation="portrait" horizontalDpi="2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lvePayment">
                <anchor moveWithCells="1" sizeWithCells="1">
                  <from>
                    <xdr:col>11</xdr:col>
                    <xdr:colOff>38100</xdr:colOff>
                    <xdr:row>4</xdr:row>
                    <xdr:rowOff>76200</xdr:rowOff>
                  </from>
                  <to>
                    <xdr:col>11</xdr:col>
                    <xdr:colOff>647700</xdr:colOff>
                    <xdr:row>7</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DEAC4-9C0F-4CDB-8B26-CFB2A1CC6B02}">
  <sheetPr codeName="Sheet5"/>
  <dimension ref="A1:S197"/>
  <sheetViews>
    <sheetView workbookViewId="0"/>
  </sheetViews>
  <sheetFormatPr defaultRowHeight="15" x14ac:dyDescent="0.25"/>
  <cols>
    <col min="1" max="1" width="1.28515625" customWidth="1"/>
    <col min="2" max="2" width="4.28515625" bestFit="1" customWidth="1"/>
    <col min="3" max="3" width="14.140625" bestFit="1" customWidth="1"/>
    <col min="4" max="4" width="12.28515625" bestFit="1" customWidth="1"/>
    <col min="5" max="5" width="12.42578125" style="44" customWidth="1"/>
    <col min="6" max="6" width="13.28515625" style="44" bestFit="1" customWidth="1"/>
    <col min="7" max="7" width="14" style="44" customWidth="1"/>
    <col min="8" max="8" width="19.7109375" style="44" bestFit="1" customWidth="1"/>
    <col min="9" max="9" width="16.28515625" style="44" bestFit="1" customWidth="1"/>
    <col min="10" max="10" width="11" style="59" customWidth="1"/>
    <col min="11" max="11" width="5.5703125" style="44" customWidth="1"/>
    <col min="12" max="12" width="11.85546875" style="59" customWidth="1"/>
    <col min="13" max="13" width="2.140625" customWidth="1"/>
    <col min="14" max="14" width="10" style="44" customWidth="1"/>
    <col min="15" max="15" width="3.28515625" style="44" customWidth="1"/>
    <col min="16" max="17" width="11.140625" bestFit="1" customWidth="1"/>
    <col min="18" max="18" width="9.7109375" bestFit="1" customWidth="1"/>
  </cols>
  <sheetData>
    <row r="1" spans="1:19" x14ac:dyDescent="0.25">
      <c r="C1" s="58"/>
      <c r="D1" s="58"/>
      <c r="P1" s="60" t="s">
        <v>372</v>
      </c>
      <c r="Q1" s="58">
        <f ca="1">TODAY()</f>
        <v>43686</v>
      </c>
    </row>
    <row r="2" spans="1:19" ht="23.25" x14ac:dyDescent="0.35">
      <c r="A2" s="658" t="s">
        <v>373</v>
      </c>
      <c r="B2" s="658"/>
      <c r="C2" s="658"/>
      <c r="D2" s="658"/>
      <c r="E2" s="658"/>
      <c r="F2" s="658"/>
      <c r="G2" s="658"/>
      <c r="H2" s="658"/>
      <c r="I2" s="658"/>
      <c r="J2" s="658"/>
      <c r="K2" s="658"/>
      <c r="L2" s="658"/>
      <c r="M2" s="658"/>
      <c r="N2" s="658"/>
      <c r="O2" s="658"/>
      <c r="P2" s="658"/>
    </row>
    <row r="3" spans="1:19" ht="23.25" x14ac:dyDescent="0.35">
      <c r="A3" s="658" t="s">
        <v>374</v>
      </c>
      <c r="B3" s="658"/>
      <c r="C3" s="658"/>
      <c r="D3" s="658"/>
      <c r="E3" s="658"/>
      <c r="F3" s="658"/>
      <c r="G3" s="658"/>
      <c r="H3" s="658"/>
      <c r="I3" s="658"/>
      <c r="J3" s="658"/>
      <c r="K3" s="658"/>
      <c r="L3" s="658"/>
      <c r="M3" s="658"/>
      <c r="N3" s="658"/>
      <c r="O3" s="658"/>
      <c r="P3" s="658"/>
    </row>
    <row r="4" spans="1:19" x14ac:dyDescent="0.25">
      <c r="F4"/>
      <c r="G4"/>
      <c r="H4"/>
      <c r="I4"/>
    </row>
    <row r="5" spans="1:19" x14ac:dyDescent="0.25">
      <c r="C5" s="61" t="s">
        <v>375</v>
      </c>
      <c r="D5" s="62">
        <f>'New Loan'!E10</f>
        <v>900</v>
      </c>
      <c r="F5"/>
      <c r="G5"/>
      <c r="H5"/>
      <c r="I5"/>
      <c r="K5"/>
      <c r="L5" s="63" t="s">
        <v>376</v>
      </c>
      <c r="M5" s="64"/>
      <c r="N5" s="65" t="s">
        <v>1930</v>
      </c>
      <c r="O5" s="65"/>
      <c r="P5" s="41"/>
    </row>
    <row r="6" spans="1:19" x14ac:dyDescent="0.25">
      <c r="C6" s="5" t="s">
        <v>377</v>
      </c>
      <c r="D6" s="66">
        <f>'New Loan'!H6</f>
        <v>0</v>
      </c>
      <c r="F6"/>
      <c r="G6" s="67" t="s">
        <v>378</v>
      </c>
      <c r="H6" s="40"/>
      <c r="I6" s="40"/>
      <c r="J6" s="68">
        <f>'New Loan'!$K$6</f>
        <v>0</v>
      </c>
      <c r="K6"/>
      <c r="L6" s="69" t="s">
        <v>379</v>
      </c>
      <c r="M6" s="70"/>
      <c r="N6" s="44" t="s">
        <v>89</v>
      </c>
      <c r="P6" s="7"/>
    </row>
    <row r="7" spans="1:19" x14ac:dyDescent="0.25">
      <c r="C7" s="71" t="s">
        <v>380</v>
      </c>
      <c r="D7" s="7">
        <f>'New Loan'!H8</f>
        <v>0</v>
      </c>
      <c r="F7"/>
      <c r="G7" s="6" t="s">
        <v>381</v>
      </c>
      <c r="H7"/>
      <c r="I7"/>
      <c r="J7" s="73">
        <f>ROUNDDOWN(12*YEARFRAC('New Loan'!$K$6,'New Loan'!$K$7),0)</f>
        <v>0</v>
      </c>
      <c r="K7"/>
      <c r="L7" s="69" t="s">
        <v>339</v>
      </c>
      <c r="M7" s="70"/>
      <c r="N7" s="44" t="s">
        <v>340</v>
      </c>
      <c r="P7" s="7"/>
      <c r="R7" s="74"/>
      <c r="S7" s="74"/>
    </row>
    <row r="8" spans="1:19" x14ac:dyDescent="0.25">
      <c r="C8" s="71" t="s">
        <v>382</v>
      </c>
      <c r="D8" s="75">
        <f>D7-J7+1</f>
        <v>1</v>
      </c>
      <c r="F8"/>
      <c r="G8" s="47" t="s">
        <v>383</v>
      </c>
      <c r="H8" s="9"/>
      <c r="I8" s="9"/>
      <c r="J8" s="76">
        <f>'New Loan'!$K$7</f>
        <v>0</v>
      </c>
      <c r="K8"/>
      <c r="L8" s="77" t="s">
        <v>336</v>
      </c>
      <c r="M8" s="78"/>
      <c r="N8" s="79" t="s">
        <v>1931</v>
      </c>
      <c r="O8" s="79"/>
      <c r="P8" s="8"/>
      <c r="R8" s="74"/>
      <c r="S8" s="74"/>
    </row>
    <row r="9" spans="1:19" x14ac:dyDescent="0.25">
      <c r="C9" s="80" t="s">
        <v>384</v>
      </c>
      <c r="D9" s="81">
        <v>142.66000000000051</v>
      </c>
      <c r="E9" s="82"/>
      <c r="F9"/>
      <c r="G9"/>
      <c r="H9"/>
      <c r="I9"/>
      <c r="J9" s="83"/>
      <c r="K9"/>
      <c r="L9" s="72"/>
      <c r="M9" s="70"/>
      <c r="R9" s="84">
        <f ca="1">OFFSET(F15,D8,)+OFFSET(G15,D8,)+OFFSET(H15,D8,)-D9</f>
        <v>757.33999999999946</v>
      </c>
      <c r="S9" s="74"/>
    </row>
    <row r="10" spans="1:19" x14ac:dyDescent="0.25">
      <c r="C10" s="85" t="s">
        <v>385</v>
      </c>
      <c r="D10" s="86" t="e">
        <f ca="1">(((1+XIRR(OFFSET($D$14,0,0,$D$8+2),OFFSET($C$14,0,0,$D$8+2)))^(1/12))-1)*12</f>
        <v>#NUM!</v>
      </c>
      <c r="F10"/>
      <c r="K10"/>
      <c r="R10" s="74"/>
      <c r="S10" s="74"/>
    </row>
    <row r="11" spans="1:19" x14ac:dyDescent="0.25">
      <c r="J11"/>
      <c r="K11"/>
      <c r="L11" s="72"/>
      <c r="M11" s="70"/>
    </row>
    <row r="12" spans="1:19" ht="12.75" customHeight="1" x14ac:dyDescent="0.25">
      <c r="B12" s="87" t="s">
        <v>386</v>
      </c>
      <c r="C12" s="124"/>
      <c r="D12" s="124"/>
      <c r="E12" s="87"/>
      <c r="F12" s="88"/>
      <c r="G12" s="88"/>
      <c r="H12" s="88"/>
      <c r="I12" s="88"/>
      <c r="J12" s="89"/>
      <c r="L12" s="87" t="s">
        <v>387</v>
      </c>
      <c r="N12" s="90" t="s">
        <v>388</v>
      </c>
      <c r="O12" s="64"/>
      <c r="P12" s="91" t="s">
        <v>364</v>
      </c>
      <c r="Q12" s="91" t="s">
        <v>364</v>
      </c>
    </row>
    <row r="13" spans="1:19" ht="12.75" customHeight="1" x14ac:dyDescent="0.25">
      <c r="B13" s="92" t="s">
        <v>389</v>
      </c>
      <c r="C13" s="125" t="s">
        <v>372</v>
      </c>
      <c r="D13" s="125" t="s">
        <v>384</v>
      </c>
      <c r="E13" s="93" t="s">
        <v>390</v>
      </c>
      <c r="F13" s="94" t="s">
        <v>391</v>
      </c>
      <c r="G13" s="94" t="s">
        <v>392</v>
      </c>
      <c r="H13" s="94" t="s">
        <v>393</v>
      </c>
      <c r="I13" s="94" t="s">
        <v>394</v>
      </c>
      <c r="J13" s="95"/>
      <c r="L13" s="93" t="s">
        <v>395</v>
      </c>
      <c r="N13" s="96" t="s">
        <v>396</v>
      </c>
      <c r="O13" s="97"/>
      <c r="P13" s="98" t="s">
        <v>397</v>
      </c>
      <c r="Q13" s="98" t="s">
        <v>398</v>
      </c>
    </row>
    <row r="14" spans="1:19" ht="12.75" customHeight="1" x14ac:dyDescent="0.25">
      <c r="B14" s="99"/>
      <c r="C14" s="58">
        <f>J6</f>
        <v>0</v>
      </c>
      <c r="D14" s="100">
        <f>-('New Loan'!$E$6+'New Loan'!$E$7+'New Loan'!$E$9)</f>
        <v>-144</v>
      </c>
      <c r="E14" s="60"/>
      <c r="F14" s="101"/>
      <c r="G14" s="101"/>
      <c r="H14" s="101"/>
      <c r="I14" s="101"/>
      <c r="J14" s="102"/>
      <c r="L14" s="60"/>
      <c r="N14" s="103"/>
      <c r="O14" s="104"/>
      <c r="P14" s="105"/>
      <c r="Q14" s="105"/>
    </row>
    <row r="15" spans="1:19" ht="12.75" customHeight="1" x14ac:dyDescent="0.25">
      <c r="B15">
        <v>0</v>
      </c>
      <c r="C15" s="58" t="e">
        <f>MAX(EDATE(C16,-1),J6)</f>
        <v>#NUM!</v>
      </c>
      <c r="E15" s="101">
        <f>D5</f>
        <v>900</v>
      </c>
      <c r="F15" s="101"/>
      <c r="G15" s="44">
        <v>0</v>
      </c>
      <c r="I15" s="106">
        <f>ROUND(MIN(IF(B16&lt;=$D$7,E16*$D$6*(C15-J6)/365,0)),2)</f>
        <v>0</v>
      </c>
      <c r="L15" s="107">
        <f t="shared" ref="L15:L78" si="0">E15-F15</f>
        <v>900</v>
      </c>
      <c r="N15" s="103"/>
      <c r="O15" s="104"/>
      <c r="P15" s="105"/>
      <c r="Q15" s="105"/>
    </row>
    <row r="16" spans="1:19" ht="12.75" customHeight="1" x14ac:dyDescent="0.25">
      <c r="B16">
        <f t="shared" ref="B16:B79" si="1">B15+1</f>
        <v>1</v>
      </c>
      <c r="C16" s="58">
        <f>J8</f>
        <v>0</v>
      </c>
      <c r="D16" s="44">
        <f>IF(B16=$D$8,L15+G16+H16,IF(B16&gt;$D$8,0,ROUNDUP($D$9,2)))</f>
        <v>900</v>
      </c>
      <c r="E16" s="44">
        <f t="shared" ref="E16:E79" si="2">L15</f>
        <v>900</v>
      </c>
      <c r="F16" s="44">
        <f t="shared" ref="F16:F79" si="3">ROUND(IFERROR(MIN(MAX(D16-H16-G16,0),L15),0),2)</f>
        <v>900</v>
      </c>
      <c r="G16" s="106">
        <f>ROUND(IFERROR((IF(B16&lt;=$D$8,(E16+IF('New Loan'!$C$3&lt;&gt;"Tax Loan",I15,0))*$D$6*(C16-C15)/365,0)),0),2)</f>
        <v>0</v>
      </c>
      <c r="H16" s="106">
        <f>ROUND(IF(B16&lt;$D$8,MIN(I15,D16-G16),IF(B16=$D$8,$I$15-SUM($H$15:$H15),0)),2)</f>
        <v>0</v>
      </c>
      <c r="I16" s="44">
        <f>I15-H16</f>
        <v>0</v>
      </c>
      <c r="J16" s="107"/>
      <c r="L16" s="107">
        <f t="shared" si="0"/>
        <v>0</v>
      </c>
      <c r="N16" s="72">
        <f t="shared" ref="N16:N79" si="4">F16/$D$5</f>
        <v>1</v>
      </c>
      <c r="O16" s="70"/>
      <c r="P16" s="44">
        <f>IFERROR(IF(MONTH($C16)=MONTH($J$6),SUMIFS(F$15:F16,$C$15:$C16,"&gt;"&amp;EOMONTH($C16,-12)),""),"")</f>
        <v>0</v>
      </c>
      <c r="Q16" s="44">
        <f>IFERROR(IF(MONTH($C16)=MONTH($J$6),SUMIFS(G$15:G16,$C$15:$C16,"&gt;"&amp;EOMONTH($C16,-12))+SUMIFS(H$15:H16,$C$15:$C16,"&gt;"&amp;EOMONTH($C16,-12)),""),"")</f>
        <v>0</v>
      </c>
    </row>
    <row r="17" spans="2:17" ht="12.75" customHeight="1" x14ac:dyDescent="0.25">
      <c r="B17">
        <f>B16+1</f>
        <v>2</v>
      </c>
      <c r="C17" s="58" t="str">
        <f t="shared" ref="C17:C80" si="5">IF(L16&lt;=0,"",EDATE($J$8,B17-1))</f>
        <v/>
      </c>
      <c r="D17" s="44">
        <f t="shared" ref="D17:D79" si="6">IF(B17=$D$8,L16+G17+H17,IF(B17&gt;$D$8,0,ROUNDUP($D$9,2)))</f>
        <v>0</v>
      </c>
      <c r="E17" s="107">
        <f t="shared" si="2"/>
        <v>0</v>
      </c>
      <c r="F17" s="44">
        <f t="shared" si="3"/>
        <v>0</v>
      </c>
      <c r="G17" s="106">
        <f>ROUND(IFERROR((IF(B17&lt;=$D$8,(E17+IF('New Loan'!$C$3&lt;&gt;"Tax Loan",I16,0))*$D$6*(C17-C16)/365,0)),0),2)</f>
        <v>0</v>
      </c>
      <c r="H17" s="106">
        <f>ROUND(IF(B17&lt;$D$8,MIN(I16,D17-G17),IF(B17=$D$8,$I$15-SUM($H$15:$H16),0)),2)</f>
        <v>0</v>
      </c>
      <c r="I17" s="44">
        <f t="shared" ref="I17:I80" si="7">I16-H17</f>
        <v>0</v>
      </c>
      <c r="J17" s="107"/>
      <c r="L17" s="107">
        <f t="shared" si="0"/>
        <v>0</v>
      </c>
      <c r="N17" s="72">
        <f t="shared" si="4"/>
        <v>0</v>
      </c>
      <c r="O17" s="70"/>
      <c r="P17" s="44" t="str">
        <f>IFERROR(IF(MONTH($C17)=MONTH($J$6),SUMIFS(F$15:F17,$C$15:$C17,"&gt;"&amp;EOMONTH($C17,-12)),""),"")</f>
        <v/>
      </c>
      <c r="Q17" s="44" t="str">
        <f>IFERROR(IF(MONTH($C17)=MONTH($J$6),SUMIFS(G$15:G17,$C$15:$C17,"&gt;"&amp;EOMONTH($C17,-12))+SUMIFS(H$15:H17,$C$15:$C17,"&gt;"&amp;EOMONTH($C17,-12)),""),"")</f>
        <v/>
      </c>
    </row>
    <row r="18" spans="2:17" ht="12.75" customHeight="1" x14ac:dyDescent="0.25">
      <c r="B18">
        <f t="shared" si="1"/>
        <v>3</v>
      </c>
      <c r="C18" s="58" t="str">
        <f t="shared" si="5"/>
        <v/>
      </c>
      <c r="D18" s="44">
        <f t="shared" si="6"/>
        <v>0</v>
      </c>
      <c r="E18" s="107">
        <f t="shared" si="2"/>
        <v>0</v>
      </c>
      <c r="F18" s="44">
        <f t="shared" si="3"/>
        <v>0</v>
      </c>
      <c r="G18" s="106">
        <f>ROUND(IFERROR((IF(B18&lt;=$D$8,(E18+IF('New Loan'!$C$3&lt;&gt;"Tax Loan",I17,0))*$D$6*(C18-C17)/365,0)),0),2)</f>
        <v>0</v>
      </c>
      <c r="H18" s="106">
        <f>ROUND(IF(B18&lt;$D$8,MIN(I17,D18-G18),IF(B18=$D$8,$I$15-SUM($H$15:$H17),0)),2)</f>
        <v>0</v>
      </c>
      <c r="I18" s="44">
        <f t="shared" si="7"/>
        <v>0</v>
      </c>
      <c r="J18" s="107"/>
      <c r="L18" s="107">
        <f t="shared" si="0"/>
        <v>0</v>
      </c>
      <c r="N18" s="72">
        <f t="shared" si="4"/>
        <v>0</v>
      </c>
      <c r="O18" s="70"/>
      <c r="P18" s="44" t="str">
        <f>IFERROR(IF(MONTH($C18)=MONTH($J$6),SUMIFS(F$15:F18,$C$15:$C18,"&gt;"&amp;EOMONTH($C18,-12)),""),"")</f>
        <v/>
      </c>
      <c r="Q18" s="44" t="str">
        <f>IFERROR(IF(MONTH($C18)=MONTH($J$6),SUMIFS(G$15:G18,$C$15:$C18,"&gt;"&amp;EOMONTH($C18,-12))+SUMIFS(H$15:H18,$C$15:$C18,"&gt;"&amp;EOMONTH($C18,-12)),""),"")</f>
        <v/>
      </c>
    </row>
    <row r="19" spans="2:17" ht="12.75" customHeight="1" x14ac:dyDescent="0.25">
      <c r="B19">
        <f t="shared" si="1"/>
        <v>4</v>
      </c>
      <c r="C19" s="58" t="str">
        <f t="shared" si="5"/>
        <v/>
      </c>
      <c r="D19" s="44">
        <f t="shared" si="6"/>
        <v>0</v>
      </c>
      <c r="E19" s="107">
        <f t="shared" si="2"/>
        <v>0</v>
      </c>
      <c r="F19" s="44">
        <f t="shared" si="3"/>
        <v>0</v>
      </c>
      <c r="G19" s="106">
        <f>ROUND(IFERROR((IF(B19&lt;=$D$8,(E19+IF('New Loan'!$C$3&lt;&gt;"Tax Loan",I18,0))*$D$6*(C19-C18)/365,0)),0),2)</f>
        <v>0</v>
      </c>
      <c r="H19" s="106">
        <f>ROUND(IF(B19&lt;$D$8,MIN(I18,D19-G19),IF(B19=$D$8,$I$15-SUM($H$15:$H18),0)),2)</f>
        <v>0</v>
      </c>
      <c r="I19" s="44">
        <f t="shared" si="7"/>
        <v>0</v>
      </c>
      <c r="J19" s="107"/>
      <c r="L19" s="107">
        <f t="shared" si="0"/>
        <v>0</v>
      </c>
      <c r="N19" s="72">
        <f t="shared" si="4"/>
        <v>0</v>
      </c>
      <c r="O19" s="70"/>
      <c r="P19" s="44" t="str">
        <f>IFERROR(IF(MONTH($C19)=MONTH($J$6),SUMIFS(F$15:F19,$C$15:$C19,"&gt;"&amp;EOMONTH($C19,-12)),""),"")</f>
        <v/>
      </c>
      <c r="Q19" s="44" t="str">
        <f>IFERROR(IF(MONTH($C19)=MONTH($J$6),SUMIFS(G$15:G19,$C$15:$C19,"&gt;"&amp;EOMONTH($C19,-12))+SUMIFS(H$15:H19,$C$15:$C19,"&gt;"&amp;EOMONTH($C19,-12)),""),"")</f>
        <v/>
      </c>
    </row>
    <row r="20" spans="2:17" ht="12.75" customHeight="1" x14ac:dyDescent="0.25">
      <c r="B20">
        <f t="shared" si="1"/>
        <v>5</v>
      </c>
      <c r="C20" s="58" t="str">
        <f t="shared" si="5"/>
        <v/>
      </c>
      <c r="D20" s="44">
        <f t="shared" si="6"/>
        <v>0</v>
      </c>
      <c r="E20" s="107">
        <f t="shared" si="2"/>
        <v>0</v>
      </c>
      <c r="F20" s="44">
        <f t="shared" si="3"/>
        <v>0</v>
      </c>
      <c r="G20" s="106">
        <f>ROUND(IFERROR((IF(B20&lt;=$D$8,(E20+IF('New Loan'!$C$3&lt;&gt;"Tax Loan",I19,0))*$D$6*(C20-C19)/365,0)),0),2)</f>
        <v>0</v>
      </c>
      <c r="H20" s="106">
        <f>ROUND(IF(B20&lt;$D$8,MIN(I19,D20-G20),IF(B20=$D$8,$I$15-SUM($H$15:$H19),0)),2)</f>
        <v>0</v>
      </c>
      <c r="I20" s="44">
        <f t="shared" si="7"/>
        <v>0</v>
      </c>
      <c r="J20" s="107"/>
      <c r="L20" s="107">
        <f t="shared" si="0"/>
        <v>0</v>
      </c>
      <c r="N20" s="72">
        <f t="shared" si="4"/>
        <v>0</v>
      </c>
      <c r="O20" s="70"/>
      <c r="P20" s="44" t="str">
        <f>IFERROR(IF(MONTH($C20)=MONTH($J$6),SUMIFS(F$15:F20,$C$15:$C20,"&gt;"&amp;EOMONTH($C20,-12)),""),"")</f>
        <v/>
      </c>
      <c r="Q20" s="44" t="str">
        <f>IFERROR(IF(MONTH($C20)=MONTH($J$6),SUMIFS(G$15:G20,$C$15:$C20,"&gt;"&amp;EOMONTH($C20,-12))+SUMIFS(H$15:H20,$C$15:$C20,"&gt;"&amp;EOMONTH($C20,-12)),""),"")</f>
        <v/>
      </c>
    </row>
    <row r="21" spans="2:17" ht="12.75" customHeight="1" x14ac:dyDescent="0.25">
      <c r="B21">
        <f t="shared" si="1"/>
        <v>6</v>
      </c>
      <c r="C21" s="58" t="str">
        <f t="shared" si="5"/>
        <v/>
      </c>
      <c r="D21" s="44">
        <f t="shared" si="6"/>
        <v>0</v>
      </c>
      <c r="E21" s="107">
        <f t="shared" si="2"/>
        <v>0</v>
      </c>
      <c r="F21" s="44">
        <f t="shared" si="3"/>
        <v>0</v>
      </c>
      <c r="G21" s="106">
        <f>ROUND(IFERROR((IF(B21&lt;=$D$8,(E21+IF('New Loan'!$C$3&lt;&gt;"Tax Loan",I20,0))*$D$6*(C21-C20)/365,0)),0),2)</f>
        <v>0</v>
      </c>
      <c r="H21" s="106">
        <f>ROUND(IF(B21&lt;$D$8,MIN(I20,D21-G21),IF(B21=$D$8,$I$15-SUM($H$15:$H20),0)),2)</f>
        <v>0</v>
      </c>
      <c r="I21" s="44">
        <f t="shared" si="7"/>
        <v>0</v>
      </c>
      <c r="J21" s="107"/>
      <c r="L21" s="107">
        <f t="shared" si="0"/>
        <v>0</v>
      </c>
      <c r="N21" s="72">
        <f t="shared" si="4"/>
        <v>0</v>
      </c>
      <c r="O21" s="70"/>
      <c r="P21" s="44" t="str">
        <f>IFERROR(IF(MONTH($C21)=MONTH($J$6),SUMIFS(F$15:F21,$C$15:$C21,"&gt;"&amp;EOMONTH($C21,-12)),""),"")</f>
        <v/>
      </c>
      <c r="Q21" s="44" t="str">
        <f>IFERROR(IF(MONTH($C21)=MONTH($J$6),SUMIFS(G$15:G21,$C$15:$C21,"&gt;"&amp;EOMONTH($C21,-12))+SUMIFS(H$15:H21,$C$15:$C21,"&gt;"&amp;EOMONTH($C21,-12)),""),"")</f>
        <v/>
      </c>
    </row>
    <row r="22" spans="2:17" ht="12.75" customHeight="1" x14ac:dyDescent="0.25">
      <c r="B22">
        <f t="shared" si="1"/>
        <v>7</v>
      </c>
      <c r="C22" s="58" t="str">
        <f t="shared" si="5"/>
        <v/>
      </c>
      <c r="D22" s="44">
        <f t="shared" si="6"/>
        <v>0</v>
      </c>
      <c r="E22" s="107">
        <f t="shared" si="2"/>
        <v>0</v>
      </c>
      <c r="F22" s="44">
        <f t="shared" si="3"/>
        <v>0</v>
      </c>
      <c r="G22" s="106">
        <f>ROUND(IFERROR((IF(B22&lt;=$D$8,(E22+IF('New Loan'!$C$3&lt;&gt;"Tax Loan",I21,0))*$D$6*(C22-C21)/365,0)),0),2)</f>
        <v>0</v>
      </c>
      <c r="H22" s="106">
        <f>ROUND(IF(B22&lt;$D$8,MIN(I21,D22-G22),IF(B22=$D$8,$I$15-SUM($H$15:$H21),0)),2)</f>
        <v>0</v>
      </c>
      <c r="I22" s="44">
        <f t="shared" si="7"/>
        <v>0</v>
      </c>
      <c r="J22" s="107"/>
      <c r="L22" s="107">
        <f t="shared" si="0"/>
        <v>0</v>
      </c>
      <c r="N22" s="72">
        <f t="shared" si="4"/>
        <v>0</v>
      </c>
      <c r="O22" s="70"/>
      <c r="P22" s="44" t="str">
        <f>IFERROR(IF(MONTH($C22)=MONTH($J$6),SUMIFS(F$15:F22,$C$15:$C22,"&gt;"&amp;EOMONTH($C22,-12)),""),"")</f>
        <v/>
      </c>
      <c r="Q22" s="44" t="str">
        <f>IFERROR(IF(MONTH($C22)=MONTH($J$6),SUMIFS(G$15:G22,$C$15:$C22,"&gt;"&amp;EOMONTH($C22,-12))+SUMIFS(H$15:H22,$C$15:$C22,"&gt;"&amp;EOMONTH($C22,-12)),""),"")</f>
        <v/>
      </c>
    </row>
    <row r="23" spans="2:17" ht="12.75" customHeight="1" x14ac:dyDescent="0.25">
      <c r="B23">
        <f t="shared" si="1"/>
        <v>8</v>
      </c>
      <c r="C23" s="58" t="str">
        <f t="shared" si="5"/>
        <v/>
      </c>
      <c r="D23" s="44">
        <f t="shared" si="6"/>
        <v>0</v>
      </c>
      <c r="E23" s="107">
        <f t="shared" si="2"/>
        <v>0</v>
      </c>
      <c r="F23" s="44">
        <f t="shared" si="3"/>
        <v>0</v>
      </c>
      <c r="G23" s="106">
        <f>ROUND(IFERROR((IF(B23&lt;=$D$8,(E23+IF('New Loan'!$C$3&lt;&gt;"Tax Loan",I22,0))*$D$6*(C23-C22)/365,0)),0),2)</f>
        <v>0</v>
      </c>
      <c r="H23" s="106">
        <f>ROUND(IF(B23&lt;$D$8,MIN(I22,D23-G23),IF(B23=$D$8,$I$15-SUM($H$15:$H22),0)),2)</f>
        <v>0</v>
      </c>
      <c r="I23" s="44">
        <f t="shared" si="7"/>
        <v>0</v>
      </c>
      <c r="J23" s="107"/>
      <c r="L23" s="107">
        <f t="shared" si="0"/>
        <v>0</v>
      </c>
      <c r="N23" s="72">
        <f t="shared" si="4"/>
        <v>0</v>
      </c>
      <c r="O23" s="70"/>
      <c r="P23" s="44" t="str">
        <f>IFERROR(IF(MONTH($C23)=MONTH($J$6),SUMIFS(F$15:F23,$C$15:$C23,"&gt;"&amp;EOMONTH($C23,-12)),""),"")</f>
        <v/>
      </c>
      <c r="Q23" s="44" t="str">
        <f>IFERROR(IF(MONTH($C23)=MONTH($J$6),SUMIFS(G$15:G23,$C$15:$C23,"&gt;"&amp;EOMONTH($C23,-12))+SUMIFS(H$15:H23,$C$15:$C23,"&gt;"&amp;EOMONTH($C23,-12)),""),"")</f>
        <v/>
      </c>
    </row>
    <row r="24" spans="2:17" ht="12.75" customHeight="1" x14ac:dyDescent="0.25">
      <c r="B24">
        <f t="shared" si="1"/>
        <v>9</v>
      </c>
      <c r="C24" s="58" t="str">
        <f t="shared" si="5"/>
        <v/>
      </c>
      <c r="D24" s="44">
        <f t="shared" si="6"/>
        <v>0</v>
      </c>
      <c r="E24" s="107">
        <f t="shared" si="2"/>
        <v>0</v>
      </c>
      <c r="F24" s="44">
        <f t="shared" si="3"/>
        <v>0</v>
      </c>
      <c r="G24" s="106">
        <f>ROUND(IFERROR((IF(B24&lt;=$D$8,(E24+IF('New Loan'!$C$3&lt;&gt;"Tax Loan",I23,0))*$D$6*(C24-C23)/365,0)),0),2)</f>
        <v>0</v>
      </c>
      <c r="H24" s="106">
        <f>ROUND(IF(B24&lt;$D$8,MIN(I23,D24-G24),IF(B24=$D$8,$I$15-SUM($H$15:$H23),0)),2)</f>
        <v>0</v>
      </c>
      <c r="I24" s="44">
        <f t="shared" si="7"/>
        <v>0</v>
      </c>
      <c r="J24" s="107"/>
      <c r="L24" s="107">
        <f t="shared" si="0"/>
        <v>0</v>
      </c>
      <c r="N24" s="72">
        <f t="shared" si="4"/>
        <v>0</v>
      </c>
      <c r="O24" s="70"/>
      <c r="P24" s="44" t="str">
        <f>IFERROR(IF(MONTH($C24)=MONTH($J$6),SUMIFS(F$15:F24,$C$15:$C24,"&gt;"&amp;EOMONTH($C24,-12)),""),"")</f>
        <v/>
      </c>
      <c r="Q24" s="44" t="str">
        <f>IFERROR(IF(MONTH($C24)=MONTH($J$6),SUMIFS(G$15:G24,$C$15:$C24,"&gt;"&amp;EOMONTH($C24,-12))+SUMIFS(H$15:H24,$C$15:$C24,"&gt;"&amp;EOMONTH($C24,-12)),""),"")</f>
        <v/>
      </c>
    </row>
    <row r="25" spans="2:17" ht="12.75" customHeight="1" x14ac:dyDescent="0.25">
      <c r="B25">
        <f t="shared" si="1"/>
        <v>10</v>
      </c>
      <c r="C25" s="58" t="str">
        <f t="shared" si="5"/>
        <v/>
      </c>
      <c r="D25" s="44">
        <f t="shared" si="6"/>
        <v>0</v>
      </c>
      <c r="E25" s="107">
        <f t="shared" si="2"/>
        <v>0</v>
      </c>
      <c r="F25" s="44">
        <f t="shared" si="3"/>
        <v>0</v>
      </c>
      <c r="G25" s="106">
        <f>ROUND(IFERROR((IF(B25&lt;=$D$8,(E25+IF('New Loan'!$C$3&lt;&gt;"Tax Loan",I24,0))*$D$6*(C25-C24)/365,0)),0),2)</f>
        <v>0</v>
      </c>
      <c r="H25" s="106">
        <f>ROUND(IF(B25&lt;$D$8,MIN(I24,D25-G25),IF(B25=$D$8,$I$15-SUM($H$15:$H24),0)),2)</f>
        <v>0</v>
      </c>
      <c r="I25" s="44">
        <f t="shared" si="7"/>
        <v>0</v>
      </c>
      <c r="J25" s="107"/>
      <c r="L25" s="107">
        <f t="shared" si="0"/>
        <v>0</v>
      </c>
      <c r="N25" s="72">
        <f t="shared" si="4"/>
        <v>0</v>
      </c>
      <c r="O25" s="70"/>
      <c r="P25" s="44" t="str">
        <f>IFERROR(IF(MONTH($C25)=MONTH($J$6),SUMIFS(F$15:F25,$C$15:$C25,"&gt;"&amp;EOMONTH($C25,-12)),""),"")</f>
        <v/>
      </c>
      <c r="Q25" s="44" t="str">
        <f>IFERROR(IF(MONTH($C25)=MONTH($J$6),SUMIFS(G$15:G25,$C$15:$C25,"&gt;"&amp;EOMONTH($C25,-12))+SUMIFS(H$15:H25,$C$15:$C25,"&gt;"&amp;EOMONTH($C25,-12)),""),"")</f>
        <v/>
      </c>
    </row>
    <row r="26" spans="2:17" ht="12.75" customHeight="1" x14ac:dyDescent="0.25">
      <c r="B26">
        <f t="shared" si="1"/>
        <v>11</v>
      </c>
      <c r="C26" s="58" t="str">
        <f t="shared" si="5"/>
        <v/>
      </c>
      <c r="D26" s="44">
        <f t="shared" si="6"/>
        <v>0</v>
      </c>
      <c r="E26" s="107">
        <f t="shared" si="2"/>
        <v>0</v>
      </c>
      <c r="F26" s="44">
        <f t="shared" si="3"/>
        <v>0</v>
      </c>
      <c r="G26" s="106">
        <f>ROUND(IFERROR((IF(B26&lt;=$D$8,(E26+IF('New Loan'!$C$3&lt;&gt;"Tax Loan",I25,0))*$D$6*(C26-C25)/365,0)),0),2)</f>
        <v>0</v>
      </c>
      <c r="H26" s="106">
        <f>ROUND(IF(B26&lt;$D$8,MIN(I25,D26-G26),IF(B26=$D$8,$I$15-SUM($H$15:$H25),0)),2)</f>
        <v>0</v>
      </c>
      <c r="I26" s="44">
        <f t="shared" si="7"/>
        <v>0</v>
      </c>
      <c r="J26" s="107"/>
      <c r="L26" s="107">
        <f t="shared" si="0"/>
        <v>0</v>
      </c>
      <c r="N26" s="72">
        <f t="shared" si="4"/>
        <v>0</v>
      </c>
      <c r="O26" s="70"/>
      <c r="P26" s="44" t="str">
        <f>IFERROR(IF(MONTH($C26)=MONTH($J$6),SUMIFS(F$15:F26,$C$15:$C26,"&gt;"&amp;EOMONTH($C26,-12)),""),"")</f>
        <v/>
      </c>
      <c r="Q26" s="44" t="str">
        <f>IFERROR(IF(MONTH($C26)=MONTH($J$6),SUMIFS(G$15:G26,$C$15:$C26,"&gt;"&amp;EOMONTH($C26,-12))+SUMIFS(H$15:H26,$C$15:$C26,"&gt;"&amp;EOMONTH($C26,-12)),""),"")</f>
        <v/>
      </c>
    </row>
    <row r="27" spans="2:17" ht="12.75" customHeight="1" x14ac:dyDescent="0.25">
      <c r="B27">
        <f t="shared" si="1"/>
        <v>12</v>
      </c>
      <c r="C27" s="58" t="str">
        <f t="shared" si="5"/>
        <v/>
      </c>
      <c r="D27" s="44">
        <f t="shared" si="6"/>
        <v>0</v>
      </c>
      <c r="E27" s="107">
        <f t="shared" si="2"/>
        <v>0</v>
      </c>
      <c r="F27" s="44">
        <f t="shared" si="3"/>
        <v>0</v>
      </c>
      <c r="G27" s="106">
        <f>ROUND(IFERROR((IF(B27&lt;=$D$8,(E27+IF('New Loan'!$C$3&lt;&gt;"Tax Loan",I26,0))*$D$6*(C27-C26)/365,0)),0),2)</f>
        <v>0</v>
      </c>
      <c r="H27" s="106">
        <f>ROUND(IF(B27&lt;$D$8,MIN(I26,D27-G27),IF(B27=$D$8,$I$15-SUM($H$15:$H26),0)),2)</f>
        <v>0</v>
      </c>
      <c r="I27" s="44">
        <f t="shared" si="7"/>
        <v>0</v>
      </c>
      <c r="J27" s="107"/>
      <c r="L27" s="107">
        <f t="shared" si="0"/>
        <v>0</v>
      </c>
      <c r="N27" s="72">
        <f t="shared" si="4"/>
        <v>0</v>
      </c>
      <c r="O27" s="70"/>
      <c r="P27" s="44" t="str">
        <f>IFERROR(IF(MONTH($C27)=MONTH($J$6),SUMIFS(F$15:F27,$C$15:$C27,"&gt;"&amp;EOMONTH($C27,-12)),""),"")</f>
        <v/>
      </c>
      <c r="Q27" s="44" t="str">
        <f>IFERROR(IF(MONTH($C27)=MONTH($J$6),SUMIFS(G$15:G27,$C$15:$C27,"&gt;"&amp;EOMONTH($C27,-12))+SUMIFS(H$15:H27,$C$15:$C27,"&gt;"&amp;EOMONTH($C27,-12)),""),"")</f>
        <v/>
      </c>
    </row>
    <row r="28" spans="2:17" ht="12.75" customHeight="1" x14ac:dyDescent="0.25">
      <c r="B28">
        <f t="shared" si="1"/>
        <v>13</v>
      </c>
      <c r="C28" s="58" t="str">
        <f t="shared" si="5"/>
        <v/>
      </c>
      <c r="D28" s="44">
        <f t="shared" si="6"/>
        <v>0</v>
      </c>
      <c r="E28" s="107">
        <f t="shared" si="2"/>
        <v>0</v>
      </c>
      <c r="F28" s="44">
        <f t="shared" si="3"/>
        <v>0</v>
      </c>
      <c r="G28" s="106">
        <f>ROUND(IFERROR((IF(B28&lt;=$D$8,(E28+IF('New Loan'!$C$3&lt;&gt;"Tax Loan",I27,0))*$D$6*(C28-C27)/365,0)),0),2)</f>
        <v>0</v>
      </c>
      <c r="H28" s="106">
        <f>ROUND(IF(B28&lt;$D$8,MIN(I27,D28-G28),IF(B28=$D$8,$I$15-SUM($H$15:$H27),0)),2)</f>
        <v>0</v>
      </c>
      <c r="I28" s="44">
        <f t="shared" si="7"/>
        <v>0</v>
      </c>
      <c r="J28" s="107"/>
      <c r="L28" s="107">
        <f t="shared" si="0"/>
        <v>0</v>
      </c>
      <c r="N28" s="72">
        <f t="shared" si="4"/>
        <v>0</v>
      </c>
      <c r="O28" s="70"/>
      <c r="P28" s="44" t="str">
        <f>IFERROR(IF(MONTH($C28)=MONTH($J$6),SUMIFS(F$15:F28,$C$15:$C28,"&gt;"&amp;EOMONTH($C28,-12)),""),"")</f>
        <v/>
      </c>
      <c r="Q28" s="44" t="str">
        <f>IFERROR(IF(MONTH($C28)=MONTH($J$6),SUMIFS(G$15:G28,$C$15:$C28,"&gt;"&amp;EOMONTH($C28,-12))+SUMIFS(H$15:H28,$C$15:$C28,"&gt;"&amp;EOMONTH($C28,-12)),""),"")</f>
        <v/>
      </c>
    </row>
    <row r="29" spans="2:17" ht="12.75" customHeight="1" x14ac:dyDescent="0.25">
      <c r="B29">
        <f t="shared" si="1"/>
        <v>14</v>
      </c>
      <c r="C29" s="58" t="str">
        <f t="shared" si="5"/>
        <v/>
      </c>
      <c r="D29" s="44">
        <f t="shared" si="6"/>
        <v>0</v>
      </c>
      <c r="E29" s="107">
        <f t="shared" si="2"/>
        <v>0</v>
      </c>
      <c r="F29" s="44">
        <f t="shared" si="3"/>
        <v>0</v>
      </c>
      <c r="G29" s="106">
        <f>ROUND(IFERROR((IF(B29&lt;=$D$8,(E29+IF('New Loan'!$C$3&lt;&gt;"Tax Loan",I28,0))*$D$6*(C29-C28)/365,0)),0),2)</f>
        <v>0</v>
      </c>
      <c r="H29" s="106">
        <f>ROUND(IF(B29&lt;$D$8,MIN(I28,D29-G29),IF(B29=$D$8,$I$15-SUM($H$15:$H28),0)),2)</f>
        <v>0</v>
      </c>
      <c r="I29" s="44">
        <f t="shared" si="7"/>
        <v>0</v>
      </c>
      <c r="J29" s="107"/>
      <c r="L29" s="107">
        <f t="shared" si="0"/>
        <v>0</v>
      </c>
      <c r="N29" s="72">
        <f t="shared" si="4"/>
        <v>0</v>
      </c>
      <c r="O29" s="70"/>
      <c r="P29" s="44" t="str">
        <f>IFERROR(IF(MONTH($C29)=MONTH($J$6),SUMIFS(F$15:F29,$C$15:$C29,"&gt;"&amp;EOMONTH($C29,-12)),""),"")</f>
        <v/>
      </c>
      <c r="Q29" s="44" t="str">
        <f>IFERROR(IF(MONTH($C29)=MONTH($J$6),SUMIFS(G$15:G29,$C$15:$C29,"&gt;"&amp;EOMONTH($C29,-12))+SUMIFS(H$15:H29,$C$15:$C29,"&gt;"&amp;EOMONTH($C29,-12)),""),"")</f>
        <v/>
      </c>
    </row>
    <row r="30" spans="2:17" ht="12.75" customHeight="1" x14ac:dyDescent="0.25">
      <c r="B30">
        <f t="shared" si="1"/>
        <v>15</v>
      </c>
      <c r="C30" s="58" t="str">
        <f t="shared" si="5"/>
        <v/>
      </c>
      <c r="D30" s="44">
        <f t="shared" si="6"/>
        <v>0</v>
      </c>
      <c r="E30" s="107">
        <f t="shared" si="2"/>
        <v>0</v>
      </c>
      <c r="F30" s="44">
        <f t="shared" si="3"/>
        <v>0</v>
      </c>
      <c r="G30" s="106">
        <f>ROUND(IFERROR((IF(B30&lt;=$D$8,(E30+IF('New Loan'!$C$3&lt;&gt;"Tax Loan",I29,0))*$D$6*(C30-C29)/365,0)),0),2)</f>
        <v>0</v>
      </c>
      <c r="H30" s="106">
        <f>ROUND(IF(B30&lt;$D$8,MIN(I29,D30-G30),IF(B30=$D$8,$I$15-SUM($H$15:$H29),0)),2)</f>
        <v>0</v>
      </c>
      <c r="I30" s="44">
        <f t="shared" si="7"/>
        <v>0</v>
      </c>
      <c r="J30" s="107"/>
      <c r="L30" s="107">
        <f t="shared" si="0"/>
        <v>0</v>
      </c>
      <c r="N30" s="72">
        <f t="shared" si="4"/>
        <v>0</v>
      </c>
      <c r="O30" s="70"/>
      <c r="P30" s="44" t="str">
        <f>IFERROR(IF(MONTH($C30)=MONTH($J$6),SUMIFS(F$15:F30,$C$15:$C30,"&gt;"&amp;EOMONTH($C30,-12)),""),"")</f>
        <v/>
      </c>
      <c r="Q30" s="44" t="str">
        <f>IFERROR(IF(MONTH($C30)=MONTH($J$6),SUMIFS(G$15:G30,$C$15:$C30,"&gt;"&amp;EOMONTH($C30,-12))+SUMIFS(H$15:H30,$C$15:$C30,"&gt;"&amp;EOMONTH($C30,-12)),""),"")</f>
        <v/>
      </c>
    </row>
    <row r="31" spans="2:17" ht="12.75" customHeight="1" x14ac:dyDescent="0.25">
      <c r="B31">
        <f t="shared" si="1"/>
        <v>16</v>
      </c>
      <c r="C31" s="58" t="str">
        <f t="shared" si="5"/>
        <v/>
      </c>
      <c r="D31" s="44">
        <f t="shared" si="6"/>
        <v>0</v>
      </c>
      <c r="E31" s="107">
        <f t="shared" si="2"/>
        <v>0</v>
      </c>
      <c r="F31" s="44">
        <f t="shared" si="3"/>
        <v>0</v>
      </c>
      <c r="G31" s="106">
        <f>ROUND(IFERROR((IF(B31&lt;=$D$8,(E31+IF('New Loan'!$C$3&lt;&gt;"Tax Loan",I30,0))*$D$6*(C31-C30)/365,0)),0),2)</f>
        <v>0</v>
      </c>
      <c r="H31" s="106">
        <f>ROUND(IF(B31&lt;$D$8,MIN(I30,D31-G31),IF(B31=$D$8,$I$15-SUM($H$15:$H30),0)),2)</f>
        <v>0</v>
      </c>
      <c r="I31" s="44">
        <f t="shared" si="7"/>
        <v>0</v>
      </c>
      <c r="J31" s="107"/>
      <c r="L31" s="107">
        <f t="shared" si="0"/>
        <v>0</v>
      </c>
      <c r="N31" s="72">
        <f t="shared" si="4"/>
        <v>0</v>
      </c>
      <c r="O31" s="70"/>
      <c r="P31" s="44" t="str">
        <f>IFERROR(IF(MONTH($C31)=MONTH($J$6),SUMIFS(F$15:F31,$C$15:$C31,"&gt;"&amp;EOMONTH($C31,-12)),""),"")</f>
        <v/>
      </c>
      <c r="Q31" s="44" t="str">
        <f>IFERROR(IF(MONTH($C31)=MONTH($J$6),SUMIFS(G$15:G31,$C$15:$C31,"&gt;"&amp;EOMONTH($C31,-12))+SUMIFS(H$15:H31,$C$15:$C31,"&gt;"&amp;EOMONTH($C31,-12)),""),"")</f>
        <v/>
      </c>
    </row>
    <row r="32" spans="2:17" ht="12.75" customHeight="1" x14ac:dyDescent="0.25">
      <c r="B32">
        <f t="shared" si="1"/>
        <v>17</v>
      </c>
      <c r="C32" s="58" t="str">
        <f t="shared" si="5"/>
        <v/>
      </c>
      <c r="D32" s="44">
        <f t="shared" si="6"/>
        <v>0</v>
      </c>
      <c r="E32" s="107">
        <f t="shared" si="2"/>
        <v>0</v>
      </c>
      <c r="F32" s="44">
        <f t="shared" si="3"/>
        <v>0</v>
      </c>
      <c r="G32" s="106">
        <f>ROUND(IFERROR((IF(B32&lt;=$D$8,(E32+IF('New Loan'!$C$3&lt;&gt;"Tax Loan",I31,0))*$D$6*(C32-C31)/365,0)),0),2)</f>
        <v>0</v>
      </c>
      <c r="H32" s="106">
        <f>ROUND(IF(B32&lt;$D$8,MIN(I31,D32-G32),IF(B32=$D$8,$I$15-SUM($H$15:$H31),0)),2)</f>
        <v>0</v>
      </c>
      <c r="I32" s="44">
        <f t="shared" si="7"/>
        <v>0</v>
      </c>
      <c r="J32" s="107"/>
      <c r="L32" s="107">
        <f t="shared" si="0"/>
        <v>0</v>
      </c>
      <c r="N32" s="72">
        <f t="shared" si="4"/>
        <v>0</v>
      </c>
      <c r="O32" s="70"/>
      <c r="P32" s="44" t="str">
        <f>IFERROR(IF(MONTH($C32)=MONTH($J$6),SUMIFS(F$15:F32,$C$15:$C32,"&gt;"&amp;EOMONTH($C32,-12)),""),"")</f>
        <v/>
      </c>
      <c r="Q32" s="44" t="str">
        <f>IFERROR(IF(MONTH($C32)=MONTH($J$6),SUMIFS(G$15:G32,$C$15:$C32,"&gt;"&amp;EOMONTH($C32,-12))+SUMIFS(H$15:H32,$C$15:$C32,"&gt;"&amp;EOMONTH($C32,-12)),""),"")</f>
        <v/>
      </c>
    </row>
    <row r="33" spans="2:17" ht="12.75" customHeight="1" x14ac:dyDescent="0.25">
      <c r="B33">
        <f t="shared" si="1"/>
        <v>18</v>
      </c>
      <c r="C33" s="58" t="str">
        <f t="shared" si="5"/>
        <v/>
      </c>
      <c r="D33" s="44">
        <f t="shared" si="6"/>
        <v>0</v>
      </c>
      <c r="E33" s="107">
        <f t="shared" si="2"/>
        <v>0</v>
      </c>
      <c r="F33" s="44">
        <f t="shared" si="3"/>
        <v>0</v>
      </c>
      <c r="G33" s="106">
        <f>ROUND(IFERROR((IF(B33&lt;=$D$8,(E33+IF('New Loan'!$C$3&lt;&gt;"Tax Loan",I32,0))*$D$6*(C33-C32)/365,0)),0),2)</f>
        <v>0</v>
      </c>
      <c r="H33" s="106">
        <f>ROUND(IF(B33&lt;$D$8,MIN(I32,D33-G33),IF(B33=$D$8,$I$15-SUM($H$15:$H32),0)),2)</f>
        <v>0</v>
      </c>
      <c r="I33" s="44">
        <f t="shared" si="7"/>
        <v>0</v>
      </c>
      <c r="J33" s="107"/>
      <c r="L33" s="107">
        <f t="shared" si="0"/>
        <v>0</v>
      </c>
      <c r="N33" s="72">
        <f t="shared" si="4"/>
        <v>0</v>
      </c>
      <c r="O33" s="70"/>
      <c r="P33" s="44" t="str">
        <f>IFERROR(IF(MONTH($C33)=MONTH($J$6),SUMIFS(F$15:F33,$C$15:$C33,"&gt;"&amp;EOMONTH($C33,-12)),""),"")</f>
        <v/>
      </c>
      <c r="Q33" s="44" t="str">
        <f>IFERROR(IF(MONTH($C33)=MONTH($J$6),SUMIFS(G$15:G33,$C$15:$C33,"&gt;"&amp;EOMONTH($C33,-12))+SUMIFS(H$15:H33,$C$15:$C33,"&gt;"&amp;EOMONTH($C33,-12)),""),"")</f>
        <v/>
      </c>
    </row>
    <row r="34" spans="2:17" ht="12.75" customHeight="1" x14ac:dyDescent="0.25">
      <c r="B34">
        <f t="shared" si="1"/>
        <v>19</v>
      </c>
      <c r="C34" s="58" t="str">
        <f t="shared" si="5"/>
        <v/>
      </c>
      <c r="D34" s="44">
        <f t="shared" si="6"/>
        <v>0</v>
      </c>
      <c r="E34" s="107">
        <f t="shared" si="2"/>
        <v>0</v>
      </c>
      <c r="F34" s="44">
        <f t="shared" si="3"/>
        <v>0</v>
      </c>
      <c r="G34" s="106">
        <f>ROUND(IFERROR((IF(B34&lt;=$D$8,(E34+IF('New Loan'!$C$3&lt;&gt;"Tax Loan",I33,0))*$D$6*(C34-C33)/365,0)),0),2)</f>
        <v>0</v>
      </c>
      <c r="H34" s="106">
        <f>ROUND(IF(B34&lt;$D$8,MIN(I33,D34-G34),IF(B34=$D$8,$I$15-SUM($H$15:$H33),0)),2)</f>
        <v>0</v>
      </c>
      <c r="I34" s="44">
        <f t="shared" si="7"/>
        <v>0</v>
      </c>
      <c r="J34" s="107"/>
      <c r="L34" s="107">
        <f t="shared" si="0"/>
        <v>0</v>
      </c>
      <c r="N34" s="72">
        <f t="shared" si="4"/>
        <v>0</v>
      </c>
      <c r="O34" s="70"/>
      <c r="P34" s="44" t="str">
        <f>IFERROR(IF(MONTH($C34)=MONTH($J$6),SUMIFS(F$15:F34,$C$15:$C34,"&gt;"&amp;EOMONTH($C34,-12)),""),"")</f>
        <v/>
      </c>
      <c r="Q34" s="44" t="str">
        <f>IFERROR(IF(MONTH($C34)=MONTH($J$6),SUMIFS(G$15:G34,$C$15:$C34,"&gt;"&amp;EOMONTH($C34,-12))+SUMIFS(H$15:H34,$C$15:$C34,"&gt;"&amp;EOMONTH($C34,-12)),""),"")</f>
        <v/>
      </c>
    </row>
    <row r="35" spans="2:17" ht="12.75" customHeight="1" x14ac:dyDescent="0.25">
      <c r="B35">
        <f t="shared" si="1"/>
        <v>20</v>
      </c>
      <c r="C35" s="58" t="str">
        <f t="shared" si="5"/>
        <v/>
      </c>
      <c r="D35" s="44">
        <f t="shared" si="6"/>
        <v>0</v>
      </c>
      <c r="E35" s="107">
        <f t="shared" si="2"/>
        <v>0</v>
      </c>
      <c r="F35" s="44">
        <f t="shared" si="3"/>
        <v>0</v>
      </c>
      <c r="G35" s="106">
        <f>ROUND(IFERROR((IF(B35&lt;=$D$8,(E35+IF('New Loan'!$C$3&lt;&gt;"Tax Loan",I34,0))*$D$6*(C35-C34)/365,0)),0),2)</f>
        <v>0</v>
      </c>
      <c r="H35" s="106">
        <f>ROUND(IF(B35&lt;$D$8,MIN(I34,D35-G35),IF(B35=$D$8,$I$15-SUM($H$15:$H34),0)),2)</f>
        <v>0</v>
      </c>
      <c r="I35" s="44">
        <f t="shared" si="7"/>
        <v>0</v>
      </c>
      <c r="J35" s="107"/>
      <c r="L35" s="107">
        <f t="shared" si="0"/>
        <v>0</v>
      </c>
      <c r="N35" s="72">
        <f t="shared" si="4"/>
        <v>0</v>
      </c>
      <c r="O35" s="70"/>
      <c r="P35" s="44" t="str">
        <f>IFERROR(IF(MONTH($C35)=MONTH($J$6),SUMIFS(F$15:F35,$C$15:$C35,"&gt;"&amp;EOMONTH($C35,-12)),""),"")</f>
        <v/>
      </c>
      <c r="Q35" s="44" t="str">
        <f>IFERROR(IF(MONTH($C35)=MONTH($J$6),SUMIFS(G$15:G35,$C$15:$C35,"&gt;"&amp;EOMONTH($C35,-12))+SUMIFS(H$15:H35,$C$15:$C35,"&gt;"&amp;EOMONTH($C35,-12)),""),"")</f>
        <v/>
      </c>
    </row>
    <row r="36" spans="2:17" ht="12.75" customHeight="1" x14ac:dyDescent="0.25">
      <c r="B36">
        <f t="shared" si="1"/>
        <v>21</v>
      </c>
      <c r="C36" s="58" t="str">
        <f t="shared" si="5"/>
        <v/>
      </c>
      <c r="D36" s="44">
        <f t="shared" si="6"/>
        <v>0</v>
      </c>
      <c r="E36" s="107">
        <f t="shared" si="2"/>
        <v>0</v>
      </c>
      <c r="F36" s="44">
        <f t="shared" si="3"/>
        <v>0</v>
      </c>
      <c r="G36" s="106">
        <f>ROUND(IFERROR((IF(B36&lt;=$D$8,(E36+IF('New Loan'!$C$3&lt;&gt;"Tax Loan",I35,0))*$D$6*(C36-C35)/365,0)),0),2)</f>
        <v>0</v>
      </c>
      <c r="H36" s="106">
        <f>ROUND(IF(B36&lt;$D$8,MIN(I35,D36-G36),IF(B36=$D$8,$I$15-SUM($H$15:$H35),0)),2)</f>
        <v>0</v>
      </c>
      <c r="I36" s="106">
        <f t="shared" si="7"/>
        <v>0</v>
      </c>
      <c r="J36" s="107"/>
      <c r="L36" s="107">
        <f t="shared" si="0"/>
        <v>0</v>
      </c>
      <c r="N36" s="72">
        <f t="shared" si="4"/>
        <v>0</v>
      </c>
      <c r="O36" s="70"/>
      <c r="P36" s="44" t="str">
        <f>IFERROR(IF(MONTH($C36)=MONTH($J$6),SUMIFS(F$15:F36,$C$15:$C36,"&gt;"&amp;EOMONTH($C36,-12)),""),"")</f>
        <v/>
      </c>
      <c r="Q36" s="44" t="str">
        <f>IFERROR(IF(MONTH($C36)=MONTH($J$6),SUMIFS(G$15:G36,$C$15:$C36,"&gt;"&amp;EOMONTH($C36,-12))+SUMIFS(H$15:H36,$C$15:$C36,"&gt;"&amp;EOMONTH($C36,-12)),""),"")</f>
        <v/>
      </c>
    </row>
    <row r="37" spans="2:17" ht="12.75" customHeight="1" x14ac:dyDescent="0.25">
      <c r="B37">
        <f t="shared" si="1"/>
        <v>22</v>
      </c>
      <c r="C37" s="58" t="str">
        <f t="shared" si="5"/>
        <v/>
      </c>
      <c r="D37" s="44">
        <f t="shared" si="6"/>
        <v>0</v>
      </c>
      <c r="E37" s="107">
        <f t="shared" si="2"/>
        <v>0</v>
      </c>
      <c r="F37" s="44">
        <f t="shared" si="3"/>
        <v>0</v>
      </c>
      <c r="G37" s="106">
        <f>ROUND(IFERROR((IF(B37&lt;=$D$8,(E37+IF('New Loan'!$C$3&lt;&gt;"Tax Loan",I36,0))*$D$6*(C37-C36)/365,0)),0),2)</f>
        <v>0</v>
      </c>
      <c r="H37" s="106">
        <f>ROUND(IF(B37&lt;$D$8,MIN(I36,D37-G37),IF(B37=$D$8,$I$15-SUM($H$15:$H36),0)),2)</f>
        <v>0</v>
      </c>
      <c r="I37" s="44">
        <f t="shared" si="7"/>
        <v>0</v>
      </c>
      <c r="J37" s="107"/>
      <c r="L37" s="107">
        <f t="shared" si="0"/>
        <v>0</v>
      </c>
      <c r="N37" s="72">
        <f t="shared" si="4"/>
        <v>0</v>
      </c>
      <c r="O37" s="70"/>
      <c r="P37" s="44" t="str">
        <f>IFERROR(IF(MONTH($C37)=MONTH($J$6),SUMIFS(F$15:F37,$C$15:$C37,"&gt;"&amp;EOMONTH($C37,-12)),""),"")</f>
        <v/>
      </c>
      <c r="Q37" s="44" t="str">
        <f>IFERROR(IF(MONTH($C37)=MONTH($J$6),SUMIFS(G$15:G37,$C$15:$C37,"&gt;"&amp;EOMONTH($C37,-12))+SUMIFS(H$15:H37,$C$15:$C37,"&gt;"&amp;EOMONTH($C37,-12)),""),"")</f>
        <v/>
      </c>
    </row>
    <row r="38" spans="2:17" ht="12.75" customHeight="1" x14ac:dyDescent="0.25">
      <c r="B38">
        <f t="shared" si="1"/>
        <v>23</v>
      </c>
      <c r="C38" s="58" t="str">
        <f t="shared" si="5"/>
        <v/>
      </c>
      <c r="D38" s="44">
        <f t="shared" si="6"/>
        <v>0</v>
      </c>
      <c r="E38" s="107">
        <f t="shared" si="2"/>
        <v>0</v>
      </c>
      <c r="F38" s="44">
        <f t="shared" si="3"/>
        <v>0</v>
      </c>
      <c r="G38" s="106">
        <f>ROUND(IFERROR((IF(B38&lt;=$D$8,(E38+IF('New Loan'!$C$3&lt;&gt;"Tax Loan",I37,0))*$D$6*(C38-C37)/365,0)),0),2)</f>
        <v>0</v>
      </c>
      <c r="H38" s="106">
        <f>ROUND(IF(B38&lt;$D$8,MIN(I37,D38-G38),IF(B38=$D$8,$I$15-SUM($H$15:$H37),0)),2)</f>
        <v>0</v>
      </c>
      <c r="I38" s="44">
        <f t="shared" si="7"/>
        <v>0</v>
      </c>
      <c r="J38" s="107"/>
      <c r="L38" s="107">
        <f t="shared" si="0"/>
        <v>0</v>
      </c>
      <c r="N38" s="72">
        <f t="shared" si="4"/>
        <v>0</v>
      </c>
      <c r="O38" s="70"/>
      <c r="P38" s="44" t="str">
        <f>IFERROR(IF(MONTH($C38)=MONTH($J$6),SUMIFS(F$15:F38,$C$15:$C38,"&gt;"&amp;EOMONTH($C38,-12)),""),"")</f>
        <v/>
      </c>
      <c r="Q38" s="44" t="str">
        <f>IFERROR(IF(MONTH($C38)=MONTH($J$6),SUMIFS(G$15:G38,$C$15:$C38,"&gt;"&amp;EOMONTH($C38,-12))+SUMIFS(H$15:H38,$C$15:$C38,"&gt;"&amp;EOMONTH($C38,-12)),""),"")</f>
        <v/>
      </c>
    </row>
    <row r="39" spans="2:17" ht="12.75" customHeight="1" x14ac:dyDescent="0.25">
      <c r="B39">
        <f t="shared" si="1"/>
        <v>24</v>
      </c>
      <c r="C39" s="58" t="str">
        <f t="shared" si="5"/>
        <v/>
      </c>
      <c r="D39" s="44">
        <f t="shared" si="6"/>
        <v>0</v>
      </c>
      <c r="E39" s="107">
        <f t="shared" si="2"/>
        <v>0</v>
      </c>
      <c r="F39" s="44">
        <f t="shared" si="3"/>
        <v>0</v>
      </c>
      <c r="G39" s="106">
        <f>ROUND(IFERROR((IF(B39&lt;=$D$8,(E39+IF('New Loan'!$C$3&lt;&gt;"Tax Loan",I38,0))*$D$6*(C39-C38)/365,0)),0),2)</f>
        <v>0</v>
      </c>
      <c r="H39" s="106">
        <f>ROUND(IF(B39&lt;$D$8,MIN(I38,D39-G39),IF(B39=$D$8,$I$15-SUM($H$15:$H38),0)),2)</f>
        <v>0</v>
      </c>
      <c r="I39" s="44">
        <f t="shared" si="7"/>
        <v>0</v>
      </c>
      <c r="J39" s="107"/>
      <c r="L39" s="107">
        <f t="shared" si="0"/>
        <v>0</v>
      </c>
      <c r="N39" s="72">
        <f t="shared" si="4"/>
        <v>0</v>
      </c>
      <c r="O39" s="70"/>
      <c r="P39" s="44" t="str">
        <f>IFERROR(IF(MONTH($C39)=MONTH($J$6),SUMIFS(F$15:F39,$C$15:$C39,"&gt;"&amp;EOMONTH($C39,-12)),""),"")</f>
        <v/>
      </c>
      <c r="Q39" s="44" t="str">
        <f>IFERROR(IF(MONTH($C39)=MONTH($J$6),SUMIFS(G$15:G39,$C$15:$C39,"&gt;"&amp;EOMONTH($C39,-12))+SUMIFS(H$15:H39,$C$15:$C39,"&gt;"&amp;EOMONTH($C39,-12)),""),"")</f>
        <v/>
      </c>
    </row>
    <row r="40" spans="2:17" ht="12.75" customHeight="1" x14ac:dyDescent="0.25">
      <c r="B40">
        <f t="shared" si="1"/>
        <v>25</v>
      </c>
      <c r="C40" s="58" t="str">
        <f t="shared" si="5"/>
        <v/>
      </c>
      <c r="D40" s="44">
        <f t="shared" si="6"/>
        <v>0</v>
      </c>
      <c r="E40" s="107">
        <f t="shared" si="2"/>
        <v>0</v>
      </c>
      <c r="F40" s="44">
        <f t="shared" si="3"/>
        <v>0</v>
      </c>
      <c r="G40" s="106">
        <f>ROUND(IFERROR((IF(B40&lt;=$D$8,(E40+IF('New Loan'!$C$3&lt;&gt;"Tax Loan",I39,0))*$D$6*(C40-C39)/365,0)),0),2)</f>
        <v>0</v>
      </c>
      <c r="H40" s="106">
        <f>ROUND(IF(B40&lt;$D$8,MIN(I39,D40-G40),IF(B40=$D$8,$I$15-SUM($H$15:$H39),0)),2)</f>
        <v>0</v>
      </c>
      <c r="I40" s="44">
        <f t="shared" si="7"/>
        <v>0</v>
      </c>
      <c r="J40" s="107"/>
      <c r="L40" s="107">
        <f t="shared" si="0"/>
        <v>0</v>
      </c>
      <c r="N40" s="72">
        <f t="shared" si="4"/>
        <v>0</v>
      </c>
      <c r="O40" s="70"/>
      <c r="P40" s="44" t="str">
        <f>IFERROR(IF(MONTH($C40)=MONTH($J$6),SUMIFS(F$15:F40,$C$15:$C40,"&gt;"&amp;EOMONTH($C40,-12)),""),"")</f>
        <v/>
      </c>
      <c r="Q40" s="44" t="str">
        <f>IFERROR(IF(MONTH($C40)=MONTH($J$6),SUMIFS(G$15:G40,$C$15:$C40,"&gt;"&amp;EOMONTH($C40,-12))+SUMIFS(H$15:H40,$C$15:$C40,"&gt;"&amp;EOMONTH($C40,-12)),""),"")</f>
        <v/>
      </c>
    </row>
    <row r="41" spans="2:17" ht="12.75" customHeight="1" x14ac:dyDescent="0.25">
      <c r="B41">
        <f t="shared" si="1"/>
        <v>26</v>
      </c>
      <c r="C41" s="58" t="str">
        <f t="shared" si="5"/>
        <v/>
      </c>
      <c r="D41" s="44">
        <f t="shared" si="6"/>
        <v>0</v>
      </c>
      <c r="E41" s="107">
        <f t="shared" si="2"/>
        <v>0</v>
      </c>
      <c r="F41" s="44">
        <f t="shared" si="3"/>
        <v>0</v>
      </c>
      <c r="G41" s="106">
        <f>ROUND(IFERROR((IF(B41&lt;=$D$8,(E41+IF('New Loan'!$C$3&lt;&gt;"Tax Loan",I40,0))*$D$6*(C41-C40)/365,0)),0),2)</f>
        <v>0</v>
      </c>
      <c r="H41" s="106">
        <f>ROUND(IF(B41&lt;$D$8,MIN(I40,D41-G41),IF(B41=$D$8,$I$15-SUM($H$15:$H40),0)),2)</f>
        <v>0</v>
      </c>
      <c r="I41" s="44">
        <f t="shared" si="7"/>
        <v>0</v>
      </c>
      <c r="J41" s="107"/>
      <c r="L41" s="107">
        <f t="shared" si="0"/>
        <v>0</v>
      </c>
      <c r="N41" s="72">
        <f t="shared" si="4"/>
        <v>0</v>
      </c>
      <c r="O41" s="70"/>
      <c r="P41" s="44" t="str">
        <f>IFERROR(IF(MONTH($C41)=MONTH($J$6),SUMIFS(F$15:F41,$C$15:$C41,"&gt;"&amp;EOMONTH($C41,-12)),""),"")</f>
        <v/>
      </c>
      <c r="Q41" s="44" t="str">
        <f>IFERROR(IF(MONTH($C41)=MONTH($J$6),SUMIFS(G$15:G41,$C$15:$C41,"&gt;"&amp;EOMONTH($C41,-12))+SUMIFS(H$15:H41,$C$15:$C41,"&gt;"&amp;EOMONTH($C41,-12)),""),"")</f>
        <v/>
      </c>
    </row>
    <row r="42" spans="2:17" ht="12.75" customHeight="1" x14ac:dyDescent="0.25">
      <c r="B42">
        <f t="shared" si="1"/>
        <v>27</v>
      </c>
      <c r="C42" s="58" t="str">
        <f t="shared" si="5"/>
        <v/>
      </c>
      <c r="D42" s="44">
        <f t="shared" si="6"/>
        <v>0</v>
      </c>
      <c r="E42" s="107">
        <f t="shared" si="2"/>
        <v>0</v>
      </c>
      <c r="F42" s="44">
        <f t="shared" si="3"/>
        <v>0</v>
      </c>
      <c r="G42" s="106">
        <f>ROUND(IFERROR((IF(B42&lt;=$D$8,(E42+IF('New Loan'!$C$3&lt;&gt;"Tax Loan",I41,0))*$D$6*(C42-C41)/365,0)),0),2)</f>
        <v>0</v>
      </c>
      <c r="H42" s="106">
        <f>ROUND(IF(B42&lt;$D$8,MIN(I41,D42-G42),IF(B42=$D$8,$I$15-SUM($H$15:$H41),0)),2)</f>
        <v>0</v>
      </c>
      <c r="I42" s="44">
        <f t="shared" si="7"/>
        <v>0</v>
      </c>
      <c r="J42" s="107"/>
      <c r="L42" s="107">
        <f t="shared" si="0"/>
        <v>0</v>
      </c>
      <c r="N42" s="72">
        <f t="shared" si="4"/>
        <v>0</v>
      </c>
      <c r="O42" s="70"/>
      <c r="P42" s="44" t="str">
        <f>IFERROR(IF(MONTH($C42)=MONTH($J$6),SUMIFS(F$15:F42,$C$15:$C42,"&gt;"&amp;EOMONTH($C42,-12)),""),"")</f>
        <v/>
      </c>
      <c r="Q42" s="44" t="str">
        <f>IFERROR(IF(MONTH($C42)=MONTH($J$6),SUMIFS(G$15:G42,$C$15:$C42,"&gt;"&amp;EOMONTH($C42,-12))+SUMIFS(H$15:H42,$C$15:$C42,"&gt;"&amp;EOMONTH($C42,-12)),""),"")</f>
        <v/>
      </c>
    </row>
    <row r="43" spans="2:17" ht="12.75" customHeight="1" x14ac:dyDescent="0.25">
      <c r="B43">
        <f t="shared" si="1"/>
        <v>28</v>
      </c>
      <c r="C43" s="58" t="str">
        <f t="shared" si="5"/>
        <v/>
      </c>
      <c r="D43" s="44">
        <f t="shared" si="6"/>
        <v>0</v>
      </c>
      <c r="E43" s="107">
        <f t="shared" si="2"/>
        <v>0</v>
      </c>
      <c r="F43" s="44">
        <f t="shared" si="3"/>
        <v>0</v>
      </c>
      <c r="G43" s="106">
        <f>ROUND(IFERROR((IF(B43&lt;=$D$8,(E43+IF('New Loan'!$C$3&lt;&gt;"Tax Loan",I42,0))*$D$6*(C43-C42)/365,0)),0),2)</f>
        <v>0</v>
      </c>
      <c r="H43" s="106">
        <f>ROUND(IF(B43&lt;$D$8,MIN(I42,D43-G43),IF(B43=$D$8,$I$15-SUM($H$15:$H42),0)),2)</f>
        <v>0</v>
      </c>
      <c r="I43" s="44">
        <f t="shared" si="7"/>
        <v>0</v>
      </c>
      <c r="J43" s="107"/>
      <c r="L43" s="107">
        <f t="shared" si="0"/>
        <v>0</v>
      </c>
      <c r="N43" s="72">
        <f t="shared" si="4"/>
        <v>0</v>
      </c>
      <c r="O43" s="70"/>
      <c r="P43" s="44" t="str">
        <f>IFERROR(IF(MONTH($C43)=MONTH($J$6),SUMIFS(F$15:F43,$C$15:$C43,"&gt;"&amp;EOMONTH($C43,-12)),""),"")</f>
        <v/>
      </c>
      <c r="Q43" s="44" t="str">
        <f>IFERROR(IF(MONTH($C43)=MONTH($J$6),SUMIFS(G$15:G43,$C$15:$C43,"&gt;"&amp;EOMONTH($C43,-12))+SUMIFS(H$15:H43,$C$15:$C43,"&gt;"&amp;EOMONTH($C43,-12)),""),"")</f>
        <v/>
      </c>
    </row>
    <row r="44" spans="2:17" ht="12.75" customHeight="1" x14ac:dyDescent="0.25">
      <c r="B44">
        <f t="shared" si="1"/>
        <v>29</v>
      </c>
      <c r="C44" s="58" t="str">
        <f t="shared" si="5"/>
        <v/>
      </c>
      <c r="D44" s="44">
        <f t="shared" si="6"/>
        <v>0</v>
      </c>
      <c r="E44" s="107">
        <f t="shared" si="2"/>
        <v>0</v>
      </c>
      <c r="F44" s="44">
        <f t="shared" si="3"/>
        <v>0</v>
      </c>
      <c r="G44" s="106">
        <f>ROUND(IFERROR((IF(B44&lt;=$D$8,(E44+IF('New Loan'!$C$3&lt;&gt;"Tax Loan",I43,0))*$D$6*(C44-C43)/365,0)),0),2)</f>
        <v>0</v>
      </c>
      <c r="H44" s="106">
        <f>ROUND(IF(B44&lt;$D$8,MIN(I43,D44-G44),IF(B44=$D$8,$I$15-SUM($H$15:$H43),0)),2)</f>
        <v>0</v>
      </c>
      <c r="I44" s="44">
        <f t="shared" si="7"/>
        <v>0</v>
      </c>
      <c r="J44" s="107"/>
      <c r="L44" s="107">
        <f t="shared" si="0"/>
        <v>0</v>
      </c>
      <c r="N44" s="72">
        <f t="shared" si="4"/>
        <v>0</v>
      </c>
      <c r="O44" s="70"/>
      <c r="P44" s="44" t="str">
        <f>IFERROR(IF(MONTH($C44)=MONTH($J$6),SUMIFS(F$15:F44,$C$15:$C44,"&gt;"&amp;EOMONTH($C44,-12)),""),"")</f>
        <v/>
      </c>
      <c r="Q44" s="44" t="str">
        <f>IFERROR(IF(MONTH($C44)=MONTH($J$6),SUMIFS(G$15:G44,$C$15:$C44,"&gt;"&amp;EOMONTH($C44,-12))+SUMIFS(H$15:H44,$C$15:$C44,"&gt;"&amp;EOMONTH($C44,-12)),""),"")</f>
        <v/>
      </c>
    </row>
    <row r="45" spans="2:17" ht="12.75" customHeight="1" x14ac:dyDescent="0.25">
      <c r="B45">
        <f t="shared" si="1"/>
        <v>30</v>
      </c>
      <c r="C45" s="58" t="str">
        <f t="shared" si="5"/>
        <v/>
      </c>
      <c r="D45" s="44">
        <f t="shared" si="6"/>
        <v>0</v>
      </c>
      <c r="E45" s="107">
        <f t="shared" si="2"/>
        <v>0</v>
      </c>
      <c r="F45" s="44">
        <f t="shared" si="3"/>
        <v>0</v>
      </c>
      <c r="G45" s="106">
        <f>ROUND(IFERROR((IF(B45&lt;=$D$8,(E45+IF('New Loan'!$C$3&lt;&gt;"Tax Loan",I44,0))*$D$6*(C45-C44)/365,0)),0),2)</f>
        <v>0</v>
      </c>
      <c r="H45" s="106">
        <f>ROUND(IF(B45&lt;$D$8,MIN(I44,D45-G45),IF(B45=$D$8,$I$15-SUM($H$15:$H44),0)),2)</f>
        <v>0</v>
      </c>
      <c r="I45" s="44">
        <f t="shared" si="7"/>
        <v>0</v>
      </c>
      <c r="J45" s="107"/>
      <c r="L45" s="107">
        <f t="shared" si="0"/>
        <v>0</v>
      </c>
      <c r="N45" s="72">
        <f t="shared" si="4"/>
        <v>0</v>
      </c>
      <c r="O45" s="70"/>
      <c r="P45" s="44" t="str">
        <f>IFERROR(IF(MONTH($C45)=MONTH($J$6),SUMIFS(F$15:F45,$C$15:$C45,"&gt;"&amp;EOMONTH($C45,-12)),""),"")</f>
        <v/>
      </c>
      <c r="Q45" s="44" t="str">
        <f>IFERROR(IF(MONTH($C45)=MONTH($J$6),SUMIFS(G$15:G45,$C$15:$C45,"&gt;"&amp;EOMONTH($C45,-12))+SUMIFS(H$15:H45,$C$15:$C45,"&gt;"&amp;EOMONTH($C45,-12)),""),"")</f>
        <v/>
      </c>
    </row>
    <row r="46" spans="2:17" ht="12.75" customHeight="1" x14ac:dyDescent="0.25">
      <c r="B46">
        <f t="shared" si="1"/>
        <v>31</v>
      </c>
      <c r="C46" s="58" t="str">
        <f t="shared" si="5"/>
        <v/>
      </c>
      <c r="D46" s="44">
        <f t="shared" si="6"/>
        <v>0</v>
      </c>
      <c r="E46" s="107">
        <f t="shared" si="2"/>
        <v>0</v>
      </c>
      <c r="F46" s="44">
        <f t="shared" si="3"/>
        <v>0</v>
      </c>
      <c r="G46" s="106">
        <f>ROUND(IFERROR((IF(B46&lt;=$D$8,(E46+IF('New Loan'!$C$3&lt;&gt;"Tax Loan",I45,0))*$D$6*(C46-C45)/365,0)),0),2)</f>
        <v>0</v>
      </c>
      <c r="H46" s="106">
        <f>ROUND(IF(B46&lt;$D$8,MIN(I45,D46-G46),IF(B46=$D$8,$I$15-SUM($H$15:$H45),0)),2)</f>
        <v>0</v>
      </c>
      <c r="I46" s="44">
        <f t="shared" si="7"/>
        <v>0</v>
      </c>
      <c r="J46" s="107"/>
      <c r="L46" s="107">
        <f t="shared" si="0"/>
        <v>0</v>
      </c>
      <c r="N46" s="72">
        <f t="shared" si="4"/>
        <v>0</v>
      </c>
      <c r="O46" s="70"/>
      <c r="P46" s="44" t="str">
        <f>IFERROR(IF(MONTH($C46)=MONTH($J$6),SUMIFS(F$15:F46,$C$15:$C46,"&gt;"&amp;EOMONTH($C46,-12)),""),"")</f>
        <v/>
      </c>
      <c r="Q46" s="44" t="str">
        <f>IFERROR(IF(MONTH($C46)=MONTH($J$6),SUMIFS(G$15:G46,$C$15:$C46,"&gt;"&amp;EOMONTH($C46,-12))+SUMIFS(H$15:H46,$C$15:$C46,"&gt;"&amp;EOMONTH($C46,-12)),""),"")</f>
        <v/>
      </c>
    </row>
    <row r="47" spans="2:17" ht="12.75" customHeight="1" x14ac:dyDescent="0.25">
      <c r="B47">
        <f t="shared" si="1"/>
        <v>32</v>
      </c>
      <c r="C47" s="58" t="str">
        <f t="shared" si="5"/>
        <v/>
      </c>
      <c r="D47" s="44">
        <f t="shared" si="6"/>
        <v>0</v>
      </c>
      <c r="E47" s="107">
        <f t="shared" si="2"/>
        <v>0</v>
      </c>
      <c r="F47" s="44">
        <f t="shared" si="3"/>
        <v>0</v>
      </c>
      <c r="G47" s="106">
        <f>ROUND(IFERROR((IF(B47&lt;=$D$8,(E47+IF('New Loan'!$C$3&lt;&gt;"Tax Loan",I46,0))*$D$6*(C47-C46)/365,0)),0),2)</f>
        <v>0</v>
      </c>
      <c r="H47" s="106">
        <f>ROUND(IF(B47&lt;$D$8,MIN(I46,D47-G47),IF(B47=$D$8,$I$15-SUM($H$15:$H46),0)),2)</f>
        <v>0</v>
      </c>
      <c r="I47" s="44">
        <f t="shared" si="7"/>
        <v>0</v>
      </c>
      <c r="J47" s="107"/>
      <c r="L47" s="107">
        <f t="shared" si="0"/>
        <v>0</v>
      </c>
      <c r="N47" s="72">
        <f t="shared" si="4"/>
        <v>0</v>
      </c>
      <c r="O47" s="70"/>
      <c r="P47" s="44" t="str">
        <f>IFERROR(IF(MONTH($C47)=MONTH($J$6),SUMIFS(F$15:F47,$C$15:$C47,"&gt;"&amp;EOMONTH($C47,-12)),""),"")</f>
        <v/>
      </c>
      <c r="Q47" s="44" t="str">
        <f>IFERROR(IF(MONTH($C47)=MONTH($J$6),SUMIFS(G$15:G47,$C$15:$C47,"&gt;"&amp;EOMONTH($C47,-12))+SUMIFS(H$15:H47,$C$15:$C47,"&gt;"&amp;EOMONTH($C47,-12)),""),"")</f>
        <v/>
      </c>
    </row>
    <row r="48" spans="2:17" ht="12.75" customHeight="1" x14ac:dyDescent="0.25">
      <c r="B48">
        <f t="shared" si="1"/>
        <v>33</v>
      </c>
      <c r="C48" s="58" t="str">
        <f t="shared" si="5"/>
        <v/>
      </c>
      <c r="D48" s="44">
        <f t="shared" si="6"/>
        <v>0</v>
      </c>
      <c r="E48" s="107">
        <f t="shared" si="2"/>
        <v>0</v>
      </c>
      <c r="F48" s="44">
        <f t="shared" si="3"/>
        <v>0</v>
      </c>
      <c r="G48" s="106">
        <f>ROUND(IFERROR((IF(B48&lt;=$D$8,(E48+IF('New Loan'!$C$3&lt;&gt;"Tax Loan",I47,0))*$D$6*(C48-C47)/365,0)),0),2)</f>
        <v>0</v>
      </c>
      <c r="H48" s="106">
        <f>ROUND(IF(B48&lt;$D$8,MIN(I47,D48-G48),IF(B48=$D$8,$I$15-SUM($H$15:$H47),0)),2)</f>
        <v>0</v>
      </c>
      <c r="I48" s="44">
        <f t="shared" si="7"/>
        <v>0</v>
      </c>
      <c r="J48" s="107"/>
      <c r="L48" s="107">
        <f t="shared" si="0"/>
        <v>0</v>
      </c>
      <c r="N48" s="72">
        <f t="shared" si="4"/>
        <v>0</v>
      </c>
      <c r="O48" s="70"/>
      <c r="P48" s="44" t="str">
        <f>IFERROR(IF(MONTH($C48)=MONTH($J$6),SUMIFS(F$15:F48,$C$15:$C48,"&gt;"&amp;EOMONTH($C48,-12)),""),"")</f>
        <v/>
      </c>
      <c r="Q48" s="44" t="str">
        <f>IFERROR(IF(MONTH($C48)=MONTH($J$6),SUMIFS(G$15:G48,$C$15:$C48,"&gt;"&amp;EOMONTH($C48,-12))+SUMIFS(H$15:H48,$C$15:$C48,"&gt;"&amp;EOMONTH($C48,-12)),""),"")</f>
        <v/>
      </c>
    </row>
    <row r="49" spans="2:17" ht="12.75" customHeight="1" x14ac:dyDescent="0.25">
      <c r="B49">
        <f t="shared" si="1"/>
        <v>34</v>
      </c>
      <c r="C49" s="58" t="str">
        <f t="shared" si="5"/>
        <v/>
      </c>
      <c r="D49" s="44">
        <f t="shared" si="6"/>
        <v>0</v>
      </c>
      <c r="E49" s="107">
        <f t="shared" si="2"/>
        <v>0</v>
      </c>
      <c r="F49" s="44">
        <f t="shared" si="3"/>
        <v>0</v>
      </c>
      <c r="G49" s="106">
        <f>ROUND(IFERROR((IF(B49&lt;=$D$8,(E49+IF('New Loan'!$C$3&lt;&gt;"Tax Loan",I48,0))*$D$6*(C49-C48)/365,0)),0),2)</f>
        <v>0</v>
      </c>
      <c r="H49" s="106">
        <f>ROUND(IF(B49&lt;$D$8,MIN(I48,D49-G49),IF(B49=$D$8,$I$15-SUM($H$15:$H48),0)),2)</f>
        <v>0</v>
      </c>
      <c r="I49" s="44">
        <f t="shared" si="7"/>
        <v>0</v>
      </c>
      <c r="J49" s="107"/>
      <c r="L49" s="107">
        <f t="shared" si="0"/>
        <v>0</v>
      </c>
      <c r="N49" s="72">
        <f t="shared" si="4"/>
        <v>0</v>
      </c>
      <c r="O49" s="70"/>
      <c r="P49" s="44" t="str">
        <f>IFERROR(IF(MONTH($C49)=MONTH($J$6),SUMIFS(F$15:F49,$C$15:$C49,"&gt;"&amp;EOMONTH($C49,-12)),""),"")</f>
        <v/>
      </c>
      <c r="Q49" s="44" t="str">
        <f>IFERROR(IF(MONTH($C49)=MONTH($J$6),SUMIFS(G$15:G49,$C$15:$C49,"&gt;"&amp;EOMONTH($C49,-12))+SUMIFS(H$15:H49,$C$15:$C49,"&gt;"&amp;EOMONTH($C49,-12)),""),"")</f>
        <v/>
      </c>
    </row>
    <row r="50" spans="2:17" ht="12.75" customHeight="1" x14ac:dyDescent="0.25">
      <c r="B50">
        <f t="shared" si="1"/>
        <v>35</v>
      </c>
      <c r="C50" s="58" t="str">
        <f t="shared" si="5"/>
        <v/>
      </c>
      <c r="D50" s="44">
        <f t="shared" si="6"/>
        <v>0</v>
      </c>
      <c r="E50" s="107">
        <f t="shared" si="2"/>
        <v>0</v>
      </c>
      <c r="F50" s="44">
        <f t="shared" si="3"/>
        <v>0</v>
      </c>
      <c r="G50" s="106">
        <f>ROUND(IFERROR((IF(B50&lt;=$D$8,(E50+IF('New Loan'!$C$3&lt;&gt;"Tax Loan",I49,0))*$D$6*(C50-C49)/365,0)),0),2)</f>
        <v>0</v>
      </c>
      <c r="H50" s="106">
        <f>ROUND(IF(B50&lt;$D$8,MIN(I49,D50-G50),IF(B50=$D$8,$I$15-SUM($H$15:$H49),0)),2)</f>
        <v>0</v>
      </c>
      <c r="I50" s="44">
        <f t="shared" si="7"/>
        <v>0</v>
      </c>
      <c r="J50" s="107"/>
      <c r="L50" s="107">
        <f t="shared" si="0"/>
        <v>0</v>
      </c>
      <c r="N50" s="72">
        <f t="shared" si="4"/>
        <v>0</v>
      </c>
      <c r="O50" s="70"/>
      <c r="P50" s="44" t="str">
        <f>IFERROR(IF(MONTH($C50)=MONTH($J$6),SUMIFS(F$15:F50,$C$15:$C50,"&gt;"&amp;EOMONTH($C50,-12)),""),"")</f>
        <v/>
      </c>
      <c r="Q50" s="44" t="str">
        <f>IFERROR(IF(MONTH($C50)=MONTH($J$6),SUMIFS(G$15:G50,$C$15:$C50,"&gt;"&amp;EOMONTH($C50,-12))+SUMIFS(H$15:H50,$C$15:$C50,"&gt;"&amp;EOMONTH($C50,-12)),""),"")</f>
        <v/>
      </c>
    </row>
    <row r="51" spans="2:17" ht="12.75" customHeight="1" x14ac:dyDescent="0.25">
      <c r="B51">
        <f t="shared" si="1"/>
        <v>36</v>
      </c>
      <c r="C51" s="58" t="str">
        <f t="shared" si="5"/>
        <v/>
      </c>
      <c r="D51" s="44">
        <f t="shared" si="6"/>
        <v>0</v>
      </c>
      <c r="E51" s="107">
        <f t="shared" si="2"/>
        <v>0</v>
      </c>
      <c r="F51" s="44">
        <f t="shared" si="3"/>
        <v>0</v>
      </c>
      <c r="G51" s="106">
        <f>ROUND(IFERROR((IF(B51&lt;=$D$8,(E51+IF('New Loan'!$C$3&lt;&gt;"Tax Loan",I50,0))*$D$6*(C51-C50)/365,0)),0),2)</f>
        <v>0</v>
      </c>
      <c r="H51" s="106">
        <f>ROUND(IF(B51&lt;$D$8,MIN(I50,D51-G51),IF(B51=$D$8,$I$15-SUM($H$15:$H50),0)),2)</f>
        <v>0</v>
      </c>
      <c r="I51" s="44">
        <f t="shared" si="7"/>
        <v>0</v>
      </c>
      <c r="J51" s="107"/>
      <c r="L51" s="107">
        <f t="shared" si="0"/>
        <v>0</v>
      </c>
      <c r="N51" s="72">
        <f t="shared" si="4"/>
        <v>0</v>
      </c>
      <c r="O51" s="70"/>
      <c r="P51" s="44" t="str">
        <f>IFERROR(IF(MONTH($C51)=MONTH($J$6),SUMIFS(F$15:F51,$C$15:$C51,"&gt;"&amp;EOMONTH($C51,-12)),""),"")</f>
        <v/>
      </c>
      <c r="Q51" s="44" t="str">
        <f>IFERROR(IF(MONTH($C51)=MONTH($J$6),SUMIFS(G$15:G51,$C$15:$C51,"&gt;"&amp;EOMONTH($C51,-12))+SUMIFS(H$15:H51,$C$15:$C51,"&gt;"&amp;EOMONTH($C51,-12)),""),"")</f>
        <v/>
      </c>
    </row>
    <row r="52" spans="2:17" ht="12.75" customHeight="1" x14ac:dyDescent="0.25">
      <c r="B52">
        <f t="shared" si="1"/>
        <v>37</v>
      </c>
      <c r="C52" s="58" t="str">
        <f t="shared" si="5"/>
        <v/>
      </c>
      <c r="D52" s="44">
        <f t="shared" si="6"/>
        <v>0</v>
      </c>
      <c r="E52" s="107">
        <f t="shared" si="2"/>
        <v>0</v>
      </c>
      <c r="F52" s="44">
        <f t="shared" si="3"/>
        <v>0</v>
      </c>
      <c r="G52" s="106">
        <f>ROUND(IFERROR((IF(B52&lt;=$D$8,(E52+IF('New Loan'!$C$3&lt;&gt;"Tax Loan",I51,0))*$D$6*(C52-C51)/365,0)),0),2)</f>
        <v>0</v>
      </c>
      <c r="H52" s="106">
        <f>ROUND(IF(B52&lt;$D$8,MIN(I51,D52-G52),IF(B52=$D$8,$I$15-SUM($H$15:$H51),0)),2)</f>
        <v>0</v>
      </c>
      <c r="I52" s="44">
        <f t="shared" si="7"/>
        <v>0</v>
      </c>
      <c r="J52" s="107"/>
      <c r="L52" s="107">
        <f t="shared" si="0"/>
        <v>0</v>
      </c>
      <c r="N52" s="72">
        <f t="shared" si="4"/>
        <v>0</v>
      </c>
      <c r="O52" s="70"/>
      <c r="P52" s="44" t="str">
        <f>IFERROR(IF(MONTH($C52)=MONTH($J$6),SUMIFS(F$15:F52,$C$15:$C52,"&gt;"&amp;EOMONTH($C52,-12)),""),"")</f>
        <v/>
      </c>
      <c r="Q52" s="44" t="str">
        <f>IFERROR(IF(MONTH($C52)=MONTH($J$6),SUMIFS(G$15:G52,$C$15:$C52,"&gt;"&amp;EOMONTH($C52,-12))+SUMIFS(H$15:H52,$C$15:$C52,"&gt;"&amp;EOMONTH($C52,-12)),""),"")</f>
        <v/>
      </c>
    </row>
    <row r="53" spans="2:17" ht="12.75" customHeight="1" x14ac:dyDescent="0.25">
      <c r="B53">
        <f t="shared" si="1"/>
        <v>38</v>
      </c>
      <c r="C53" s="58" t="str">
        <f t="shared" si="5"/>
        <v/>
      </c>
      <c r="D53" s="44">
        <f t="shared" si="6"/>
        <v>0</v>
      </c>
      <c r="E53" s="107">
        <f t="shared" si="2"/>
        <v>0</v>
      </c>
      <c r="F53" s="44">
        <f t="shared" si="3"/>
        <v>0</v>
      </c>
      <c r="G53" s="106">
        <f>ROUND(IFERROR((IF(B53&lt;=$D$8,(E53+IF('New Loan'!$C$3&lt;&gt;"Tax Loan",I52,0))*$D$6*(C53-C52)/365,0)),0),2)</f>
        <v>0</v>
      </c>
      <c r="H53" s="106">
        <f>ROUND(IF(B53&lt;$D$8,MIN(I52,D53-G53),IF(B53=$D$8,$I$15-SUM($H$15:$H52),0)),2)</f>
        <v>0</v>
      </c>
      <c r="I53" s="44">
        <f t="shared" si="7"/>
        <v>0</v>
      </c>
      <c r="J53" s="107"/>
      <c r="L53" s="107">
        <f t="shared" si="0"/>
        <v>0</v>
      </c>
      <c r="N53" s="72">
        <f t="shared" si="4"/>
        <v>0</v>
      </c>
      <c r="O53" s="70"/>
      <c r="P53" s="44" t="str">
        <f>IFERROR(IF(MONTH($C53)=MONTH($J$6),SUMIFS(F$15:F53,$C$15:$C53,"&gt;"&amp;EOMONTH($C53,-12)),""),"")</f>
        <v/>
      </c>
      <c r="Q53" s="44" t="str">
        <f>IFERROR(IF(MONTH($C53)=MONTH($J$6),SUMIFS(G$15:G53,$C$15:$C53,"&gt;"&amp;EOMONTH($C53,-12))+SUMIFS(H$15:H53,$C$15:$C53,"&gt;"&amp;EOMONTH($C53,-12)),""),"")</f>
        <v/>
      </c>
    </row>
    <row r="54" spans="2:17" ht="12.75" customHeight="1" x14ac:dyDescent="0.25">
      <c r="B54">
        <f t="shared" si="1"/>
        <v>39</v>
      </c>
      <c r="C54" s="58" t="str">
        <f t="shared" si="5"/>
        <v/>
      </c>
      <c r="D54" s="44">
        <f t="shared" si="6"/>
        <v>0</v>
      </c>
      <c r="E54" s="107">
        <f t="shared" si="2"/>
        <v>0</v>
      </c>
      <c r="F54" s="44">
        <f t="shared" si="3"/>
        <v>0</v>
      </c>
      <c r="G54" s="106">
        <f>ROUND(IFERROR((IF(B54&lt;=$D$8,(E54+IF('New Loan'!$C$3&lt;&gt;"Tax Loan",I53,0))*$D$6*(C54-C53)/365,0)),0),2)</f>
        <v>0</v>
      </c>
      <c r="H54" s="106">
        <f>ROUND(IF(B54&lt;$D$8,MIN(I53,D54-G54),IF(B54=$D$8,$I$15-SUM($H$15:$H53),0)),2)</f>
        <v>0</v>
      </c>
      <c r="I54" s="44">
        <f t="shared" si="7"/>
        <v>0</v>
      </c>
      <c r="J54" s="107"/>
      <c r="L54" s="107">
        <f t="shared" si="0"/>
        <v>0</v>
      </c>
      <c r="N54" s="72">
        <f t="shared" si="4"/>
        <v>0</v>
      </c>
      <c r="O54" s="70"/>
      <c r="P54" s="44" t="str">
        <f>IFERROR(IF(MONTH($C54)=MONTH($J$6),SUMIFS(F$15:F54,$C$15:$C54,"&gt;"&amp;EOMONTH($C54,-12)),""),"")</f>
        <v/>
      </c>
      <c r="Q54" s="44" t="str">
        <f>IFERROR(IF(MONTH($C54)=MONTH($J$6),SUMIFS(G$15:G54,$C$15:$C54,"&gt;"&amp;EOMONTH($C54,-12))+SUMIFS(H$15:H54,$C$15:$C54,"&gt;"&amp;EOMONTH($C54,-12)),""),"")</f>
        <v/>
      </c>
    </row>
    <row r="55" spans="2:17" ht="12.75" customHeight="1" x14ac:dyDescent="0.25">
      <c r="B55">
        <f t="shared" si="1"/>
        <v>40</v>
      </c>
      <c r="C55" s="58" t="str">
        <f t="shared" si="5"/>
        <v/>
      </c>
      <c r="D55" s="44">
        <f t="shared" si="6"/>
        <v>0</v>
      </c>
      <c r="E55" s="107">
        <f t="shared" si="2"/>
        <v>0</v>
      </c>
      <c r="F55" s="44">
        <f t="shared" si="3"/>
        <v>0</v>
      </c>
      <c r="G55" s="106">
        <f>ROUND(IFERROR((IF(B55&lt;=$D$8,(E55+IF('New Loan'!$C$3&lt;&gt;"Tax Loan",I54,0))*$D$6*(C55-C54)/365,0)),0),2)</f>
        <v>0</v>
      </c>
      <c r="H55" s="106">
        <f>ROUND(IF(B55&lt;$D$8,MIN(I54,D55-G55),IF(B55=$D$8,$I$15-SUM($H$15:$H54),0)),2)</f>
        <v>0</v>
      </c>
      <c r="I55" s="44">
        <f t="shared" si="7"/>
        <v>0</v>
      </c>
      <c r="J55" s="107"/>
      <c r="L55" s="107">
        <f t="shared" si="0"/>
        <v>0</v>
      </c>
      <c r="N55" s="72">
        <f t="shared" si="4"/>
        <v>0</v>
      </c>
      <c r="O55" s="70"/>
      <c r="P55" s="44" t="str">
        <f>IFERROR(IF(MONTH($C55)=MONTH($J$6),SUMIFS(F$15:F55,$C$15:$C55,"&gt;"&amp;EOMONTH($C55,-12)),""),"")</f>
        <v/>
      </c>
      <c r="Q55" s="44" t="str">
        <f>IFERROR(IF(MONTH($C55)=MONTH($J$6),SUMIFS(G$15:G55,$C$15:$C55,"&gt;"&amp;EOMONTH($C55,-12))+SUMIFS(H$15:H55,$C$15:$C55,"&gt;"&amp;EOMONTH($C55,-12)),""),"")</f>
        <v/>
      </c>
    </row>
    <row r="56" spans="2:17" ht="12.75" customHeight="1" x14ac:dyDescent="0.25">
      <c r="B56">
        <f t="shared" si="1"/>
        <v>41</v>
      </c>
      <c r="C56" s="58" t="str">
        <f t="shared" si="5"/>
        <v/>
      </c>
      <c r="D56" s="44">
        <f t="shared" si="6"/>
        <v>0</v>
      </c>
      <c r="E56" s="107">
        <f t="shared" si="2"/>
        <v>0</v>
      </c>
      <c r="F56" s="44">
        <f t="shared" si="3"/>
        <v>0</v>
      </c>
      <c r="G56" s="106">
        <f>ROUND(IFERROR((IF(B56&lt;=$D$8,(E56+IF('New Loan'!$C$3&lt;&gt;"Tax Loan",I55,0))*$D$6*(C56-C55)/365,0)),0),2)</f>
        <v>0</v>
      </c>
      <c r="H56" s="106">
        <f>ROUND(IF(B56&lt;$D$8,MIN(I55,D56-G56),IF(B56=$D$8,$I$15-SUM($H$15:$H55),0)),2)</f>
        <v>0</v>
      </c>
      <c r="I56" s="44">
        <f t="shared" si="7"/>
        <v>0</v>
      </c>
      <c r="J56" s="107"/>
      <c r="L56" s="107">
        <f t="shared" si="0"/>
        <v>0</v>
      </c>
      <c r="N56" s="72">
        <f t="shared" si="4"/>
        <v>0</v>
      </c>
      <c r="O56" s="70"/>
      <c r="P56" s="44" t="str">
        <f>IFERROR(IF(MONTH($C56)=MONTH($J$6),SUMIFS(F$15:F56,$C$15:$C56,"&gt;"&amp;EOMONTH($C56,-12)),""),"")</f>
        <v/>
      </c>
      <c r="Q56" s="44" t="str">
        <f>IFERROR(IF(MONTH($C56)=MONTH($J$6),SUMIFS(G$15:G56,$C$15:$C56,"&gt;"&amp;EOMONTH($C56,-12))+SUMIFS(H$15:H56,$C$15:$C56,"&gt;"&amp;EOMONTH($C56,-12)),""),"")</f>
        <v/>
      </c>
    </row>
    <row r="57" spans="2:17" ht="12.75" customHeight="1" x14ac:dyDescent="0.25">
      <c r="B57">
        <f t="shared" si="1"/>
        <v>42</v>
      </c>
      <c r="C57" s="58" t="str">
        <f t="shared" si="5"/>
        <v/>
      </c>
      <c r="D57" s="44">
        <f t="shared" si="6"/>
        <v>0</v>
      </c>
      <c r="E57" s="107">
        <f t="shared" si="2"/>
        <v>0</v>
      </c>
      <c r="F57" s="44">
        <f t="shared" si="3"/>
        <v>0</v>
      </c>
      <c r="G57" s="106">
        <f>ROUND(IFERROR((IF(B57&lt;=$D$8,(E57+IF('New Loan'!$C$3&lt;&gt;"Tax Loan",I56,0))*$D$6*(C57-C56)/365,0)),0),2)</f>
        <v>0</v>
      </c>
      <c r="H57" s="106">
        <f>ROUND(IF(B57&lt;$D$8,MIN(I56,D57-G57),IF(B57=$D$8,$I$15-SUM($H$15:$H56),0)),2)</f>
        <v>0</v>
      </c>
      <c r="I57" s="44">
        <f t="shared" si="7"/>
        <v>0</v>
      </c>
      <c r="J57" s="107"/>
      <c r="L57" s="107">
        <f t="shared" si="0"/>
        <v>0</v>
      </c>
      <c r="N57" s="72">
        <f t="shared" si="4"/>
        <v>0</v>
      </c>
      <c r="O57" s="70"/>
      <c r="P57" s="44" t="str">
        <f>IFERROR(IF(MONTH($C57)=MONTH($J$6),SUMIFS(F$15:F57,$C$15:$C57,"&gt;"&amp;EOMONTH($C57,-12)),""),"")</f>
        <v/>
      </c>
      <c r="Q57" s="44" t="str">
        <f>IFERROR(IF(MONTH($C57)=MONTH($J$6),SUMIFS(G$15:G57,$C$15:$C57,"&gt;"&amp;EOMONTH($C57,-12))+SUMIFS(H$15:H57,$C$15:$C57,"&gt;"&amp;EOMONTH($C57,-12)),""),"")</f>
        <v/>
      </c>
    </row>
    <row r="58" spans="2:17" ht="12.75" customHeight="1" x14ac:dyDescent="0.25">
      <c r="B58">
        <f t="shared" si="1"/>
        <v>43</v>
      </c>
      <c r="C58" s="58" t="str">
        <f t="shared" si="5"/>
        <v/>
      </c>
      <c r="D58" s="44">
        <f t="shared" si="6"/>
        <v>0</v>
      </c>
      <c r="E58" s="107">
        <f t="shared" si="2"/>
        <v>0</v>
      </c>
      <c r="F58" s="44">
        <f t="shared" si="3"/>
        <v>0</v>
      </c>
      <c r="G58" s="106">
        <f>ROUND(IFERROR((IF(B58&lt;=$D$8,(E58+IF('New Loan'!$C$3&lt;&gt;"Tax Loan",I57,0))*$D$6*(C58-C57)/365,0)),0),2)</f>
        <v>0</v>
      </c>
      <c r="H58" s="106">
        <f>ROUND(IF(B58&lt;$D$8,MIN(I57,D58-G58),IF(B58=$D$8,$I$15-SUM($H$15:$H57),0)),2)</f>
        <v>0</v>
      </c>
      <c r="I58" s="44">
        <f t="shared" si="7"/>
        <v>0</v>
      </c>
      <c r="J58" s="107"/>
      <c r="L58" s="107">
        <f t="shared" si="0"/>
        <v>0</v>
      </c>
      <c r="N58" s="72">
        <f t="shared" si="4"/>
        <v>0</v>
      </c>
      <c r="O58" s="70"/>
      <c r="P58" s="44" t="str">
        <f>IFERROR(IF(MONTH($C58)=MONTH($J$6),SUMIFS(F$15:F58,$C$15:$C58,"&gt;"&amp;EOMONTH($C58,-12)),""),"")</f>
        <v/>
      </c>
      <c r="Q58" s="44" t="str">
        <f>IFERROR(IF(MONTH($C58)=MONTH($J$6),SUMIFS(G$15:G58,$C$15:$C58,"&gt;"&amp;EOMONTH($C58,-12))+SUMIFS(H$15:H58,$C$15:$C58,"&gt;"&amp;EOMONTH($C58,-12)),""),"")</f>
        <v/>
      </c>
    </row>
    <row r="59" spans="2:17" ht="12.75" customHeight="1" x14ac:dyDescent="0.25">
      <c r="B59">
        <f t="shared" si="1"/>
        <v>44</v>
      </c>
      <c r="C59" s="58" t="str">
        <f t="shared" si="5"/>
        <v/>
      </c>
      <c r="D59" s="44">
        <f t="shared" si="6"/>
        <v>0</v>
      </c>
      <c r="E59" s="107">
        <f t="shared" si="2"/>
        <v>0</v>
      </c>
      <c r="F59" s="44">
        <f t="shared" si="3"/>
        <v>0</v>
      </c>
      <c r="G59" s="106">
        <f>ROUND(IFERROR((IF(B59&lt;=$D$8,(E59+IF('New Loan'!$C$3&lt;&gt;"Tax Loan",I58,0))*$D$6*(C59-C58)/365,0)),0),2)</f>
        <v>0</v>
      </c>
      <c r="H59" s="106">
        <f>ROUND(IF(B59&lt;$D$8,MIN(I58,D59-G59),IF(B59=$D$8,$I$15-SUM($H$15:$H58),0)),2)</f>
        <v>0</v>
      </c>
      <c r="I59" s="44">
        <f t="shared" si="7"/>
        <v>0</v>
      </c>
      <c r="J59" s="107"/>
      <c r="L59" s="107">
        <f t="shared" si="0"/>
        <v>0</v>
      </c>
      <c r="N59" s="72">
        <f t="shared" si="4"/>
        <v>0</v>
      </c>
      <c r="O59" s="70"/>
      <c r="P59" s="44" t="str">
        <f>IFERROR(IF(MONTH($C59)=MONTH($J$6),SUMIFS(F$15:F59,$C$15:$C59,"&gt;"&amp;EOMONTH($C59,-12)),""),"")</f>
        <v/>
      </c>
      <c r="Q59" s="44" t="str">
        <f>IFERROR(IF(MONTH($C59)=MONTH($J$6),SUMIFS(G$15:G59,$C$15:$C59,"&gt;"&amp;EOMONTH($C59,-12))+SUMIFS(H$15:H59,$C$15:$C59,"&gt;"&amp;EOMONTH($C59,-12)),""),"")</f>
        <v/>
      </c>
    </row>
    <row r="60" spans="2:17" ht="12.75" customHeight="1" x14ac:dyDescent="0.25">
      <c r="B60">
        <f t="shared" si="1"/>
        <v>45</v>
      </c>
      <c r="C60" s="58" t="str">
        <f t="shared" si="5"/>
        <v/>
      </c>
      <c r="D60" s="44">
        <f t="shared" si="6"/>
        <v>0</v>
      </c>
      <c r="E60" s="107">
        <f t="shared" si="2"/>
        <v>0</v>
      </c>
      <c r="F60" s="44">
        <f t="shared" si="3"/>
        <v>0</v>
      </c>
      <c r="G60" s="106">
        <f>ROUND(IFERROR((IF(B60&lt;=$D$8,(E60+IF('New Loan'!$C$3&lt;&gt;"Tax Loan",I59,0))*$D$6*(C60-C59)/365,0)),0),2)</f>
        <v>0</v>
      </c>
      <c r="H60" s="106">
        <f>ROUND(IF(B60&lt;$D$8,MIN(I59,D60-G60),IF(B60=$D$8,$I$15-SUM($H$15:$H59),0)),2)</f>
        <v>0</v>
      </c>
      <c r="I60" s="44">
        <f t="shared" si="7"/>
        <v>0</v>
      </c>
      <c r="J60" s="107"/>
      <c r="L60" s="107">
        <f t="shared" si="0"/>
        <v>0</v>
      </c>
      <c r="N60" s="72">
        <f t="shared" si="4"/>
        <v>0</v>
      </c>
      <c r="O60" s="70"/>
      <c r="P60" s="44" t="str">
        <f>IFERROR(IF(MONTH($C60)=MONTH($J$6),SUMIFS(F$15:F60,$C$15:$C60,"&gt;"&amp;EOMONTH($C60,-12)),""),"")</f>
        <v/>
      </c>
      <c r="Q60" s="44" t="str">
        <f>IFERROR(IF(MONTH($C60)=MONTH($J$6),SUMIFS(G$15:G60,$C$15:$C60,"&gt;"&amp;EOMONTH($C60,-12))+SUMIFS(H$15:H60,$C$15:$C60,"&gt;"&amp;EOMONTH($C60,-12)),""),"")</f>
        <v/>
      </c>
    </row>
    <row r="61" spans="2:17" ht="12.75" customHeight="1" x14ac:dyDescent="0.25">
      <c r="B61">
        <f t="shared" si="1"/>
        <v>46</v>
      </c>
      <c r="C61" s="58" t="str">
        <f t="shared" si="5"/>
        <v/>
      </c>
      <c r="D61" s="44">
        <f t="shared" si="6"/>
        <v>0</v>
      </c>
      <c r="E61" s="107">
        <f t="shared" si="2"/>
        <v>0</v>
      </c>
      <c r="F61" s="44">
        <f t="shared" si="3"/>
        <v>0</v>
      </c>
      <c r="G61" s="106">
        <f>ROUND(IFERROR((IF(B61&lt;=$D$8,(E61+IF('New Loan'!$C$3&lt;&gt;"Tax Loan",I60,0))*$D$6*(C61-C60)/365,0)),0),2)</f>
        <v>0</v>
      </c>
      <c r="H61" s="106">
        <f>ROUND(IF(B61&lt;$D$8,MIN(I60,D61-G61),IF(B61=$D$8,$I$15-SUM($H$15:$H60),0)),2)</f>
        <v>0</v>
      </c>
      <c r="I61" s="44">
        <f t="shared" si="7"/>
        <v>0</v>
      </c>
      <c r="J61" s="107"/>
      <c r="L61" s="107">
        <f t="shared" si="0"/>
        <v>0</v>
      </c>
      <c r="N61" s="72">
        <f t="shared" si="4"/>
        <v>0</v>
      </c>
      <c r="O61" s="70"/>
      <c r="P61" s="44" t="str">
        <f>IFERROR(IF(MONTH($C61)=MONTH($J$6),SUMIFS(F$15:F61,$C$15:$C61,"&gt;"&amp;EOMONTH($C61,-12)),""),"")</f>
        <v/>
      </c>
      <c r="Q61" s="44" t="str">
        <f>IFERROR(IF(MONTH($C61)=MONTH($J$6),SUMIFS(G$15:G61,$C$15:$C61,"&gt;"&amp;EOMONTH($C61,-12))+SUMIFS(H$15:H61,$C$15:$C61,"&gt;"&amp;EOMONTH($C61,-12)),""),"")</f>
        <v/>
      </c>
    </row>
    <row r="62" spans="2:17" ht="12.75" customHeight="1" x14ac:dyDescent="0.25">
      <c r="B62">
        <f t="shared" si="1"/>
        <v>47</v>
      </c>
      <c r="C62" s="58" t="str">
        <f t="shared" si="5"/>
        <v/>
      </c>
      <c r="D62" s="44">
        <f t="shared" si="6"/>
        <v>0</v>
      </c>
      <c r="E62" s="107">
        <f t="shared" si="2"/>
        <v>0</v>
      </c>
      <c r="F62" s="44">
        <f t="shared" si="3"/>
        <v>0</v>
      </c>
      <c r="G62" s="106">
        <f>ROUND(IFERROR((IF(B62&lt;=$D$8,(E62+IF('New Loan'!$C$3&lt;&gt;"Tax Loan",I61,0))*$D$6*(C62-C61)/365,0)),0),2)</f>
        <v>0</v>
      </c>
      <c r="H62" s="106">
        <f>ROUND(IF(B62&lt;$D$8,MIN(I61,D62-G62),IF(B62=$D$8,$I$15-SUM($H$15:$H61),0)),2)</f>
        <v>0</v>
      </c>
      <c r="I62" s="44">
        <f t="shared" si="7"/>
        <v>0</v>
      </c>
      <c r="J62" s="107"/>
      <c r="L62" s="107">
        <f t="shared" si="0"/>
        <v>0</v>
      </c>
      <c r="N62" s="72">
        <f t="shared" si="4"/>
        <v>0</v>
      </c>
      <c r="O62" s="70"/>
      <c r="P62" s="44" t="str">
        <f>IFERROR(IF(MONTH($C62)=MONTH($J$6),SUMIFS(F$15:F62,$C$15:$C62,"&gt;"&amp;EOMONTH($C62,-12)),""),"")</f>
        <v/>
      </c>
      <c r="Q62" s="44" t="str">
        <f>IFERROR(IF(MONTH($C62)=MONTH($J$6),SUMIFS(G$15:G62,$C$15:$C62,"&gt;"&amp;EOMONTH($C62,-12))+SUMIFS(H$15:H62,$C$15:$C62,"&gt;"&amp;EOMONTH($C62,-12)),""),"")</f>
        <v/>
      </c>
    </row>
    <row r="63" spans="2:17" ht="12.75" customHeight="1" x14ac:dyDescent="0.25">
      <c r="B63">
        <f t="shared" si="1"/>
        <v>48</v>
      </c>
      <c r="C63" s="58" t="str">
        <f t="shared" si="5"/>
        <v/>
      </c>
      <c r="D63" s="44">
        <f t="shared" si="6"/>
        <v>0</v>
      </c>
      <c r="E63" s="107">
        <f t="shared" si="2"/>
        <v>0</v>
      </c>
      <c r="F63" s="44">
        <f t="shared" si="3"/>
        <v>0</v>
      </c>
      <c r="G63" s="106">
        <f>ROUND(IFERROR((IF(B63&lt;=$D$8,(E63+IF('New Loan'!$C$3&lt;&gt;"Tax Loan",I62,0))*$D$6*(C63-C62)/365,0)),0),2)</f>
        <v>0</v>
      </c>
      <c r="H63" s="106">
        <f>ROUND(IF(B63&lt;$D$8,MIN(I62,D63-G63),IF(B63=$D$8,$I$15-SUM($H$15:$H62),0)),2)</f>
        <v>0</v>
      </c>
      <c r="I63" s="44">
        <f t="shared" si="7"/>
        <v>0</v>
      </c>
      <c r="J63" s="107"/>
      <c r="L63" s="107">
        <f t="shared" si="0"/>
        <v>0</v>
      </c>
      <c r="N63" s="72">
        <f t="shared" si="4"/>
        <v>0</v>
      </c>
      <c r="O63" s="70"/>
      <c r="P63" s="44" t="str">
        <f>IFERROR(IF(MONTH($C63)=MONTH($J$6),SUMIFS(F$15:F63,$C$15:$C63,"&gt;"&amp;EOMONTH($C63,-12)),""),"")</f>
        <v/>
      </c>
      <c r="Q63" s="44" t="str">
        <f>IFERROR(IF(MONTH($C63)=MONTH($J$6),SUMIFS(G$15:G63,$C$15:$C63,"&gt;"&amp;EOMONTH($C63,-12))+SUMIFS(H$15:H63,$C$15:$C63,"&gt;"&amp;EOMONTH($C63,-12)),""),"")</f>
        <v/>
      </c>
    </row>
    <row r="64" spans="2:17" ht="12.75" customHeight="1" x14ac:dyDescent="0.25">
      <c r="B64">
        <f t="shared" si="1"/>
        <v>49</v>
      </c>
      <c r="C64" s="58" t="str">
        <f t="shared" si="5"/>
        <v/>
      </c>
      <c r="D64" s="44">
        <f t="shared" si="6"/>
        <v>0</v>
      </c>
      <c r="E64" s="107">
        <f t="shared" si="2"/>
        <v>0</v>
      </c>
      <c r="F64" s="44">
        <f t="shared" si="3"/>
        <v>0</v>
      </c>
      <c r="G64" s="106">
        <f>ROUND(IFERROR((IF(B64&lt;=$D$8,(E64+IF('New Loan'!$C$3&lt;&gt;"Tax Loan",I63,0))*$D$6*(C64-C63)/365,0)),0),2)</f>
        <v>0</v>
      </c>
      <c r="H64" s="106">
        <f>ROUND(IF(B64&lt;$D$8,MIN(I63,D64-G64),IF(B64=$D$8,$I$15-SUM($H$15:$H63),0)),2)</f>
        <v>0</v>
      </c>
      <c r="I64" s="44">
        <f t="shared" si="7"/>
        <v>0</v>
      </c>
      <c r="J64" s="107"/>
      <c r="L64" s="107">
        <f t="shared" si="0"/>
        <v>0</v>
      </c>
      <c r="N64" s="72">
        <f t="shared" si="4"/>
        <v>0</v>
      </c>
      <c r="O64" s="70"/>
      <c r="P64" s="44" t="str">
        <f>IFERROR(IF(MONTH($C64)=MONTH($J$6),SUMIFS(F$15:F64,$C$15:$C64,"&gt;"&amp;EOMONTH($C64,-12)),""),"")</f>
        <v/>
      </c>
      <c r="Q64" s="44" t="str">
        <f>IFERROR(IF(MONTH($C64)=MONTH($J$6),SUMIFS(G$15:G64,$C$15:$C64,"&gt;"&amp;EOMONTH($C64,-12))+SUMIFS(H$15:H64,$C$15:$C64,"&gt;"&amp;EOMONTH($C64,-12)),""),"")</f>
        <v/>
      </c>
    </row>
    <row r="65" spans="2:17" ht="12.75" customHeight="1" x14ac:dyDescent="0.25">
      <c r="B65">
        <f t="shared" si="1"/>
        <v>50</v>
      </c>
      <c r="C65" s="58" t="str">
        <f t="shared" si="5"/>
        <v/>
      </c>
      <c r="D65" s="44">
        <f t="shared" si="6"/>
        <v>0</v>
      </c>
      <c r="E65" s="107">
        <f t="shared" si="2"/>
        <v>0</v>
      </c>
      <c r="F65" s="44">
        <f t="shared" si="3"/>
        <v>0</v>
      </c>
      <c r="G65" s="106">
        <f>ROUND(IFERROR((IF(B65&lt;=$D$8,(E65+IF('New Loan'!$C$3&lt;&gt;"Tax Loan",I64,0))*$D$6*(C65-C64)/365,0)),0),2)</f>
        <v>0</v>
      </c>
      <c r="H65" s="106">
        <f>ROUND(IF(B65&lt;$D$8,MIN(I64,D65-G65),IF(B65=$D$8,$I$15-SUM($H$15:$H64),0)),2)</f>
        <v>0</v>
      </c>
      <c r="I65" s="44">
        <f t="shared" si="7"/>
        <v>0</v>
      </c>
      <c r="J65" s="107"/>
      <c r="L65" s="107">
        <f t="shared" si="0"/>
        <v>0</v>
      </c>
      <c r="N65" s="72">
        <f t="shared" si="4"/>
        <v>0</v>
      </c>
      <c r="O65" s="70"/>
      <c r="P65" s="44" t="str">
        <f>IFERROR(IF(MONTH($C65)=MONTH($J$6),SUMIFS(F$15:F65,$C$15:$C65,"&gt;"&amp;EOMONTH($C65,-12)),""),"")</f>
        <v/>
      </c>
      <c r="Q65" s="44" t="str">
        <f>IFERROR(IF(MONTH($C65)=MONTH($J$6),SUMIFS(G$15:G65,$C$15:$C65,"&gt;"&amp;EOMONTH($C65,-12))+SUMIFS(H$15:H65,$C$15:$C65,"&gt;"&amp;EOMONTH($C65,-12)),""),"")</f>
        <v/>
      </c>
    </row>
    <row r="66" spans="2:17" ht="12.75" customHeight="1" x14ac:dyDescent="0.25">
      <c r="B66">
        <f t="shared" si="1"/>
        <v>51</v>
      </c>
      <c r="C66" s="58" t="str">
        <f t="shared" si="5"/>
        <v/>
      </c>
      <c r="D66" s="44">
        <f t="shared" si="6"/>
        <v>0</v>
      </c>
      <c r="E66" s="107">
        <f t="shared" si="2"/>
        <v>0</v>
      </c>
      <c r="F66" s="44">
        <f t="shared" si="3"/>
        <v>0</v>
      </c>
      <c r="G66" s="106">
        <f>ROUND(IFERROR((IF(B66&lt;=$D$8,(E66+IF('New Loan'!$C$3&lt;&gt;"Tax Loan",I65,0))*$D$6*(C66-C65)/365,0)),0),2)</f>
        <v>0</v>
      </c>
      <c r="H66" s="106">
        <f>ROUND(IF(B66&lt;$D$8,MIN(I65,D66-G66),IF(B66=$D$8,$I$15-SUM($H$15:$H65),0)),2)</f>
        <v>0</v>
      </c>
      <c r="I66" s="44">
        <f t="shared" si="7"/>
        <v>0</v>
      </c>
      <c r="J66" s="107"/>
      <c r="L66" s="107">
        <f t="shared" si="0"/>
        <v>0</v>
      </c>
      <c r="N66" s="72">
        <f t="shared" si="4"/>
        <v>0</v>
      </c>
      <c r="O66" s="70"/>
      <c r="P66" s="44" t="str">
        <f>IFERROR(IF(MONTH($C66)=MONTH($J$6),SUMIFS(F$15:F66,$C$15:$C66,"&gt;"&amp;EOMONTH($C66,-12)),""),"")</f>
        <v/>
      </c>
      <c r="Q66" s="44" t="str">
        <f>IFERROR(IF(MONTH($C66)=MONTH($J$6),SUMIFS(G$15:G66,$C$15:$C66,"&gt;"&amp;EOMONTH($C66,-12))+SUMIFS(H$15:H66,$C$15:$C66,"&gt;"&amp;EOMONTH($C66,-12)),""),"")</f>
        <v/>
      </c>
    </row>
    <row r="67" spans="2:17" ht="12.75" customHeight="1" x14ac:dyDescent="0.25">
      <c r="B67">
        <f t="shared" si="1"/>
        <v>52</v>
      </c>
      <c r="C67" s="58" t="str">
        <f t="shared" si="5"/>
        <v/>
      </c>
      <c r="D67" s="44">
        <f t="shared" si="6"/>
        <v>0</v>
      </c>
      <c r="E67" s="107">
        <f t="shared" si="2"/>
        <v>0</v>
      </c>
      <c r="F67" s="44">
        <f t="shared" si="3"/>
        <v>0</v>
      </c>
      <c r="G67" s="106">
        <f>ROUND(IFERROR((IF(B67&lt;=$D$8,(E67+IF('New Loan'!$C$3&lt;&gt;"Tax Loan",I66,0))*$D$6*(C67-C66)/365,0)),0),2)</f>
        <v>0</v>
      </c>
      <c r="H67" s="106">
        <f>ROUND(IF(B67&lt;$D$8,MIN(I66,D67-G67),IF(B67=$D$8,$I$15-SUM($H$15:$H66),0)),2)</f>
        <v>0</v>
      </c>
      <c r="I67" s="44">
        <f t="shared" si="7"/>
        <v>0</v>
      </c>
      <c r="J67" s="107"/>
      <c r="L67" s="107">
        <f t="shared" si="0"/>
        <v>0</v>
      </c>
      <c r="N67" s="72">
        <f t="shared" si="4"/>
        <v>0</v>
      </c>
      <c r="O67" s="70"/>
      <c r="P67" s="44" t="str">
        <f>IFERROR(IF(MONTH($C67)=MONTH($J$6),SUMIFS(F$15:F67,$C$15:$C67,"&gt;"&amp;EOMONTH($C67,-12)),""),"")</f>
        <v/>
      </c>
      <c r="Q67" s="44" t="str">
        <f>IFERROR(IF(MONTH($C67)=MONTH($J$6),SUMIFS(G$15:G67,$C$15:$C67,"&gt;"&amp;EOMONTH($C67,-12))+SUMIFS(H$15:H67,$C$15:$C67,"&gt;"&amp;EOMONTH($C67,-12)),""),"")</f>
        <v/>
      </c>
    </row>
    <row r="68" spans="2:17" ht="12.75" customHeight="1" x14ac:dyDescent="0.25">
      <c r="B68">
        <f t="shared" si="1"/>
        <v>53</v>
      </c>
      <c r="C68" s="58" t="str">
        <f t="shared" si="5"/>
        <v/>
      </c>
      <c r="D68" s="44">
        <f t="shared" si="6"/>
        <v>0</v>
      </c>
      <c r="E68" s="107">
        <f t="shared" si="2"/>
        <v>0</v>
      </c>
      <c r="F68" s="44">
        <f t="shared" si="3"/>
        <v>0</v>
      </c>
      <c r="G68" s="106">
        <f>ROUND(IFERROR((IF(B68&lt;=$D$8,(E68+IF('New Loan'!$C$3&lt;&gt;"Tax Loan",I67,0))*$D$6*(C68-C67)/365,0)),0),2)</f>
        <v>0</v>
      </c>
      <c r="H68" s="106">
        <f>ROUND(IF(B68&lt;$D$8,MIN(I67,D68-G68),IF(B68=$D$8,$I$15-SUM($H$15:$H67),0)),2)</f>
        <v>0</v>
      </c>
      <c r="I68" s="44">
        <f t="shared" si="7"/>
        <v>0</v>
      </c>
      <c r="J68" s="107"/>
      <c r="L68" s="107">
        <f t="shared" si="0"/>
        <v>0</v>
      </c>
      <c r="N68" s="72">
        <f t="shared" si="4"/>
        <v>0</v>
      </c>
      <c r="O68" s="70"/>
      <c r="P68" s="44" t="str">
        <f>IFERROR(IF(MONTH($C68)=MONTH($J$6),SUMIFS(F$15:F68,$C$15:$C68,"&gt;"&amp;EOMONTH($C68,-12)),""),"")</f>
        <v/>
      </c>
      <c r="Q68" s="44" t="str">
        <f>IFERROR(IF(MONTH($C68)=MONTH($J$6),SUMIFS(G$15:G68,$C$15:$C68,"&gt;"&amp;EOMONTH($C68,-12))+SUMIFS(H$15:H68,$C$15:$C68,"&gt;"&amp;EOMONTH($C68,-12)),""),"")</f>
        <v/>
      </c>
    </row>
    <row r="69" spans="2:17" ht="12.75" customHeight="1" x14ac:dyDescent="0.25">
      <c r="B69">
        <f t="shared" si="1"/>
        <v>54</v>
      </c>
      <c r="C69" s="58" t="str">
        <f t="shared" si="5"/>
        <v/>
      </c>
      <c r="D69" s="44">
        <f t="shared" si="6"/>
        <v>0</v>
      </c>
      <c r="E69" s="107">
        <f t="shared" si="2"/>
        <v>0</v>
      </c>
      <c r="F69" s="44">
        <f t="shared" si="3"/>
        <v>0</v>
      </c>
      <c r="G69" s="106">
        <f>ROUND(IFERROR((IF(B69&lt;=$D$8,(E69+IF('New Loan'!$C$3&lt;&gt;"Tax Loan",I68,0))*$D$6*(C69-C68)/365,0)),0),2)</f>
        <v>0</v>
      </c>
      <c r="H69" s="106">
        <f>ROUND(IF(B69&lt;$D$8,MIN(I68,D69-G69),IF(B69=$D$8,$I$15-SUM($H$15:$H68),0)),2)</f>
        <v>0</v>
      </c>
      <c r="I69" s="44">
        <f t="shared" si="7"/>
        <v>0</v>
      </c>
      <c r="J69" s="107"/>
      <c r="L69" s="107">
        <f t="shared" si="0"/>
        <v>0</v>
      </c>
      <c r="N69" s="72">
        <f t="shared" si="4"/>
        <v>0</v>
      </c>
      <c r="O69" s="70"/>
      <c r="P69" s="44" t="str">
        <f>IFERROR(IF(MONTH($C69)=MONTH($J$6),SUMIFS(F$15:F69,$C$15:$C69,"&gt;"&amp;EOMONTH($C69,-12)),""),"")</f>
        <v/>
      </c>
      <c r="Q69" s="44" t="str">
        <f>IFERROR(IF(MONTH($C69)=MONTH($J$6),SUMIFS(G$15:G69,$C$15:$C69,"&gt;"&amp;EOMONTH($C69,-12))+SUMIFS(H$15:H69,$C$15:$C69,"&gt;"&amp;EOMONTH($C69,-12)),""),"")</f>
        <v/>
      </c>
    </row>
    <row r="70" spans="2:17" ht="12.75" customHeight="1" x14ac:dyDescent="0.25">
      <c r="B70">
        <f t="shared" si="1"/>
        <v>55</v>
      </c>
      <c r="C70" s="58" t="str">
        <f t="shared" si="5"/>
        <v/>
      </c>
      <c r="D70" s="44">
        <f t="shared" si="6"/>
        <v>0</v>
      </c>
      <c r="E70" s="107">
        <f t="shared" si="2"/>
        <v>0</v>
      </c>
      <c r="F70" s="44">
        <f t="shared" si="3"/>
        <v>0</v>
      </c>
      <c r="G70" s="106">
        <f>ROUND(IFERROR((IF(B70&lt;=$D$8,(E70+IF('New Loan'!$C$3&lt;&gt;"Tax Loan",I69,0))*$D$6*(C70-C69)/365,0)),0),2)</f>
        <v>0</v>
      </c>
      <c r="H70" s="106">
        <f>ROUND(IF(B70&lt;$D$8,MIN(I69,D70-G70),IF(B70=$D$8,$I$15-SUM($H$15:$H69),0)),2)</f>
        <v>0</v>
      </c>
      <c r="I70" s="44">
        <f t="shared" si="7"/>
        <v>0</v>
      </c>
      <c r="J70" s="107"/>
      <c r="L70" s="107">
        <f t="shared" si="0"/>
        <v>0</v>
      </c>
      <c r="N70" s="72">
        <f t="shared" si="4"/>
        <v>0</v>
      </c>
      <c r="O70" s="70"/>
      <c r="P70" s="44" t="str">
        <f>IFERROR(IF(MONTH($C70)=MONTH($J$6),SUMIFS(F$15:F70,$C$15:$C70,"&gt;"&amp;EOMONTH($C70,-12)),""),"")</f>
        <v/>
      </c>
      <c r="Q70" s="44" t="str">
        <f>IFERROR(IF(MONTH($C70)=MONTH($J$6),SUMIFS(G$15:G70,$C$15:$C70,"&gt;"&amp;EOMONTH($C70,-12))+SUMIFS(H$15:H70,$C$15:$C70,"&gt;"&amp;EOMONTH($C70,-12)),""),"")</f>
        <v/>
      </c>
    </row>
    <row r="71" spans="2:17" ht="12.75" customHeight="1" x14ac:dyDescent="0.25">
      <c r="B71">
        <f t="shared" si="1"/>
        <v>56</v>
      </c>
      <c r="C71" s="58" t="str">
        <f t="shared" si="5"/>
        <v/>
      </c>
      <c r="D71" s="44">
        <f t="shared" si="6"/>
        <v>0</v>
      </c>
      <c r="E71" s="107">
        <f t="shared" si="2"/>
        <v>0</v>
      </c>
      <c r="F71" s="44">
        <f t="shared" si="3"/>
        <v>0</v>
      </c>
      <c r="G71" s="106">
        <f>ROUND(IFERROR((IF(B71&lt;=$D$8,(E71+IF('New Loan'!$C$3&lt;&gt;"Tax Loan",I70,0))*$D$6*(C71-C70)/365,0)),0),2)</f>
        <v>0</v>
      </c>
      <c r="H71" s="106">
        <f>ROUND(IF(B71&lt;$D$8,MIN(I70,D71-G71),IF(B71=$D$8,$I$15-SUM($H$15:$H70),0)),2)</f>
        <v>0</v>
      </c>
      <c r="I71" s="44">
        <f t="shared" si="7"/>
        <v>0</v>
      </c>
      <c r="J71" s="107"/>
      <c r="L71" s="107">
        <f t="shared" si="0"/>
        <v>0</v>
      </c>
      <c r="N71" s="72">
        <f t="shared" si="4"/>
        <v>0</v>
      </c>
      <c r="O71" s="70"/>
      <c r="P71" s="44" t="str">
        <f>IFERROR(IF(MONTH($C71)=MONTH($J$6),SUMIFS(F$15:F71,$C$15:$C71,"&gt;"&amp;EOMONTH($C71,-12)),""),"")</f>
        <v/>
      </c>
      <c r="Q71" s="44" t="str">
        <f>IFERROR(IF(MONTH($C71)=MONTH($J$6),SUMIFS(G$15:G71,$C$15:$C71,"&gt;"&amp;EOMONTH($C71,-12))+SUMIFS(H$15:H71,$C$15:$C71,"&gt;"&amp;EOMONTH($C71,-12)),""),"")</f>
        <v/>
      </c>
    </row>
    <row r="72" spans="2:17" ht="12.75" customHeight="1" x14ac:dyDescent="0.25">
      <c r="B72">
        <f t="shared" si="1"/>
        <v>57</v>
      </c>
      <c r="C72" s="58" t="str">
        <f t="shared" si="5"/>
        <v/>
      </c>
      <c r="D72" s="44">
        <f t="shared" si="6"/>
        <v>0</v>
      </c>
      <c r="E72" s="107">
        <f t="shared" si="2"/>
        <v>0</v>
      </c>
      <c r="F72" s="44">
        <f t="shared" si="3"/>
        <v>0</v>
      </c>
      <c r="G72" s="106">
        <f>ROUND(IFERROR((IF(B72&lt;=$D$8,(E72+IF('New Loan'!$C$3&lt;&gt;"Tax Loan",I71,0))*$D$6*(C72-C71)/365,0)),0),2)</f>
        <v>0</v>
      </c>
      <c r="H72" s="106">
        <f>ROUND(IF(B72&lt;$D$8,MIN(I71,D72-G72),IF(B72=$D$8,$I$15-SUM($H$15:$H71),0)),2)</f>
        <v>0</v>
      </c>
      <c r="I72" s="44">
        <f t="shared" si="7"/>
        <v>0</v>
      </c>
      <c r="J72" s="107"/>
      <c r="L72" s="107">
        <f t="shared" si="0"/>
        <v>0</v>
      </c>
      <c r="N72" s="72">
        <f t="shared" si="4"/>
        <v>0</v>
      </c>
      <c r="O72" s="70"/>
      <c r="P72" s="44" t="str">
        <f>IFERROR(IF(MONTH($C72)=MONTH($J$6),SUMIFS(F$15:F72,$C$15:$C72,"&gt;"&amp;EOMONTH($C72,-12)),""),"")</f>
        <v/>
      </c>
      <c r="Q72" s="44" t="str">
        <f>IFERROR(IF(MONTH($C72)=MONTH($J$6),SUMIFS(G$15:G72,$C$15:$C72,"&gt;"&amp;EOMONTH($C72,-12))+SUMIFS(H$15:H72,$C$15:$C72,"&gt;"&amp;EOMONTH($C72,-12)),""),"")</f>
        <v/>
      </c>
    </row>
    <row r="73" spans="2:17" ht="12.75" customHeight="1" x14ac:dyDescent="0.25">
      <c r="B73">
        <f t="shared" si="1"/>
        <v>58</v>
      </c>
      <c r="C73" s="58" t="str">
        <f t="shared" si="5"/>
        <v/>
      </c>
      <c r="D73" s="44">
        <f t="shared" si="6"/>
        <v>0</v>
      </c>
      <c r="E73" s="107">
        <f t="shared" si="2"/>
        <v>0</v>
      </c>
      <c r="F73" s="44">
        <f t="shared" si="3"/>
        <v>0</v>
      </c>
      <c r="G73" s="106">
        <f>ROUND(IFERROR((IF(B73&lt;=$D$8,(E73+IF('New Loan'!$C$3&lt;&gt;"Tax Loan",I72,0))*$D$6*(C73-C72)/365,0)),0),2)</f>
        <v>0</v>
      </c>
      <c r="H73" s="106">
        <f>ROUND(IF(B73&lt;$D$8,MIN(I72,D73-G73),IF(B73=$D$8,$I$15-SUM($H$15:$H72),0)),2)</f>
        <v>0</v>
      </c>
      <c r="I73" s="44">
        <f t="shared" si="7"/>
        <v>0</v>
      </c>
      <c r="J73" s="107"/>
      <c r="L73" s="107">
        <f t="shared" si="0"/>
        <v>0</v>
      </c>
      <c r="N73" s="72">
        <f t="shared" si="4"/>
        <v>0</v>
      </c>
      <c r="O73" s="70"/>
      <c r="P73" s="44" t="str">
        <f>IFERROR(IF(MONTH($C73)=MONTH($J$6),SUMIFS(F$15:F73,$C$15:$C73,"&gt;"&amp;EOMONTH($C73,-12)),""),"")</f>
        <v/>
      </c>
      <c r="Q73" s="44" t="str">
        <f>IFERROR(IF(MONTH($C73)=MONTH($J$6),SUMIFS(G$15:G73,$C$15:$C73,"&gt;"&amp;EOMONTH($C73,-12))+SUMIFS(H$15:H73,$C$15:$C73,"&gt;"&amp;EOMONTH($C73,-12)),""),"")</f>
        <v/>
      </c>
    </row>
    <row r="74" spans="2:17" ht="12.75" customHeight="1" x14ac:dyDescent="0.25">
      <c r="B74">
        <f t="shared" si="1"/>
        <v>59</v>
      </c>
      <c r="C74" s="58" t="str">
        <f t="shared" si="5"/>
        <v/>
      </c>
      <c r="D74" s="44">
        <f t="shared" si="6"/>
        <v>0</v>
      </c>
      <c r="E74" s="107">
        <f t="shared" si="2"/>
        <v>0</v>
      </c>
      <c r="F74" s="44">
        <f t="shared" si="3"/>
        <v>0</v>
      </c>
      <c r="G74" s="106">
        <f>ROUND(IFERROR((IF(B74&lt;=$D$8,(E74+IF('New Loan'!$C$3&lt;&gt;"Tax Loan",I73,0))*$D$6*(C74-C73)/365,0)),0),2)</f>
        <v>0</v>
      </c>
      <c r="H74" s="106">
        <f>ROUND(IF(B74&lt;$D$8,MIN(I73,D74-G74),IF(B74=$D$8,$I$15-SUM($H$15:$H73),0)),2)</f>
        <v>0</v>
      </c>
      <c r="I74" s="44">
        <f t="shared" si="7"/>
        <v>0</v>
      </c>
      <c r="J74" s="107"/>
      <c r="L74" s="107">
        <f t="shared" si="0"/>
        <v>0</v>
      </c>
      <c r="N74" s="72">
        <f t="shared" si="4"/>
        <v>0</v>
      </c>
      <c r="O74" s="70"/>
      <c r="P74" s="44" t="str">
        <f>IFERROR(IF(MONTH($C74)=MONTH($J$6),SUMIFS(F$15:F74,$C$15:$C74,"&gt;"&amp;EOMONTH($C74,-12)),""),"")</f>
        <v/>
      </c>
      <c r="Q74" s="44" t="str">
        <f>IFERROR(IF(MONTH($C74)=MONTH($J$6),SUMIFS(G$15:G74,$C$15:$C74,"&gt;"&amp;EOMONTH($C74,-12))+SUMIFS(H$15:H74,$C$15:$C74,"&gt;"&amp;EOMONTH($C74,-12)),""),"")</f>
        <v/>
      </c>
    </row>
    <row r="75" spans="2:17" ht="12.75" customHeight="1" x14ac:dyDescent="0.25">
      <c r="B75">
        <f t="shared" si="1"/>
        <v>60</v>
      </c>
      <c r="C75" s="58" t="str">
        <f t="shared" si="5"/>
        <v/>
      </c>
      <c r="D75" s="44">
        <f t="shared" si="6"/>
        <v>0</v>
      </c>
      <c r="E75" s="107">
        <f t="shared" si="2"/>
        <v>0</v>
      </c>
      <c r="F75" s="44">
        <f t="shared" si="3"/>
        <v>0</v>
      </c>
      <c r="G75" s="106">
        <f>ROUND(IFERROR((IF(B75&lt;=$D$8,(E75+IF('New Loan'!$C$3&lt;&gt;"Tax Loan",I74,0))*$D$6*(C75-C74)/365,0)),0),2)</f>
        <v>0</v>
      </c>
      <c r="H75" s="106">
        <f>ROUND(IF(B75&lt;$D$8,MIN(I74,D75-G75),IF(B75=$D$8,$I$15-SUM($H$15:$H74),0)),2)</f>
        <v>0</v>
      </c>
      <c r="I75" s="44">
        <f t="shared" si="7"/>
        <v>0</v>
      </c>
      <c r="J75" s="107"/>
      <c r="L75" s="107">
        <f t="shared" si="0"/>
        <v>0</v>
      </c>
      <c r="N75" s="72">
        <f t="shared" si="4"/>
        <v>0</v>
      </c>
      <c r="O75" s="70"/>
      <c r="P75" s="44" t="str">
        <f>IFERROR(IF(MONTH($C75)=MONTH($J$6),SUMIFS(F$15:F75,$C$15:$C75,"&gt;"&amp;EOMONTH($C75,-12)),""),"")</f>
        <v/>
      </c>
      <c r="Q75" s="44" t="str">
        <f>IFERROR(IF(MONTH($C75)=MONTH($J$6),SUMIFS(G$15:G75,$C$15:$C75,"&gt;"&amp;EOMONTH($C75,-12))+SUMIFS(H$15:H75,$C$15:$C75,"&gt;"&amp;EOMONTH($C75,-12)),""),"")</f>
        <v/>
      </c>
    </row>
    <row r="76" spans="2:17" ht="12.75" customHeight="1" x14ac:dyDescent="0.25">
      <c r="B76">
        <f t="shared" si="1"/>
        <v>61</v>
      </c>
      <c r="C76" s="58" t="str">
        <f t="shared" si="5"/>
        <v/>
      </c>
      <c r="D76" s="44">
        <f t="shared" si="6"/>
        <v>0</v>
      </c>
      <c r="E76" s="107">
        <f t="shared" si="2"/>
        <v>0</v>
      </c>
      <c r="F76" s="44">
        <f t="shared" si="3"/>
        <v>0</v>
      </c>
      <c r="G76" s="106">
        <f>ROUND(IFERROR((IF(B76&lt;=$D$8,(E76+IF('New Loan'!$C$3&lt;&gt;"Tax Loan",I75,0))*$D$6*(C76-C75)/365,0)),0),2)</f>
        <v>0</v>
      </c>
      <c r="H76" s="106">
        <f>ROUND(IF(B76&lt;$D$8,MIN(I75,D76-G76),IF(B76=$D$8,$I$15-SUM($H$15:$H75),0)),2)</f>
        <v>0</v>
      </c>
      <c r="I76" s="44">
        <f t="shared" si="7"/>
        <v>0</v>
      </c>
      <c r="J76" s="107"/>
      <c r="L76" s="107">
        <f t="shared" si="0"/>
        <v>0</v>
      </c>
      <c r="N76" s="72">
        <f t="shared" si="4"/>
        <v>0</v>
      </c>
      <c r="O76" s="70"/>
      <c r="P76" s="44" t="str">
        <f>IFERROR(IF(MONTH($C76)=MONTH($J$6),SUMIFS(F$15:F76,$C$15:$C76,"&gt;"&amp;EOMONTH($C76,-12)),""),"")</f>
        <v/>
      </c>
      <c r="Q76" s="44" t="str">
        <f>IFERROR(IF(MONTH($C76)=MONTH($J$6),SUMIFS(G$15:G76,$C$15:$C76,"&gt;"&amp;EOMONTH($C76,-12))+SUMIFS(H$15:H76,$C$15:$C76,"&gt;"&amp;EOMONTH($C76,-12)),""),"")</f>
        <v/>
      </c>
    </row>
    <row r="77" spans="2:17" ht="12.75" customHeight="1" x14ac:dyDescent="0.25">
      <c r="B77">
        <f t="shared" si="1"/>
        <v>62</v>
      </c>
      <c r="C77" s="58" t="str">
        <f t="shared" si="5"/>
        <v/>
      </c>
      <c r="D77" s="44">
        <f t="shared" si="6"/>
        <v>0</v>
      </c>
      <c r="E77" s="107">
        <f t="shared" si="2"/>
        <v>0</v>
      </c>
      <c r="F77" s="44">
        <f t="shared" si="3"/>
        <v>0</v>
      </c>
      <c r="G77" s="106">
        <f>ROUND(IFERROR((IF(B77&lt;=$D$8,(E77+IF('New Loan'!$C$3&lt;&gt;"Tax Loan",I76,0))*$D$6*(C77-C76)/365,0)),0),2)</f>
        <v>0</v>
      </c>
      <c r="H77" s="106">
        <f>ROUND(IF(B77&lt;$D$8,MIN(I76,D77-G77),IF(B77=$D$8,$I$15-SUM($H$15:$H76),0)),2)</f>
        <v>0</v>
      </c>
      <c r="I77" s="44">
        <f t="shared" si="7"/>
        <v>0</v>
      </c>
      <c r="J77" s="107"/>
      <c r="L77" s="107">
        <f t="shared" si="0"/>
        <v>0</v>
      </c>
      <c r="N77" s="72">
        <f t="shared" si="4"/>
        <v>0</v>
      </c>
      <c r="O77" s="70"/>
      <c r="P77" s="44" t="str">
        <f>IFERROR(IF(MONTH($C77)=MONTH($J$6),SUMIFS(F$15:F77,$C$15:$C77,"&gt;"&amp;EOMONTH($C77,-12)),""),"")</f>
        <v/>
      </c>
      <c r="Q77" s="44" t="str">
        <f>IFERROR(IF(MONTH($C77)=MONTH($J$6),SUMIFS(G$15:G77,$C$15:$C77,"&gt;"&amp;EOMONTH($C77,-12))+SUMIFS(H$15:H77,$C$15:$C77,"&gt;"&amp;EOMONTH($C77,-12)),""),"")</f>
        <v/>
      </c>
    </row>
    <row r="78" spans="2:17" ht="12.75" customHeight="1" x14ac:dyDescent="0.25">
      <c r="B78">
        <f t="shared" si="1"/>
        <v>63</v>
      </c>
      <c r="C78" s="58" t="str">
        <f t="shared" si="5"/>
        <v/>
      </c>
      <c r="D78" s="44">
        <f t="shared" si="6"/>
        <v>0</v>
      </c>
      <c r="E78" s="107">
        <f t="shared" si="2"/>
        <v>0</v>
      </c>
      <c r="F78" s="44">
        <f t="shared" si="3"/>
        <v>0</v>
      </c>
      <c r="G78" s="106">
        <f>ROUND(IFERROR((IF(B78&lt;=$D$8,(E78+IF('New Loan'!$C$3&lt;&gt;"Tax Loan",I77,0))*$D$6*(C78-C77)/365,0)),0),2)</f>
        <v>0</v>
      </c>
      <c r="H78" s="106">
        <f>ROUND(IF(B78&lt;$D$8,MIN(I77,D78-G78),IF(B78=$D$8,$I$15-SUM($H$15:$H77),0)),2)</f>
        <v>0</v>
      </c>
      <c r="I78" s="44">
        <f t="shared" si="7"/>
        <v>0</v>
      </c>
      <c r="J78" s="107"/>
      <c r="L78" s="107">
        <f t="shared" si="0"/>
        <v>0</v>
      </c>
      <c r="N78" s="72">
        <f t="shared" si="4"/>
        <v>0</v>
      </c>
      <c r="O78" s="70"/>
      <c r="P78" s="44" t="str">
        <f>IFERROR(IF(MONTH($C78)=MONTH($J$6),SUMIFS(F$15:F78,$C$15:$C78,"&gt;"&amp;EOMONTH($C78,-12)),""),"")</f>
        <v/>
      </c>
      <c r="Q78" s="44" t="str">
        <f>IFERROR(IF(MONTH($C78)=MONTH($J$6),SUMIFS(G$15:G78,$C$15:$C78,"&gt;"&amp;EOMONTH($C78,-12))+SUMIFS(H$15:H78,$C$15:$C78,"&gt;"&amp;EOMONTH($C78,-12)),""),"")</f>
        <v/>
      </c>
    </row>
    <row r="79" spans="2:17" ht="12.75" customHeight="1" x14ac:dyDescent="0.25">
      <c r="B79">
        <f t="shared" si="1"/>
        <v>64</v>
      </c>
      <c r="C79" s="58" t="str">
        <f t="shared" si="5"/>
        <v/>
      </c>
      <c r="D79" s="44">
        <f t="shared" si="6"/>
        <v>0</v>
      </c>
      <c r="E79" s="107">
        <f t="shared" si="2"/>
        <v>0</v>
      </c>
      <c r="F79" s="44">
        <f t="shared" si="3"/>
        <v>0</v>
      </c>
      <c r="G79" s="106">
        <f>ROUND(IFERROR((IF(B79&lt;=$D$8,(E79+IF('New Loan'!$C$3&lt;&gt;"Tax Loan",I78,0))*$D$6*(C79-C78)/365,0)),0),2)</f>
        <v>0</v>
      </c>
      <c r="H79" s="106">
        <f>ROUND(IF(B79&lt;$D$8,MIN(I78,D79-G79),IF(B79=$D$8,$I$15-SUM($H$15:$H78),0)),2)</f>
        <v>0</v>
      </c>
      <c r="I79" s="44">
        <f t="shared" si="7"/>
        <v>0</v>
      </c>
      <c r="J79" s="107"/>
      <c r="L79" s="107">
        <f t="shared" ref="L79:L142" si="8">E79-F79</f>
        <v>0</v>
      </c>
      <c r="N79" s="72">
        <f t="shared" si="4"/>
        <v>0</v>
      </c>
      <c r="O79" s="70"/>
      <c r="P79" s="44" t="str">
        <f>IFERROR(IF(MONTH($C79)=MONTH($J$6),SUMIFS(F$15:F79,$C$15:$C79,"&gt;"&amp;EOMONTH($C79,-12)),""),"")</f>
        <v/>
      </c>
      <c r="Q79" s="44" t="str">
        <f>IFERROR(IF(MONTH($C79)=MONTH($J$6),SUMIFS(G$15:G79,$C$15:$C79,"&gt;"&amp;EOMONTH($C79,-12))+SUMIFS(H$15:H79,$C$15:$C79,"&gt;"&amp;EOMONTH($C79,-12)),""),"")</f>
        <v/>
      </c>
    </row>
    <row r="80" spans="2:17" ht="12.75" customHeight="1" x14ac:dyDescent="0.25">
      <c r="B80">
        <f t="shared" ref="B80:B143" si="9">B79+1</f>
        <v>65</v>
      </c>
      <c r="C80" s="58" t="str">
        <f t="shared" si="5"/>
        <v/>
      </c>
      <c r="D80" s="44">
        <f t="shared" ref="D80:D143" si="10">IF(B80=$D$8,L79+G80+H80,IF(B80&gt;$D$8,0,ROUNDUP($D$9,2)))</f>
        <v>0</v>
      </c>
      <c r="E80" s="107">
        <f t="shared" ref="E80:E143" si="11">L79</f>
        <v>0</v>
      </c>
      <c r="F80" s="44">
        <f t="shared" ref="F80:F143" si="12">ROUND(IFERROR(MIN(MAX(D80-H80-G80,0),L79),0),2)</f>
        <v>0</v>
      </c>
      <c r="G80" s="106">
        <f>ROUND(IFERROR((IF(B80&lt;=$D$8,(E80+IF('New Loan'!$C$3&lt;&gt;"Tax Loan",I79,0))*$D$6*(C80-C79)/365,0)),0),2)</f>
        <v>0</v>
      </c>
      <c r="H80" s="106">
        <f>ROUND(IF(B80&lt;$D$8,MIN(I79,D80-G80),IF(B80=$D$8,$I$15-SUM($H$15:$H79),0)),2)</f>
        <v>0</v>
      </c>
      <c r="I80" s="44">
        <f t="shared" si="7"/>
        <v>0</v>
      </c>
      <c r="J80" s="107"/>
      <c r="L80" s="107">
        <f t="shared" si="8"/>
        <v>0</v>
      </c>
      <c r="N80" s="72">
        <f t="shared" ref="N80:N143" si="13">F80/$D$5</f>
        <v>0</v>
      </c>
      <c r="O80" s="70"/>
      <c r="P80" s="44" t="str">
        <f>IFERROR(IF(MONTH($C80)=MONTH($J$6),SUMIFS(F$15:F80,$C$15:$C80,"&gt;"&amp;EOMONTH($C80,-12)),""),"")</f>
        <v/>
      </c>
      <c r="Q80" s="44" t="str">
        <f>IFERROR(IF(MONTH($C80)=MONTH($J$6),SUMIFS(G$15:G80,$C$15:$C80,"&gt;"&amp;EOMONTH($C80,-12))+SUMIFS(H$15:H80,$C$15:$C80,"&gt;"&amp;EOMONTH($C80,-12)),""),"")</f>
        <v/>
      </c>
    </row>
    <row r="81" spans="2:17" ht="12.75" customHeight="1" x14ac:dyDescent="0.25">
      <c r="B81">
        <f t="shared" si="9"/>
        <v>66</v>
      </c>
      <c r="C81" s="58" t="str">
        <f t="shared" ref="C81:C144" si="14">IF(L80&lt;=0,"",EDATE($J$8,B81-1))</f>
        <v/>
      </c>
      <c r="D81" s="44">
        <f t="shared" si="10"/>
        <v>0</v>
      </c>
      <c r="E81" s="107">
        <f t="shared" si="11"/>
        <v>0</v>
      </c>
      <c r="F81" s="44">
        <f t="shared" si="12"/>
        <v>0</v>
      </c>
      <c r="G81" s="106">
        <f>ROUND(IFERROR((IF(B81&lt;=$D$8,(E81+IF('New Loan'!$C$3&lt;&gt;"Tax Loan",I80,0))*$D$6*(C81-C80)/365,0)),0),2)</f>
        <v>0</v>
      </c>
      <c r="H81" s="106">
        <f>ROUND(IF(B81&lt;$D$8,MIN(I80,D81-G81),IF(B81=$D$8,$I$15-SUM($H$15:$H80),0)),2)</f>
        <v>0</v>
      </c>
      <c r="I81" s="44">
        <f t="shared" ref="I81:I144" si="15">I80-H81</f>
        <v>0</v>
      </c>
      <c r="J81" s="107"/>
      <c r="L81" s="107">
        <f t="shared" si="8"/>
        <v>0</v>
      </c>
      <c r="N81" s="72">
        <f t="shared" si="13"/>
        <v>0</v>
      </c>
      <c r="O81" s="70"/>
      <c r="P81" s="44" t="str">
        <f>IFERROR(IF(MONTH($C81)=MONTH($J$6),SUMIFS(F$15:F81,$C$15:$C81,"&gt;"&amp;EOMONTH($C81,-12)),""),"")</f>
        <v/>
      </c>
      <c r="Q81" s="44" t="str">
        <f>IFERROR(IF(MONTH($C81)=MONTH($J$6),SUMIFS(G$15:G81,$C$15:$C81,"&gt;"&amp;EOMONTH($C81,-12))+SUMIFS(H$15:H81,$C$15:$C81,"&gt;"&amp;EOMONTH($C81,-12)),""),"")</f>
        <v/>
      </c>
    </row>
    <row r="82" spans="2:17" ht="12.75" customHeight="1" x14ac:dyDescent="0.25">
      <c r="B82">
        <f t="shared" si="9"/>
        <v>67</v>
      </c>
      <c r="C82" s="58" t="str">
        <f t="shared" si="14"/>
        <v/>
      </c>
      <c r="D82" s="44">
        <f t="shared" si="10"/>
        <v>0</v>
      </c>
      <c r="E82" s="107">
        <f t="shared" si="11"/>
        <v>0</v>
      </c>
      <c r="F82" s="44">
        <f t="shared" si="12"/>
        <v>0</v>
      </c>
      <c r="G82" s="106">
        <f>ROUND(IFERROR((IF(B82&lt;=$D$8,(E82+IF('New Loan'!$C$3&lt;&gt;"Tax Loan",I81,0))*$D$6*(C82-C81)/365,0)),0),2)</f>
        <v>0</v>
      </c>
      <c r="H82" s="106">
        <f>ROUND(IF(B82&lt;$D$8,MIN(I81,D82-G82),IF(B82=$D$8,$I$15-SUM($H$15:$H81),0)),2)</f>
        <v>0</v>
      </c>
      <c r="I82" s="44">
        <f t="shared" si="15"/>
        <v>0</v>
      </c>
      <c r="J82" s="107"/>
      <c r="L82" s="107">
        <f t="shared" si="8"/>
        <v>0</v>
      </c>
      <c r="N82" s="72">
        <f t="shared" si="13"/>
        <v>0</v>
      </c>
      <c r="O82" s="70"/>
      <c r="P82" s="44" t="str">
        <f>IFERROR(IF(MONTH($C82)=MONTH($J$6),SUMIFS(F$15:F82,$C$15:$C82,"&gt;"&amp;EOMONTH($C82,-12)),""),"")</f>
        <v/>
      </c>
      <c r="Q82" s="44" t="str">
        <f>IFERROR(IF(MONTH($C82)=MONTH($J$6),SUMIFS(G$15:G82,$C$15:$C82,"&gt;"&amp;EOMONTH($C82,-12))+SUMIFS(H$15:H82,$C$15:$C82,"&gt;"&amp;EOMONTH($C82,-12)),""),"")</f>
        <v/>
      </c>
    </row>
    <row r="83" spans="2:17" ht="12.75" customHeight="1" x14ac:dyDescent="0.25">
      <c r="B83">
        <f t="shared" si="9"/>
        <v>68</v>
      </c>
      <c r="C83" s="58" t="str">
        <f t="shared" si="14"/>
        <v/>
      </c>
      <c r="D83" s="44">
        <f t="shared" si="10"/>
        <v>0</v>
      </c>
      <c r="E83" s="107">
        <f t="shared" si="11"/>
        <v>0</v>
      </c>
      <c r="F83" s="44">
        <f t="shared" si="12"/>
        <v>0</v>
      </c>
      <c r="G83" s="106">
        <f>ROUND(IFERROR((IF(B83&lt;=$D$8,(E83+IF('New Loan'!$C$3&lt;&gt;"Tax Loan",I82,0))*$D$6*(C83-C82)/365,0)),0),2)</f>
        <v>0</v>
      </c>
      <c r="H83" s="106">
        <f>ROUND(IF(B83&lt;$D$8,MIN(I82,D83-G83),IF(B83=$D$8,$I$15-SUM($H$15:$H82),0)),2)</f>
        <v>0</v>
      </c>
      <c r="I83" s="44">
        <f t="shared" si="15"/>
        <v>0</v>
      </c>
      <c r="J83" s="107"/>
      <c r="L83" s="107">
        <f t="shared" si="8"/>
        <v>0</v>
      </c>
      <c r="N83" s="72">
        <f t="shared" si="13"/>
        <v>0</v>
      </c>
      <c r="O83" s="70"/>
      <c r="P83" s="44" t="str">
        <f>IFERROR(IF(MONTH($C83)=MONTH($J$6),SUMIFS(F$15:F83,$C$15:$C83,"&gt;"&amp;EOMONTH($C83,-12)),""),"")</f>
        <v/>
      </c>
      <c r="Q83" s="44" t="str">
        <f>IFERROR(IF(MONTH($C83)=MONTH($J$6),SUMIFS(G$15:G83,$C$15:$C83,"&gt;"&amp;EOMONTH($C83,-12))+SUMIFS(H$15:H83,$C$15:$C83,"&gt;"&amp;EOMONTH($C83,-12)),""),"")</f>
        <v/>
      </c>
    </row>
    <row r="84" spans="2:17" ht="12.75" customHeight="1" x14ac:dyDescent="0.25">
      <c r="B84">
        <f t="shared" si="9"/>
        <v>69</v>
      </c>
      <c r="C84" s="58" t="str">
        <f t="shared" si="14"/>
        <v/>
      </c>
      <c r="D84" s="44">
        <f t="shared" si="10"/>
        <v>0</v>
      </c>
      <c r="E84" s="107">
        <f t="shared" si="11"/>
        <v>0</v>
      </c>
      <c r="F84" s="44">
        <f t="shared" si="12"/>
        <v>0</v>
      </c>
      <c r="G84" s="106">
        <f>ROUND(IFERROR((IF(B84&lt;=$D$8,(E84+IF('New Loan'!$C$3&lt;&gt;"Tax Loan",I83,0))*$D$6*(C84-C83)/365,0)),0),2)</f>
        <v>0</v>
      </c>
      <c r="H84" s="106">
        <f>ROUND(IF(B84&lt;$D$8,MIN(I83,D84-G84),IF(B84=$D$8,$I$15-SUM($H$15:$H83),0)),2)</f>
        <v>0</v>
      </c>
      <c r="I84" s="44">
        <f t="shared" si="15"/>
        <v>0</v>
      </c>
      <c r="J84" s="107"/>
      <c r="L84" s="107">
        <f t="shared" si="8"/>
        <v>0</v>
      </c>
      <c r="N84" s="72">
        <f t="shared" si="13"/>
        <v>0</v>
      </c>
      <c r="O84" s="70"/>
      <c r="P84" s="44" t="str">
        <f>IFERROR(IF(MONTH($C84)=MONTH($J$6),SUMIFS(F$15:F84,$C$15:$C84,"&gt;"&amp;EOMONTH($C84,-12)),""),"")</f>
        <v/>
      </c>
      <c r="Q84" s="44" t="str">
        <f>IFERROR(IF(MONTH($C84)=MONTH($J$6),SUMIFS(G$15:G84,$C$15:$C84,"&gt;"&amp;EOMONTH($C84,-12))+SUMIFS(H$15:H84,$C$15:$C84,"&gt;"&amp;EOMONTH($C84,-12)),""),"")</f>
        <v/>
      </c>
    </row>
    <row r="85" spans="2:17" ht="12.75" customHeight="1" x14ac:dyDescent="0.25">
      <c r="B85">
        <f t="shared" si="9"/>
        <v>70</v>
      </c>
      <c r="C85" s="58" t="str">
        <f t="shared" si="14"/>
        <v/>
      </c>
      <c r="D85" s="44">
        <f t="shared" si="10"/>
        <v>0</v>
      </c>
      <c r="E85" s="107">
        <f t="shared" si="11"/>
        <v>0</v>
      </c>
      <c r="F85" s="44">
        <f t="shared" si="12"/>
        <v>0</v>
      </c>
      <c r="G85" s="106">
        <f>ROUND(IFERROR((IF(B85&lt;=$D$8,(E85+IF('New Loan'!$C$3&lt;&gt;"Tax Loan",I84,0))*$D$6*(C85-C84)/365,0)),0),2)</f>
        <v>0</v>
      </c>
      <c r="H85" s="106">
        <f>ROUND(IF(B85&lt;$D$8,MIN(I84,D85-G85),IF(B85=$D$8,$I$15-SUM($H$15:$H84),0)),2)</f>
        <v>0</v>
      </c>
      <c r="I85" s="44">
        <f t="shared" si="15"/>
        <v>0</v>
      </c>
      <c r="J85" s="107"/>
      <c r="L85" s="107">
        <f t="shared" si="8"/>
        <v>0</v>
      </c>
      <c r="N85" s="72">
        <f t="shared" si="13"/>
        <v>0</v>
      </c>
      <c r="O85" s="70"/>
      <c r="P85" s="44" t="str">
        <f>IFERROR(IF(MONTH($C85)=MONTH($J$6),SUMIFS(F$15:F85,$C$15:$C85,"&gt;"&amp;EOMONTH($C85,-12)),""),"")</f>
        <v/>
      </c>
      <c r="Q85" s="44" t="str">
        <f>IFERROR(IF(MONTH($C85)=MONTH($J$6),SUMIFS(G$15:G85,$C$15:$C85,"&gt;"&amp;EOMONTH($C85,-12))+SUMIFS(H$15:H85,$C$15:$C85,"&gt;"&amp;EOMONTH($C85,-12)),""),"")</f>
        <v/>
      </c>
    </row>
    <row r="86" spans="2:17" ht="12.75" customHeight="1" x14ac:dyDescent="0.25">
      <c r="B86">
        <f t="shared" si="9"/>
        <v>71</v>
      </c>
      <c r="C86" s="58" t="str">
        <f t="shared" si="14"/>
        <v/>
      </c>
      <c r="D86" s="44">
        <f t="shared" si="10"/>
        <v>0</v>
      </c>
      <c r="E86" s="107">
        <f t="shared" si="11"/>
        <v>0</v>
      </c>
      <c r="F86" s="44">
        <f t="shared" si="12"/>
        <v>0</v>
      </c>
      <c r="G86" s="106">
        <f>ROUND(IFERROR((IF(B86&lt;=$D$8,(E86+IF('New Loan'!$C$3&lt;&gt;"Tax Loan",I85,0))*$D$6*(C86-C85)/365,0)),0),2)</f>
        <v>0</v>
      </c>
      <c r="H86" s="106">
        <f>ROUND(IF(B86&lt;$D$8,MIN(I85,D86-G86),IF(B86=$D$8,$I$15-SUM($H$15:$H85),0)),2)</f>
        <v>0</v>
      </c>
      <c r="I86" s="44">
        <f t="shared" si="15"/>
        <v>0</v>
      </c>
      <c r="J86" s="107"/>
      <c r="L86" s="107">
        <f t="shared" si="8"/>
        <v>0</v>
      </c>
      <c r="N86" s="72">
        <f t="shared" si="13"/>
        <v>0</v>
      </c>
      <c r="O86" s="70"/>
      <c r="P86" s="44" t="str">
        <f>IFERROR(IF(MONTH($C86)=MONTH($J$6),SUMIFS(F$15:F86,$C$15:$C86,"&gt;"&amp;EOMONTH($C86,-12)),""),"")</f>
        <v/>
      </c>
      <c r="Q86" s="44" t="str">
        <f>IFERROR(IF(MONTH($C86)=MONTH($J$6),SUMIFS(G$15:G86,$C$15:$C86,"&gt;"&amp;EOMONTH($C86,-12))+SUMIFS(H$15:H86,$C$15:$C86,"&gt;"&amp;EOMONTH($C86,-12)),""),"")</f>
        <v/>
      </c>
    </row>
    <row r="87" spans="2:17" ht="12.75" customHeight="1" x14ac:dyDescent="0.25">
      <c r="B87">
        <f t="shared" si="9"/>
        <v>72</v>
      </c>
      <c r="C87" s="58" t="str">
        <f t="shared" si="14"/>
        <v/>
      </c>
      <c r="D87" s="44">
        <f t="shared" si="10"/>
        <v>0</v>
      </c>
      <c r="E87" s="107">
        <f t="shared" si="11"/>
        <v>0</v>
      </c>
      <c r="F87" s="44">
        <f t="shared" si="12"/>
        <v>0</v>
      </c>
      <c r="G87" s="106">
        <f>ROUND(IFERROR((IF(B87&lt;=$D$8,(E87+IF('New Loan'!$C$3&lt;&gt;"Tax Loan",I86,0))*$D$6*(C87-C86)/365,0)),0),2)</f>
        <v>0</v>
      </c>
      <c r="H87" s="106">
        <f>ROUND(IF(B87&lt;$D$8,MIN(I86,D87-G87),IF(B87=$D$8,$I$15-SUM($H$15:$H86),0)),2)</f>
        <v>0</v>
      </c>
      <c r="I87" s="44">
        <f t="shared" si="15"/>
        <v>0</v>
      </c>
      <c r="J87" s="107"/>
      <c r="L87" s="107">
        <f t="shared" si="8"/>
        <v>0</v>
      </c>
      <c r="N87" s="72">
        <f t="shared" si="13"/>
        <v>0</v>
      </c>
      <c r="O87" s="70"/>
      <c r="P87" s="44" t="str">
        <f>IFERROR(IF(MONTH($C87)=MONTH($J$6),SUMIFS(F$15:F87,$C$15:$C87,"&gt;"&amp;EOMONTH($C87,-12)),""),"")</f>
        <v/>
      </c>
      <c r="Q87" s="44" t="str">
        <f>IFERROR(IF(MONTH($C87)=MONTH($J$6),SUMIFS(G$15:G87,$C$15:$C87,"&gt;"&amp;EOMONTH($C87,-12))+SUMIFS(H$15:H87,$C$15:$C87,"&gt;"&amp;EOMONTH($C87,-12)),""),"")</f>
        <v/>
      </c>
    </row>
    <row r="88" spans="2:17" ht="12.75" customHeight="1" x14ac:dyDescent="0.25">
      <c r="B88">
        <f t="shared" si="9"/>
        <v>73</v>
      </c>
      <c r="C88" s="58" t="str">
        <f t="shared" si="14"/>
        <v/>
      </c>
      <c r="D88" s="44">
        <f t="shared" si="10"/>
        <v>0</v>
      </c>
      <c r="E88" s="107">
        <f t="shared" si="11"/>
        <v>0</v>
      </c>
      <c r="F88" s="44">
        <f t="shared" si="12"/>
        <v>0</v>
      </c>
      <c r="G88" s="106">
        <f>ROUND(IFERROR((IF(B88&lt;=$D$8,(E88+IF('New Loan'!$C$3&lt;&gt;"Tax Loan",I87,0))*$D$6*(C88-C87)/365,0)),0),2)</f>
        <v>0</v>
      </c>
      <c r="H88" s="106">
        <f>ROUND(IF(B88&lt;$D$8,MIN(I87,D88-G88),IF(B88=$D$8,$I$15-SUM($H$15:$H87),0)),2)</f>
        <v>0</v>
      </c>
      <c r="I88" s="44">
        <f t="shared" si="15"/>
        <v>0</v>
      </c>
      <c r="J88" s="107"/>
      <c r="L88" s="107">
        <f t="shared" si="8"/>
        <v>0</v>
      </c>
      <c r="N88" s="72">
        <f t="shared" si="13"/>
        <v>0</v>
      </c>
      <c r="O88" s="70"/>
      <c r="P88" s="44" t="str">
        <f>IFERROR(IF(MONTH($C88)=MONTH($J$6),SUMIFS(F$15:F88,$C$15:$C88,"&gt;"&amp;EOMONTH($C88,-12)),""),"")</f>
        <v/>
      </c>
      <c r="Q88" s="44" t="str">
        <f>IFERROR(IF(MONTH($C88)=MONTH($J$6),SUMIFS(G$15:G88,$C$15:$C88,"&gt;"&amp;EOMONTH($C88,-12))+SUMIFS(H$15:H88,$C$15:$C88,"&gt;"&amp;EOMONTH($C88,-12)),""),"")</f>
        <v/>
      </c>
    </row>
    <row r="89" spans="2:17" ht="12.75" customHeight="1" x14ac:dyDescent="0.25">
      <c r="B89">
        <f t="shared" si="9"/>
        <v>74</v>
      </c>
      <c r="C89" s="58" t="str">
        <f t="shared" si="14"/>
        <v/>
      </c>
      <c r="D89" s="44">
        <f t="shared" si="10"/>
        <v>0</v>
      </c>
      <c r="E89" s="107">
        <f t="shared" si="11"/>
        <v>0</v>
      </c>
      <c r="F89" s="44">
        <f t="shared" si="12"/>
        <v>0</v>
      </c>
      <c r="G89" s="106">
        <f>ROUND(IFERROR((IF(B89&lt;=$D$8,(E89+IF('New Loan'!$C$3&lt;&gt;"Tax Loan",I88,0))*$D$6*(C89-C88)/365,0)),0),2)</f>
        <v>0</v>
      </c>
      <c r="H89" s="106">
        <f>ROUND(IF(B89&lt;$D$8,MIN(I88,D89-G89),IF(B89=$D$8,$I$15-SUM($H$15:$H88),0)),2)</f>
        <v>0</v>
      </c>
      <c r="I89" s="44">
        <f t="shared" si="15"/>
        <v>0</v>
      </c>
      <c r="J89" s="107"/>
      <c r="L89" s="107">
        <f t="shared" si="8"/>
        <v>0</v>
      </c>
      <c r="N89" s="72">
        <f t="shared" si="13"/>
        <v>0</v>
      </c>
      <c r="O89" s="70"/>
      <c r="P89" s="44" t="str">
        <f>IFERROR(IF(MONTH($C89)=MONTH($J$6),SUMIFS(F$15:F89,$C$15:$C89,"&gt;"&amp;EOMONTH($C89,-12)),""),"")</f>
        <v/>
      </c>
      <c r="Q89" s="44" t="str">
        <f>IFERROR(IF(MONTH($C89)=MONTH($J$6),SUMIFS(G$15:G89,$C$15:$C89,"&gt;"&amp;EOMONTH($C89,-12))+SUMIFS(H$15:H89,$C$15:$C89,"&gt;"&amp;EOMONTH($C89,-12)),""),"")</f>
        <v/>
      </c>
    </row>
    <row r="90" spans="2:17" ht="12.75" customHeight="1" x14ac:dyDescent="0.25">
      <c r="B90">
        <f t="shared" si="9"/>
        <v>75</v>
      </c>
      <c r="C90" s="58" t="str">
        <f t="shared" si="14"/>
        <v/>
      </c>
      <c r="D90" s="44">
        <f t="shared" si="10"/>
        <v>0</v>
      </c>
      <c r="E90" s="107">
        <f t="shared" si="11"/>
        <v>0</v>
      </c>
      <c r="F90" s="44">
        <f t="shared" si="12"/>
        <v>0</v>
      </c>
      <c r="G90" s="106">
        <f>ROUND(IFERROR((IF(B90&lt;=$D$8,(E90+IF('New Loan'!$C$3&lt;&gt;"Tax Loan",I89,0))*$D$6*(C90-C89)/365,0)),0),2)</f>
        <v>0</v>
      </c>
      <c r="H90" s="106">
        <f>ROUND(IF(B90&lt;$D$8,MIN(I89,D90-G90),IF(B90=$D$8,$I$15-SUM($H$15:$H89),0)),2)</f>
        <v>0</v>
      </c>
      <c r="I90" s="44">
        <f t="shared" si="15"/>
        <v>0</v>
      </c>
      <c r="J90" s="107"/>
      <c r="L90" s="107">
        <f t="shared" si="8"/>
        <v>0</v>
      </c>
      <c r="N90" s="72">
        <f t="shared" si="13"/>
        <v>0</v>
      </c>
      <c r="O90" s="70"/>
      <c r="P90" s="44" t="str">
        <f>IFERROR(IF(MONTH($C90)=MONTH($J$6),SUMIFS(F$15:F90,$C$15:$C90,"&gt;"&amp;EOMONTH($C90,-12)),""),"")</f>
        <v/>
      </c>
      <c r="Q90" s="44" t="str">
        <f>IFERROR(IF(MONTH($C90)=MONTH($J$6),SUMIFS(G$15:G90,$C$15:$C90,"&gt;"&amp;EOMONTH($C90,-12))+SUMIFS(H$15:H90,$C$15:$C90,"&gt;"&amp;EOMONTH($C90,-12)),""),"")</f>
        <v/>
      </c>
    </row>
    <row r="91" spans="2:17" ht="12.75" customHeight="1" x14ac:dyDescent="0.25">
      <c r="B91">
        <f t="shared" si="9"/>
        <v>76</v>
      </c>
      <c r="C91" s="58" t="str">
        <f t="shared" si="14"/>
        <v/>
      </c>
      <c r="D91" s="44">
        <f t="shared" si="10"/>
        <v>0</v>
      </c>
      <c r="E91" s="107">
        <f t="shared" si="11"/>
        <v>0</v>
      </c>
      <c r="F91" s="44">
        <f t="shared" si="12"/>
        <v>0</v>
      </c>
      <c r="G91" s="106">
        <f>ROUND(IFERROR((IF(B91&lt;=$D$8,(E91+IF('New Loan'!$C$3&lt;&gt;"Tax Loan",I90,0))*$D$6*(C91-C90)/365,0)),0),2)</f>
        <v>0</v>
      </c>
      <c r="H91" s="106">
        <f>ROUND(IF(B91&lt;$D$8,MIN(I90,D91-G91),IF(B91=$D$8,$I$15-SUM($H$15:$H90),0)),2)</f>
        <v>0</v>
      </c>
      <c r="I91" s="44">
        <f t="shared" si="15"/>
        <v>0</v>
      </c>
      <c r="J91" s="107"/>
      <c r="L91" s="107">
        <f t="shared" si="8"/>
        <v>0</v>
      </c>
      <c r="N91" s="72">
        <f t="shared" si="13"/>
        <v>0</v>
      </c>
      <c r="O91" s="70"/>
      <c r="P91" s="44" t="str">
        <f>IFERROR(IF(MONTH($C91)=MONTH($J$6),SUMIFS(F$15:F91,$C$15:$C91,"&gt;"&amp;EOMONTH($C91,-12)),""),"")</f>
        <v/>
      </c>
      <c r="Q91" s="44" t="str">
        <f>IFERROR(IF(MONTH($C91)=MONTH($J$6),SUMIFS(G$15:G91,$C$15:$C91,"&gt;"&amp;EOMONTH($C91,-12))+SUMIFS(H$15:H91,$C$15:$C91,"&gt;"&amp;EOMONTH($C91,-12)),""),"")</f>
        <v/>
      </c>
    </row>
    <row r="92" spans="2:17" ht="12.75" customHeight="1" x14ac:dyDescent="0.25">
      <c r="B92">
        <f t="shared" si="9"/>
        <v>77</v>
      </c>
      <c r="C92" s="58" t="str">
        <f t="shared" si="14"/>
        <v/>
      </c>
      <c r="D92" s="44">
        <f t="shared" si="10"/>
        <v>0</v>
      </c>
      <c r="E92" s="107">
        <f t="shared" si="11"/>
        <v>0</v>
      </c>
      <c r="F92" s="44">
        <f t="shared" si="12"/>
        <v>0</v>
      </c>
      <c r="G92" s="106">
        <f>ROUND(IFERROR((IF(B92&lt;=$D$8,(E92+IF('New Loan'!$C$3&lt;&gt;"Tax Loan",I91,0))*$D$6*(C92-C91)/365,0)),0),2)</f>
        <v>0</v>
      </c>
      <c r="H92" s="106">
        <f>ROUND(IF(B92&lt;$D$8,MIN(I91,D92-G92),IF(B92=$D$8,$I$15-SUM($H$15:$H91),0)),2)</f>
        <v>0</v>
      </c>
      <c r="I92" s="44">
        <f t="shared" si="15"/>
        <v>0</v>
      </c>
      <c r="J92" s="107"/>
      <c r="L92" s="107">
        <f t="shared" si="8"/>
        <v>0</v>
      </c>
      <c r="N92" s="72">
        <f t="shared" si="13"/>
        <v>0</v>
      </c>
      <c r="O92" s="70"/>
      <c r="P92" s="44" t="str">
        <f>IFERROR(IF(MONTH($C92)=MONTH($J$6),SUMIFS(F$15:F92,$C$15:$C92,"&gt;"&amp;EOMONTH($C92,-12)),""),"")</f>
        <v/>
      </c>
      <c r="Q92" s="44" t="str">
        <f>IFERROR(IF(MONTH($C92)=MONTH($J$6),SUMIFS(G$15:G92,$C$15:$C92,"&gt;"&amp;EOMONTH($C92,-12))+SUMIFS(H$15:H92,$C$15:$C92,"&gt;"&amp;EOMONTH($C92,-12)),""),"")</f>
        <v/>
      </c>
    </row>
    <row r="93" spans="2:17" ht="12.75" customHeight="1" x14ac:dyDescent="0.25">
      <c r="B93">
        <f t="shared" si="9"/>
        <v>78</v>
      </c>
      <c r="C93" s="58" t="str">
        <f t="shared" si="14"/>
        <v/>
      </c>
      <c r="D93" s="44">
        <f t="shared" si="10"/>
        <v>0</v>
      </c>
      <c r="E93" s="107">
        <f t="shared" si="11"/>
        <v>0</v>
      </c>
      <c r="F93" s="44">
        <f t="shared" si="12"/>
        <v>0</v>
      </c>
      <c r="G93" s="106">
        <f>ROUND(IFERROR((IF(B93&lt;=$D$8,(E93+IF('New Loan'!$C$3&lt;&gt;"Tax Loan",I92,0))*$D$6*(C93-C92)/365,0)),0),2)</f>
        <v>0</v>
      </c>
      <c r="H93" s="106">
        <f>ROUND(IF(B93&lt;$D$8,MIN(I92,D93-G93),IF(B93=$D$8,$I$15-SUM($H$15:$H92),0)),2)</f>
        <v>0</v>
      </c>
      <c r="I93" s="44">
        <f t="shared" si="15"/>
        <v>0</v>
      </c>
      <c r="J93" s="107"/>
      <c r="L93" s="107">
        <f t="shared" si="8"/>
        <v>0</v>
      </c>
      <c r="N93" s="72">
        <f t="shared" si="13"/>
        <v>0</v>
      </c>
      <c r="O93" s="70"/>
      <c r="P93" s="44" t="str">
        <f>IFERROR(IF(MONTH($C93)=MONTH($J$6),SUMIFS(F$15:F93,$C$15:$C93,"&gt;"&amp;EOMONTH($C93,-12)),""),"")</f>
        <v/>
      </c>
      <c r="Q93" s="44" t="str">
        <f>IFERROR(IF(MONTH($C93)=MONTH($J$6),SUMIFS(G$15:G93,$C$15:$C93,"&gt;"&amp;EOMONTH($C93,-12))+SUMIFS(H$15:H93,$C$15:$C93,"&gt;"&amp;EOMONTH($C93,-12)),""),"")</f>
        <v/>
      </c>
    </row>
    <row r="94" spans="2:17" ht="12.75" customHeight="1" x14ac:dyDescent="0.25">
      <c r="B94">
        <f t="shared" si="9"/>
        <v>79</v>
      </c>
      <c r="C94" s="58" t="str">
        <f t="shared" si="14"/>
        <v/>
      </c>
      <c r="D94" s="44">
        <f t="shared" si="10"/>
        <v>0</v>
      </c>
      <c r="E94" s="107">
        <f t="shared" si="11"/>
        <v>0</v>
      </c>
      <c r="F94" s="44">
        <f t="shared" si="12"/>
        <v>0</v>
      </c>
      <c r="G94" s="106">
        <f>ROUND(IFERROR((IF(B94&lt;=$D$8,(E94+IF('New Loan'!$C$3&lt;&gt;"Tax Loan",I93,0))*$D$6*(C94-C93)/365,0)),0),2)</f>
        <v>0</v>
      </c>
      <c r="H94" s="106">
        <f>ROUND(IF(B94&lt;$D$8,MIN(I93,D94-G94),IF(B94=$D$8,$I$15-SUM($H$15:$H93),0)),2)</f>
        <v>0</v>
      </c>
      <c r="I94" s="44">
        <f t="shared" si="15"/>
        <v>0</v>
      </c>
      <c r="J94" s="107"/>
      <c r="L94" s="107">
        <f t="shared" si="8"/>
        <v>0</v>
      </c>
      <c r="N94" s="72">
        <f t="shared" si="13"/>
        <v>0</v>
      </c>
      <c r="O94" s="70"/>
      <c r="P94" s="44" t="str">
        <f>IFERROR(IF(MONTH($C94)=MONTH($J$6),SUMIFS(F$15:F94,$C$15:$C94,"&gt;"&amp;EOMONTH($C94,-12)),""),"")</f>
        <v/>
      </c>
      <c r="Q94" s="44" t="str">
        <f>IFERROR(IF(MONTH($C94)=MONTH($J$6),SUMIFS(G$15:G94,$C$15:$C94,"&gt;"&amp;EOMONTH($C94,-12))+SUMIFS(H$15:H94,$C$15:$C94,"&gt;"&amp;EOMONTH($C94,-12)),""),"")</f>
        <v/>
      </c>
    </row>
    <row r="95" spans="2:17" ht="12.75" customHeight="1" x14ac:dyDescent="0.25">
      <c r="B95">
        <f t="shared" si="9"/>
        <v>80</v>
      </c>
      <c r="C95" s="58" t="str">
        <f t="shared" si="14"/>
        <v/>
      </c>
      <c r="D95" s="44">
        <f t="shared" si="10"/>
        <v>0</v>
      </c>
      <c r="E95" s="107">
        <f t="shared" si="11"/>
        <v>0</v>
      </c>
      <c r="F95" s="44">
        <f t="shared" si="12"/>
        <v>0</v>
      </c>
      <c r="G95" s="106">
        <f>ROUND(IFERROR((IF(B95&lt;=$D$8,(E95+IF('New Loan'!$C$3&lt;&gt;"Tax Loan",I94,0))*$D$6*(C95-C94)/365,0)),0),2)</f>
        <v>0</v>
      </c>
      <c r="H95" s="106">
        <f>ROUND(IF(B95&lt;$D$8,MIN(I94,D95-G95),IF(B95=$D$8,$I$15-SUM($H$15:$H94),0)),2)</f>
        <v>0</v>
      </c>
      <c r="I95" s="44">
        <f t="shared" si="15"/>
        <v>0</v>
      </c>
      <c r="J95" s="107"/>
      <c r="L95" s="107">
        <f t="shared" si="8"/>
        <v>0</v>
      </c>
      <c r="N95" s="72">
        <f t="shared" si="13"/>
        <v>0</v>
      </c>
      <c r="O95" s="70"/>
      <c r="P95" s="44" t="str">
        <f>IFERROR(IF(MONTH($C95)=MONTH($J$6),SUMIFS(F$15:F95,$C$15:$C95,"&gt;"&amp;EOMONTH($C95,-12)),""),"")</f>
        <v/>
      </c>
      <c r="Q95" s="44" t="str">
        <f>IFERROR(IF(MONTH($C95)=MONTH($J$6),SUMIFS(G$15:G95,$C$15:$C95,"&gt;"&amp;EOMONTH($C95,-12))+SUMIFS(H$15:H95,$C$15:$C95,"&gt;"&amp;EOMONTH($C95,-12)),""),"")</f>
        <v/>
      </c>
    </row>
    <row r="96" spans="2:17" ht="12.75" customHeight="1" x14ac:dyDescent="0.25">
      <c r="B96">
        <f t="shared" si="9"/>
        <v>81</v>
      </c>
      <c r="C96" s="58" t="str">
        <f t="shared" si="14"/>
        <v/>
      </c>
      <c r="D96" s="44">
        <f t="shared" si="10"/>
        <v>0</v>
      </c>
      <c r="E96" s="107">
        <f t="shared" si="11"/>
        <v>0</v>
      </c>
      <c r="F96" s="44">
        <f t="shared" si="12"/>
        <v>0</v>
      </c>
      <c r="G96" s="106">
        <f>ROUND(IFERROR((IF(B96&lt;=$D$8,(E96+IF('New Loan'!$C$3&lt;&gt;"Tax Loan",I95,0))*$D$6*(C96-C95)/365,0)),0),2)</f>
        <v>0</v>
      </c>
      <c r="H96" s="106">
        <f>ROUND(IF(B96&lt;$D$8,MIN(I95,D96-G96),IF(B96=$D$8,$I$15-SUM($H$15:$H95),0)),2)</f>
        <v>0</v>
      </c>
      <c r="I96" s="44">
        <f t="shared" si="15"/>
        <v>0</v>
      </c>
      <c r="J96" s="107"/>
      <c r="L96" s="107">
        <f t="shared" si="8"/>
        <v>0</v>
      </c>
      <c r="N96" s="72">
        <f t="shared" si="13"/>
        <v>0</v>
      </c>
      <c r="O96" s="70"/>
      <c r="P96" s="44" t="str">
        <f>IFERROR(IF(MONTH($C96)=MONTH($J$6),SUMIFS(F$15:F96,$C$15:$C96,"&gt;"&amp;EOMONTH($C96,-12)),""),"")</f>
        <v/>
      </c>
      <c r="Q96" s="44" t="str">
        <f>IFERROR(IF(MONTH($C96)=MONTH($J$6),SUMIFS(G$15:G96,$C$15:$C96,"&gt;"&amp;EOMONTH($C96,-12))+SUMIFS(H$15:H96,$C$15:$C96,"&gt;"&amp;EOMONTH($C96,-12)),""),"")</f>
        <v/>
      </c>
    </row>
    <row r="97" spans="2:17" ht="12.75" customHeight="1" x14ac:dyDescent="0.25">
      <c r="B97">
        <f t="shared" si="9"/>
        <v>82</v>
      </c>
      <c r="C97" s="58" t="str">
        <f t="shared" si="14"/>
        <v/>
      </c>
      <c r="D97" s="44">
        <f t="shared" si="10"/>
        <v>0</v>
      </c>
      <c r="E97" s="107">
        <f t="shared" si="11"/>
        <v>0</v>
      </c>
      <c r="F97" s="44">
        <f t="shared" si="12"/>
        <v>0</v>
      </c>
      <c r="G97" s="106">
        <f>ROUND(IFERROR((IF(B97&lt;=$D$8,(E97+IF('New Loan'!$C$3&lt;&gt;"Tax Loan",I96,0))*$D$6*(C97-C96)/365,0)),0),2)</f>
        <v>0</v>
      </c>
      <c r="H97" s="106">
        <f>ROUND(IF(B97&lt;$D$8,MIN(I96,D97-G97),IF(B97=$D$8,$I$15-SUM($H$15:$H96),0)),2)</f>
        <v>0</v>
      </c>
      <c r="I97" s="44">
        <f t="shared" si="15"/>
        <v>0</v>
      </c>
      <c r="J97" s="107"/>
      <c r="L97" s="107">
        <f t="shared" si="8"/>
        <v>0</v>
      </c>
      <c r="N97" s="72">
        <f t="shared" si="13"/>
        <v>0</v>
      </c>
      <c r="O97" s="70"/>
      <c r="P97" s="44" t="str">
        <f>IFERROR(IF(MONTH($C97)=MONTH($J$6),SUMIFS(F$15:F97,$C$15:$C97,"&gt;"&amp;EOMONTH($C97,-12)),""),"")</f>
        <v/>
      </c>
      <c r="Q97" s="44" t="str">
        <f>IFERROR(IF(MONTH($C97)=MONTH($J$6),SUMIFS(G$15:G97,$C$15:$C97,"&gt;"&amp;EOMONTH($C97,-12))+SUMIFS(H$15:H97,$C$15:$C97,"&gt;"&amp;EOMONTH($C97,-12)),""),"")</f>
        <v/>
      </c>
    </row>
    <row r="98" spans="2:17" ht="12.75" customHeight="1" x14ac:dyDescent="0.25">
      <c r="B98">
        <f t="shared" si="9"/>
        <v>83</v>
      </c>
      <c r="C98" s="58" t="str">
        <f t="shared" si="14"/>
        <v/>
      </c>
      <c r="D98" s="44">
        <f t="shared" si="10"/>
        <v>0</v>
      </c>
      <c r="E98" s="107">
        <f t="shared" si="11"/>
        <v>0</v>
      </c>
      <c r="F98" s="44">
        <f t="shared" si="12"/>
        <v>0</v>
      </c>
      <c r="G98" s="106">
        <f>ROUND(IFERROR((IF(B98&lt;=$D$8,(E98+IF('New Loan'!$C$3&lt;&gt;"Tax Loan",I97,0))*$D$6*(C98-C97)/365,0)),0),2)</f>
        <v>0</v>
      </c>
      <c r="H98" s="106">
        <f>ROUND(IF(B98&lt;$D$8,MIN(I97,D98-G98),IF(B98=$D$8,$I$15-SUM($H$15:$H97),0)),2)</f>
        <v>0</v>
      </c>
      <c r="I98" s="44">
        <f t="shared" si="15"/>
        <v>0</v>
      </c>
      <c r="J98" s="107"/>
      <c r="L98" s="107">
        <f t="shared" si="8"/>
        <v>0</v>
      </c>
      <c r="N98" s="72">
        <f t="shared" si="13"/>
        <v>0</v>
      </c>
      <c r="O98" s="70"/>
      <c r="P98" s="44" t="str">
        <f>IFERROR(IF(MONTH($C98)=MONTH($J$6),SUMIFS(F$15:F98,$C$15:$C98,"&gt;"&amp;EOMONTH($C98,-12)),""),"")</f>
        <v/>
      </c>
      <c r="Q98" s="44" t="str">
        <f>IFERROR(IF(MONTH($C98)=MONTH($J$6),SUMIFS(G$15:G98,$C$15:$C98,"&gt;"&amp;EOMONTH($C98,-12))+SUMIFS(H$15:H98,$C$15:$C98,"&gt;"&amp;EOMONTH($C98,-12)),""),"")</f>
        <v/>
      </c>
    </row>
    <row r="99" spans="2:17" ht="12.75" customHeight="1" x14ac:dyDescent="0.25">
      <c r="B99">
        <f t="shared" si="9"/>
        <v>84</v>
      </c>
      <c r="C99" s="58" t="str">
        <f t="shared" si="14"/>
        <v/>
      </c>
      <c r="D99" s="44">
        <f t="shared" si="10"/>
        <v>0</v>
      </c>
      <c r="E99" s="107">
        <f t="shared" si="11"/>
        <v>0</v>
      </c>
      <c r="F99" s="44">
        <f t="shared" si="12"/>
        <v>0</v>
      </c>
      <c r="G99" s="106">
        <f>ROUND(IFERROR((IF(B99&lt;=$D$8,(E99+IF('New Loan'!$C$3&lt;&gt;"Tax Loan",I98,0))*$D$6*(C99-C98)/365,0)),0),2)</f>
        <v>0</v>
      </c>
      <c r="H99" s="106">
        <f>ROUND(IF(B99&lt;$D$8,MIN(I98,D99-G99),IF(B99=$D$8,$I$15-SUM($H$15:$H98),0)),2)</f>
        <v>0</v>
      </c>
      <c r="I99" s="44">
        <f t="shared" si="15"/>
        <v>0</v>
      </c>
      <c r="J99" s="107"/>
      <c r="L99" s="107">
        <f t="shared" si="8"/>
        <v>0</v>
      </c>
      <c r="N99" s="72">
        <f t="shared" si="13"/>
        <v>0</v>
      </c>
      <c r="O99" s="70"/>
      <c r="P99" s="44" t="str">
        <f>IFERROR(IF(MONTH($C99)=MONTH($J$6),SUMIFS(F$15:F99,$C$15:$C99,"&gt;"&amp;EOMONTH($C99,-12)),""),"")</f>
        <v/>
      </c>
      <c r="Q99" s="44" t="str">
        <f>IFERROR(IF(MONTH($C99)=MONTH($J$6),SUMIFS(G$15:G99,$C$15:$C99,"&gt;"&amp;EOMONTH($C99,-12))+SUMIFS(H$15:H99,$C$15:$C99,"&gt;"&amp;EOMONTH($C99,-12)),""),"")</f>
        <v/>
      </c>
    </row>
    <row r="100" spans="2:17" ht="12.75" customHeight="1" x14ac:dyDescent="0.25">
      <c r="B100">
        <f t="shared" si="9"/>
        <v>85</v>
      </c>
      <c r="C100" s="58" t="str">
        <f t="shared" si="14"/>
        <v/>
      </c>
      <c r="D100" s="44">
        <f t="shared" si="10"/>
        <v>0</v>
      </c>
      <c r="E100" s="107">
        <f t="shared" si="11"/>
        <v>0</v>
      </c>
      <c r="F100" s="44">
        <f t="shared" si="12"/>
        <v>0</v>
      </c>
      <c r="G100" s="106">
        <f>ROUND(IFERROR((IF(B100&lt;=$D$8,(E100+IF('New Loan'!$C$3&lt;&gt;"Tax Loan",I99,0))*$D$6*(C100-C99)/365,0)),0),2)</f>
        <v>0</v>
      </c>
      <c r="H100" s="106">
        <f>ROUND(IF(B100&lt;$D$8,MIN(I99,D100-G100),IF(B100=$D$8,$I$15-SUM($H$15:$H99),0)),2)</f>
        <v>0</v>
      </c>
      <c r="I100" s="44">
        <f t="shared" si="15"/>
        <v>0</v>
      </c>
      <c r="J100" s="107"/>
      <c r="L100" s="107">
        <f t="shared" si="8"/>
        <v>0</v>
      </c>
      <c r="N100" s="72">
        <f t="shared" si="13"/>
        <v>0</v>
      </c>
      <c r="O100" s="70"/>
      <c r="P100" s="44" t="str">
        <f>IFERROR(IF(MONTH($C100)=MONTH($J$6),SUMIFS(F$15:F100,$C$15:$C100,"&gt;"&amp;EOMONTH($C100,-12)),""),"")</f>
        <v/>
      </c>
      <c r="Q100" s="44" t="str">
        <f>IFERROR(IF(MONTH($C100)=MONTH($J$6),SUMIFS(G$15:G100,$C$15:$C100,"&gt;"&amp;EOMONTH($C100,-12))+SUMIFS(H$15:H100,$C$15:$C100,"&gt;"&amp;EOMONTH($C100,-12)),""),"")</f>
        <v/>
      </c>
    </row>
    <row r="101" spans="2:17" ht="12.75" customHeight="1" x14ac:dyDescent="0.25">
      <c r="B101">
        <f t="shared" si="9"/>
        <v>86</v>
      </c>
      <c r="C101" s="58" t="str">
        <f t="shared" si="14"/>
        <v/>
      </c>
      <c r="D101" s="44">
        <f t="shared" si="10"/>
        <v>0</v>
      </c>
      <c r="E101" s="107">
        <f t="shared" si="11"/>
        <v>0</v>
      </c>
      <c r="F101" s="44">
        <f t="shared" si="12"/>
        <v>0</v>
      </c>
      <c r="G101" s="106">
        <f>ROUND(IFERROR((IF(B101&lt;=$D$8,(E101+IF('New Loan'!$C$3&lt;&gt;"Tax Loan",I100,0))*$D$6*(C101-C100)/365,0)),0),2)</f>
        <v>0</v>
      </c>
      <c r="H101" s="106">
        <f>ROUND(IF(B101&lt;$D$8,MIN(I100,D101-G101),IF(B101=$D$8,$I$15-SUM($H$15:$H100),0)),2)</f>
        <v>0</v>
      </c>
      <c r="I101" s="44">
        <f t="shared" si="15"/>
        <v>0</v>
      </c>
      <c r="J101" s="107"/>
      <c r="L101" s="107">
        <f t="shared" si="8"/>
        <v>0</v>
      </c>
      <c r="N101" s="72">
        <f t="shared" si="13"/>
        <v>0</v>
      </c>
      <c r="O101" s="70"/>
      <c r="P101" s="44" t="str">
        <f>IFERROR(IF(MONTH($C101)=MONTH($J$6),SUMIFS(F$15:F101,$C$15:$C101,"&gt;"&amp;EOMONTH($C101,-12)),""),"")</f>
        <v/>
      </c>
      <c r="Q101" s="44" t="str">
        <f>IFERROR(IF(MONTH($C101)=MONTH($J$6),SUMIFS(G$15:G101,$C$15:$C101,"&gt;"&amp;EOMONTH($C101,-12))+SUMIFS(H$15:H101,$C$15:$C101,"&gt;"&amp;EOMONTH($C101,-12)),""),"")</f>
        <v/>
      </c>
    </row>
    <row r="102" spans="2:17" ht="12.75" customHeight="1" x14ac:dyDescent="0.25">
      <c r="B102">
        <f t="shared" si="9"/>
        <v>87</v>
      </c>
      <c r="C102" s="58" t="str">
        <f t="shared" si="14"/>
        <v/>
      </c>
      <c r="D102" s="44">
        <f t="shared" si="10"/>
        <v>0</v>
      </c>
      <c r="E102" s="107">
        <f t="shared" si="11"/>
        <v>0</v>
      </c>
      <c r="F102" s="44">
        <f t="shared" si="12"/>
        <v>0</v>
      </c>
      <c r="G102" s="106">
        <f>ROUND(IFERROR((IF(B102&lt;=$D$8,(E102+IF('New Loan'!$C$3&lt;&gt;"Tax Loan",I101,0))*$D$6*(C102-C101)/365,0)),0),2)</f>
        <v>0</v>
      </c>
      <c r="H102" s="106">
        <f>ROUND(IF(B102&lt;$D$8,MIN(I101,D102-G102),IF(B102=$D$8,$I$15-SUM($H$15:$H101),0)),2)</f>
        <v>0</v>
      </c>
      <c r="I102" s="44">
        <f t="shared" si="15"/>
        <v>0</v>
      </c>
      <c r="J102" s="107"/>
      <c r="L102" s="107">
        <f t="shared" si="8"/>
        <v>0</v>
      </c>
      <c r="N102" s="72">
        <f t="shared" si="13"/>
        <v>0</v>
      </c>
      <c r="O102" s="70"/>
      <c r="P102" s="44" t="str">
        <f>IFERROR(IF(MONTH($C102)=MONTH($J$6),SUMIFS(F$15:F102,$C$15:$C102,"&gt;"&amp;EOMONTH($C102,-12)),""),"")</f>
        <v/>
      </c>
      <c r="Q102" s="44" t="str">
        <f>IFERROR(IF(MONTH($C102)=MONTH($J$6),SUMIFS(G$15:G102,$C$15:$C102,"&gt;"&amp;EOMONTH($C102,-12))+SUMIFS(H$15:H102,$C$15:$C102,"&gt;"&amp;EOMONTH($C102,-12)),""),"")</f>
        <v/>
      </c>
    </row>
    <row r="103" spans="2:17" ht="12.75" customHeight="1" x14ac:dyDescent="0.25">
      <c r="B103">
        <f t="shared" si="9"/>
        <v>88</v>
      </c>
      <c r="C103" s="58" t="str">
        <f t="shared" si="14"/>
        <v/>
      </c>
      <c r="D103" s="44">
        <f t="shared" si="10"/>
        <v>0</v>
      </c>
      <c r="E103" s="107">
        <f t="shared" si="11"/>
        <v>0</v>
      </c>
      <c r="F103" s="44">
        <f t="shared" si="12"/>
        <v>0</v>
      </c>
      <c r="G103" s="106">
        <f>ROUND(IFERROR((IF(B103&lt;=$D$8,(E103+IF('New Loan'!$C$3&lt;&gt;"Tax Loan",I102,0))*$D$6*(C103-C102)/365,0)),0),2)</f>
        <v>0</v>
      </c>
      <c r="H103" s="106">
        <f>ROUND(IF(B103&lt;$D$8,MIN(I102,D103-G103),IF(B103=$D$8,$I$15-SUM($H$15:$H102),0)),2)</f>
        <v>0</v>
      </c>
      <c r="I103" s="44">
        <f t="shared" si="15"/>
        <v>0</v>
      </c>
      <c r="J103" s="107"/>
      <c r="L103" s="107">
        <f t="shared" si="8"/>
        <v>0</v>
      </c>
      <c r="N103" s="72">
        <f t="shared" si="13"/>
        <v>0</v>
      </c>
      <c r="O103" s="70"/>
      <c r="P103" s="44" t="str">
        <f>IFERROR(IF(MONTH($C103)=MONTH($J$6),SUMIFS(F$15:F103,$C$15:$C103,"&gt;"&amp;EOMONTH($C103,-12)),""),"")</f>
        <v/>
      </c>
      <c r="Q103" s="44" t="str">
        <f>IFERROR(IF(MONTH($C103)=MONTH($J$6),SUMIFS(G$15:G103,$C$15:$C103,"&gt;"&amp;EOMONTH($C103,-12))+SUMIFS(H$15:H103,$C$15:$C103,"&gt;"&amp;EOMONTH($C103,-12)),""),"")</f>
        <v/>
      </c>
    </row>
    <row r="104" spans="2:17" ht="12.75" customHeight="1" x14ac:dyDescent="0.25">
      <c r="B104">
        <f t="shared" si="9"/>
        <v>89</v>
      </c>
      <c r="C104" s="58" t="str">
        <f t="shared" si="14"/>
        <v/>
      </c>
      <c r="D104" s="44">
        <f t="shared" si="10"/>
        <v>0</v>
      </c>
      <c r="E104" s="107">
        <f t="shared" si="11"/>
        <v>0</v>
      </c>
      <c r="F104" s="44">
        <f t="shared" si="12"/>
        <v>0</v>
      </c>
      <c r="G104" s="106">
        <f>ROUND(IFERROR((IF(B104&lt;=$D$8,(E104+IF('New Loan'!$C$3&lt;&gt;"Tax Loan",I103,0))*$D$6*(C104-C103)/365,0)),0),2)</f>
        <v>0</v>
      </c>
      <c r="H104" s="106">
        <f>ROUND(IF(B104&lt;$D$8,MIN(I103,D104-G104),IF(B104=$D$8,$I$15-SUM($H$15:$H103),0)),2)</f>
        <v>0</v>
      </c>
      <c r="I104" s="44">
        <f t="shared" si="15"/>
        <v>0</v>
      </c>
      <c r="J104" s="107"/>
      <c r="L104" s="107">
        <f t="shared" si="8"/>
        <v>0</v>
      </c>
      <c r="N104" s="72">
        <f t="shared" si="13"/>
        <v>0</v>
      </c>
      <c r="O104" s="70"/>
      <c r="P104" s="44" t="str">
        <f>IFERROR(IF(MONTH($C104)=MONTH($J$6),SUMIFS(F$15:F104,$C$15:$C104,"&gt;"&amp;EOMONTH($C104,-12)),""),"")</f>
        <v/>
      </c>
      <c r="Q104" s="44" t="str">
        <f>IFERROR(IF(MONTH($C104)=MONTH($J$6),SUMIFS(G$15:G104,$C$15:$C104,"&gt;"&amp;EOMONTH($C104,-12))+SUMIFS(H$15:H104,$C$15:$C104,"&gt;"&amp;EOMONTH($C104,-12)),""),"")</f>
        <v/>
      </c>
    </row>
    <row r="105" spans="2:17" ht="12.75" customHeight="1" x14ac:dyDescent="0.25">
      <c r="B105">
        <f t="shared" si="9"/>
        <v>90</v>
      </c>
      <c r="C105" s="58" t="str">
        <f t="shared" si="14"/>
        <v/>
      </c>
      <c r="D105" s="44">
        <f t="shared" si="10"/>
        <v>0</v>
      </c>
      <c r="E105" s="107">
        <f t="shared" si="11"/>
        <v>0</v>
      </c>
      <c r="F105" s="44">
        <f t="shared" si="12"/>
        <v>0</v>
      </c>
      <c r="G105" s="106">
        <f>ROUND(IFERROR((IF(B105&lt;=$D$8,(E105+IF('New Loan'!$C$3&lt;&gt;"Tax Loan",I104,0))*$D$6*(C105-C104)/365,0)),0),2)</f>
        <v>0</v>
      </c>
      <c r="H105" s="106">
        <f>ROUND(IF(B105&lt;$D$8,MIN(I104,D105-G105),IF(B105=$D$8,$I$15-SUM($H$15:$H104),0)),2)</f>
        <v>0</v>
      </c>
      <c r="I105" s="44">
        <f t="shared" si="15"/>
        <v>0</v>
      </c>
      <c r="J105" s="107"/>
      <c r="L105" s="107">
        <f t="shared" si="8"/>
        <v>0</v>
      </c>
      <c r="N105" s="72">
        <f t="shared" si="13"/>
        <v>0</v>
      </c>
      <c r="O105" s="70"/>
      <c r="P105" s="44" t="str">
        <f>IFERROR(IF(MONTH($C105)=MONTH($J$6),SUMIFS(F$15:F105,$C$15:$C105,"&gt;"&amp;EOMONTH($C105,-12)),""),"")</f>
        <v/>
      </c>
      <c r="Q105" s="44" t="str">
        <f>IFERROR(IF(MONTH($C105)=MONTH($J$6),SUMIFS(G$15:G105,$C$15:$C105,"&gt;"&amp;EOMONTH($C105,-12))+SUMIFS(H$15:H105,$C$15:$C105,"&gt;"&amp;EOMONTH($C105,-12)),""),"")</f>
        <v/>
      </c>
    </row>
    <row r="106" spans="2:17" ht="12.75" customHeight="1" x14ac:dyDescent="0.25">
      <c r="B106">
        <f t="shared" si="9"/>
        <v>91</v>
      </c>
      <c r="C106" s="58" t="str">
        <f t="shared" si="14"/>
        <v/>
      </c>
      <c r="D106" s="44">
        <f t="shared" si="10"/>
        <v>0</v>
      </c>
      <c r="E106" s="107">
        <f t="shared" si="11"/>
        <v>0</v>
      </c>
      <c r="F106" s="44">
        <f t="shared" si="12"/>
        <v>0</v>
      </c>
      <c r="G106" s="106">
        <f>ROUND(IFERROR((IF(B106&lt;=$D$8,(E106+IF('New Loan'!$C$3&lt;&gt;"Tax Loan",I105,0))*$D$6*(C106-C105)/365,0)),0),2)</f>
        <v>0</v>
      </c>
      <c r="H106" s="106">
        <f>ROUND(IF(B106&lt;$D$8,MIN(I105,D106-G106),IF(B106=$D$8,$I$15-SUM($H$15:$H105),0)),2)</f>
        <v>0</v>
      </c>
      <c r="I106" s="44">
        <f t="shared" si="15"/>
        <v>0</v>
      </c>
      <c r="J106" s="107"/>
      <c r="L106" s="107">
        <f t="shared" si="8"/>
        <v>0</v>
      </c>
      <c r="N106" s="72">
        <f t="shared" si="13"/>
        <v>0</v>
      </c>
      <c r="O106" s="70"/>
      <c r="P106" s="44" t="str">
        <f>IFERROR(IF(MONTH($C106)=MONTH($J$6),SUMIFS(F$15:F106,$C$15:$C106,"&gt;"&amp;EOMONTH($C106,-12)),""),"")</f>
        <v/>
      </c>
      <c r="Q106" s="44" t="str">
        <f>IFERROR(IF(MONTH($C106)=MONTH($J$6),SUMIFS(G$15:G106,$C$15:$C106,"&gt;"&amp;EOMONTH($C106,-12))+SUMIFS(H$15:H106,$C$15:$C106,"&gt;"&amp;EOMONTH($C106,-12)),""),"")</f>
        <v/>
      </c>
    </row>
    <row r="107" spans="2:17" ht="12.75" customHeight="1" x14ac:dyDescent="0.25">
      <c r="B107">
        <f t="shared" si="9"/>
        <v>92</v>
      </c>
      <c r="C107" s="58" t="str">
        <f t="shared" si="14"/>
        <v/>
      </c>
      <c r="D107" s="44">
        <f t="shared" si="10"/>
        <v>0</v>
      </c>
      <c r="E107" s="107">
        <f t="shared" si="11"/>
        <v>0</v>
      </c>
      <c r="F107" s="44">
        <f t="shared" si="12"/>
        <v>0</v>
      </c>
      <c r="G107" s="106">
        <f>ROUND(IFERROR((IF(B107&lt;=$D$8,(E107+IF('New Loan'!$C$3&lt;&gt;"Tax Loan",I106,0))*$D$6*(C107-C106)/365,0)),0),2)</f>
        <v>0</v>
      </c>
      <c r="H107" s="106">
        <f>ROUND(IF(B107&lt;$D$8,MIN(I106,D107-G107),IF(B107=$D$8,$I$15-SUM($H$15:$H106),0)),2)</f>
        <v>0</v>
      </c>
      <c r="I107" s="44">
        <f t="shared" si="15"/>
        <v>0</v>
      </c>
      <c r="J107" s="107"/>
      <c r="L107" s="107">
        <f t="shared" si="8"/>
        <v>0</v>
      </c>
      <c r="N107" s="72">
        <f t="shared" si="13"/>
        <v>0</v>
      </c>
      <c r="O107" s="70"/>
      <c r="P107" s="44" t="str">
        <f>IFERROR(IF(MONTH($C107)=MONTH($J$6),SUMIFS(F$15:F107,$C$15:$C107,"&gt;"&amp;EOMONTH($C107,-12)),""),"")</f>
        <v/>
      </c>
      <c r="Q107" s="44" t="str">
        <f>IFERROR(IF(MONTH($C107)=MONTH($J$6),SUMIFS(G$15:G107,$C$15:$C107,"&gt;"&amp;EOMONTH($C107,-12))+SUMIFS(H$15:H107,$C$15:$C107,"&gt;"&amp;EOMONTH($C107,-12)),""),"")</f>
        <v/>
      </c>
    </row>
    <row r="108" spans="2:17" ht="12.75" customHeight="1" x14ac:dyDescent="0.25">
      <c r="B108">
        <f t="shared" si="9"/>
        <v>93</v>
      </c>
      <c r="C108" s="58" t="str">
        <f t="shared" si="14"/>
        <v/>
      </c>
      <c r="D108" s="44">
        <f t="shared" si="10"/>
        <v>0</v>
      </c>
      <c r="E108" s="107">
        <f t="shared" si="11"/>
        <v>0</v>
      </c>
      <c r="F108" s="44">
        <f t="shared" si="12"/>
        <v>0</v>
      </c>
      <c r="G108" s="106">
        <f>ROUND(IFERROR((IF(B108&lt;=$D$8,(E108+IF('New Loan'!$C$3&lt;&gt;"Tax Loan",I107,0))*$D$6*(C108-C107)/365,0)),0),2)</f>
        <v>0</v>
      </c>
      <c r="H108" s="106">
        <f>ROUND(IF(B108&lt;$D$8,MIN(I107,D108-G108),IF(B108=$D$8,$I$15-SUM($H$15:$H107),0)),2)</f>
        <v>0</v>
      </c>
      <c r="I108" s="44">
        <f t="shared" si="15"/>
        <v>0</v>
      </c>
      <c r="J108" s="107"/>
      <c r="L108" s="107">
        <f t="shared" si="8"/>
        <v>0</v>
      </c>
      <c r="N108" s="72">
        <f t="shared" si="13"/>
        <v>0</v>
      </c>
      <c r="O108" s="70"/>
      <c r="P108" s="44" t="str">
        <f>IFERROR(IF(MONTH($C108)=MONTH($J$6),SUMIFS(F$15:F108,$C$15:$C108,"&gt;"&amp;EOMONTH($C108,-12)),""),"")</f>
        <v/>
      </c>
      <c r="Q108" s="44" t="str">
        <f>IFERROR(IF(MONTH($C108)=MONTH($J$6),SUMIFS(G$15:G108,$C$15:$C108,"&gt;"&amp;EOMONTH($C108,-12))+SUMIFS(H$15:H108,$C$15:$C108,"&gt;"&amp;EOMONTH($C108,-12)),""),"")</f>
        <v/>
      </c>
    </row>
    <row r="109" spans="2:17" ht="12.75" customHeight="1" x14ac:dyDescent="0.25">
      <c r="B109">
        <f t="shared" si="9"/>
        <v>94</v>
      </c>
      <c r="C109" s="58" t="str">
        <f t="shared" si="14"/>
        <v/>
      </c>
      <c r="D109" s="44">
        <f t="shared" si="10"/>
        <v>0</v>
      </c>
      <c r="E109" s="107">
        <f t="shared" si="11"/>
        <v>0</v>
      </c>
      <c r="F109" s="44">
        <f t="shared" si="12"/>
        <v>0</v>
      </c>
      <c r="G109" s="106">
        <f>ROUND(IFERROR((IF(B109&lt;=$D$8,(E109+IF('New Loan'!$C$3&lt;&gt;"Tax Loan",I108,0))*$D$6*(C109-C108)/365,0)),0),2)</f>
        <v>0</v>
      </c>
      <c r="H109" s="106">
        <f>ROUND(IF(B109&lt;$D$8,MIN(I108,D109-G109),IF(B109=$D$8,$I$15-SUM($H$15:$H108),0)),2)</f>
        <v>0</v>
      </c>
      <c r="I109" s="44">
        <f t="shared" si="15"/>
        <v>0</v>
      </c>
      <c r="J109" s="107"/>
      <c r="L109" s="107">
        <f t="shared" si="8"/>
        <v>0</v>
      </c>
      <c r="N109" s="72">
        <f t="shared" si="13"/>
        <v>0</v>
      </c>
      <c r="O109" s="70"/>
      <c r="P109" s="44" t="str">
        <f>IFERROR(IF(MONTH($C109)=MONTH($J$6),SUMIFS(F$15:F109,$C$15:$C109,"&gt;"&amp;EOMONTH($C109,-12)),""),"")</f>
        <v/>
      </c>
      <c r="Q109" s="44" t="str">
        <f>IFERROR(IF(MONTH($C109)=MONTH($J$6),SUMIFS(G$15:G109,$C$15:$C109,"&gt;"&amp;EOMONTH($C109,-12))+SUMIFS(H$15:H109,$C$15:$C109,"&gt;"&amp;EOMONTH($C109,-12)),""),"")</f>
        <v/>
      </c>
    </row>
    <row r="110" spans="2:17" ht="12.75" customHeight="1" x14ac:dyDescent="0.25">
      <c r="B110">
        <f t="shared" si="9"/>
        <v>95</v>
      </c>
      <c r="C110" s="58" t="str">
        <f t="shared" si="14"/>
        <v/>
      </c>
      <c r="D110" s="44">
        <f t="shared" si="10"/>
        <v>0</v>
      </c>
      <c r="E110" s="107">
        <f t="shared" si="11"/>
        <v>0</v>
      </c>
      <c r="F110" s="44">
        <f t="shared" si="12"/>
        <v>0</v>
      </c>
      <c r="G110" s="106">
        <f>ROUND(IFERROR((IF(B110&lt;=$D$8,(E110+IF('New Loan'!$C$3&lt;&gt;"Tax Loan",I109,0))*$D$6*(C110-C109)/365,0)),0),2)</f>
        <v>0</v>
      </c>
      <c r="H110" s="106">
        <f>ROUND(IF(B110&lt;$D$8,MIN(I109,D110-G110),IF(B110=$D$8,$I$15-SUM($H$15:$H109),0)),2)</f>
        <v>0</v>
      </c>
      <c r="I110" s="44">
        <f t="shared" si="15"/>
        <v>0</v>
      </c>
      <c r="J110" s="107"/>
      <c r="L110" s="107">
        <f t="shared" si="8"/>
        <v>0</v>
      </c>
      <c r="N110" s="72">
        <f t="shared" si="13"/>
        <v>0</v>
      </c>
      <c r="O110" s="70"/>
      <c r="P110" s="44" t="str">
        <f>IFERROR(IF(MONTH($C110)=MONTH($J$6),SUMIFS(F$15:F110,$C$15:$C110,"&gt;"&amp;EOMONTH($C110,-12)),""),"")</f>
        <v/>
      </c>
      <c r="Q110" s="44" t="str">
        <f>IFERROR(IF(MONTH($C110)=MONTH($J$6),SUMIFS(G$15:G110,$C$15:$C110,"&gt;"&amp;EOMONTH($C110,-12))+SUMIFS(H$15:H110,$C$15:$C110,"&gt;"&amp;EOMONTH($C110,-12)),""),"")</f>
        <v/>
      </c>
    </row>
    <row r="111" spans="2:17" ht="12.75" customHeight="1" x14ac:dyDescent="0.25">
      <c r="B111">
        <f t="shared" si="9"/>
        <v>96</v>
      </c>
      <c r="C111" s="58" t="str">
        <f t="shared" si="14"/>
        <v/>
      </c>
      <c r="D111" s="44">
        <f t="shared" si="10"/>
        <v>0</v>
      </c>
      <c r="E111" s="107">
        <f t="shared" si="11"/>
        <v>0</v>
      </c>
      <c r="F111" s="44">
        <f t="shared" si="12"/>
        <v>0</v>
      </c>
      <c r="G111" s="106">
        <f>ROUND(IFERROR((IF(B111&lt;=$D$8,(E111+IF('New Loan'!$C$3&lt;&gt;"Tax Loan",I110,0))*$D$6*(C111-C110)/365,0)),0),2)</f>
        <v>0</v>
      </c>
      <c r="H111" s="106">
        <f>ROUND(IF(B111&lt;$D$8,MIN(I110,D111-G111),IF(B111=$D$8,$I$15-SUM($H$15:$H110),0)),2)</f>
        <v>0</v>
      </c>
      <c r="I111" s="44">
        <f t="shared" si="15"/>
        <v>0</v>
      </c>
      <c r="J111" s="107"/>
      <c r="L111" s="107">
        <f t="shared" si="8"/>
        <v>0</v>
      </c>
      <c r="N111" s="72">
        <f t="shared" si="13"/>
        <v>0</v>
      </c>
      <c r="O111" s="70"/>
      <c r="P111" s="44" t="str">
        <f>IFERROR(IF(MONTH($C111)=MONTH($J$6),SUMIFS(F$15:F111,$C$15:$C111,"&gt;"&amp;EOMONTH($C111,-12)),""),"")</f>
        <v/>
      </c>
      <c r="Q111" s="44" t="str">
        <f>IFERROR(IF(MONTH($C111)=MONTH($J$6),SUMIFS(G$15:G111,$C$15:$C111,"&gt;"&amp;EOMONTH($C111,-12))+SUMIFS(H$15:H111,$C$15:$C111,"&gt;"&amp;EOMONTH($C111,-12)),""),"")</f>
        <v/>
      </c>
    </row>
    <row r="112" spans="2:17" ht="12.75" customHeight="1" x14ac:dyDescent="0.25">
      <c r="B112">
        <f t="shared" si="9"/>
        <v>97</v>
      </c>
      <c r="C112" s="58" t="str">
        <f t="shared" si="14"/>
        <v/>
      </c>
      <c r="D112" s="44">
        <f t="shared" si="10"/>
        <v>0</v>
      </c>
      <c r="E112" s="107">
        <f t="shared" si="11"/>
        <v>0</v>
      </c>
      <c r="F112" s="44">
        <f t="shared" si="12"/>
        <v>0</v>
      </c>
      <c r="G112" s="106">
        <f>ROUND(IFERROR((IF(B112&lt;=$D$8,(E112+IF('New Loan'!$C$3&lt;&gt;"Tax Loan",I111,0))*$D$6*(C112-C111)/365,0)),0),2)</f>
        <v>0</v>
      </c>
      <c r="H112" s="106">
        <f>ROUND(IF(B112&lt;$D$8,MIN(I111,D112-G112),IF(B112=$D$8,$I$15-SUM($H$15:$H111),0)),2)</f>
        <v>0</v>
      </c>
      <c r="I112" s="44">
        <f t="shared" si="15"/>
        <v>0</v>
      </c>
      <c r="J112" s="107"/>
      <c r="L112" s="107">
        <f t="shared" si="8"/>
        <v>0</v>
      </c>
      <c r="N112" s="72">
        <f t="shared" si="13"/>
        <v>0</v>
      </c>
      <c r="O112" s="70"/>
      <c r="P112" s="44" t="str">
        <f>IFERROR(IF(MONTH($C112)=MONTH($J$6),SUMIFS(F$15:F112,$C$15:$C112,"&gt;"&amp;EOMONTH($C112,-12)),""),"")</f>
        <v/>
      </c>
      <c r="Q112" s="44" t="str">
        <f>IFERROR(IF(MONTH($C112)=MONTH($J$6),SUMIFS(G$15:G112,$C$15:$C112,"&gt;"&amp;EOMONTH($C112,-12))+SUMIFS(H$15:H112,$C$15:$C112,"&gt;"&amp;EOMONTH($C112,-12)),""),"")</f>
        <v/>
      </c>
    </row>
    <row r="113" spans="2:17" ht="12.75" customHeight="1" x14ac:dyDescent="0.25">
      <c r="B113">
        <f t="shared" si="9"/>
        <v>98</v>
      </c>
      <c r="C113" s="58" t="str">
        <f t="shared" si="14"/>
        <v/>
      </c>
      <c r="D113" s="44">
        <f t="shared" si="10"/>
        <v>0</v>
      </c>
      <c r="E113" s="107">
        <f t="shared" si="11"/>
        <v>0</v>
      </c>
      <c r="F113" s="44">
        <f t="shared" si="12"/>
        <v>0</v>
      </c>
      <c r="G113" s="106">
        <f>ROUND(IFERROR((IF(B113&lt;=$D$8,(E113+IF('New Loan'!$C$3&lt;&gt;"Tax Loan",I112,0))*$D$6*(C113-C112)/365,0)),0),2)</f>
        <v>0</v>
      </c>
      <c r="H113" s="106">
        <f>ROUND(IF(B113&lt;$D$8,MIN(I112,D113-G113),IF(B113=$D$8,$I$15-SUM($H$15:$H112),0)),2)</f>
        <v>0</v>
      </c>
      <c r="I113" s="44">
        <f t="shared" si="15"/>
        <v>0</v>
      </c>
      <c r="J113" s="107"/>
      <c r="L113" s="107">
        <f t="shared" si="8"/>
        <v>0</v>
      </c>
      <c r="N113" s="72">
        <f t="shared" si="13"/>
        <v>0</v>
      </c>
      <c r="O113" s="70"/>
      <c r="P113" s="44" t="str">
        <f>IFERROR(IF(MONTH($C113)=MONTH($J$6),SUMIFS(F$15:F113,$C$15:$C113,"&gt;"&amp;EOMONTH($C113,-12)),""),"")</f>
        <v/>
      </c>
      <c r="Q113" s="44" t="str">
        <f>IFERROR(IF(MONTH($C113)=MONTH($J$6),SUMIFS(G$15:G113,$C$15:$C113,"&gt;"&amp;EOMONTH($C113,-12))+SUMIFS(H$15:H113,$C$15:$C113,"&gt;"&amp;EOMONTH($C113,-12)),""),"")</f>
        <v/>
      </c>
    </row>
    <row r="114" spans="2:17" ht="12.75" customHeight="1" x14ac:dyDescent="0.25">
      <c r="B114">
        <f t="shared" si="9"/>
        <v>99</v>
      </c>
      <c r="C114" s="58" t="str">
        <f t="shared" si="14"/>
        <v/>
      </c>
      <c r="D114" s="44">
        <f t="shared" si="10"/>
        <v>0</v>
      </c>
      <c r="E114" s="107">
        <f t="shared" si="11"/>
        <v>0</v>
      </c>
      <c r="F114" s="44">
        <f t="shared" si="12"/>
        <v>0</v>
      </c>
      <c r="G114" s="106">
        <f>ROUND(IFERROR((IF(B114&lt;=$D$8,(E114+IF('New Loan'!$C$3&lt;&gt;"Tax Loan",I113,0))*$D$6*(C114-C113)/365,0)),0),2)</f>
        <v>0</v>
      </c>
      <c r="H114" s="106">
        <f>ROUND(IF(B114&lt;$D$8,MIN(I113,D114-G114),IF(B114=$D$8,$I$15-SUM($H$15:$H113),0)),2)</f>
        <v>0</v>
      </c>
      <c r="I114" s="44">
        <f t="shared" si="15"/>
        <v>0</v>
      </c>
      <c r="J114" s="107"/>
      <c r="L114" s="107">
        <f t="shared" si="8"/>
        <v>0</v>
      </c>
      <c r="N114" s="72">
        <f t="shared" si="13"/>
        <v>0</v>
      </c>
      <c r="O114" s="70"/>
      <c r="P114" s="44" t="str">
        <f>IFERROR(IF(MONTH($C114)=MONTH($J$6),SUMIFS(F$15:F114,$C$15:$C114,"&gt;"&amp;EOMONTH($C114,-12)),""),"")</f>
        <v/>
      </c>
      <c r="Q114" s="44" t="str">
        <f>IFERROR(IF(MONTH($C114)=MONTH($J$6),SUMIFS(G$15:G114,$C$15:$C114,"&gt;"&amp;EOMONTH($C114,-12))+SUMIFS(H$15:H114,$C$15:$C114,"&gt;"&amp;EOMONTH($C114,-12)),""),"")</f>
        <v/>
      </c>
    </row>
    <row r="115" spans="2:17" ht="12.75" customHeight="1" x14ac:dyDescent="0.25">
      <c r="B115">
        <f t="shared" si="9"/>
        <v>100</v>
      </c>
      <c r="C115" s="58" t="str">
        <f t="shared" si="14"/>
        <v/>
      </c>
      <c r="D115" s="44">
        <f t="shared" si="10"/>
        <v>0</v>
      </c>
      <c r="E115" s="107">
        <f t="shared" si="11"/>
        <v>0</v>
      </c>
      <c r="F115" s="44">
        <f t="shared" si="12"/>
        <v>0</v>
      </c>
      <c r="G115" s="106">
        <f>ROUND(IFERROR((IF(B115&lt;=$D$8,(E115+IF('New Loan'!$C$3&lt;&gt;"Tax Loan",I114,0))*$D$6*(C115-C114)/365,0)),0),2)</f>
        <v>0</v>
      </c>
      <c r="H115" s="106">
        <f>ROUND(IF(B115&lt;$D$8,MIN(I114,D115-G115),IF(B115=$D$8,$I$15-SUM($H$15:$H114),0)),2)</f>
        <v>0</v>
      </c>
      <c r="I115" s="44">
        <f t="shared" si="15"/>
        <v>0</v>
      </c>
      <c r="J115" s="107"/>
      <c r="L115" s="107">
        <f t="shared" si="8"/>
        <v>0</v>
      </c>
      <c r="N115" s="72">
        <f t="shared" si="13"/>
        <v>0</v>
      </c>
      <c r="O115" s="70"/>
      <c r="P115" s="44" t="str">
        <f>IFERROR(IF(MONTH($C115)=MONTH($J$6),SUMIFS(F$15:F115,$C$15:$C115,"&gt;"&amp;EOMONTH($C115,-12)),""),"")</f>
        <v/>
      </c>
      <c r="Q115" s="44" t="str">
        <f>IFERROR(IF(MONTH($C115)=MONTH($J$6),SUMIFS(G$15:G115,$C$15:$C115,"&gt;"&amp;EOMONTH($C115,-12))+SUMIFS(H$15:H115,$C$15:$C115,"&gt;"&amp;EOMONTH($C115,-12)),""),"")</f>
        <v/>
      </c>
    </row>
    <row r="116" spans="2:17" ht="12.75" customHeight="1" x14ac:dyDescent="0.25">
      <c r="B116">
        <f t="shared" si="9"/>
        <v>101</v>
      </c>
      <c r="C116" s="58" t="str">
        <f t="shared" si="14"/>
        <v/>
      </c>
      <c r="D116" s="44">
        <f t="shared" si="10"/>
        <v>0</v>
      </c>
      <c r="E116" s="107">
        <f t="shared" si="11"/>
        <v>0</v>
      </c>
      <c r="F116" s="44">
        <f t="shared" si="12"/>
        <v>0</v>
      </c>
      <c r="G116" s="106">
        <f>ROUND(IFERROR((IF(B116&lt;=$D$8,(E116+IF('New Loan'!$C$3&lt;&gt;"Tax Loan",I115,0))*$D$6*(C116-C115)/365,0)),0),2)</f>
        <v>0</v>
      </c>
      <c r="H116" s="106">
        <f>ROUND(IF(B116&lt;$D$8,MIN(I115,D116-G116),IF(B116=$D$8,$I$15-SUM($H$15:$H115),0)),2)</f>
        <v>0</v>
      </c>
      <c r="I116" s="44">
        <f t="shared" si="15"/>
        <v>0</v>
      </c>
      <c r="J116" s="107"/>
      <c r="L116" s="107">
        <f t="shared" si="8"/>
        <v>0</v>
      </c>
      <c r="N116" s="72">
        <f t="shared" si="13"/>
        <v>0</v>
      </c>
      <c r="O116" s="70"/>
      <c r="P116" s="44" t="str">
        <f>IFERROR(IF(MONTH($C116)=MONTH($J$6),SUMIFS(F$15:F116,$C$15:$C116,"&gt;"&amp;EOMONTH($C116,-12)),""),"")</f>
        <v/>
      </c>
      <c r="Q116" s="44" t="str">
        <f>IFERROR(IF(MONTH($C116)=MONTH($J$6),SUMIFS(G$15:G116,$C$15:$C116,"&gt;"&amp;EOMONTH($C116,-12))+SUMIFS(H$15:H116,$C$15:$C116,"&gt;"&amp;EOMONTH($C116,-12)),""),"")</f>
        <v/>
      </c>
    </row>
    <row r="117" spans="2:17" ht="12.75" customHeight="1" x14ac:dyDescent="0.25">
      <c r="B117">
        <f t="shared" si="9"/>
        <v>102</v>
      </c>
      <c r="C117" s="58" t="str">
        <f t="shared" si="14"/>
        <v/>
      </c>
      <c r="D117" s="44">
        <f t="shared" si="10"/>
        <v>0</v>
      </c>
      <c r="E117" s="107">
        <f t="shared" si="11"/>
        <v>0</v>
      </c>
      <c r="F117" s="44">
        <f t="shared" si="12"/>
        <v>0</v>
      </c>
      <c r="G117" s="106">
        <f>ROUND(IFERROR((IF(B117&lt;=$D$8,(E117+IF('New Loan'!$C$3&lt;&gt;"Tax Loan",I116,0))*$D$6*(C117-C116)/365,0)),0),2)</f>
        <v>0</v>
      </c>
      <c r="H117" s="106">
        <f>ROUND(IF(B117&lt;$D$8,MIN(I116,D117-G117),IF(B117=$D$8,$I$15-SUM($H$15:$H116),0)),2)</f>
        <v>0</v>
      </c>
      <c r="I117" s="44">
        <f t="shared" si="15"/>
        <v>0</v>
      </c>
      <c r="J117" s="107"/>
      <c r="L117" s="107">
        <f t="shared" si="8"/>
        <v>0</v>
      </c>
      <c r="N117" s="72">
        <f t="shared" si="13"/>
        <v>0</v>
      </c>
      <c r="O117" s="70"/>
      <c r="P117" s="44" t="str">
        <f>IFERROR(IF(MONTH($C117)=MONTH($J$6),SUMIFS(F$15:F117,$C$15:$C117,"&gt;"&amp;EOMONTH($C117,-12)),""),"")</f>
        <v/>
      </c>
      <c r="Q117" s="44" t="str">
        <f>IFERROR(IF(MONTH($C117)=MONTH($J$6),SUMIFS(G$15:G117,$C$15:$C117,"&gt;"&amp;EOMONTH($C117,-12))+SUMIFS(H$15:H117,$C$15:$C117,"&gt;"&amp;EOMONTH($C117,-12)),""),"")</f>
        <v/>
      </c>
    </row>
    <row r="118" spans="2:17" ht="12.75" customHeight="1" x14ac:dyDescent="0.25">
      <c r="B118">
        <f t="shared" si="9"/>
        <v>103</v>
      </c>
      <c r="C118" s="58" t="str">
        <f t="shared" si="14"/>
        <v/>
      </c>
      <c r="D118" s="44">
        <f t="shared" si="10"/>
        <v>0</v>
      </c>
      <c r="E118" s="107">
        <f t="shared" si="11"/>
        <v>0</v>
      </c>
      <c r="F118" s="44">
        <f t="shared" si="12"/>
        <v>0</v>
      </c>
      <c r="G118" s="106">
        <f>ROUND(IFERROR((IF(B118&lt;=$D$8,(E118+IF('New Loan'!$C$3&lt;&gt;"Tax Loan",I117,0))*$D$6*(C118-C117)/365,0)),0),2)</f>
        <v>0</v>
      </c>
      <c r="H118" s="106">
        <f>ROUND(IF(B118&lt;$D$8,MIN(I117,D118-G118),IF(B118=$D$8,$I$15-SUM($H$15:$H117),0)),2)</f>
        <v>0</v>
      </c>
      <c r="I118" s="44">
        <f t="shared" si="15"/>
        <v>0</v>
      </c>
      <c r="J118" s="107"/>
      <c r="L118" s="107">
        <f t="shared" si="8"/>
        <v>0</v>
      </c>
      <c r="N118" s="72">
        <f t="shared" si="13"/>
        <v>0</v>
      </c>
      <c r="O118" s="70"/>
      <c r="P118" s="44" t="str">
        <f>IFERROR(IF(MONTH($C118)=MONTH($J$6),SUMIFS(F$15:F118,$C$15:$C118,"&gt;"&amp;EOMONTH($C118,-12)),""),"")</f>
        <v/>
      </c>
      <c r="Q118" s="44" t="str">
        <f>IFERROR(IF(MONTH($C118)=MONTH($J$6),SUMIFS(G$15:G118,$C$15:$C118,"&gt;"&amp;EOMONTH($C118,-12))+SUMIFS(H$15:H118,$C$15:$C118,"&gt;"&amp;EOMONTH($C118,-12)),""),"")</f>
        <v/>
      </c>
    </row>
    <row r="119" spans="2:17" ht="12.75" customHeight="1" x14ac:dyDescent="0.25">
      <c r="B119">
        <f t="shared" si="9"/>
        <v>104</v>
      </c>
      <c r="C119" s="58" t="str">
        <f t="shared" si="14"/>
        <v/>
      </c>
      <c r="D119" s="44">
        <f t="shared" si="10"/>
        <v>0</v>
      </c>
      <c r="E119" s="107">
        <f t="shared" si="11"/>
        <v>0</v>
      </c>
      <c r="F119" s="44">
        <f t="shared" si="12"/>
        <v>0</v>
      </c>
      <c r="G119" s="106">
        <f>ROUND(IFERROR((IF(B119&lt;=$D$8,(E119+IF('New Loan'!$C$3&lt;&gt;"Tax Loan",I118,0))*$D$6*(C119-C118)/365,0)),0),2)</f>
        <v>0</v>
      </c>
      <c r="H119" s="106">
        <f>ROUND(IF(B119&lt;$D$8,MIN(I118,D119-G119),IF(B119=$D$8,$I$15-SUM($H$15:$H118),0)),2)</f>
        <v>0</v>
      </c>
      <c r="I119" s="44">
        <f t="shared" si="15"/>
        <v>0</v>
      </c>
      <c r="J119" s="107"/>
      <c r="L119" s="107">
        <f t="shared" si="8"/>
        <v>0</v>
      </c>
      <c r="N119" s="72">
        <f t="shared" si="13"/>
        <v>0</v>
      </c>
      <c r="O119" s="70"/>
      <c r="P119" s="44" t="str">
        <f>IFERROR(IF(MONTH($C119)=MONTH($J$6),SUMIFS(F$15:F119,$C$15:$C119,"&gt;"&amp;EOMONTH($C119,-12)),""),"")</f>
        <v/>
      </c>
      <c r="Q119" s="44" t="str">
        <f>IFERROR(IF(MONTH($C119)=MONTH($J$6),SUMIFS(G$15:G119,$C$15:$C119,"&gt;"&amp;EOMONTH($C119,-12))+SUMIFS(H$15:H119,$C$15:$C119,"&gt;"&amp;EOMONTH($C119,-12)),""),"")</f>
        <v/>
      </c>
    </row>
    <row r="120" spans="2:17" ht="12.75" customHeight="1" x14ac:dyDescent="0.25">
      <c r="B120">
        <f t="shared" si="9"/>
        <v>105</v>
      </c>
      <c r="C120" s="58" t="str">
        <f t="shared" si="14"/>
        <v/>
      </c>
      <c r="D120" s="44">
        <f t="shared" si="10"/>
        <v>0</v>
      </c>
      <c r="E120" s="107">
        <f t="shared" si="11"/>
        <v>0</v>
      </c>
      <c r="F120" s="44">
        <f t="shared" si="12"/>
        <v>0</v>
      </c>
      <c r="G120" s="106">
        <f>ROUND(IFERROR((IF(B120&lt;=$D$8,(E120+IF('New Loan'!$C$3&lt;&gt;"Tax Loan",I119,0))*$D$6*(C120-C119)/365,0)),0),2)</f>
        <v>0</v>
      </c>
      <c r="H120" s="106">
        <f>ROUND(IF(B120&lt;$D$8,MIN(I119,D120-G120),IF(B120=$D$8,$I$15-SUM($H$15:$H119),0)),2)</f>
        <v>0</v>
      </c>
      <c r="I120" s="44">
        <f t="shared" si="15"/>
        <v>0</v>
      </c>
      <c r="J120" s="107"/>
      <c r="L120" s="107">
        <f t="shared" si="8"/>
        <v>0</v>
      </c>
      <c r="N120" s="72">
        <f t="shared" si="13"/>
        <v>0</v>
      </c>
      <c r="O120" s="70"/>
      <c r="P120" s="44" t="str">
        <f>IFERROR(IF(MONTH($C120)=MONTH($J$6),SUMIFS(F$15:F120,$C$15:$C120,"&gt;"&amp;EOMONTH($C120,-12)),""),"")</f>
        <v/>
      </c>
      <c r="Q120" s="44" t="str">
        <f>IFERROR(IF(MONTH($C120)=MONTH($J$6),SUMIFS(G$15:G120,$C$15:$C120,"&gt;"&amp;EOMONTH($C120,-12))+SUMIFS(H$15:H120,$C$15:$C120,"&gt;"&amp;EOMONTH($C120,-12)),""),"")</f>
        <v/>
      </c>
    </row>
    <row r="121" spans="2:17" ht="12.75" customHeight="1" x14ac:dyDescent="0.25">
      <c r="B121">
        <f t="shared" si="9"/>
        <v>106</v>
      </c>
      <c r="C121" s="58" t="str">
        <f t="shared" si="14"/>
        <v/>
      </c>
      <c r="D121" s="44">
        <f t="shared" si="10"/>
        <v>0</v>
      </c>
      <c r="E121" s="107">
        <f t="shared" si="11"/>
        <v>0</v>
      </c>
      <c r="F121" s="44">
        <f t="shared" si="12"/>
        <v>0</v>
      </c>
      <c r="G121" s="106">
        <f>ROUND(IFERROR((IF(B121&lt;=$D$8,(E121+IF('New Loan'!$C$3&lt;&gt;"Tax Loan",I120,0))*$D$6*(C121-C120)/365,0)),0),2)</f>
        <v>0</v>
      </c>
      <c r="H121" s="106">
        <f>ROUND(IF(B121&lt;$D$8,MIN(I120,D121-G121),IF(B121=$D$8,$I$15-SUM($H$15:$H120),0)),2)</f>
        <v>0</v>
      </c>
      <c r="I121" s="44">
        <f t="shared" si="15"/>
        <v>0</v>
      </c>
      <c r="J121" s="107"/>
      <c r="L121" s="107">
        <f t="shared" si="8"/>
        <v>0</v>
      </c>
      <c r="N121" s="72">
        <f t="shared" si="13"/>
        <v>0</v>
      </c>
      <c r="O121" s="70"/>
      <c r="P121" s="44" t="str">
        <f>IFERROR(IF(MONTH($C121)=MONTH($J$6),SUMIFS(F$15:F121,$C$15:$C121,"&gt;"&amp;EOMONTH($C121,-12)),""),"")</f>
        <v/>
      </c>
      <c r="Q121" s="44" t="str">
        <f>IFERROR(IF(MONTH($C121)=MONTH($J$6),SUMIFS(G$15:G121,$C$15:$C121,"&gt;"&amp;EOMONTH($C121,-12))+SUMIFS(H$15:H121,$C$15:$C121,"&gt;"&amp;EOMONTH($C121,-12)),""),"")</f>
        <v/>
      </c>
    </row>
    <row r="122" spans="2:17" ht="12.75" customHeight="1" x14ac:dyDescent="0.25">
      <c r="B122">
        <f t="shared" si="9"/>
        <v>107</v>
      </c>
      <c r="C122" s="58" t="str">
        <f t="shared" si="14"/>
        <v/>
      </c>
      <c r="D122" s="44">
        <f t="shared" si="10"/>
        <v>0</v>
      </c>
      <c r="E122" s="107">
        <f t="shared" si="11"/>
        <v>0</v>
      </c>
      <c r="F122" s="44">
        <f t="shared" si="12"/>
        <v>0</v>
      </c>
      <c r="G122" s="106">
        <f>ROUND(IFERROR((IF(B122&lt;=$D$8,(E122+IF('New Loan'!$C$3&lt;&gt;"Tax Loan",I121,0))*$D$6*(C122-C121)/365,0)),0),2)</f>
        <v>0</v>
      </c>
      <c r="H122" s="106">
        <f>ROUND(IF(B122&lt;$D$8,MIN(I121,D122-G122),IF(B122=$D$8,$I$15-SUM($H$15:$H121),0)),2)</f>
        <v>0</v>
      </c>
      <c r="I122" s="44">
        <f t="shared" si="15"/>
        <v>0</v>
      </c>
      <c r="J122" s="107"/>
      <c r="L122" s="107">
        <f t="shared" si="8"/>
        <v>0</v>
      </c>
      <c r="N122" s="72">
        <f t="shared" si="13"/>
        <v>0</v>
      </c>
      <c r="O122" s="70"/>
      <c r="P122" s="44" t="str">
        <f>IFERROR(IF(MONTH($C122)=MONTH($J$6),SUMIFS(F$15:F122,$C$15:$C122,"&gt;"&amp;EOMONTH($C122,-12)),""),"")</f>
        <v/>
      </c>
      <c r="Q122" s="44" t="str">
        <f>IFERROR(IF(MONTH($C122)=MONTH($J$6),SUMIFS(G$15:G122,$C$15:$C122,"&gt;"&amp;EOMONTH($C122,-12))+SUMIFS(H$15:H122,$C$15:$C122,"&gt;"&amp;EOMONTH($C122,-12)),""),"")</f>
        <v/>
      </c>
    </row>
    <row r="123" spans="2:17" ht="12.75" customHeight="1" x14ac:dyDescent="0.25">
      <c r="B123">
        <f t="shared" si="9"/>
        <v>108</v>
      </c>
      <c r="C123" s="58" t="str">
        <f t="shared" si="14"/>
        <v/>
      </c>
      <c r="D123" s="44">
        <f t="shared" si="10"/>
        <v>0</v>
      </c>
      <c r="E123" s="107">
        <f t="shared" si="11"/>
        <v>0</v>
      </c>
      <c r="F123" s="44">
        <f t="shared" si="12"/>
        <v>0</v>
      </c>
      <c r="G123" s="106">
        <f>ROUND(IFERROR((IF(B123&lt;=$D$8,(E123+IF('New Loan'!$C$3&lt;&gt;"Tax Loan",I122,0))*$D$6*(C123-C122)/365,0)),0),2)</f>
        <v>0</v>
      </c>
      <c r="H123" s="106">
        <f>ROUND(IF(B123&lt;$D$8,MIN(I122,D123-G123),IF(B123=$D$8,$I$15-SUM($H$15:$H122),0)),2)</f>
        <v>0</v>
      </c>
      <c r="I123" s="44">
        <f t="shared" si="15"/>
        <v>0</v>
      </c>
      <c r="J123" s="107"/>
      <c r="L123" s="107">
        <f t="shared" si="8"/>
        <v>0</v>
      </c>
      <c r="N123" s="72">
        <f t="shared" si="13"/>
        <v>0</v>
      </c>
      <c r="O123" s="70"/>
      <c r="P123" s="44" t="str">
        <f>IFERROR(IF(MONTH($C123)=MONTH($J$6),SUMIFS(F$15:F123,$C$15:$C123,"&gt;"&amp;EOMONTH($C123,-12)),""),"")</f>
        <v/>
      </c>
      <c r="Q123" s="44" t="str">
        <f>IFERROR(IF(MONTH($C123)=MONTH($J$6),SUMIFS(G$15:G123,$C$15:$C123,"&gt;"&amp;EOMONTH($C123,-12))+SUMIFS(H$15:H123,$C$15:$C123,"&gt;"&amp;EOMONTH($C123,-12)),""),"")</f>
        <v/>
      </c>
    </row>
    <row r="124" spans="2:17" ht="12.75" customHeight="1" x14ac:dyDescent="0.25">
      <c r="B124">
        <f t="shared" si="9"/>
        <v>109</v>
      </c>
      <c r="C124" s="58" t="str">
        <f t="shared" si="14"/>
        <v/>
      </c>
      <c r="D124" s="44">
        <f t="shared" si="10"/>
        <v>0</v>
      </c>
      <c r="E124" s="107">
        <f t="shared" si="11"/>
        <v>0</v>
      </c>
      <c r="F124" s="44">
        <f t="shared" si="12"/>
        <v>0</v>
      </c>
      <c r="G124" s="106">
        <f>ROUND(IFERROR((IF(B124&lt;=$D$8,(E124+IF('New Loan'!$C$3&lt;&gt;"Tax Loan",I123,0))*$D$6*(C124-C123)/365,0)),0),2)</f>
        <v>0</v>
      </c>
      <c r="H124" s="106">
        <f>ROUND(IF(B124&lt;$D$8,MIN(I123,D124-G124),IF(B124=$D$8,$I$15-SUM($H$15:$H123),0)),2)</f>
        <v>0</v>
      </c>
      <c r="I124" s="44">
        <f t="shared" si="15"/>
        <v>0</v>
      </c>
      <c r="J124" s="107"/>
      <c r="L124" s="107">
        <f t="shared" si="8"/>
        <v>0</v>
      </c>
      <c r="N124" s="72">
        <f t="shared" si="13"/>
        <v>0</v>
      </c>
      <c r="O124" s="70"/>
      <c r="P124" s="44" t="str">
        <f>IFERROR(IF(MONTH($C124)=MONTH($J$6),SUMIFS(F$15:F124,$C$15:$C124,"&gt;"&amp;EOMONTH($C124,-12)),""),"")</f>
        <v/>
      </c>
      <c r="Q124" s="44" t="str">
        <f>IFERROR(IF(MONTH($C124)=MONTH($J$6),SUMIFS(G$15:G124,$C$15:$C124,"&gt;"&amp;EOMONTH($C124,-12))+SUMIFS(H$15:H124,$C$15:$C124,"&gt;"&amp;EOMONTH($C124,-12)),""),"")</f>
        <v/>
      </c>
    </row>
    <row r="125" spans="2:17" ht="12.75" customHeight="1" x14ac:dyDescent="0.25">
      <c r="B125">
        <f t="shared" si="9"/>
        <v>110</v>
      </c>
      <c r="C125" s="58" t="str">
        <f t="shared" si="14"/>
        <v/>
      </c>
      <c r="D125" s="44">
        <f t="shared" si="10"/>
        <v>0</v>
      </c>
      <c r="E125" s="107">
        <f t="shared" si="11"/>
        <v>0</v>
      </c>
      <c r="F125" s="44">
        <f t="shared" si="12"/>
        <v>0</v>
      </c>
      <c r="G125" s="106">
        <f>ROUND(IFERROR((IF(B125&lt;=$D$8,(E125+IF('New Loan'!$C$3&lt;&gt;"Tax Loan",I124,0))*$D$6*(C125-C124)/365,0)),0),2)</f>
        <v>0</v>
      </c>
      <c r="H125" s="106">
        <f>ROUND(IF(B125&lt;$D$8,MIN(I124,D125-G125),IF(B125=$D$8,$I$15-SUM($H$15:$H124),0)),2)</f>
        <v>0</v>
      </c>
      <c r="I125" s="44">
        <f t="shared" si="15"/>
        <v>0</v>
      </c>
      <c r="J125" s="107"/>
      <c r="L125" s="107">
        <f t="shared" si="8"/>
        <v>0</v>
      </c>
      <c r="N125" s="72">
        <f t="shared" si="13"/>
        <v>0</v>
      </c>
      <c r="O125" s="70"/>
      <c r="P125" s="44" t="str">
        <f>IFERROR(IF(MONTH($C125)=MONTH($J$6),SUMIFS(F$15:F125,$C$15:$C125,"&gt;"&amp;EOMONTH($C125,-12)),""),"")</f>
        <v/>
      </c>
      <c r="Q125" s="44" t="str">
        <f>IFERROR(IF(MONTH($C125)=MONTH($J$6),SUMIFS(G$15:G125,$C$15:$C125,"&gt;"&amp;EOMONTH($C125,-12))+SUMIFS(H$15:H125,$C$15:$C125,"&gt;"&amp;EOMONTH($C125,-12)),""),"")</f>
        <v/>
      </c>
    </row>
    <row r="126" spans="2:17" ht="12.75" customHeight="1" x14ac:dyDescent="0.25">
      <c r="B126">
        <f t="shared" si="9"/>
        <v>111</v>
      </c>
      <c r="C126" s="58" t="str">
        <f t="shared" si="14"/>
        <v/>
      </c>
      <c r="D126" s="44">
        <f t="shared" si="10"/>
        <v>0</v>
      </c>
      <c r="E126" s="107">
        <f t="shared" si="11"/>
        <v>0</v>
      </c>
      <c r="F126" s="44">
        <f t="shared" si="12"/>
        <v>0</v>
      </c>
      <c r="G126" s="106">
        <f>ROUND(IFERROR((IF(B126&lt;=$D$8,(E126+IF('New Loan'!$C$3&lt;&gt;"Tax Loan",I125,0))*$D$6*(C126-C125)/365,0)),0),2)</f>
        <v>0</v>
      </c>
      <c r="H126" s="106">
        <f>ROUND(IF(B126&lt;$D$8,MIN(I125,D126-G126),IF(B126=$D$8,$I$15-SUM($H$15:$H125),0)),2)</f>
        <v>0</v>
      </c>
      <c r="I126" s="44">
        <f t="shared" si="15"/>
        <v>0</v>
      </c>
      <c r="J126" s="107"/>
      <c r="L126" s="107">
        <f t="shared" si="8"/>
        <v>0</v>
      </c>
      <c r="N126" s="72">
        <f t="shared" si="13"/>
        <v>0</v>
      </c>
      <c r="O126" s="70"/>
      <c r="P126" s="44" t="str">
        <f>IFERROR(IF(MONTH($C126)=MONTH($J$6),SUMIFS(F$15:F126,$C$15:$C126,"&gt;"&amp;EOMONTH($C126,-12)),""),"")</f>
        <v/>
      </c>
      <c r="Q126" s="44" t="str">
        <f>IFERROR(IF(MONTH($C126)=MONTH($J$6),SUMIFS(G$15:G126,$C$15:$C126,"&gt;"&amp;EOMONTH($C126,-12))+SUMIFS(H$15:H126,$C$15:$C126,"&gt;"&amp;EOMONTH($C126,-12)),""),"")</f>
        <v/>
      </c>
    </row>
    <row r="127" spans="2:17" ht="12.75" customHeight="1" x14ac:dyDescent="0.25">
      <c r="B127">
        <f t="shared" si="9"/>
        <v>112</v>
      </c>
      <c r="C127" s="58" t="str">
        <f t="shared" si="14"/>
        <v/>
      </c>
      <c r="D127" s="44">
        <f t="shared" si="10"/>
        <v>0</v>
      </c>
      <c r="E127" s="107">
        <f t="shared" si="11"/>
        <v>0</v>
      </c>
      <c r="F127" s="44">
        <f t="shared" si="12"/>
        <v>0</v>
      </c>
      <c r="G127" s="106">
        <f>ROUND(IFERROR((IF(B127&lt;=$D$8,(E127+IF('New Loan'!$C$3&lt;&gt;"Tax Loan",I126,0))*$D$6*(C127-C126)/365,0)),0),2)</f>
        <v>0</v>
      </c>
      <c r="H127" s="106">
        <f>ROUND(IF(B127&lt;$D$8,MIN(I126,D127-G127),IF(B127=$D$8,$I$15-SUM($H$15:$H126),0)),2)</f>
        <v>0</v>
      </c>
      <c r="I127" s="44">
        <f t="shared" si="15"/>
        <v>0</v>
      </c>
      <c r="J127" s="107"/>
      <c r="L127" s="107">
        <f t="shared" si="8"/>
        <v>0</v>
      </c>
      <c r="N127" s="72">
        <f t="shared" si="13"/>
        <v>0</v>
      </c>
      <c r="O127" s="70"/>
      <c r="P127" s="44" t="str">
        <f>IFERROR(IF(MONTH($C127)=MONTH($J$6),SUMIFS(F$15:F127,$C$15:$C127,"&gt;"&amp;EOMONTH($C127,-12)),""),"")</f>
        <v/>
      </c>
      <c r="Q127" s="44" t="str">
        <f>IFERROR(IF(MONTH($C127)=MONTH($J$6),SUMIFS(G$15:G127,$C$15:$C127,"&gt;"&amp;EOMONTH($C127,-12))+SUMIFS(H$15:H127,$C$15:$C127,"&gt;"&amp;EOMONTH($C127,-12)),""),"")</f>
        <v/>
      </c>
    </row>
    <row r="128" spans="2:17" ht="12.75" customHeight="1" x14ac:dyDescent="0.25">
      <c r="B128">
        <f t="shared" si="9"/>
        <v>113</v>
      </c>
      <c r="C128" s="58" t="str">
        <f t="shared" si="14"/>
        <v/>
      </c>
      <c r="D128" s="44">
        <f t="shared" si="10"/>
        <v>0</v>
      </c>
      <c r="E128" s="107">
        <f t="shared" si="11"/>
        <v>0</v>
      </c>
      <c r="F128" s="44">
        <f t="shared" si="12"/>
        <v>0</v>
      </c>
      <c r="G128" s="106">
        <f>ROUND(IFERROR((IF(B128&lt;=$D$8,(E128+IF('New Loan'!$C$3&lt;&gt;"Tax Loan",I127,0))*$D$6*(C128-C127)/365,0)),0),2)</f>
        <v>0</v>
      </c>
      <c r="H128" s="106">
        <f>ROUND(IF(B128&lt;$D$8,MIN(I127,D128-G128),IF(B128=$D$8,$I$15-SUM($H$15:$H127),0)),2)</f>
        <v>0</v>
      </c>
      <c r="I128" s="44">
        <f t="shared" si="15"/>
        <v>0</v>
      </c>
      <c r="J128" s="107"/>
      <c r="L128" s="107">
        <f t="shared" si="8"/>
        <v>0</v>
      </c>
      <c r="N128" s="72">
        <f t="shared" si="13"/>
        <v>0</v>
      </c>
      <c r="O128" s="70"/>
      <c r="P128" s="44" t="str">
        <f>IFERROR(IF(MONTH($C128)=MONTH($J$6),SUMIFS(F$15:F128,$C$15:$C128,"&gt;"&amp;EOMONTH($C128,-12)),""),"")</f>
        <v/>
      </c>
      <c r="Q128" s="44" t="str">
        <f>IFERROR(IF(MONTH($C128)=MONTH($J$6),SUMIFS(G$15:G128,$C$15:$C128,"&gt;"&amp;EOMONTH($C128,-12))+SUMIFS(H$15:H128,$C$15:$C128,"&gt;"&amp;EOMONTH($C128,-12)),""),"")</f>
        <v/>
      </c>
    </row>
    <row r="129" spans="2:17" ht="12.75" customHeight="1" x14ac:dyDescent="0.25">
      <c r="B129">
        <f t="shared" si="9"/>
        <v>114</v>
      </c>
      <c r="C129" s="58" t="str">
        <f t="shared" si="14"/>
        <v/>
      </c>
      <c r="D129" s="44">
        <f t="shared" si="10"/>
        <v>0</v>
      </c>
      <c r="E129" s="107">
        <f t="shared" si="11"/>
        <v>0</v>
      </c>
      <c r="F129" s="44">
        <f t="shared" si="12"/>
        <v>0</v>
      </c>
      <c r="G129" s="106">
        <f>ROUND(IFERROR((IF(B129&lt;=$D$8,(E129+IF('New Loan'!$C$3&lt;&gt;"Tax Loan",I128,0))*$D$6*(C129-C128)/365,0)),0),2)</f>
        <v>0</v>
      </c>
      <c r="H129" s="106">
        <f>ROUND(IF(B129&lt;$D$8,MIN(I128,D129-G129),IF(B129=$D$8,$I$15-SUM($H$15:$H128),0)),2)</f>
        <v>0</v>
      </c>
      <c r="I129" s="44">
        <f t="shared" si="15"/>
        <v>0</v>
      </c>
      <c r="J129" s="107"/>
      <c r="L129" s="107">
        <f t="shared" si="8"/>
        <v>0</v>
      </c>
      <c r="N129" s="72">
        <f t="shared" si="13"/>
        <v>0</v>
      </c>
      <c r="O129" s="70"/>
      <c r="P129" s="44" t="str">
        <f>IFERROR(IF(MONTH($C129)=MONTH($J$6),SUMIFS(F$15:F129,$C$15:$C129,"&gt;"&amp;EOMONTH($C129,-12)),""),"")</f>
        <v/>
      </c>
      <c r="Q129" s="44" t="str">
        <f>IFERROR(IF(MONTH($C129)=MONTH($J$6),SUMIFS(G$15:G129,$C$15:$C129,"&gt;"&amp;EOMONTH($C129,-12))+SUMIFS(H$15:H129,$C$15:$C129,"&gt;"&amp;EOMONTH($C129,-12)),""),"")</f>
        <v/>
      </c>
    </row>
    <row r="130" spans="2:17" ht="12.75" customHeight="1" x14ac:dyDescent="0.25">
      <c r="B130">
        <f t="shared" si="9"/>
        <v>115</v>
      </c>
      <c r="C130" s="58" t="str">
        <f t="shared" si="14"/>
        <v/>
      </c>
      <c r="D130" s="44">
        <f t="shared" si="10"/>
        <v>0</v>
      </c>
      <c r="E130" s="107">
        <f t="shared" si="11"/>
        <v>0</v>
      </c>
      <c r="F130" s="44">
        <f t="shared" si="12"/>
        <v>0</v>
      </c>
      <c r="G130" s="106">
        <f>ROUND(IFERROR((IF(B130&lt;=$D$8,(E130+IF('New Loan'!$C$3&lt;&gt;"Tax Loan",I129,0))*$D$6*(C130-C129)/365,0)),0),2)</f>
        <v>0</v>
      </c>
      <c r="H130" s="106">
        <f>ROUND(IF(B130&lt;$D$8,MIN(I129,D130-G130),IF(B130=$D$8,$I$15-SUM($H$15:$H129),0)),2)</f>
        <v>0</v>
      </c>
      <c r="I130" s="44">
        <f t="shared" si="15"/>
        <v>0</v>
      </c>
      <c r="J130" s="107"/>
      <c r="L130" s="107">
        <f t="shared" si="8"/>
        <v>0</v>
      </c>
      <c r="N130" s="72">
        <f t="shared" si="13"/>
        <v>0</v>
      </c>
      <c r="O130" s="70"/>
      <c r="P130" s="44" t="str">
        <f>IFERROR(IF(MONTH($C130)=MONTH($J$6),SUMIFS(F$15:F130,$C$15:$C130,"&gt;"&amp;EOMONTH($C130,-12)),""),"")</f>
        <v/>
      </c>
      <c r="Q130" s="44" t="str">
        <f>IFERROR(IF(MONTH($C130)=MONTH($J$6),SUMIFS(G$15:G130,$C$15:$C130,"&gt;"&amp;EOMONTH($C130,-12))+SUMIFS(H$15:H130,$C$15:$C130,"&gt;"&amp;EOMONTH($C130,-12)),""),"")</f>
        <v/>
      </c>
    </row>
    <row r="131" spans="2:17" ht="12.75" customHeight="1" x14ac:dyDescent="0.25">
      <c r="B131">
        <f t="shared" si="9"/>
        <v>116</v>
      </c>
      <c r="C131" s="58" t="str">
        <f t="shared" si="14"/>
        <v/>
      </c>
      <c r="D131" s="44">
        <f t="shared" si="10"/>
        <v>0</v>
      </c>
      <c r="E131" s="107">
        <f t="shared" si="11"/>
        <v>0</v>
      </c>
      <c r="F131" s="44">
        <f t="shared" si="12"/>
        <v>0</v>
      </c>
      <c r="G131" s="106">
        <f>ROUND(IFERROR((IF(B131&lt;=$D$8,(E131+IF('New Loan'!$C$3&lt;&gt;"Tax Loan",I130,0))*$D$6*(C131-C130)/365,0)),0),2)</f>
        <v>0</v>
      </c>
      <c r="H131" s="106">
        <f>ROUND(IF(B131&lt;$D$8,MIN(I130,D131-G131),IF(B131=$D$8,$I$15-SUM($H$15:$H130),0)),2)</f>
        <v>0</v>
      </c>
      <c r="I131" s="44">
        <f t="shared" si="15"/>
        <v>0</v>
      </c>
      <c r="J131" s="107"/>
      <c r="L131" s="107">
        <f t="shared" si="8"/>
        <v>0</v>
      </c>
      <c r="N131" s="72">
        <f t="shared" si="13"/>
        <v>0</v>
      </c>
      <c r="O131" s="70"/>
      <c r="P131" s="44" t="str">
        <f>IFERROR(IF(MONTH($C131)=MONTH($J$6),SUMIFS(F$15:F131,$C$15:$C131,"&gt;"&amp;EOMONTH($C131,-12)),""),"")</f>
        <v/>
      </c>
      <c r="Q131" s="44" t="str">
        <f>IFERROR(IF(MONTH($C131)=MONTH($J$6),SUMIFS(G$15:G131,$C$15:$C131,"&gt;"&amp;EOMONTH($C131,-12))+SUMIFS(H$15:H131,$C$15:$C131,"&gt;"&amp;EOMONTH($C131,-12)),""),"")</f>
        <v/>
      </c>
    </row>
    <row r="132" spans="2:17" ht="12.75" customHeight="1" x14ac:dyDescent="0.25">
      <c r="B132">
        <f t="shared" si="9"/>
        <v>117</v>
      </c>
      <c r="C132" s="58" t="str">
        <f t="shared" si="14"/>
        <v/>
      </c>
      <c r="D132" s="44">
        <f t="shared" si="10"/>
        <v>0</v>
      </c>
      <c r="E132" s="107">
        <f t="shared" si="11"/>
        <v>0</v>
      </c>
      <c r="F132" s="44">
        <f t="shared" si="12"/>
        <v>0</v>
      </c>
      <c r="G132" s="106">
        <f>ROUND(IFERROR((IF(B132&lt;=$D$8,(E132+IF('New Loan'!$C$3&lt;&gt;"Tax Loan",I131,0))*$D$6*(C132-C131)/365,0)),0),2)</f>
        <v>0</v>
      </c>
      <c r="H132" s="106">
        <f>ROUND(IF(B132&lt;$D$8,MIN(I131,D132-G132),IF(B132=$D$8,$I$15-SUM($H$15:$H131),0)),2)</f>
        <v>0</v>
      </c>
      <c r="I132" s="44">
        <f t="shared" si="15"/>
        <v>0</v>
      </c>
      <c r="J132" s="107"/>
      <c r="L132" s="107">
        <f t="shared" si="8"/>
        <v>0</v>
      </c>
      <c r="N132" s="72">
        <f t="shared" si="13"/>
        <v>0</v>
      </c>
      <c r="O132" s="70"/>
      <c r="P132" s="44" t="str">
        <f>IFERROR(IF(MONTH($C132)=MONTH($J$6),SUMIFS(F$15:F132,$C$15:$C132,"&gt;"&amp;EOMONTH($C132,-12)),""),"")</f>
        <v/>
      </c>
      <c r="Q132" s="44" t="str">
        <f>IFERROR(IF(MONTH($C132)=MONTH($J$6),SUMIFS(G$15:G132,$C$15:$C132,"&gt;"&amp;EOMONTH($C132,-12))+SUMIFS(H$15:H132,$C$15:$C132,"&gt;"&amp;EOMONTH($C132,-12)),""),"")</f>
        <v/>
      </c>
    </row>
    <row r="133" spans="2:17" ht="12.75" customHeight="1" x14ac:dyDescent="0.25">
      <c r="B133">
        <f t="shared" si="9"/>
        <v>118</v>
      </c>
      <c r="C133" s="58" t="str">
        <f t="shared" si="14"/>
        <v/>
      </c>
      <c r="D133" s="44">
        <f t="shared" si="10"/>
        <v>0</v>
      </c>
      <c r="E133" s="107">
        <f t="shared" si="11"/>
        <v>0</v>
      </c>
      <c r="F133" s="44">
        <f t="shared" si="12"/>
        <v>0</v>
      </c>
      <c r="G133" s="106">
        <f>ROUND(IFERROR((IF(B133&lt;=$D$8,(E133+IF('New Loan'!$C$3&lt;&gt;"Tax Loan",I132,0))*$D$6*(C133-C132)/365,0)),0),2)</f>
        <v>0</v>
      </c>
      <c r="H133" s="106">
        <f>ROUND(IF(B133&lt;$D$8,MIN(I132,D133-G133),IF(B133=$D$8,$I$15-SUM($H$15:$H132),0)),2)</f>
        <v>0</v>
      </c>
      <c r="I133" s="44">
        <f t="shared" si="15"/>
        <v>0</v>
      </c>
      <c r="J133" s="107"/>
      <c r="L133" s="107">
        <f t="shared" si="8"/>
        <v>0</v>
      </c>
      <c r="N133" s="72">
        <f t="shared" si="13"/>
        <v>0</v>
      </c>
      <c r="O133" s="70"/>
      <c r="P133" s="44" t="str">
        <f>IFERROR(IF(MONTH($C133)=MONTH($J$6),SUMIFS(F$15:F133,$C$15:$C133,"&gt;"&amp;EOMONTH($C133,-12)),""),"")</f>
        <v/>
      </c>
      <c r="Q133" s="44" t="str">
        <f>IFERROR(IF(MONTH($C133)=MONTH($J$6),SUMIFS(G$15:G133,$C$15:$C133,"&gt;"&amp;EOMONTH($C133,-12))+SUMIFS(H$15:H133,$C$15:$C133,"&gt;"&amp;EOMONTH($C133,-12)),""),"")</f>
        <v/>
      </c>
    </row>
    <row r="134" spans="2:17" ht="12.75" customHeight="1" x14ac:dyDescent="0.25">
      <c r="B134">
        <f t="shared" si="9"/>
        <v>119</v>
      </c>
      <c r="C134" s="58" t="str">
        <f t="shared" si="14"/>
        <v/>
      </c>
      <c r="D134" s="44">
        <f t="shared" si="10"/>
        <v>0</v>
      </c>
      <c r="E134" s="107">
        <f t="shared" si="11"/>
        <v>0</v>
      </c>
      <c r="F134" s="44">
        <f t="shared" si="12"/>
        <v>0</v>
      </c>
      <c r="G134" s="106">
        <f>ROUND(IFERROR((IF(B134&lt;=$D$8,(E134+IF('New Loan'!$C$3&lt;&gt;"Tax Loan",I133,0))*$D$6*(C134-C133)/365,0)),0),2)</f>
        <v>0</v>
      </c>
      <c r="H134" s="106">
        <f>ROUND(IF(B134&lt;$D$8,MIN(I133,D134-G134),IF(B134=$D$8,$I$15-SUM($H$15:$H133),0)),2)</f>
        <v>0</v>
      </c>
      <c r="I134" s="44">
        <f t="shared" si="15"/>
        <v>0</v>
      </c>
      <c r="J134" s="107"/>
      <c r="L134" s="107">
        <f t="shared" si="8"/>
        <v>0</v>
      </c>
      <c r="N134" s="72">
        <f t="shared" si="13"/>
        <v>0</v>
      </c>
      <c r="O134" s="70"/>
      <c r="P134" s="44" t="str">
        <f>IFERROR(IF(MONTH($C134)=MONTH($J$6),SUMIFS(F$15:F134,$C$15:$C134,"&gt;"&amp;EOMONTH($C134,-12)),""),"")</f>
        <v/>
      </c>
      <c r="Q134" s="44" t="str">
        <f>IFERROR(IF(MONTH($C134)=MONTH($J$6),SUMIFS(G$15:G134,$C$15:$C134,"&gt;"&amp;EOMONTH($C134,-12))+SUMIFS(H$15:H134,$C$15:$C134,"&gt;"&amp;EOMONTH($C134,-12)),""),"")</f>
        <v/>
      </c>
    </row>
    <row r="135" spans="2:17" ht="12.75" customHeight="1" x14ac:dyDescent="0.25">
      <c r="B135">
        <f t="shared" si="9"/>
        <v>120</v>
      </c>
      <c r="C135" s="58" t="str">
        <f t="shared" si="14"/>
        <v/>
      </c>
      <c r="D135" s="44">
        <f t="shared" si="10"/>
        <v>0</v>
      </c>
      <c r="E135" s="107">
        <f t="shared" si="11"/>
        <v>0</v>
      </c>
      <c r="F135" s="44">
        <f t="shared" si="12"/>
        <v>0</v>
      </c>
      <c r="G135" s="106">
        <f>ROUND(IFERROR((IF(B135&lt;=$D$8,(E135+IF('New Loan'!$C$3&lt;&gt;"Tax Loan",I134,0))*$D$6*(C135-C134)/365,0)),0),2)</f>
        <v>0</v>
      </c>
      <c r="H135" s="106">
        <f>ROUND(IF(B135&lt;$D$8,MIN(I134,D135-G135),IF(B135=$D$8,$I$15-SUM($H$15:$H134),0)),2)</f>
        <v>0</v>
      </c>
      <c r="I135" s="44">
        <f t="shared" si="15"/>
        <v>0</v>
      </c>
      <c r="J135" s="107"/>
      <c r="L135" s="107">
        <f t="shared" si="8"/>
        <v>0</v>
      </c>
      <c r="N135" s="72">
        <f t="shared" si="13"/>
        <v>0</v>
      </c>
      <c r="O135" s="70"/>
      <c r="P135" s="44" t="str">
        <f>IFERROR(IF(MONTH($C135)=MONTH($J$6),SUMIFS(F$15:F135,$C$15:$C135,"&gt;"&amp;EOMONTH($C135,-12)),""),"")</f>
        <v/>
      </c>
      <c r="Q135" s="44" t="str">
        <f>IFERROR(IF(MONTH($C135)=MONTH($J$6),SUMIFS(G$15:G135,$C$15:$C135,"&gt;"&amp;EOMONTH($C135,-12))+SUMIFS(H$15:H135,$C$15:$C135,"&gt;"&amp;EOMONTH($C135,-12)),""),"")</f>
        <v/>
      </c>
    </row>
    <row r="136" spans="2:17" ht="12.75" customHeight="1" x14ac:dyDescent="0.25">
      <c r="B136">
        <f t="shared" si="9"/>
        <v>121</v>
      </c>
      <c r="C136" s="58" t="str">
        <f t="shared" si="14"/>
        <v/>
      </c>
      <c r="D136" s="44">
        <f t="shared" si="10"/>
        <v>0</v>
      </c>
      <c r="E136" s="107">
        <f t="shared" si="11"/>
        <v>0</v>
      </c>
      <c r="F136" s="44">
        <f t="shared" si="12"/>
        <v>0</v>
      </c>
      <c r="G136" s="106">
        <f>ROUND(IFERROR((IF(B136&lt;=$D$8,(E136+IF('New Loan'!$C$3&lt;&gt;"Tax Loan",I135,0))*$D$6*(C136-C135)/365,0)),0),2)</f>
        <v>0</v>
      </c>
      <c r="H136" s="106">
        <f>ROUND(IF(B136&lt;$D$8,MIN(I135,D136-G136),IF(B136=$D$8,$I$15-SUM($H$15:$H135),0)),2)</f>
        <v>0</v>
      </c>
      <c r="I136" s="44">
        <f t="shared" si="15"/>
        <v>0</v>
      </c>
      <c r="J136" s="107"/>
      <c r="L136" s="107">
        <f t="shared" si="8"/>
        <v>0</v>
      </c>
      <c r="N136" s="72">
        <f t="shared" si="13"/>
        <v>0</v>
      </c>
      <c r="O136" s="70"/>
      <c r="P136" s="44" t="str">
        <f>IFERROR(IF(MONTH($C136)=MONTH($J$6),SUMIFS(F$15:F136,$C$15:$C136,"&gt;"&amp;EOMONTH($C136,-12)),""),"")</f>
        <v/>
      </c>
      <c r="Q136" s="44" t="str">
        <f>IFERROR(IF(MONTH($C136)=MONTH($J$6),SUMIFS(G$15:G136,$C$15:$C136,"&gt;"&amp;EOMONTH($C136,-12))+SUMIFS(H$15:H136,$C$15:$C136,"&gt;"&amp;EOMONTH($C136,-12)),""),"")</f>
        <v/>
      </c>
    </row>
    <row r="137" spans="2:17" ht="12.75" customHeight="1" x14ac:dyDescent="0.25">
      <c r="B137">
        <f t="shared" si="9"/>
        <v>122</v>
      </c>
      <c r="C137" s="58" t="str">
        <f t="shared" si="14"/>
        <v/>
      </c>
      <c r="D137" s="44">
        <f t="shared" si="10"/>
        <v>0</v>
      </c>
      <c r="E137" s="107">
        <f t="shared" si="11"/>
        <v>0</v>
      </c>
      <c r="F137" s="44">
        <f t="shared" si="12"/>
        <v>0</v>
      </c>
      <c r="G137" s="106">
        <f>ROUND(IFERROR((IF(B137&lt;=$D$8,(E137+IF('New Loan'!$C$3&lt;&gt;"Tax Loan",I136,0))*$D$6*(C137-C136)/365,0)),0),2)</f>
        <v>0</v>
      </c>
      <c r="H137" s="106">
        <f>ROUND(IF(B137&lt;$D$8,MIN(I136,D137-G137),IF(B137=$D$8,$I$15-SUM($H$15:$H136),0)),2)</f>
        <v>0</v>
      </c>
      <c r="I137" s="44">
        <f t="shared" si="15"/>
        <v>0</v>
      </c>
      <c r="J137" s="107"/>
      <c r="L137" s="107">
        <f t="shared" si="8"/>
        <v>0</v>
      </c>
      <c r="M137" s="44"/>
      <c r="N137" s="72">
        <f t="shared" si="13"/>
        <v>0</v>
      </c>
      <c r="O137" s="70"/>
      <c r="P137" s="44" t="str">
        <f>IFERROR(IF(MONTH($C137)=MONTH($J$6),SUMIFS(F$15:F137,$C$15:$C137,"&gt;"&amp;EOMONTH($C137,-12)),""),"")</f>
        <v/>
      </c>
      <c r="Q137" s="44" t="str">
        <f>IFERROR(IF(MONTH($C137)=MONTH($J$6),SUMIFS(G$15:G137,$C$15:$C137,"&gt;"&amp;EOMONTH($C137,-12))+SUMIFS(H$15:H137,$C$15:$C137,"&gt;"&amp;EOMONTH($C137,-12)),""),"")</f>
        <v/>
      </c>
    </row>
    <row r="138" spans="2:17" ht="12.75" customHeight="1" x14ac:dyDescent="0.25">
      <c r="B138">
        <f t="shared" si="9"/>
        <v>123</v>
      </c>
      <c r="C138" s="58" t="str">
        <f t="shared" si="14"/>
        <v/>
      </c>
      <c r="D138" s="44">
        <f t="shared" si="10"/>
        <v>0</v>
      </c>
      <c r="E138" s="107">
        <f t="shared" si="11"/>
        <v>0</v>
      </c>
      <c r="F138" s="44">
        <f t="shared" si="12"/>
        <v>0</v>
      </c>
      <c r="G138" s="106">
        <f>ROUND(IFERROR((IF(B138&lt;=$D$8,(E138+IF('New Loan'!$C$3&lt;&gt;"Tax Loan",I137,0))*$D$6*(C138-C137)/365,0)),0),2)</f>
        <v>0</v>
      </c>
      <c r="H138" s="106">
        <f>ROUND(IF(B138&lt;$D$8,MIN(I137,D138-G138),IF(B138=$D$8,$I$15-SUM($H$15:$H137),0)),2)</f>
        <v>0</v>
      </c>
      <c r="I138" s="44">
        <f t="shared" si="15"/>
        <v>0</v>
      </c>
      <c r="J138" s="107"/>
      <c r="L138" s="107">
        <f t="shared" si="8"/>
        <v>0</v>
      </c>
      <c r="M138" s="44"/>
      <c r="N138" s="72">
        <f t="shared" si="13"/>
        <v>0</v>
      </c>
      <c r="O138" s="70"/>
      <c r="P138" s="44" t="str">
        <f>IFERROR(IF(MONTH($C138)=MONTH($J$6),SUMIFS(F$15:F138,$C$15:$C138,"&gt;"&amp;EOMONTH($C138,-12)),""),"")</f>
        <v/>
      </c>
      <c r="Q138" s="44" t="str">
        <f>IFERROR(IF(MONTH($C138)=MONTH($J$6),SUMIFS(G$15:G138,$C$15:$C138,"&gt;"&amp;EOMONTH($C138,-12))+SUMIFS(H$15:H138,$C$15:$C138,"&gt;"&amp;EOMONTH($C138,-12)),""),"")</f>
        <v/>
      </c>
    </row>
    <row r="139" spans="2:17" ht="12.75" customHeight="1" x14ac:dyDescent="0.25">
      <c r="B139">
        <f t="shared" si="9"/>
        <v>124</v>
      </c>
      <c r="C139" s="58" t="str">
        <f t="shared" si="14"/>
        <v/>
      </c>
      <c r="D139" s="44">
        <f t="shared" si="10"/>
        <v>0</v>
      </c>
      <c r="E139" s="107">
        <f t="shared" si="11"/>
        <v>0</v>
      </c>
      <c r="F139" s="44">
        <f t="shared" si="12"/>
        <v>0</v>
      </c>
      <c r="G139" s="106">
        <f>ROUND(IFERROR((IF(B139&lt;=$D$8,(E139+IF('New Loan'!$C$3&lt;&gt;"Tax Loan",I138,0))*$D$6*(C139-C138)/365,0)),0),2)</f>
        <v>0</v>
      </c>
      <c r="H139" s="106">
        <f>ROUND(IF(B139&lt;$D$8,MIN(I138,D139-G139),IF(B139=$D$8,$I$15-SUM($H$15:$H138),0)),2)</f>
        <v>0</v>
      </c>
      <c r="I139" s="44">
        <f t="shared" si="15"/>
        <v>0</v>
      </c>
      <c r="J139" s="107"/>
      <c r="L139" s="107">
        <f t="shared" si="8"/>
        <v>0</v>
      </c>
      <c r="M139" s="44"/>
      <c r="N139" s="72">
        <f t="shared" si="13"/>
        <v>0</v>
      </c>
      <c r="O139" s="70"/>
      <c r="P139" s="44" t="str">
        <f>IFERROR(IF(MONTH($C139)=MONTH($J$6),SUMIFS(F$15:F139,$C$15:$C139,"&gt;"&amp;EOMONTH($C139,-12)),""),"")</f>
        <v/>
      </c>
      <c r="Q139" s="44" t="str">
        <f>IFERROR(IF(MONTH($C139)=MONTH($J$6),SUMIFS(G$15:G139,$C$15:$C139,"&gt;"&amp;EOMONTH($C139,-12))+SUMIFS(H$15:H139,$C$15:$C139,"&gt;"&amp;EOMONTH($C139,-12)),""),"")</f>
        <v/>
      </c>
    </row>
    <row r="140" spans="2:17" ht="12.75" customHeight="1" x14ac:dyDescent="0.25">
      <c r="B140">
        <f t="shared" si="9"/>
        <v>125</v>
      </c>
      <c r="C140" s="58" t="str">
        <f t="shared" si="14"/>
        <v/>
      </c>
      <c r="D140" s="44">
        <f t="shared" si="10"/>
        <v>0</v>
      </c>
      <c r="E140" s="107">
        <f t="shared" si="11"/>
        <v>0</v>
      </c>
      <c r="F140" s="44">
        <f t="shared" si="12"/>
        <v>0</v>
      </c>
      <c r="G140" s="106">
        <f>ROUND(IFERROR((IF(B140&lt;=$D$8,(E140+IF('New Loan'!$C$3&lt;&gt;"Tax Loan",I139,0))*$D$6*(C140-C139)/365,0)),0),2)</f>
        <v>0</v>
      </c>
      <c r="H140" s="106">
        <f>ROUND(IF(B140&lt;$D$8,MIN(I139,D140-G140),IF(B140=$D$8,$I$15-SUM($H$15:$H139),0)),2)</f>
        <v>0</v>
      </c>
      <c r="I140" s="44">
        <f t="shared" si="15"/>
        <v>0</v>
      </c>
      <c r="J140" s="107"/>
      <c r="L140" s="107">
        <f t="shared" si="8"/>
        <v>0</v>
      </c>
      <c r="M140" s="44"/>
      <c r="N140" s="72">
        <f t="shared" si="13"/>
        <v>0</v>
      </c>
      <c r="O140" s="70"/>
      <c r="P140" s="44" t="str">
        <f>IFERROR(IF(MONTH($C140)=MONTH($J$6),SUMIFS(F$15:F140,$C$15:$C140,"&gt;"&amp;EOMONTH($C140,-12)),""),"")</f>
        <v/>
      </c>
      <c r="Q140" s="44" t="str">
        <f>IFERROR(IF(MONTH($C140)=MONTH($J$6),SUMIFS(G$15:G140,$C$15:$C140,"&gt;"&amp;EOMONTH($C140,-12))+SUMIFS(H$15:H140,$C$15:$C140,"&gt;"&amp;EOMONTH($C140,-12)),""),"")</f>
        <v/>
      </c>
    </row>
    <row r="141" spans="2:17" ht="12.75" customHeight="1" x14ac:dyDescent="0.25">
      <c r="B141">
        <f t="shared" si="9"/>
        <v>126</v>
      </c>
      <c r="C141" s="58" t="str">
        <f t="shared" si="14"/>
        <v/>
      </c>
      <c r="D141" s="44">
        <f t="shared" si="10"/>
        <v>0</v>
      </c>
      <c r="E141" s="107">
        <f t="shared" si="11"/>
        <v>0</v>
      </c>
      <c r="F141" s="44">
        <f t="shared" si="12"/>
        <v>0</v>
      </c>
      <c r="G141" s="106">
        <f>ROUND(IFERROR((IF(B141&lt;=$D$8,(E141+IF('New Loan'!$C$3&lt;&gt;"Tax Loan",I140,0))*$D$6*(C141-C140)/365,0)),0),2)</f>
        <v>0</v>
      </c>
      <c r="H141" s="106">
        <f>ROUND(IF(B141&lt;$D$8,MIN(I140,D141-G141),IF(B141=$D$8,$I$15-SUM($H$15:$H140),0)),2)</f>
        <v>0</v>
      </c>
      <c r="I141" s="44">
        <f t="shared" si="15"/>
        <v>0</v>
      </c>
      <c r="J141" s="107"/>
      <c r="L141" s="107">
        <f t="shared" si="8"/>
        <v>0</v>
      </c>
      <c r="M141" s="44"/>
      <c r="N141" s="72">
        <f t="shared" si="13"/>
        <v>0</v>
      </c>
      <c r="O141" s="70"/>
      <c r="P141" s="44" t="str">
        <f>IFERROR(IF(MONTH($C141)=MONTH($J$6),SUMIFS(F$15:F141,$C$15:$C141,"&gt;"&amp;EOMONTH($C141,-12)),""),"")</f>
        <v/>
      </c>
      <c r="Q141" s="44" t="str">
        <f>IFERROR(IF(MONTH($C141)=MONTH($J$6),SUMIFS(G$15:G141,$C$15:$C141,"&gt;"&amp;EOMONTH($C141,-12))+SUMIFS(H$15:H141,$C$15:$C141,"&gt;"&amp;EOMONTH($C141,-12)),""),"")</f>
        <v/>
      </c>
    </row>
    <row r="142" spans="2:17" ht="12.75" customHeight="1" x14ac:dyDescent="0.25">
      <c r="B142">
        <f t="shared" si="9"/>
        <v>127</v>
      </c>
      <c r="C142" s="58" t="str">
        <f t="shared" si="14"/>
        <v/>
      </c>
      <c r="D142" s="44">
        <f t="shared" si="10"/>
        <v>0</v>
      </c>
      <c r="E142" s="107">
        <f t="shared" si="11"/>
        <v>0</v>
      </c>
      <c r="F142" s="44">
        <f t="shared" si="12"/>
        <v>0</v>
      </c>
      <c r="G142" s="106">
        <f>ROUND(IFERROR((IF(B142&lt;=$D$8,(E142+IF('New Loan'!$C$3&lt;&gt;"Tax Loan",I141,0))*$D$6*(C142-C141)/365,0)),0),2)</f>
        <v>0</v>
      </c>
      <c r="H142" s="106">
        <f>ROUND(IF(B142&lt;$D$8,MIN(I141,D142-G142),IF(B142=$D$8,$I$15-SUM($H$15:$H141),0)),2)</f>
        <v>0</v>
      </c>
      <c r="I142" s="44">
        <f t="shared" si="15"/>
        <v>0</v>
      </c>
      <c r="J142" s="107"/>
      <c r="L142" s="107">
        <f t="shared" si="8"/>
        <v>0</v>
      </c>
      <c r="M142" s="44"/>
      <c r="N142" s="72">
        <f t="shared" si="13"/>
        <v>0</v>
      </c>
      <c r="O142" s="70"/>
      <c r="P142" s="44" t="str">
        <f>IFERROR(IF(MONTH($C142)=MONTH($J$6),SUMIFS(F$15:F142,$C$15:$C142,"&gt;"&amp;EOMONTH($C142,-12)),""),"")</f>
        <v/>
      </c>
      <c r="Q142" s="44" t="str">
        <f>IFERROR(IF(MONTH($C142)=MONTH($J$6),SUMIFS(G$15:G142,$C$15:$C142,"&gt;"&amp;EOMONTH($C142,-12))+SUMIFS(H$15:H142,$C$15:$C142,"&gt;"&amp;EOMONTH($C142,-12)),""),"")</f>
        <v/>
      </c>
    </row>
    <row r="143" spans="2:17" ht="12.75" customHeight="1" x14ac:dyDescent="0.25">
      <c r="B143">
        <f t="shared" si="9"/>
        <v>128</v>
      </c>
      <c r="C143" s="58" t="str">
        <f t="shared" si="14"/>
        <v/>
      </c>
      <c r="D143" s="44">
        <f t="shared" si="10"/>
        <v>0</v>
      </c>
      <c r="E143" s="107">
        <f t="shared" si="11"/>
        <v>0</v>
      </c>
      <c r="F143" s="44">
        <f t="shared" si="12"/>
        <v>0</v>
      </c>
      <c r="G143" s="106">
        <f>ROUND(IFERROR((IF(B143&lt;=$D$8,(E143+IF('New Loan'!$C$3&lt;&gt;"Tax Loan",I142,0))*$D$6*(C143-C142)/365,0)),0),2)</f>
        <v>0</v>
      </c>
      <c r="H143" s="106">
        <f>ROUND(IF(B143&lt;$D$8,MIN(I142,D143-G143),IF(B143=$D$8,$I$15-SUM($H$15:$H142),0)),2)</f>
        <v>0</v>
      </c>
      <c r="I143" s="44">
        <f t="shared" si="15"/>
        <v>0</v>
      </c>
      <c r="J143" s="107"/>
      <c r="L143" s="107">
        <f t="shared" ref="L143:L195" si="16">E143-F143</f>
        <v>0</v>
      </c>
      <c r="M143" s="44"/>
      <c r="N143" s="72">
        <f t="shared" si="13"/>
        <v>0</v>
      </c>
      <c r="O143" s="70"/>
      <c r="P143" s="44" t="str">
        <f>IFERROR(IF(MONTH($C143)=MONTH($J$6),SUMIFS(F$15:F143,$C$15:$C143,"&gt;"&amp;EOMONTH($C143,-12)),""),"")</f>
        <v/>
      </c>
      <c r="Q143" s="44" t="str">
        <f>IFERROR(IF(MONTH($C143)=MONTH($J$6),SUMIFS(G$15:G143,$C$15:$C143,"&gt;"&amp;EOMONTH($C143,-12))+SUMIFS(H$15:H143,$C$15:$C143,"&gt;"&amp;EOMONTH($C143,-12)),""),"")</f>
        <v/>
      </c>
    </row>
    <row r="144" spans="2:17" ht="12.75" customHeight="1" x14ac:dyDescent="0.25">
      <c r="B144">
        <f t="shared" ref="B144:B195" si="17">B143+1</f>
        <v>129</v>
      </c>
      <c r="C144" s="58" t="str">
        <f t="shared" si="14"/>
        <v/>
      </c>
      <c r="D144" s="44">
        <f t="shared" ref="D144:D194" si="18">IF(B144=$D$8,L143+G144+H144,IF(B144&gt;$D$8,0,ROUNDUP($D$9,2)))</f>
        <v>0</v>
      </c>
      <c r="E144" s="107">
        <f t="shared" ref="E144:E195" si="19">L143</f>
        <v>0</v>
      </c>
      <c r="F144" s="44">
        <f t="shared" ref="F144:F195" si="20">ROUND(IFERROR(MIN(MAX(D144-H144-G144,0),L143),0),2)</f>
        <v>0</v>
      </c>
      <c r="G144" s="106">
        <f>ROUND(IFERROR((IF(B144&lt;=$D$8,(E144+IF('New Loan'!$C$3&lt;&gt;"Tax Loan",I143,0))*$D$6*(C144-C143)/365,0)),0),2)</f>
        <v>0</v>
      </c>
      <c r="H144" s="106">
        <f>ROUND(IF(B144&lt;$D$8,MIN(I143,D144-G144),IF(B144=$D$8,$I$15-SUM($H$15:$H143),0)),2)</f>
        <v>0</v>
      </c>
      <c r="I144" s="44">
        <f t="shared" si="15"/>
        <v>0</v>
      </c>
      <c r="J144" s="107"/>
      <c r="L144" s="107">
        <f t="shared" si="16"/>
        <v>0</v>
      </c>
      <c r="M144" s="44"/>
      <c r="N144" s="72">
        <f t="shared" ref="N144:N195" si="21">F144/$D$5</f>
        <v>0</v>
      </c>
      <c r="O144" s="70"/>
      <c r="P144" s="44" t="str">
        <f>IFERROR(IF(MONTH($C144)=MONTH($J$6),SUMIFS(F$15:F144,$C$15:$C144,"&gt;"&amp;EOMONTH($C144,-12)),""),"")</f>
        <v/>
      </c>
      <c r="Q144" s="44" t="str">
        <f>IFERROR(IF(MONTH($C144)=MONTH($J$6),SUMIFS(G$15:G144,$C$15:$C144,"&gt;"&amp;EOMONTH($C144,-12))+SUMIFS(H$15:H144,$C$15:$C144,"&gt;"&amp;EOMONTH($C144,-12)),""),"")</f>
        <v/>
      </c>
    </row>
    <row r="145" spans="2:17" ht="12.75" customHeight="1" x14ac:dyDescent="0.25">
      <c r="B145">
        <f t="shared" si="17"/>
        <v>130</v>
      </c>
      <c r="C145" s="58" t="str">
        <f t="shared" ref="C145:C194" si="22">IF(L144&lt;=0,"",EDATE($J$8,B145-1))</f>
        <v/>
      </c>
      <c r="D145" s="44">
        <f t="shared" si="18"/>
        <v>0</v>
      </c>
      <c r="E145" s="107">
        <f t="shared" si="19"/>
        <v>0</v>
      </c>
      <c r="F145" s="44">
        <f t="shared" si="20"/>
        <v>0</v>
      </c>
      <c r="G145" s="106">
        <f>ROUND(IFERROR((IF(B145&lt;=$D$8,(E145+IF('New Loan'!$C$3&lt;&gt;"Tax Loan",I144,0))*$D$6*(C145-C144)/365,0)),0),2)</f>
        <v>0</v>
      </c>
      <c r="H145" s="106">
        <f>ROUND(IF(B145&lt;$D$8,MIN(I144,D145-G145),IF(B145=$D$8,$I$15-SUM($H$15:$H144),0)),2)</f>
        <v>0</v>
      </c>
      <c r="I145" s="44">
        <f t="shared" ref="I145:I195" si="23">I144-H145</f>
        <v>0</v>
      </c>
      <c r="J145" s="107"/>
      <c r="L145" s="107">
        <f t="shared" si="16"/>
        <v>0</v>
      </c>
      <c r="M145" s="44"/>
      <c r="N145" s="72">
        <f t="shared" si="21"/>
        <v>0</v>
      </c>
      <c r="O145" s="70"/>
      <c r="P145" s="44" t="str">
        <f>IFERROR(IF(MONTH($C145)=MONTH($J$6),SUMIFS(F$15:F145,$C$15:$C145,"&gt;"&amp;EOMONTH($C145,-12)),""),"")</f>
        <v/>
      </c>
      <c r="Q145" s="44" t="str">
        <f>IFERROR(IF(MONTH($C145)=MONTH($J$6),SUMIFS(G$15:G145,$C$15:$C145,"&gt;"&amp;EOMONTH($C145,-12))+SUMIFS(H$15:H145,$C$15:$C145,"&gt;"&amp;EOMONTH($C145,-12)),""),"")</f>
        <v/>
      </c>
    </row>
    <row r="146" spans="2:17" ht="12.75" customHeight="1" x14ac:dyDescent="0.25">
      <c r="B146">
        <f t="shared" si="17"/>
        <v>131</v>
      </c>
      <c r="C146" s="58" t="str">
        <f t="shared" si="22"/>
        <v/>
      </c>
      <c r="D146" s="44">
        <f t="shared" si="18"/>
        <v>0</v>
      </c>
      <c r="E146" s="107">
        <f t="shared" si="19"/>
        <v>0</v>
      </c>
      <c r="F146" s="44">
        <f t="shared" si="20"/>
        <v>0</v>
      </c>
      <c r="G146" s="106">
        <f>ROUND(IFERROR((IF(B146&lt;=$D$8,(E146+IF('New Loan'!$C$3&lt;&gt;"Tax Loan",I145,0))*$D$6*(C146-C145)/365,0)),0),2)</f>
        <v>0</v>
      </c>
      <c r="H146" s="106">
        <f>ROUND(IF(B146&lt;$D$8,MIN(I145,D146-G146),IF(B146=$D$8,$I$15-SUM($H$15:$H145),0)),2)</f>
        <v>0</v>
      </c>
      <c r="I146" s="44">
        <f t="shared" si="23"/>
        <v>0</v>
      </c>
      <c r="J146" s="107"/>
      <c r="L146" s="107">
        <f t="shared" si="16"/>
        <v>0</v>
      </c>
      <c r="M146" s="44"/>
      <c r="N146" s="72">
        <f t="shared" si="21"/>
        <v>0</v>
      </c>
      <c r="O146" s="70"/>
      <c r="P146" s="44" t="str">
        <f>IFERROR(IF(MONTH($C146)=MONTH($J$6),SUMIFS(F$15:F146,$C$15:$C146,"&gt;"&amp;EOMONTH($C146,-12)),""),"")</f>
        <v/>
      </c>
      <c r="Q146" s="44" t="str">
        <f>IFERROR(IF(MONTH($C146)=MONTH($J$6),SUMIFS(G$15:G146,$C$15:$C146,"&gt;"&amp;EOMONTH($C146,-12))+SUMIFS(H$15:H146,$C$15:$C146,"&gt;"&amp;EOMONTH($C146,-12)),""),"")</f>
        <v/>
      </c>
    </row>
    <row r="147" spans="2:17" ht="12.75" customHeight="1" x14ac:dyDescent="0.25">
      <c r="B147">
        <f t="shared" si="17"/>
        <v>132</v>
      </c>
      <c r="C147" s="58" t="str">
        <f t="shared" si="22"/>
        <v/>
      </c>
      <c r="D147" s="44">
        <f t="shared" si="18"/>
        <v>0</v>
      </c>
      <c r="E147" s="107">
        <f t="shared" si="19"/>
        <v>0</v>
      </c>
      <c r="F147" s="44">
        <f t="shared" si="20"/>
        <v>0</v>
      </c>
      <c r="G147" s="106">
        <f>ROUND(IFERROR((IF(B147&lt;=$D$8,(E147+IF('New Loan'!$C$3&lt;&gt;"Tax Loan",I146,0))*$D$6*(C147-C146)/365,0)),0),2)</f>
        <v>0</v>
      </c>
      <c r="H147" s="106">
        <f>ROUND(IF(B147&lt;$D$8,MIN(I146,D147-G147),IF(B147=$D$8,$I$15-SUM($H$15:$H146),0)),2)</f>
        <v>0</v>
      </c>
      <c r="I147" s="44">
        <f t="shared" si="23"/>
        <v>0</v>
      </c>
      <c r="J147" s="107"/>
      <c r="L147" s="107">
        <f t="shared" si="16"/>
        <v>0</v>
      </c>
      <c r="M147" s="44"/>
      <c r="N147" s="72">
        <f t="shared" si="21"/>
        <v>0</v>
      </c>
      <c r="O147" s="70"/>
      <c r="P147" s="44" t="str">
        <f>IFERROR(IF(MONTH($C147)=MONTH($J$6),SUMIFS(F$15:F147,$C$15:$C147,"&gt;"&amp;EOMONTH($C147,-12)),""),"")</f>
        <v/>
      </c>
      <c r="Q147" s="44" t="str">
        <f>IFERROR(IF(MONTH($C147)=MONTH($J$6),SUMIFS(G$15:G147,$C$15:$C147,"&gt;"&amp;EOMONTH($C147,-12))+SUMIFS(H$15:H147,$C$15:$C147,"&gt;"&amp;EOMONTH($C147,-12)),""),"")</f>
        <v/>
      </c>
    </row>
    <row r="148" spans="2:17" ht="12.75" customHeight="1" x14ac:dyDescent="0.25">
      <c r="B148">
        <f t="shared" si="17"/>
        <v>133</v>
      </c>
      <c r="C148" s="58" t="str">
        <f t="shared" si="22"/>
        <v/>
      </c>
      <c r="D148" s="44">
        <f t="shared" si="18"/>
        <v>0</v>
      </c>
      <c r="E148" s="107">
        <f t="shared" si="19"/>
        <v>0</v>
      </c>
      <c r="F148" s="44">
        <f t="shared" si="20"/>
        <v>0</v>
      </c>
      <c r="G148" s="106">
        <f>ROUND(IFERROR((IF(B148&lt;=$D$8,(E148+IF('New Loan'!$C$3&lt;&gt;"Tax Loan",I147,0))*$D$6*(C148-C147)/365,0)),0),2)</f>
        <v>0</v>
      </c>
      <c r="H148" s="106">
        <f>ROUND(IF(B148&lt;$D$8,MIN(I147,D148-G148),IF(B148=$D$8,$I$15-SUM($H$15:$H147),0)),2)</f>
        <v>0</v>
      </c>
      <c r="I148" s="44">
        <f t="shared" si="23"/>
        <v>0</v>
      </c>
      <c r="J148" s="107"/>
      <c r="L148" s="107">
        <f t="shared" si="16"/>
        <v>0</v>
      </c>
      <c r="M148" s="44"/>
      <c r="N148" s="72">
        <f t="shared" si="21"/>
        <v>0</v>
      </c>
      <c r="O148" s="70"/>
      <c r="P148" s="44" t="str">
        <f>IFERROR(IF(MONTH($C148)=MONTH($J$6),SUMIFS(F$15:F148,$C$15:$C148,"&gt;"&amp;EOMONTH($C148,-12)),""),"")</f>
        <v/>
      </c>
      <c r="Q148" s="44" t="str">
        <f>IFERROR(IF(MONTH($C148)=MONTH($J$6),SUMIFS(G$15:G148,$C$15:$C148,"&gt;"&amp;EOMONTH($C148,-12))+SUMIFS(H$15:H148,$C$15:$C148,"&gt;"&amp;EOMONTH($C148,-12)),""),"")</f>
        <v/>
      </c>
    </row>
    <row r="149" spans="2:17" ht="12.75" customHeight="1" x14ac:dyDescent="0.25">
      <c r="B149">
        <f t="shared" si="17"/>
        <v>134</v>
      </c>
      <c r="C149" s="58" t="str">
        <f t="shared" si="22"/>
        <v/>
      </c>
      <c r="D149" s="44">
        <f t="shared" si="18"/>
        <v>0</v>
      </c>
      <c r="E149" s="107">
        <f t="shared" si="19"/>
        <v>0</v>
      </c>
      <c r="F149" s="44">
        <f t="shared" si="20"/>
        <v>0</v>
      </c>
      <c r="G149" s="106">
        <f>ROUND(IFERROR((IF(B149&lt;=$D$8,(E149+IF('New Loan'!$C$3&lt;&gt;"Tax Loan",I148,0))*$D$6*(C149-C148)/365,0)),0),2)</f>
        <v>0</v>
      </c>
      <c r="H149" s="106">
        <f>ROUND(IF(B149&lt;$D$8,MIN(I148,D149-G149),IF(B149=$D$8,$I$15-SUM($H$15:$H148),0)),2)</f>
        <v>0</v>
      </c>
      <c r="I149" s="44">
        <f t="shared" si="23"/>
        <v>0</v>
      </c>
      <c r="J149" s="107"/>
      <c r="L149" s="107">
        <f t="shared" si="16"/>
        <v>0</v>
      </c>
      <c r="M149" s="44"/>
      <c r="N149" s="72">
        <f t="shared" si="21"/>
        <v>0</v>
      </c>
      <c r="O149" s="70"/>
      <c r="P149" s="44" t="str">
        <f>IFERROR(IF(MONTH($C149)=MONTH($J$6),SUMIFS(F$15:F149,$C$15:$C149,"&gt;"&amp;EOMONTH($C149,-12)),""),"")</f>
        <v/>
      </c>
      <c r="Q149" s="44" t="str">
        <f>IFERROR(IF(MONTH($C149)=MONTH($J$6),SUMIFS(G$15:G149,$C$15:$C149,"&gt;"&amp;EOMONTH($C149,-12))+SUMIFS(H$15:H149,$C$15:$C149,"&gt;"&amp;EOMONTH($C149,-12)),""),"")</f>
        <v/>
      </c>
    </row>
    <row r="150" spans="2:17" ht="12.75" customHeight="1" x14ac:dyDescent="0.25">
      <c r="B150">
        <f t="shared" si="17"/>
        <v>135</v>
      </c>
      <c r="C150" s="58" t="str">
        <f t="shared" si="22"/>
        <v/>
      </c>
      <c r="D150" s="44">
        <f t="shared" si="18"/>
        <v>0</v>
      </c>
      <c r="E150" s="107">
        <f t="shared" si="19"/>
        <v>0</v>
      </c>
      <c r="F150" s="44">
        <f t="shared" si="20"/>
        <v>0</v>
      </c>
      <c r="G150" s="106">
        <f>ROUND(IFERROR((IF(B150&lt;=$D$8,(E150+IF('New Loan'!$C$3&lt;&gt;"Tax Loan",I149,0))*$D$6*(C150-C149)/365,0)),0),2)</f>
        <v>0</v>
      </c>
      <c r="H150" s="106">
        <f>ROUND(IF(B150&lt;$D$8,MIN(I149,D150-G150),IF(B150=$D$8,$I$15-SUM($H$15:$H149),0)),2)</f>
        <v>0</v>
      </c>
      <c r="I150" s="44">
        <f t="shared" si="23"/>
        <v>0</v>
      </c>
      <c r="J150" s="107"/>
      <c r="L150" s="107">
        <f t="shared" si="16"/>
        <v>0</v>
      </c>
      <c r="M150" s="44"/>
      <c r="N150" s="72">
        <f t="shared" si="21"/>
        <v>0</v>
      </c>
      <c r="O150" s="70"/>
      <c r="P150" s="44" t="str">
        <f>IFERROR(IF(MONTH($C150)=MONTH($J$6),SUMIFS(F$15:F150,$C$15:$C150,"&gt;"&amp;EOMONTH($C150,-12)),""),"")</f>
        <v/>
      </c>
      <c r="Q150" s="44" t="str">
        <f>IFERROR(IF(MONTH($C150)=MONTH($J$6),SUMIFS(G$15:G150,$C$15:$C150,"&gt;"&amp;EOMONTH($C150,-12))+SUMIFS(H$15:H150,$C$15:$C150,"&gt;"&amp;EOMONTH($C150,-12)),""),"")</f>
        <v/>
      </c>
    </row>
    <row r="151" spans="2:17" ht="12.75" customHeight="1" x14ac:dyDescent="0.25">
      <c r="B151">
        <f t="shared" si="17"/>
        <v>136</v>
      </c>
      <c r="C151" s="58" t="str">
        <f t="shared" si="22"/>
        <v/>
      </c>
      <c r="D151" s="44">
        <f t="shared" si="18"/>
        <v>0</v>
      </c>
      <c r="E151" s="107">
        <f t="shared" si="19"/>
        <v>0</v>
      </c>
      <c r="F151" s="44">
        <f t="shared" si="20"/>
        <v>0</v>
      </c>
      <c r="G151" s="106">
        <f>ROUND(IFERROR((IF(B151&lt;=$D$8,(E151+IF('New Loan'!$C$3&lt;&gt;"Tax Loan",I150,0))*$D$6*(C151-C150)/365,0)),0),2)</f>
        <v>0</v>
      </c>
      <c r="H151" s="106">
        <f>ROUND(IF(B151&lt;$D$8,MIN(I150,D151-G151),IF(B151=$D$8,$I$15-SUM($H$15:$H150),0)),2)</f>
        <v>0</v>
      </c>
      <c r="I151" s="44">
        <f t="shared" si="23"/>
        <v>0</v>
      </c>
      <c r="J151" s="107"/>
      <c r="L151" s="107">
        <f t="shared" si="16"/>
        <v>0</v>
      </c>
      <c r="M151" s="44"/>
      <c r="N151" s="72">
        <f t="shared" si="21"/>
        <v>0</v>
      </c>
      <c r="O151" s="70"/>
      <c r="P151" s="44" t="str">
        <f>IFERROR(IF(MONTH($C151)=MONTH($J$6),SUMIFS(F$15:F151,$C$15:$C151,"&gt;"&amp;EOMONTH($C151,-12)),""),"")</f>
        <v/>
      </c>
      <c r="Q151" s="44" t="str">
        <f>IFERROR(IF(MONTH($C151)=MONTH($J$6),SUMIFS(G$15:G151,$C$15:$C151,"&gt;"&amp;EOMONTH($C151,-12))+SUMIFS(H$15:H151,$C$15:$C151,"&gt;"&amp;EOMONTH($C151,-12)),""),"")</f>
        <v/>
      </c>
    </row>
    <row r="152" spans="2:17" ht="12.75" customHeight="1" x14ac:dyDescent="0.25">
      <c r="B152">
        <f t="shared" si="17"/>
        <v>137</v>
      </c>
      <c r="C152" s="58" t="str">
        <f t="shared" si="22"/>
        <v/>
      </c>
      <c r="D152" s="44">
        <f t="shared" si="18"/>
        <v>0</v>
      </c>
      <c r="E152" s="107">
        <f t="shared" si="19"/>
        <v>0</v>
      </c>
      <c r="F152" s="44">
        <f t="shared" si="20"/>
        <v>0</v>
      </c>
      <c r="G152" s="106">
        <f>ROUND(IFERROR((IF(B152&lt;=$D$8,(E152+IF('New Loan'!$C$3&lt;&gt;"Tax Loan",I151,0))*$D$6*(C152-C151)/365,0)),0),2)</f>
        <v>0</v>
      </c>
      <c r="H152" s="106">
        <f>ROUND(IF(B152&lt;$D$8,MIN(I151,D152-G152),IF(B152=$D$8,$I$15-SUM($H$15:$H151),0)),2)</f>
        <v>0</v>
      </c>
      <c r="I152" s="44">
        <f t="shared" si="23"/>
        <v>0</v>
      </c>
      <c r="J152" s="107"/>
      <c r="L152" s="107">
        <f t="shared" si="16"/>
        <v>0</v>
      </c>
      <c r="M152" s="44"/>
      <c r="N152" s="72">
        <f t="shared" si="21"/>
        <v>0</v>
      </c>
      <c r="O152" s="70"/>
      <c r="P152" s="44" t="str">
        <f>IFERROR(IF(MONTH($C152)=MONTH($J$6),SUMIFS(F$15:F152,$C$15:$C152,"&gt;"&amp;EOMONTH($C152,-12)),""),"")</f>
        <v/>
      </c>
      <c r="Q152" s="44" t="str">
        <f>IFERROR(IF(MONTH($C152)=MONTH($J$6),SUMIFS(G$15:G152,$C$15:$C152,"&gt;"&amp;EOMONTH($C152,-12))+SUMIFS(H$15:H152,$C$15:$C152,"&gt;"&amp;EOMONTH($C152,-12)),""),"")</f>
        <v/>
      </c>
    </row>
    <row r="153" spans="2:17" ht="12.75" customHeight="1" x14ac:dyDescent="0.25">
      <c r="B153">
        <f t="shared" si="17"/>
        <v>138</v>
      </c>
      <c r="C153" s="58" t="str">
        <f t="shared" si="22"/>
        <v/>
      </c>
      <c r="D153" s="44">
        <f t="shared" si="18"/>
        <v>0</v>
      </c>
      <c r="E153" s="107">
        <f t="shared" si="19"/>
        <v>0</v>
      </c>
      <c r="F153" s="44">
        <f t="shared" si="20"/>
        <v>0</v>
      </c>
      <c r="G153" s="106">
        <f>ROUND(IFERROR((IF(B153&lt;=$D$8,(E153+IF('New Loan'!$C$3&lt;&gt;"Tax Loan",I152,0))*$D$6*(C153-C152)/365,0)),0),2)</f>
        <v>0</v>
      </c>
      <c r="H153" s="106">
        <f>ROUND(IF(B153&lt;$D$8,MIN(I152,D153-G153),IF(B153=$D$8,$I$15-SUM($H$15:$H152),0)),2)</f>
        <v>0</v>
      </c>
      <c r="I153" s="44">
        <f t="shared" si="23"/>
        <v>0</v>
      </c>
      <c r="J153" s="107"/>
      <c r="L153" s="107">
        <f t="shared" si="16"/>
        <v>0</v>
      </c>
      <c r="M153" s="44"/>
      <c r="N153" s="72">
        <f t="shared" si="21"/>
        <v>0</v>
      </c>
      <c r="O153" s="70"/>
      <c r="P153" s="44" t="str">
        <f>IFERROR(IF(MONTH($C153)=MONTH($J$6),SUMIFS(F$15:F153,$C$15:$C153,"&gt;"&amp;EOMONTH($C153,-12)),""),"")</f>
        <v/>
      </c>
      <c r="Q153" s="44" t="str">
        <f>IFERROR(IF(MONTH($C153)=MONTH($J$6),SUMIFS(G$15:G153,$C$15:$C153,"&gt;"&amp;EOMONTH($C153,-12))+SUMIFS(H$15:H153,$C$15:$C153,"&gt;"&amp;EOMONTH($C153,-12)),""),"")</f>
        <v/>
      </c>
    </row>
    <row r="154" spans="2:17" ht="12.75" customHeight="1" x14ac:dyDescent="0.25">
      <c r="B154">
        <f t="shared" si="17"/>
        <v>139</v>
      </c>
      <c r="C154" s="58" t="str">
        <f t="shared" si="22"/>
        <v/>
      </c>
      <c r="D154" s="44">
        <f t="shared" si="18"/>
        <v>0</v>
      </c>
      <c r="E154" s="107">
        <f t="shared" si="19"/>
        <v>0</v>
      </c>
      <c r="F154" s="44">
        <f t="shared" si="20"/>
        <v>0</v>
      </c>
      <c r="G154" s="106">
        <f>ROUND(IFERROR((IF(B154&lt;=$D$8,(E154+IF('New Loan'!$C$3&lt;&gt;"Tax Loan",I153,0))*$D$6*(C154-C153)/365,0)),0),2)</f>
        <v>0</v>
      </c>
      <c r="H154" s="106">
        <f>ROUND(IF(B154&lt;$D$8,MIN(I153,D154-G154),IF(B154=$D$8,$I$15-SUM($H$15:$H153),0)),2)</f>
        <v>0</v>
      </c>
      <c r="I154" s="44">
        <f t="shared" si="23"/>
        <v>0</v>
      </c>
      <c r="J154" s="107"/>
      <c r="L154" s="107">
        <f t="shared" si="16"/>
        <v>0</v>
      </c>
      <c r="M154" s="44"/>
      <c r="N154" s="72">
        <f t="shared" si="21"/>
        <v>0</v>
      </c>
      <c r="O154" s="70"/>
      <c r="P154" s="44" t="str">
        <f>IFERROR(IF(MONTH($C154)=MONTH($J$6),SUMIFS(F$15:F154,$C$15:$C154,"&gt;"&amp;EOMONTH($C154,-12)),""),"")</f>
        <v/>
      </c>
      <c r="Q154" s="44" t="str">
        <f>IFERROR(IF(MONTH($C154)=MONTH($J$6),SUMIFS(G$15:G154,$C$15:$C154,"&gt;"&amp;EOMONTH($C154,-12))+SUMIFS(H$15:H154,$C$15:$C154,"&gt;"&amp;EOMONTH($C154,-12)),""),"")</f>
        <v/>
      </c>
    </row>
    <row r="155" spans="2:17" ht="12.75" customHeight="1" x14ac:dyDescent="0.25">
      <c r="B155">
        <f t="shared" si="17"/>
        <v>140</v>
      </c>
      <c r="C155" s="58" t="str">
        <f t="shared" si="22"/>
        <v/>
      </c>
      <c r="D155" s="44">
        <f t="shared" si="18"/>
        <v>0</v>
      </c>
      <c r="E155" s="107">
        <f t="shared" si="19"/>
        <v>0</v>
      </c>
      <c r="F155" s="44">
        <f t="shared" si="20"/>
        <v>0</v>
      </c>
      <c r="G155" s="106">
        <f>ROUND(IFERROR((IF(B155&lt;=$D$8,(E155+IF('New Loan'!$C$3&lt;&gt;"Tax Loan",I154,0))*$D$6*(C155-C154)/365,0)),0),2)</f>
        <v>0</v>
      </c>
      <c r="H155" s="106">
        <f>ROUND(IF(B155&lt;$D$8,MIN(I154,D155-G155),IF(B155=$D$8,$I$15-SUM($H$15:$H154),0)),2)</f>
        <v>0</v>
      </c>
      <c r="I155" s="44">
        <f t="shared" si="23"/>
        <v>0</v>
      </c>
      <c r="J155" s="107"/>
      <c r="L155" s="107">
        <f t="shared" si="16"/>
        <v>0</v>
      </c>
      <c r="M155" s="44"/>
      <c r="N155" s="72">
        <f t="shared" si="21"/>
        <v>0</v>
      </c>
      <c r="O155" s="70"/>
      <c r="P155" s="44" t="str">
        <f>IFERROR(IF(MONTH($C155)=MONTH($J$6),SUMIFS(F$15:F155,$C$15:$C155,"&gt;"&amp;EOMONTH($C155,-12)),""),"")</f>
        <v/>
      </c>
      <c r="Q155" s="44" t="str">
        <f>IFERROR(IF(MONTH($C155)=MONTH($J$6),SUMIFS(G$15:G155,$C$15:$C155,"&gt;"&amp;EOMONTH($C155,-12))+SUMIFS(H$15:H155,$C$15:$C155,"&gt;"&amp;EOMONTH($C155,-12)),""),"")</f>
        <v/>
      </c>
    </row>
    <row r="156" spans="2:17" ht="12.75" customHeight="1" x14ac:dyDescent="0.25">
      <c r="B156">
        <f t="shared" si="17"/>
        <v>141</v>
      </c>
      <c r="C156" s="58" t="str">
        <f t="shared" si="22"/>
        <v/>
      </c>
      <c r="D156" s="44">
        <f t="shared" si="18"/>
        <v>0</v>
      </c>
      <c r="E156" s="107">
        <f t="shared" si="19"/>
        <v>0</v>
      </c>
      <c r="F156" s="44">
        <f t="shared" si="20"/>
        <v>0</v>
      </c>
      <c r="G156" s="106">
        <f>ROUND(IFERROR((IF(B156&lt;=$D$8,(E156+IF('New Loan'!$C$3&lt;&gt;"Tax Loan",I155,0))*$D$6*(C156-C155)/365,0)),0),2)</f>
        <v>0</v>
      </c>
      <c r="H156" s="106">
        <f>ROUND(IF(B156&lt;$D$8,MIN(I155,D156-G156),IF(B156=$D$8,$I$15-SUM($H$15:$H155),0)),2)</f>
        <v>0</v>
      </c>
      <c r="I156" s="44">
        <f t="shared" si="23"/>
        <v>0</v>
      </c>
      <c r="J156" s="107"/>
      <c r="L156" s="107">
        <f t="shared" si="16"/>
        <v>0</v>
      </c>
      <c r="M156" s="44"/>
      <c r="N156" s="72">
        <f t="shared" si="21"/>
        <v>0</v>
      </c>
      <c r="O156" s="70"/>
      <c r="P156" s="44" t="str">
        <f>IFERROR(IF(MONTH($C156)=MONTH($J$6),SUMIFS(F$15:F156,$C$15:$C156,"&gt;"&amp;EOMONTH($C156,-12)),""),"")</f>
        <v/>
      </c>
      <c r="Q156" s="44" t="str">
        <f>IFERROR(IF(MONTH($C156)=MONTH($J$6),SUMIFS(G$15:G156,$C$15:$C156,"&gt;"&amp;EOMONTH($C156,-12))+SUMIFS(H$15:H156,$C$15:$C156,"&gt;"&amp;EOMONTH($C156,-12)),""),"")</f>
        <v/>
      </c>
    </row>
    <row r="157" spans="2:17" ht="12.75" customHeight="1" x14ac:dyDescent="0.25">
      <c r="B157">
        <f t="shared" si="17"/>
        <v>142</v>
      </c>
      <c r="C157" s="58" t="str">
        <f t="shared" si="22"/>
        <v/>
      </c>
      <c r="D157" s="44">
        <f t="shared" si="18"/>
        <v>0</v>
      </c>
      <c r="E157" s="107">
        <f t="shared" si="19"/>
        <v>0</v>
      </c>
      <c r="F157" s="44">
        <f t="shared" si="20"/>
        <v>0</v>
      </c>
      <c r="G157" s="106">
        <f>ROUND(IFERROR((IF(B157&lt;=$D$8,(E157+IF('New Loan'!$C$3&lt;&gt;"Tax Loan",I156,0))*$D$6*(C157-C156)/365,0)),0),2)</f>
        <v>0</v>
      </c>
      <c r="H157" s="106">
        <f>ROUND(IF(B157&lt;$D$8,MIN(I156,D157-G157),IF(B157=$D$8,$I$15-SUM($H$15:$H156),0)),2)</f>
        <v>0</v>
      </c>
      <c r="I157" s="44">
        <f t="shared" si="23"/>
        <v>0</v>
      </c>
      <c r="J157" s="107"/>
      <c r="L157" s="107">
        <f t="shared" si="16"/>
        <v>0</v>
      </c>
      <c r="M157" s="44"/>
      <c r="N157" s="72">
        <f t="shared" si="21"/>
        <v>0</v>
      </c>
      <c r="O157" s="70"/>
      <c r="P157" s="44" t="str">
        <f>IFERROR(IF(MONTH($C157)=MONTH($J$6),SUMIFS(F$15:F157,$C$15:$C157,"&gt;"&amp;EOMONTH($C157,-12)),""),"")</f>
        <v/>
      </c>
      <c r="Q157" s="44" t="str">
        <f>IFERROR(IF(MONTH($C157)=MONTH($J$6),SUMIFS(G$15:G157,$C$15:$C157,"&gt;"&amp;EOMONTH($C157,-12))+SUMIFS(H$15:H157,$C$15:$C157,"&gt;"&amp;EOMONTH($C157,-12)),""),"")</f>
        <v/>
      </c>
    </row>
    <row r="158" spans="2:17" ht="12.75" customHeight="1" x14ac:dyDescent="0.25">
      <c r="B158">
        <f t="shared" si="17"/>
        <v>143</v>
      </c>
      <c r="C158" s="58" t="str">
        <f t="shared" si="22"/>
        <v/>
      </c>
      <c r="D158" s="44">
        <f t="shared" si="18"/>
        <v>0</v>
      </c>
      <c r="E158" s="107">
        <f t="shared" si="19"/>
        <v>0</v>
      </c>
      <c r="F158" s="44">
        <f t="shared" si="20"/>
        <v>0</v>
      </c>
      <c r="G158" s="106">
        <f>ROUND(IFERROR((IF(B158&lt;=$D$8,(E158+IF('New Loan'!$C$3&lt;&gt;"Tax Loan",I157,0))*$D$6*(C158-C157)/365,0)),0),2)</f>
        <v>0</v>
      </c>
      <c r="H158" s="106">
        <f>ROUND(IF(B158&lt;$D$8,MIN(I157,D158-G158),IF(B158=$D$8,$I$15-SUM($H$15:$H157),0)),2)</f>
        <v>0</v>
      </c>
      <c r="I158" s="44">
        <f t="shared" si="23"/>
        <v>0</v>
      </c>
      <c r="J158" s="107"/>
      <c r="L158" s="107">
        <f t="shared" si="16"/>
        <v>0</v>
      </c>
      <c r="M158" s="44"/>
      <c r="N158" s="72">
        <f t="shared" si="21"/>
        <v>0</v>
      </c>
      <c r="O158" s="70"/>
      <c r="P158" s="44" t="str">
        <f>IFERROR(IF(MONTH($C158)=MONTH($J$6),SUMIFS(F$15:F158,$C$15:$C158,"&gt;"&amp;EOMONTH($C158,-12)),""),"")</f>
        <v/>
      </c>
      <c r="Q158" s="44" t="str">
        <f>IFERROR(IF(MONTH($C158)=MONTH($J$6),SUMIFS(G$15:G158,$C$15:$C158,"&gt;"&amp;EOMONTH($C158,-12))+SUMIFS(H$15:H158,$C$15:$C158,"&gt;"&amp;EOMONTH($C158,-12)),""),"")</f>
        <v/>
      </c>
    </row>
    <row r="159" spans="2:17" ht="12.75" customHeight="1" x14ac:dyDescent="0.25">
      <c r="B159">
        <f t="shared" si="17"/>
        <v>144</v>
      </c>
      <c r="C159" s="58" t="str">
        <f t="shared" si="22"/>
        <v/>
      </c>
      <c r="D159" s="44">
        <f t="shared" si="18"/>
        <v>0</v>
      </c>
      <c r="E159" s="107">
        <f t="shared" si="19"/>
        <v>0</v>
      </c>
      <c r="F159" s="44">
        <f t="shared" si="20"/>
        <v>0</v>
      </c>
      <c r="G159" s="106">
        <f>ROUND(IFERROR((IF(B159&lt;=$D$8,(E159+IF('New Loan'!$C$3&lt;&gt;"Tax Loan",I158,0))*$D$6*(C159-C158)/365,0)),0),2)</f>
        <v>0</v>
      </c>
      <c r="H159" s="106">
        <f>ROUND(IF(B159&lt;$D$8,MIN(I158,D159-G159),IF(B159=$D$8,$I$15-SUM($H$15:$H158),0)),2)</f>
        <v>0</v>
      </c>
      <c r="I159" s="44">
        <f t="shared" si="23"/>
        <v>0</v>
      </c>
      <c r="J159" s="107"/>
      <c r="L159" s="107">
        <f t="shared" si="16"/>
        <v>0</v>
      </c>
      <c r="M159" s="44"/>
      <c r="N159" s="72">
        <f t="shared" si="21"/>
        <v>0</v>
      </c>
      <c r="O159" s="70"/>
      <c r="P159" s="44" t="str">
        <f>IFERROR(IF(MONTH($C159)=MONTH($J$6),SUMIFS(F$15:F159,$C$15:$C159,"&gt;"&amp;EOMONTH($C159,-12)),""),"")</f>
        <v/>
      </c>
      <c r="Q159" s="44" t="str">
        <f>IFERROR(IF(MONTH($C159)=MONTH($J$6),SUMIFS(G$15:G159,$C$15:$C159,"&gt;"&amp;EOMONTH($C159,-12))+SUMIFS(H$15:H159,$C$15:$C159,"&gt;"&amp;EOMONTH($C159,-12)),""),"")</f>
        <v/>
      </c>
    </row>
    <row r="160" spans="2:17" ht="12.75" customHeight="1" x14ac:dyDescent="0.25">
      <c r="B160">
        <f t="shared" si="17"/>
        <v>145</v>
      </c>
      <c r="C160" s="58" t="str">
        <f t="shared" si="22"/>
        <v/>
      </c>
      <c r="D160" s="44">
        <f t="shared" si="18"/>
        <v>0</v>
      </c>
      <c r="E160" s="107">
        <f t="shared" si="19"/>
        <v>0</v>
      </c>
      <c r="F160" s="44">
        <f t="shared" si="20"/>
        <v>0</v>
      </c>
      <c r="G160" s="106">
        <f>ROUND(IFERROR((IF(B160&lt;=$D$8,(E160+IF('New Loan'!$C$3&lt;&gt;"Tax Loan",I159,0))*$D$6*(C160-C159)/365,0)),0),2)</f>
        <v>0</v>
      </c>
      <c r="H160" s="106">
        <f>ROUND(IF(B160&lt;$D$8,MIN(I159,D160-G160),IF(B160=$D$8,$I$15-SUM($H$15:$H159),0)),2)</f>
        <v>0</v>
      </c>
      <c r="I160" s="44">
        <f t="shared" si="23"/>
        <v>0</v>
      </c>
      <c r="J160" s="107"/>
      <c r="L160" s="107">
        <f t="shared" si="16"/>
        <v>0</v>
      </c>
      <c r="M160" s="44"/>
      <c r="N160" s="72">
        <f t="shared" si="21"/>
        <v>0</v>
      </c>
      <c r="O160" s="70"/>
      <c r="P160" s="44" t="str">
        <f>IFERROR(IF(MONTH($C160)=MONTH($J$6),SUMIFS(F$15:F160,$C$15:$C160,"&gt;"&amp;EOMONTH($C160,-12)),""),"")</f>
        <v/>
      </c>
      <c r="Q160" s="44" t="str">
        <f>IFERROR(IF(MONTH($C160)=MONTH($J$6),SUMIFS(G$15:G160,$C$15:$C160,"&gt;"&amp;EOMONTH($C160,-12))+SUMIFS(H$15:H160,$C$15:$C160,"&gt;"&amp;EOMONTH($C160,-12)),""),"")</f>
        <v/>
      </c>
    </row>
    <row r="161" spans="2:17" ht="12.75" customHeight="1" x14ac:dyDescent="0.25">
      <c r="B161">
        <f t="shared" si="17"/>
        <v>146</v>
      </c>
      <c r="C161" s="58" t="str">
        <f t="shared" si="22"/>
        <v/>
      </c>
      <c r="D161" s="44">
        <f t="shared" si="18"/>
        <v>0</v>
      </c>
      <c r="E161" s="107">
        <f t="shared" si="19"/>
        <v>0</v>
      </c>
      <c r="F161" s="44">
        <f t="shared" si="20"/>
        <v>0</v>
      </c>
      <c r="G161" s="106">
        <f>ROUND(IFERROR((IF(B161&lt;=$D$8,(E161+IF('New Loan'!$C$3&lt;&gt;"Tax Loan",I160,0))*$D$6*(C161-C160)/365,0)),0),2)</f>
        <v>0</v>
      </c>
      <c r="H161" s="106">
        <f>ROUND(IF(B161&lt;$D$8,MIN(I160,D161-G161),IF(B161=$D$8,$I$15-SUM($H$15:$H160),0)),2)</f>
        <v>0</v>
      </c>
      <c r="I161" s="44">
        <f t="shared" si="23"/>
        <v>0</v>
      </c>
      <c r="J161" s="107"/>
      <c r="L161" s="107">
        <f t="shared" si="16"/>
        <v>0</v>
      </c>
      <c r="M161" s="44"/>
      <c r="N161" s="72">
        <f t="shared" si="21"/>
        <v>0</v>
      </c>
      <c r="O161" s="70"/>
      <c r="P161" s="44" t="str">
        <f>IFERROR(IF(MONTH($C161)=MONTH($J$6),SUMIFS(F$15:F161,$C$15:$C161,"&gt;"&amp;EOMONTH($C161,-12)),""),"")</f>
        <v/>
      </c>
      <c r="Q161" s="44" t="str">
        <f>IFERROR(IF(MONTH($C161)=MONTH($J$6),SUMIFS(G$15:G161,$C$15:$C161,"&gt;"&amp;EOMONTH($C161,-12))+SUMIFS(H$15:H161,$C$15:$C161,"&gt;"&amp;EOMONTH($C161,-12)),""),"")</f>
        <v/>
      </c>
    </row>
    <row r="162" spans="2:17" ht="12.75" customHeight="1" x14ac:dyDescent="0.25">
      <c r="B162">
        <f t="shared" si="17"/>
        <v>147</v>
      </c>
      <c r="C162" s="58" t="str">
        <f t="shared" si="22"/>
        <v/>
      </c>
      <c r="D162" s="44">
        <f t="shared" si="18"/>
        <v>0</v>
      </c>
      <c r="E162" s="107">
        <f t="shared" si="19"/>
        <v>0</v>
      </c>
      <c r="F162" s="44">
        <f t="shared" si="20"/>
        <v>0</v>
      </c>
      <c r="G162" s="106">
        <f>ROUND(IFERROR((IF(B162&lt;=$D$8,(E162+IF('New Loan'!$C$3&lt;&gt;"Tax Loan",I161,0))*$D$6*(C162-C161)/365,0)),0),2)</f>
        <v>0</v>
      </c>
      <c r="H162" s="106">
        <f>ROUND(IF(B162&lt;$D$8,MIN(I161,D162-G162),IF(B162=$D$8,$I$15-SUM($H$15:$H161),0)),2)</f>
        <v>0</v>
      </c>
      <c r="I162" s="44">
        <f t="shared" si="23"/>
        <v>0</v>
      </c>
      <c r="J162" s="107"/>
      <c r="L162" s="107">
        <f t="shared" si="16"/>
        <v>0</v>
      </c>
      <c r="M162" s="44"/>
      <c r="N162" s="72">
        <f t="shared" si="21"/>
        <v>0</v>
      </c>
      <c r="O162" s="70"/>
      <c r="P162" s="44" t="str">
        <f>IFERROR(IF(MONTH($C162)=MONTH($J$6),SUMIFS(F$15:F162,$C$15:$C162,"&gt;"&amp;EOMONTH($C162,-12)),""),"")</f>
        <v/>
      </c>
      <c r="Q162" s="44" t="str">
        <f>IFERROR(IF(MONTH($C162)=MONTH($J$6),SUMIFS(G$15:G162,$C$15:$C162,"&gt;"&amp;EOMONTH($C162,-12))+SUMIFS(H$15:H162,$C$15:$C162,"&gt;"&amp;EOMONTH($C162,-12)),""),"")</f>
        <v/>
      </c>
    </row>
    <row r="163" spans="2:17" ht="12.75" customHeight="1" x14ac:dyDescent="0.25">
      <c r="B163">
        <f t="shared" si="17"/>
        <v>148</v>
      </c>
      <c r="C163" s="58" t="str">
        <f t="shared" si="22"/>
        <v/>
      </c>
      <c r="D163" s="44">
        <f t="shared" si="18"/>
        <v>0</v>
      </c>
      <c r="E163" s="107">
        <f t="shared" si="19"/>
        <v>0</v>
      </c>
      <c r="F163" s="44">
        <f t="shared" si="20"/>
        <v>0</v>
      </c>
      <c r="G163" s="106">
        <f>ROUND(IFERROR((IF(B163&lt;=$D$8,(E163+IF('New Loan'!$C$3&lt;&gt;"Tax Loan",I162,0))*$D$6*(C163-C162)/365,0)),0),2)</f>
        <v>0</v>
      </c>
      <c r="H163" s="106">
        <f>ROUND(IF(B163&lt;$D$8,MIN(I162,D163-G163),IF(B163=$D$8,$I$15-SUM($H$15:$H162),0)),2)</f>
        <v>0</v>
      </c>
      <c r="I163" s="44">
        <f t="shared" si="23"/>
        <v>0</v>
      </c>
      <c r="J163" s="107"/>
      <c r="L163" s="107">
        <f t="shared" si="16"/>
        <v>0</v>
      </c>
      <c r="M163" s="44"/>
      <c r="N163" s="72">
        <f t="shared" si="21"/>
        <v>0</v>
      </c>
      <c r="O163" s="70"/>
      <c r="P163" s="44" t="str">
        <f>IFERROR(IF(MONTH($C163)=MONTH($J$6),SUMIFS(F$15:F163,$C$15:$C163,"&gt;"&amp;EOMONTH($C163,-12)),""),"")</f>
        <v/>
      </c>
      <c r="Q163" s="44" t="str">
        <f>IFERROR(IF(MONTH($C163)=MONTH($J$6),SUMIFS(G$15:G163,$C$15:$C163,"&gt;"&amp;EOMONTH($C163,-12))+SUMIFS(H$15:H163,$C$15:$C163,"&gt;"&amp;EOMONTH($C163,-12)),""),"")</f>
        <v/>
      </c>
    </row>
    <row r="164" spans="2:17" ht="12.75" customHeight="1" x14ac:dyDescent="0.25">
      <c r="B164">
        <f t="shared" si="17"/>
        <v>149</v>
      </c>
      <c r="C164" s="58" t="str">
        <f t="shared" si="22"/>
        <v/>
      </c>
      <c r="D164" s="44">
        <f t="shared" si="18"/>
        <v>0</v>
      </c>
      <c r="E164" s="107">
        <f t="shared" si="19"/>
        <v>0</v>
      </c>
      <c r="F164" s="44">
        <f t="shared" si="20"/>
        <v>0</v>
      </c>
      <c r="G164" s="106">
        <f>ROUND(IFERROR((IF(B164&lt;=$D$8,(E164+IF('New Loan'!$C$3&lt;&gt;"Tax Loan",I163,0))*$D$6*(C164-C163)/365,0)),0),2)</f>
        <v>0</v>
      </c>
      <c r="H164" s="106">
        <f>ROUND(IF(B164&lt;$D$8,MIN(I163,D164-G164),IF(B164=$D$8,$I$15-SUM($H$15:$H163),0)),2)</f>
        <v>0</v>
      </c>
      <c r="I164" s="44">
        <f t="shared" si="23"/>
        <v>0</v>
      </c>
      <c r="J164" s="107"/>
      <c r="L164" s="107">
        <f t="shared" si="16"/>
        <v>0</v>
      </c>
      <c r="M164" s="44"/>
      <c r="N164" s="72">
        <f t="shared" si="21"/>
        <v>0</v>
      </c>
      <c r="O164" s="70"/>
      <c r="P164" s="44" t="str">
        <f>IFERROR(IF(MONTH($C164)=MONTH($J$6),SUMIFS(F$15:F164,$C$15:$C164,"&gt;"&amp;EOMONTH($C164,-12)),""),"")</f>
        <v/>
      </c>
      <c r="Q164" s="44" t="str">
        <f>IFERROR(IF(MONTH($C164)=MONTH($J$6),SUMIFS(G$15:G164,$C$15:$C164,"&gt;"&amp;EOMONTH($C164,-12))+SUMIFS(H$15:H164,$C$15:$C164,"&gt;"&amp;EOMONTH($C164,-12)),""),"")</f>
        <v/>
      </c>
    </row>
    <row r="165" spans="2:17" ht="12.75" customHeight="1" x14ac:dyDescent="0.25">
      <c r="B165">
        <f t="shared" si="17"/>
        <v>150</v>
      </c>
      <c r="C165" s="58" t="str">
        <f t="shared" si="22"/>
        <v/>
      </c>
      <c r="D165" s="44">
        <f t="shared" si="18"/>
        <v>0</v>
      </c>
      <c r="E165" s="107">
        <f t="shared" si="19"/>
        <v>0</v>
      </c>
      <c r="F165" s="44">
        <f t="shared" si="20"/>
        <v>0</v>
      </c>
      <c r="G165" s="106">
        <f>ROUND(IFERROR((IF(B165&lt;=$D$8,(E165+IF('New Loan'!$C$3&lt;&gt;"Tax Loan",I164,0))*$D$6*(C165-C164)/365,0)),0),2)</f>
        <v>0</v>
      </c>
      <c r="H165" s="106">
        <f>ROUND(IF(B165&lt;$D$8,MIN(I164,D165-G165),IF(B165=$D$8,$I$15-SUM($H$15:$H164),0)),2)</f>
        <v>0</v>
      </c>
      <c r="I165" s="44">
        <f t="shared" si="23"/>
        <v>0</v>
      </c>
      <c r="J165" s="107"/>
      <c r="L165" s="107">
        <f t="shared" si="16"/>
        <v>0</v>
      </c>
      <c r="M165" s="44"/>
      <c r="N165" s="72">
        <f t="shared" si="21"/>
        <v>0</v>
      </c>
      <c r="O165" s="70"/>
      <c r="P165" s="44" t="str">
        <f>IFERROR(IF(MONTH($C165)=MONTH($J$6),SUMIFS(F$15:F165,$C$15:$C165,"&gt;"&amp;EOMONTH($C165,-12)),""),"")</f>
        <v/>
      </c>
      <c r="Q165" s="44" t="str">
        <f>IFERROR(IF(MONTH($C165)=MONTH($J$6),SUMIFS(G$15:G165,$C$15:$C165,"&gt;"&amp;EOMONTH($C165,-12))+SUMIFS(H$15:H165,$C$15:$C165,"&gt;"&amp;EOMONTH($C165,-12)),""),"")</f>
        <v/>
      </c>
    </row>
    <row r="166" spans="2:17" ht="12.75" customHeight="1" x14ac:dyDescent="0.25">
      <c r="B166">
        <f t="shared" si="17"/>
        <v>151</v>
      </c>
      <c r="C166" s="58" t="str">
        <f t="shared" si="22"/>
        <v/>
      </c>
      <c r="D166" s="44">
        <f t="shared" si="18"/>
        <v>0</v>
      </c>
      <c r="E166" s="107">
        <f t="shared" si="19"/>
        <v>0</v>
      </c>
      <c r="F166" s="44">
        <f t="shared" si="20"/>
        <v>0</v>
      </c>
      <c r="G166" s="106">
        <f>ROUND(IFERROR((IF(B166&lt;=$D$8,(E166+IF('New Loan'!$C$3&lt;&gt;"Tax Loan",I165,0))*$D$6*(C166-C165)/365,0)),0),2)</f>
        <v>0</v>
      </c>
      <c r="H166" s="106">
        <f>ROUND(IF(B166&lt;$D$8,MIN(I165,D166-G166),IF(B166=$D$8,$I$15-SUM($H$15:$H165),0)),2)</f>
        <v>0</v>
      </c>
      <c r="I166" s="44">
        <f t="shared" si="23"/>
        <v>0</v>
      </c>
      <c r="J166" s="107"/>
      <c r="L166" s="107">
        <f t="shared" si="16"/>
        <v>0</v>
      </c>
      <c r="M166" s="44"/>
      <c r="N166" s="72">
        <f t="shared" si="21"/>
        <v>0</v>
      </c>
      <c r="O166" s="70"/>
      <c r="P166" s="44" t="str">
        <f>IFERROR(IF(MONTH($C166)=MONTH($J$6),SUMIFS(F$15:F166,$C$15:$C166,"&gt;"&amp;EOMONTH($C166,-12)),""),"")</f>
        <v/>
      </c>
      <c r="Q166" s="44" t="str">
        <f>IFERROR(IF(MONTH($C166)=MONTH($J$6),SUMIFS(G$15:G166,$C$15:$C166,"&gt;"&amp;EOMONTH($C166,-12))+SUMIFS(H$15:H166,$C$15:$C166,"&gt;"&amp;EOMONTH($C166,-12)),""),"")</f>
        <v/>
      </c>
    </row>
    <row r="167" spans="2:17" ht="12.75" customHeight="1" x14ac:dyDescent="0.25">
      <c r="B167">
        <f t="shared" si="17"/>
        <v>152</v>
      </c>
      <c r="C167" s="58" t="str">
        <f t="shared" si="22"/>
        <v/>
      </c>
      <c r="D167" s="44">
        <f t="shared" si="18"/>
        <v>0</v>
      </c>
      <c r="E167" s="107">
        <f t="shared" si="19"/>
        <v>0</v>
      </c>
      <c r="F167" s="44">
        <f t="shared" si="20"/>
        <v>0</v>
      </c>
      <c r="G167" s="106">
        <f>ROUND(IFERROR((IF(B167&lt;=$D$8,(E167+IF('New Loan'!$C$3&lt;&gt;"Tax Loan",I166,0))*$D$6*(C167-C166)/365,0)),0),2)</f>
        <v>0</v>
      </c>
      <c r="H167" s="106">
        <f>ROUND(IF(B167&lt;$D$8,MIN(I166,D167-G167),IF(B167=$D$8,$I$15-SUM($H$15:$H166),0)),2)</f>
        <v>0</v>
      </c>
      <c r="I167" s="44">
        <f t="shared" si="23"/>
        <v>0</v>
      </c>
      <c r="J167" s="107"/>
      <c r="L167" s="107">
        <f t="shared" si="16"/>
        <v>0</v>
      </c>
      <c r="M167" s="44"/>
      <c r="N167" s="72">
        <f t="shared" si="21"/>
        <v>0</v>
      </c>
      <c r="O167" s="70"/>
      <c r="P167" s="44" t="str">
        <f>IFERROR(IF(MONTH($C167)=MONTH($J$6),SUMIFS(F$15:F167,$C$15:$C167,"&gt;"&amp;EOMONTH($C167,-12)),""),"")</f>
        <v/>
      </c>
      <c r="Q167" s="44" t="str">
        <f>IFERROR(IF(MONTH($C167)=MONTH($J$6),SUMIFS(G$15:G167,$C$15:$C167,"&gt;"&amp;EOMONTH($C167,-12))+SUMIFS(H$15:H167,$C$15:$C167,"&gt;"&amp;EOMONTH($C167,-12)),""),"")</f>
        <v/>
      </c>
    </row>
    <row r="168" spans="2:17" ht="12.75" customHeight="1" x14ac:dyDescent="0.25">
      <c r="B168">
        <f t="shared" si="17"/>
        <v>153</v>
      </c>
      <c r="C168" s="58" t="str">
        <f t="shared" si="22"/>
        <v/>
      </c>
      <c r="D168" s="44">
        <f t="shared" si="18"/>
        <v>0</v>
      </c>
      <c r="E168" s="107">
        <f t="shared" si="19"/>
        <v>0</v>
      </c>
      <c r="F168" s="44">
        <f t="shared" si="20"/>
        <v>0</v>
      </c>
      <c r="G168" s="106">
        <f>ROUND(IFERROR((IF(B168&lt;=$D$8,(E168+IF('New Loan'!$C$3&lt;&gt;"Tax Loan",I167,0))*$D$6*(C168-C167)/365,0)),0),2)</f>
        <v>0</v>
      </c>
      <c r="H168" s="106">
        <f>ROUND(IF(B168&lt;$D$8,MIN(I167,D168-G168),IF(B168=$D$8,$I$15-SUM($H$15:$H167),0)),2)</f>
        <v>0</v>
      </c>
      <c r="I168" s="44">
        <f t="shared" si="23"/>
        <v>0</v>
      </c>
      <c r="J168" s="107"/>
      <c r="L168" s="107">
        <f t="shared" si="16"/>
        <v>0</v>
      </c>
      <c r="M168" s="44"/>
      <c r="N168" s="72">
        <f t="shared" si="21"/>
        <v>0</v>
      </c>
      <c r="O168" s="70"/>
      <c r="P168" s="44" t="str">
        <f>IFERROR(IF(MONTH($C168)=MONTH($J$6),SUMIFS(F$15:F168,$C$15:$C168,"&gt;"&amp;EOMONTH($C168,-12)),""),"")</f>
        <v/>
      </c>
      <c r="Q168" s="44" t="str">
        <f>IFERROR(IF(MONTH($C168)=MONTH($J$6),SUMIFS(G$15:G168,$C$15:$C168,"&gt;"&amp;EOMONTH($C168,-12))+SUMIFS(H$15:H168,$C$15:$C168,"&gt;"&amp;EOMONTH($C168,-12)),""),"")</f>
        <v/>
      </c>
    </row>
    <row r="169" spans="2:17" ht="12.75" customHeight="1" x14ac:dyDescent="0.25">
      <c r="B169">
        <f t="shared" si="17"/>
        <v>154</v>
      </c>
      <c r="C169" s="58" t="str">
        <f t="shared" si="22"/>
        <v/>
      </c>
      <c r="D169" s="44">
        <f t="shared" si="18"/>
        <v>0</v>
      </c>
      <c r="E169" s="107">
        <f t="shared" si="19"/>
        <v>0</v>
      </c>
      <c r="F169" s="44">
        <f t="shared" si="20"/>
        <v>0</v>
      </c>
      <c r="G169" s="106">
        <f>ROUND(IFERROR((IF(B169&lt;=$D$8,(E169+IF('New Loan'!$C$3&lt;&gt;"Tax Loan",I168,0))*$D$6*(C169-C168)/365,0)),0),2)</f>
        <v>0</v>
      </c>
      <c r="H169" s="106">
        <f>ROUND(IF(B169&lt;$D$8,MIN(I168,D169-G169),IF(B169=$D$8,$I$15-SUM($H$15:$H168),0)),2)</f>
        <v>0</v>
      </c>
      <c r="I169" s="44">
        <f t="shared" si="23"/>
        <v>0</v>
      </c>
      <c r="J169" s="107"/>
      <c r="L169" s="107">
        <f t="shared" si="16"/>
        <v>0</v>
      </c>
      <c r="M169" s="44"/>
      <c r="N169" s="72">
        <f t="shared" si="21"/>
        <v>0</v>
      </c>
      <c r="O169" s="70"/>
      <c r="P169" s="44" t="str">
        <f>IFERROR(IF(MONTH($C169)=MONTH($J$6),SUMIFS(F$15:F169,$C$15:$C169,"&gt;"&amp;EOMONTH($C169,-12)),""),"")</f>
        <v/>
      </c>
      <c r="Q169" s="44" t="str">
        <f>IFERROR(IF(MONTH($C169)=MONTH($J$6),SUMIFS(G$15:G169,$C$15:$C169,"&gt;"&amp;EOMONTH($C169,-12))+SUMIFS(H$15:H169,$C$15:$C169,"&gt;"&amp;EOMONTH($C169,-12)),""),"")</f>
        <v/>
      </c>
    </row>
    <row r="170" spans="2:17" ht="12.75" customHeight="1" x14ac:dyDescent="0.25">
      <c r="B170">
        <f t="shared" si="17"/>
        <v>155</v>
      </c>
      <c r="C170" s="58" t="str">
        <f t="shared" si="22"/>
        <v/>
      </c>
      <c r="D170" s="44">
        <f t="shared" si="18"/>
        <v>0</v>
      </c>
      <c r="E170" s="107">
        <f t="shared" si="19"/>
        <v>0</v>
      </c>
      <c r="F170" s="44">
        <f t="shared" si="20"/>
        <v>0</v>
      </c>
      <c r="G170" s="106">
        <f>ROUND(IFERROR((IF(B170&lt;=$D$8,(E170+IF('New Loan'!$C$3&lt;&gt;"Tax Loan",I169,0))*$D$6*(C170-C169)/365,0)),0),2)</f>
        <v>0</v>
      </c>
      <c r="H170" s="106">
        <f>ROUND(IF(B170&lt;$D$8,MIN(I169,D170-G170),IF(B170=$D$8,$I$15-SUM($H$15:$H169),0)),2)</f>
        <v>0</v>
      </c>
      <c r="I170" s="44">
        <f t="shared" si="23"/>
        <v>0</v>
      </c>
      <c r="J170" s="107"/>
      <c r="L170" s="107">
        <f t="shared" si="16"/>
        <v>0</v>
      </c>
      <c r="M170" s="44"/>
      <c r="N170" s="72">
        <f t="shared" si="21"/>
        <v>0</v>
      </c>
      <c r="O170" s="70"/>
      <c r="P170" s="44" t="str">
        <f>IFERROR(IF(MONTH($C170)=MONTH($J$6),SUMIFS(F$15:F170,$C$15:$C170,"&gt;"&amp;EOMONTH($C170,-12)),""),"")</f>
        <v/>
      </c>
      <c r="Q170" s="44" t="str">
        <f>IFERROR(IF(MONTH($C170)=MONTH($J$6),SUMIFS(G$15:G170,$C$15:$C170,"&gt;"&amp;EOMONTH($C170,-12))+SUMIFS(H$15:H170,$C$15:$C170,"&gt;"&amp;EOMONTH($C170,-12)),""),"")</f>
        <v/>
      </c>
    </row>
    <row r="171" spans="2:17" ht="12.75" customHeight="1" x14ac:dyDescent="0.25">
      <c r="B171">
        <f t="shared" si="17"/>
        <v>156</v>
      </c>
      <c r="C171" s="58" t="str">
        <f t="shared" si="22"/>
        <v/>
      </c>
      <c r="D171" s="44">
        <f t="shared" si="18"/>
        <v>0</v>
      </c>
      <c r="E171" s="107">
        <f t="shared" si="19"/>
        <v>0</v>
      </c>
      <c r="F171" s="44">
        <f t="shared" si="20"/>
        <v>0</v>
      </c>
      <c r="G171" s="106">
        <f>ROUND(IFERROR((IF(B171&lt;=$D$8,(E171+IF('New Loan'!$C$3&lt;&gt;"Tax Loan",I170,0))*$D$6*(C171-C170)/365,0)),0),2)</f>
        <v>0</v>
      </c>
      <c r="H171" s="106">
        <f>ROUND(IF(B171&lt;$D$8,MIN(I170,D171-G171),IF(B171=$D$8,$I$15-SUM($H$15:$H170),0)),2)</f>
        <v>0</v>
      </c>
      <c r="I171" s="44">
        <f t="shared" si="23"/>
        <v>0</v>
      </c>
      <c r="J171" s="107"/>
      <c r="L171" s="107">
        <f t="shared" si="16"/>
        <v>0</v>
      </c>
      <c r="M171" s="44"/>
      <c r="N171" s="72">
        <f t="shared" si="21"/>
        <v>0</v>
      </c>
      <c r="O171" s="70"/>
      <c r="P171" s="44" t="str">
        <f>IFERROR(IF(MONTH($C171)=MONTH($J$6),SUMIFS(F$15:F171,$C$15:$C171,"&gt;"&amp;EOMONTH($C171,-12)),""),"")</f>
        <v/>
      </c>
      <c r="Q171" s="44" t="str">
        <f>IFERROR(IF(MONTH($C171)=MONTH($J$6),SUMIFS(G$15:G171,$C$15:$C171,"&gt;"&amp;EOMONTH($C171,-12))+SUMIFS(H$15:H171,$C$15:$C171,"&gt;"&amp;EOMONTH($C171,-12)),""),"")</f>
        <v/>
      </c>
    </row>
    <row r="172" spans="2:17" ht="12.75" customHeight="1" x14ac:dyDescent="0.25">
      <c r="B172">
        <f t="shared" si="17"/>
        <v>157</v>
      </c>
      <c r="C172" s="58" t="str">
        <f t="shared" si="22"/>
        <v/>
      </c>
      <c r="D172" s="44">
        <f t="shared" si="18"/>
        <v>0</v>
      </c>
      <c r="E172" s="107">
        <f t="shared" si="19"/>
        <v>0</v>
      </c>
      <c r="F172" s="44">
        <f t="shared" si="20"/>
        <v>0</v>
      </c>
      <c r="G172" s="106">
        <f>ROUND(IFERROR((IF(B172&lt;=$D$8,(E172+IF('New Loan'!$C$3&lt;&gt;"Tax Loan",I171,0))*$D$6*(C172-C171)/365,0)),0),2)</f>
        <v>0</v>
      </c>
      <c r="H172" s="106">
        <f>ROUND(IF(B172&lt;$D$8,MIN(I171,D172-G172),IF(B172=$D$8,$I$15-SUM($H$15:$H171),0)),2)</f>
        <v>0</v>
      </c>
      <c r="I172" s="44">
        <f t="shared" si="23"/>
        <v>0</v>
      </c>
      <c r="J172" s="107"/>
      <c r="L172" s="107">
        <f t="shared" si="16"/>
        <v>0</v>
      </c>
      <c r="M172" s="44"/>
      <c r="N172" s="72">
        <f t="shared" si="21"/>
        <v>0</v>
      </c>
      <c r="O172" s="70"/>
      <c r="P172" s="44" t="str">
        <f>IFERROR(IF(MONTH($C172)=MONTH($J$6),SUMIFS(F$15:F172,$C$15:$C172,"&gt;"&amp;EOMONTH($C172,-12)),""),"")</f>
        <v/>
      </c>
      <c r="Q172" s="44" t="str">
        <f>IFERROR(IF(MONTH($C172)=MONTH($J$6),SUMIFS(G$15:G172,$C$15:$C172,"&gt;"&amp;EOMONTH($C172,-12))+SUMIFS(H$15:H172,$C$15:$C172,"&gt;"&amp;EOMONTH($C172,-12)),""),"")</f>
        <v/>
      </c>
    </row>
    <row r="173" spans="2:17" ht="12.75" customHeight="1" x14ac:dyDescent="0.25">
      <c r="B173">
        <f t="shared" si="17"/>
        <v>158</v>
      </c>
      <c r="C173" s="58" t="str">
        <f t="shared" si="22"/>
        <v/>
      </c>
      <c r="D173" s="44">
        <f t="shared" si="18"/>
        <v>0</v>
      </c>
      <c r="E173" s="107">
        <f t="shared" si="19"/>
        <v>0</v>
      </c>
      <c r="F173" s="44">
        <f t="shared" si="20"/>
        <v>0</v>
      </c>
      <c r="G173" s="106">
        <f>ROUND(IFERROR((IF(B173&lt;=$D$8,(E173+IF('New Loan'!$C$3&lt;&gt;"Tax Loan",I172,0))*$D$6*(C173-C172)/365,0)),0),2)</f>
        <v>0</v>
      </c>
      <c r="H173" s="106">
        <f>ROUND(IF(B173&lt;$D$8,MIN(I172,D173-G173),IF(B173=$D$8,$I$15-SUM($H$15:$H172),0)),2)</f>
        <v>0</v>
      </c>
      <c r="I173" s="44">
        <f t="shared" si="23"/>
        <v>0</v>
      </c>
      <c r="J173" s="107"/>
      <c r="L173" s="107">
        <f t="shared" si="16"/>
        <v>0</v>
      </c>
      <c r="M173" s="44"/>
      <c r="N173" s="72">
        <f t="shared" si="21"/>
        <v>0</v>
      </c>
      <c r="O173" s="70"/>
      <c r="P173" s="44" t="str">
        <f>IFERROR(IF(MONTH($C173)=MONTH($J$6),SUMIFS(F$15:F173,$C$15:$C173,"&gt;"&amp;EOMONTH($C173,-12)),""),"")</f>
        <v/>
      </c>
      <c r="Q173" s="44" t="str">
        <f>IFERROR(IF(MONTH($C173)=MONTH($J$6),SUMIFS(G$15:G173,$C$15:$C173,"&gt;"&amp;EOMONTH($C173,-12))+SUMIFS(H$15:H173,$C$15:$C173,"&gt;"&amp;EOMONTH($C173,-12)),""),"")</f>
        <v/>
      </c>
    </row>
    <row r="174" spans="2:17" ht="12.75" customHeight="1" x14ac:dyDescent="0.25">
      <c r="B174">
        <f t="shared" si="17"/>
        <v>159</v>
      </c>
      <c r="C174" s="58" t="str">
        <f t="shared" si="22"/>
        <v/>
      </c>
      <c r="D174" s="44">
        <f t="shared" si="18"/>
        <v>0</v>
      </c>
      <c r="E174" s="107">
        <f t="shared" si="19"/>
        <v>0</v>
      </c>
      <c r="F174" s="44">
        <f t="shared" si="20"/>
        <v>0</v>
      </c>
      <c r="G174" s="106">
        <f>ROUND(IFERROR((IF(B174&lt;=$D$8,(E174+IF('New Loan'!$C$3&lt;&gt;"Tax Loan",I173,0))*$D$6*(C174-C173)/365,0)),0),2)</f>
        <v>0</v>
      </c>
      <c r="H174" s="106">
        <f>ROUND(IF(B174&lt;$D$8,MIN(I173,D174-G174),IF(B174=$D$8,$I$15-SUM($H$15:$H173),0)),2)</f>
        <v>0</v>
      </c>
      <c r="I174" s="44">
        <f t="shared" si="23"/>
        <v>0</v>
      </c>
      <c r="J174" s="107"/>
      <c r="L174" s="107">
        <f t="shared" si="16"/>
        <v>0</v>
      </c>
      <c r="M174" s="44"/>
      <c r="N174" s="72">
        <f t="shared" si="21"/>
        <v>0</v>
      </c>
      <c r="O174" s="70"/>
      <c r="P174" s="44" t="str">
        <f>IFERROR(IF(MONTH($C174)=MONTH($J$6),SUMIFS(F$15:F174,$C$15:$C174,"&gt;"&amp;EOMONTH($C174,-12)),""),"")</f>
        <v/>
      </c>
      <c r="Q174" s="44" t="str">
        <f>IFERROR(IF(MONTH($C174)=MONTH($J$6),SUMIFS(G$15:G174,$C$15:$C174,"&gt;"&amp;EOMONTH($C174,-12))+SUMIFS(H$15:H174,$C$15:$C174,"&gt;"&amp;EOMONTH($C174,-12)),""),"")</f>
        <v/>
      </c>
    </row>
    <row r="175" spans="2:17" ht="12.75" customHeight="1" x14ac:dyDescent="0.25">
      <c r="B175">
        <f t="shared" si="17"/>
        <v>160</v>
      </c>
      <c r="C175" s="58" t="str">
        <f t="shared" si="22"/>
        <v/>
      </c>
      <c r="D175" s="44">
        <f t="shared" si="18"/>
        <v>0</v>
      </c>
      <c r="E175" s="107">
        <f t="shared" si="19"/>
        <v>0</v>
      </c>
      <c r="F175" s="44">
        <f t="shared" si="20"/>
        <v>0</v>
      </c>
      <c r="G175" s="106">
        <f>ROUND(IFERROR((IF(B175&lt;=$D$8,(E175+IF('New Loan'!$C$3&lt;&gt;"Tax Loan",I174,0))*$D$6*(C175-C174)/365,0)),0),2)</f>
        <v>0</v>
      </c>
      <c r="H175" s="106">
        <f>ROUND(IF(B175&lt;$D$8,MIN(I174,D175-G175),IF(B175=$D$8,$I$15-SUM($H$15:$H174),0)),2)</f>
        <v>0</v>
      </c>
      <c r="I175" s="44">
        <f t="shared" si="23"/>
        <v>0</v>
      </c>
      <c r="J175" s="107"/>
      <c r="L175" s="107">
        <f t="shared" si="16"/>
        <v>0</v>
      </c>
      <c r="M175" s="44"/>
      <c r="N175" s="72">
        <f t="shared" si="21"/>
        <v>0</v>
      </c>
      <c r="O175" s="70"/>
      <c r="P175" s="44" t="str">
        <f>IFERROR(IF(MONTH($C175)=MONTH($J$6),SUMIFS(F$15:F175,$C$15:$C175,"&gt;"&amp;EOMONTH($C175,-12)),""),"")</f>
        <v/>
      </c>
      <c r="Q175" s="44" t="str">
        <f>IFERROR(IF(MONTH($C175)=MONTH($J$6),SUMIFS(G$15:G175,$C$15:$C175,"&gt;"&amp;EOMONTH($C175,-12))+SUMIFS(H$15:H175,$C$15:$C175,"&gt;"&amp;EOMONTH($C175,-12)),""),"")</f>
        <v/>
      </c>
    </row>
    <row r="176" spans="2:17" ht="12.75" customHeight="1" x14ac:dyDescent="0.25">
      <c r="B176">
        <f t="shared" si="17"/>
        <v>161</v>
      </c>
      <c r="C176" s="58" t="str">
        <f t="shared" si="22"/>
        <v/>
      </c>
      <c r="D176" s="44">
        <f t="shared" si="18"/>
        <v>0</v>
      </c>
      <c r="E176" s="107">
        <f t="shared" si="19"/>
        <v>0</v>
      </c>
      <c r="F176" s="44">
        <f t="shared" si="20"/>
        <v>0</v>
      </c>
      <c r="G176" s="106">
        <f>ROUND(IFERROR((IF(B176&lt;=$D$8,(E176+IF('New Loan'!$C$3&lt;&gt;"Tax Loan",I175,0))*$D$6*(C176-C175)/365,0)),0),2)</f>
        <v>0</v>
      </c>
      <c r="H176" s="106">
        <f>ROUND(IF(B176&lt;$D$8,MIN(I175,D176-G176),IF(B176=$D$8,$I$15-SUM($H$15:$H175),0)),2)</f>
        <v>0</v>
      </c>
      <c r="I176" s="44">
        <f t="shared" si="23"/>
        <v>0</v>
      </c>
      <c r="J176" s="107"/>
      <c r="L176" s="107">
        <f t="shared" si="16"/>
        <v>0</v>
      </c>
      <c r="M176" s="44"/>
      <c r="N176" s="72">
        <f t="shared" si="21"/>
        <v>0</v>
      </c>
      <c r="O176" s="70"/>
      <c r="P176" s="44" t="str">
        <f>IFERROR(IF(MONTH($C176)=MONTH($J$6),SUMIFS(F$15:F176,$C$15:$C176,"&gt;"&amp;EOMONTH($C176,-12)),""),"")</f>
        <v/>
      </c>
      <c r="Q176" s="44" t="str">
        <f>IFERROR(IF(MONTH($C176)=MONTH($J$6),SUMIFS(G$15:G176,$C$15:$C176,"&gt;"&amp;EOMONTH($C176,-12))+SUMIFS(H$15:H176,$C$15:$C176,"&gt;"&amp;EOMONTH($C176,-12)),""),"")</f>
        <v/>
      </c>
    </row>
    <row r="177" spans="2:17" ht="12.75" customHeight="1" x14ac:dyDescent="0.25">
      <c r="B177">
        <f t="shared" si="17"/>
        <v>162</v>
      </c>
      <c r="C177" s="58" t="str">
        <f t="shared" si="22"/>
        <v/>
      </c>
      <c r="D177" s="44">
        <f t="shared" si="18"/>
        <v>0</v>
      </c>
      <c r="E177" s="107">
        <f t="shared" si="19"/>
        <v>0</v>
      </c>
      <c r="F177" s="44">
        <f t="shared" si="20"/>
        <v>0</v>
      </c>
      <c r="G177" s="106">
        <f>ROUND(IFERROR((IF(B177&lt;=$D$8,(E177+IF('New Loan'!$C$3&lt;&gt;"Tax Loan",I176,0))*$D$6*(C177-C176)/365,0)),0),2)</f>
        <v>0</v>
      </c>
      <c r="H177" s="106">
        <f>ROUND(IF(B177&lt;$D$8,MIN(I176,D177-G177),IF(B177=$D$8,$I$15-SUM($H$15:$H176),0)),2)</f>
        <v>0</v>
      </c>
      <c r="I177" s="44">
        <f t="shared" si="23"/>
        <v>0</v>
      </c>
      <c r="J177" s="107"/>
      <c r="L177" s="107">
        <f t="shared" si="16"/>
        <v>0</v>
      </c>
      <c r="M177" s="44"/>
      <c r="N177" s="72">
        <f t="shared" si="21"/>
        <v>0</v>
      </c>
      <c r="O177" s="70"/>
      <c r="P177" s="44" t="str">
        <f>IFERROR(IF(MONTH($C177)=MONTH($J$6),SUMIFS(F$15:F177,$C$15:$C177,"&gt;"&amp;EOMONTH($C177,-12)),""),"")</f>
        <v/>
      </c>
      <c r="Q177" s="44" t="str">
        <f>IFERROR(IF(MONTH($C177)=MONTH($J$6),SUMIFS(G$15:G177,$C$15:$C177,"&gt;"&amp;EOMONTH($C177,-12))+SUMIFS(H$15:H177,$C$15:$C177,"&gt;"&amp;EOMONTH($C177,-12)),""),"")</f>
        <v/>
      </c>
    </row>
    <row r="178" spans="2:17" ht="12.75" customHeight="1" x14ac:dyDescent="0.25">
      <c r="B178">
        <f t="shared" si="17"/>
        <v>163</v>
      </c>
      <c r="C178" s="58" t="str">
        <f t="shared" si="22"/>
        <v/>
      </c>
      <c r="D178" s="44">
        <f t="shared" si="18"/>
        <v>0</v>
      </c>
      <c r="E178" s="107">
        <f t="shared" si="19"/>
        <v>0</v>
      </c>
      <c r="F178" s="44">
        <f t="shared" si="20"/>
        <v>0</v>
      </c>
      <c r="G178" s="106">
        <f>ROUND(IFERROR((IF(B178&lt;=$D$8,(E178+IF('New Loan'!$C$3&lt;&gt;"Tax Loan",I177,0))*$D$6*(C178-C177)/365,0)),0),2)</f>
        <v>0</v>
      </c>
      <c r="H178" s="106">
        <f>ROUND(IF(B178&lt;$D$8,MIN(I177,D178-G178),IF(B178=$D$8,$I$15-SUM($H$15:$H177),0)),2)</f>
        <v>0</v>
      </c>
      <c r="I178" s="44">
        <f t="shared" si="23"/>
        <v>0</v>
      </c>
      <c r="J178" s="107"/>
      <c r="L178" s="107">
        <f t="shared" si="16"/>
        <v>0</v>
      </c>
      <c r="M178" s="44"/>
      <c r="N178" s="72">
        <f t="shared" si="21"/>
        <v>0</v>
      </c>
      <c r="O178" s="70"/>
      <c r="P178" s="44" t="str">
        <f>IFERROR(IF(MONTH($C178)=MONTH($J$6),SUMIFS(F$15:F178,$C$15:$C178,"&gt;"&amp;EOMONTH($C178,-12)),""),"")</f>
        <v/>
      </c>
      <c r="Q178" s="44" t="str">
        <f>IFERROR(IF(MONTH($C178)=MONTH($J$6),SUMIFS(G$15:G178,$C$15:$C178,"&gt;"&amp;EOMONTH($C178,-12))+SUMIFS(H$15:H178,$C$15:$C178,"&gt;"&amp;EOMONTH($C178,-12)),""),"")</f>
        <v/>
      </c>
    </row>
    <row r="179" spans="2:17" ht="12.75" customHeight="1" x14ac:dyDescent="0.25">
      <c r="B179">
        <f t="shared" si="17"/>
        <v>164</v>
      </c>
      <c r="C179" s="58" t="str">
        <f t="shared" si="22"/>
        <v/>
      </c>
      <c r="D179" s="44">
        <f t="shared" si="18"/>
        <v>0</v>
      </c>
      <c r="E179" s="107">
        <f t="shared" si="19"/>
        <v>0</v>
      </c>
      <c r="F179" s="44">
        <f t="shared" si="20"/>
        <v>0</v>
      </c>
      <c r="G179" s="106">
        <f>ROUND(IFERROR((IF(B179&lt;=$D$8,(E179+IF('New Loan'!$C$3&lt;&gt;"Tax Loan",I178,0))*$D$6*(C179-C178)/365,0)),0),2)</f>
        <v>0</v>
      </c>
      <c r="H179" s="106">
        <f>ROUND(IF(B179&lt;$D$8,MIN(I178,D179-G179),IF(B179=$D$8,$I$15-SUM($H$15:$H178),0)),2)</f>
        <v>0</v>
      </c>
      <c r="I179" s="44">
        <f t="shared" si="23"/>
        <v>0</v>
      </c>
      <c r="J179" s="107"/>
      <c r="L179" s="107">
        <f t="shared" si="16"/>
        <v>0</v>
      </c>
      <c r="M179" s="44"/>
      <c r="N179" s="72">
        <f t="shared" si="21"/>
        <v>0</v>
      </c>
      <c r="O179" s="70"/>
      <c r="P179" s="44" t="str">
        <f>IFERROR(IF(MONTH($C179)=MONTH($J$6),SUMIFS(F$15:F179,$C$15:$C179,"&gt;"&amp;EOMONTH($C179,-12)),""),"")</f>
        <v/>
      </c>
      <c r="Q179" s="44" t="str">
        <f>IFERROR(IF(MONTH($C179)=MONTH($J$6),SUMIFS(G$15:G179,$C$15:$C179,"&gt;"&amp;EOMONTH($C179,-12))+SUMIFS(H$15:H179,$C$15:$C179,"&gt;"&amp;EOMONTH($C179,-12)),""),"")</f>
        <v/>
      </c>
    </row>
    <row r="180" spans="2:17" ht="12.75" customHeight="1" x14ac:dyDescent="0.25">
      <c r="B180">
        <f t="shared" si="17"/>
        <v>165</v>
      </c>
      <c r="C180" s="58" t="str">
        <f t="shared" si="22"/>
        <v/>
      </c>
      <c r="D180" s="44">
        <f t="shared" si="18"/>
        <v>0</v>
      </c>
      <c r="E180" s="107">
        <f t="shared" si="19"/>
        <v>0</v>
      </c>
      <c r="F180" s="44">
        <f t="shared" si="20"/>
        <v>0</v>
      </c>
      <c r="G180" s="106">
        <f>ROUND(IFERROR((IF(B180&lt;=$D$8,(E180+IF('New Loan'!$C$3&lt;&gt;"Tax Loan",I179,0))*$D$6*(C180-C179)/365,0)),0),2)</f>
        <v>0</v>
      </c>
      <c r="H180" s="106">
        <f>ROUND(IF(B180&lt;$D$8,MIN(I179,D180-G180),IF(B180=$D$8,$I$15-SUM($H$15:$H179),0)),2)</f>
        <v>0</v>
      </c>
      <c r="I180" s="44">
        <f t="shared" si="23"/>
        <v>0</v>
      </c>
      <c r="J180" s="107"/>
      <c r="L180" s="107">
        <f t="shared" si="16"/>
        <v>0</v>
      </c>
      <c r="M180" s="44"/>
      <c r="N180" s="72">
        <f t="shared" si="21"/>
        <v>0</v>
      </c>
      <c r="O180" s="70"/>
      <c r="P180" s="44" t="str">
        <f>IFERROR(IF(MONTH($C180)=MONTH($J$6),SUMIFS(F$15:F180,$C$15:$C180,"&gt;"&amp;EOMONTH($C180,-12)),""),"")</f>
        <v/>
      </c>
      <c r="Q180" s="44" t="str">
        <f>IFERROR(IF(MONTH($C180)=MONTH($J$6),SUMIFS(G$15:G180,$C$15:$C180,"&gt;"&amp;EOMONTH($C180,-12))+SUMIFS(H$15:H180,$C$15:$C180,"&gt;"&amp;EOMONTH($C180,-12)),""),"")</f>
        <v/>
      </c>
    </row>
    <row r="181" spans="2:17" ht="12.75" customHeight="1" x14ac:dyDescent="0.25">
      <c r="B181">
        <f t="shared" si="17"/>
        <v>166</v>
      </c>
      <c r="C181" s="58" t="str">
        <f t="shared" si="22"/>
        <v/>
      </c>
      <c r="D181" s="44">
        <f t="shared" si="18"/>
        <v>0</v>
      </c>
      <c r="E181" s="107">
        <f t="shared" si="19"/>
        <v>0</v>
      </c>
      <c r="F181" s="44">
        <f t="shared" si="20"/>
        <v>0</v>
      </c>
      <c r="G181" s="106">
        <f>ROUND(IFERROR((IF(B181&lt;=$D$8,(E181+IF('New Loan'!$C$3&lt;&gt;"Tax Loan",I180,0))*$D$6*(C181-C180)/365,0)),0),2)</f>
        <v>0</v>
      </c>
      <c r="H181" s="106">
        <f>ROUND(IF(B181&lt;$D$8,MIN(I180,D181-G181),IF(B181=$D$8,$I$15-SUM($H$15:$H180),0)),2)</f>
        <v>0</v>
      </c>
      <c r="I181" s="44">
        <f t="shared" si="23"/>
        <v>0</v>
      </c>
      <c r="J181" s="107"/>
      <c r="L181" s="107">
        <f t="shared" si="16"/>
        <v>0</v>
      </c>
      <c r="M181" s="44"/>
      <c r="N181" s="72">
        <f t="shared" si="21"/>
        <v>0</v>
      </c>
      <c r="O181" s="70"/>
      <c r="P181" s="44" t="str">
        <f>IFERROR(IF(MONTH($C181)=MONTH($J$6),SUMIFS(F$15:F181,$C$15:$C181,"&gt;"&amp;EOMONTH($C181,-12)),""),"")</f>
        <v/>
      </c>
      <c r="Q181" s="44" t="str">
        <f>IFERROR(IF(MONTH($C181)=MONTH($J$6),SUMIFS(G$15:G181,$C$15:$C181,"&gt;"&amp;EOMONTH($C181,-12))+SUMIFS(H$15:H181,$C$15:$C181,"&gt;"&amp;EOMONTH($C181,-12)),""),"")</f>
        <v/>
      </c>
    </row>
    <row r="182" spans="2:17" ht="12.75" customHeight="1" x14ac:dyDescent="0.25">
      <c r="B182">
        <f t="shared" si="17"/>
        <v>167</v>
      </c>
      <c r="C182" s="58" t="str">
        <f t="shared" si="22"/>
        <v/>
      </c>
      <c r="D182" s="44">
        <f t="shared" si="18"/>
        <v>0</v>
      </c>
      <c r="E182" s="107">
        <f t="shared" si="19"/>
        <v>0</v>
      </c>
      <c r="F182" s="44">
        <f t="shared" si="20"/>
        <v>0</v>
      </c>
      <c r="G182" s="106">
        <f>ROUND(IFERROR((IF(B182&lt;=$D$8,(E182+IF('New Loan'!$C$3&lt;&gt;"Tax Loan",I181,0))*$D$6*(C182-C181)/365,0)),0),2)</f>
        <v>0</v>
      </c>
      <c r="H182" s="106">
        <f>ROUND(IF(B182&lt;$D$8,MIN(I181,D182-G182),IF(B182=$D$8,$I$15-SUM($H$15:$H181),0)),2)</f>
        <v>0</v>
      </c>
      <c r="I182" s="44">
        <f t="shared" si="23"/>
        <v>0</v>
      </c>
      <c r="J182" s="107"/>
      <c r="L182" s="107">
        <f t="shared" si="16"/>
        <v>0</v>
      </c>
      <c r="M182" s="44"/>
      <c r="N182" s="72">
        <f t="shared" si="21"/>
        <v>0</v>
      </c>
      <c r="O182" s="70"/>
      <c r="P182" s="44" t="str">
        <f>IFERROR(IF(MONTH($C182)=MONTH($J$6),SUMIFS(F$15:F182,$C$15:$C182,"&gt;"&amp;EOMONTH($C182,-12)),""),"")</f>
        <v/>
      </c>
      <c r="Q182" s="44" t="str">
        <f>IFERROR(IF(MONTH($C182)=MONTH($J$6),SUMIFS(G$15:G182,$C$15:$C182,"&gt;"&amp;EOMONTH($C182,-12))+SUMIFS(H$15:H182,$C$15:$C182,"&gt;"&amp;EOMONTH($C182,-12)),""),"")</f>
        <v/>
      </c>
    </row>
    <row r="183" spans="2:17" ht="12.75" customHeight="1" x14ac:dyDescent="0.25">
      <c r="B183">
        <f t="shared" si="17"/>
        <v>168</v>
      </c>
      <c r="C183" s="58" t="str">
        <f t="shared" si="22"/>
        <v/>
      </c>
      <c r="D183" s="44">
        <f t="shared" si="18"/>
        <v>0</v>
      </c>
      <c r="E183" s="107">
        <f t="shared" si="19"/>
        <v>0</v>
      </c>
      <c r="F183" s="44">
        <f t="shared" si="20"/>
        <v>0</v>
      </c>
      <c r="G183" s="106">
        <f>ROUND(IFERROR((IF(B183&lt;=$D$8,(E183+IF('New Loan'!$C$3&lt;&gt;"Tax Loan",I182,0))*$D$6*(C183-C182)/365,0)),0),2)</f>
        <v>0</v>
      </c>
      <c r="H183" s="106">
        <f>ROUND(IF(B183&lt;$D$8,MIN(I182,D183-G183),IF(B183=$D$8,$I$15-SUM($H$15:$H182),0)),2)</f>
        <v>0</v>
      </c>
      <c r="I183" s="44">
        <f t="shared" si="23"/>
        <v>0</v>
      </c>
      <c r="J183" s="107"/>
      <c r="L183" s="107">
        <f t="shared" si="16"/>
        <v>0</v>
      </c>
      <c r="M183" s="44"/>
      <c r="N183" s="72">
        <f t="shared" si="21"/>
        <v>0</v>
      </c>
      <c r="O183" s="70"/>
      <c r="P183" s="44" t="str">
        <f>IFERROR(IF(MONTH($C183)=MONTH($J$6),SUMIFS(F$15:F183,$C$15:$C183,"&gt;"&amp;EOMONTH($C183,-12)),""),"")</f>
        <v/>
      </c>
      <c r="Q183" s="44" t="str">
        <f>IFERROR(IF(MONTH($C183)=MONTH($J$6),SUMIFS(G$15:G183,$C$15:$C183,"&gt;"&amp;EOMONTH($C183,-12))+SUMIFS(H$15:H183,$C$15:$C183,"&gt;"&amp;EOMONTH($C183,-12)),""),"")</f>
        <v/>
      </c>
    </row>
    <row r="184" spans="2:17" ht="12.75" customHeight="1" x14ac:dyDescent="0.25">
      <c r="B184">
        <f t="shared" si="17"/>
        <v>169</v>
      </c>
      <c r="C184" s="58" t="str">
        <f t="shared" si="22"/>
        <v/>
      </c>
      <c r="D184" s="44">
        <f t="shared" si="18"/>
        <v>0</v>
      </c>
      <c r="E184" s="107">
        <f t="shared" si="19"/>
        <v>0</v>
      </c>
      <c r="F184" s="44">
        <f t="shared" si="20"/>
        <v>0</v>
      </c>
      <c r="G184" s="106">
        <f>ROUND(IFERROR((IF(B184&lt;=$D$8,(E184+IF('New Loan'!$C$3&lt;&gt;"Tax Loan",I183,0))*$D$6*(C184-C183)/365,0)),0),2)</f>
        <v>0</v>
      </c>
      <c r="H184" s="106">
        <f>ROUND(IF(B184&lt;$D$8,MIN(I183,D184-G184),IF(B184=$D$8,$I$15-SUM($H$15:$H183),0)),2)</f>
        <v>0</v>
      </c>
      <c r="I184" s="44">
        <f t="shared" si="23"/>
        <v>0</v>
      </c>
      <c r="J184" s="107"/>
      <c r="L184" s="107">
        <f t="shared" si="16"/>
        <v>0</v>
      </c>
      <c r="M184" s="44"/>
      <c r="N184" s="72">
        <f t="shared" si="21"/>
        <v>0</v>
      </c>
      <c r="O184" s="70"/>
      <c r="P184" s="44" t="str">
        <f>IFERROR(IF(MONTH($C184)=MONTH($J$6),SUMIFS(F$15:F184,$C$15:$C184,"&gt;"&amp;EOMONTH($C184,-12)),""),"")</f>
        <v/>
      </c>
      <c r="Q184" s="44" t="str">
        <f>IFERROR(IF(MONTH($C184)=MONTH($J$6),SUMIFS(G$15:G184,$C$15:$C184,"&gt;"&amp;EOMONTH($C184,-12))+SUMIFS(H$15:H184,$C$15:$C184,"&gt;"&amp;EOMONTH($C184,-12)),""),"")</f>
        <v/>
      </c>
    </row>
    <row r="185" spans="2:17" ht="12.75" customHeight="1" x14ac:dyDescent="0.25">
      <c r="B185">
        <f t="shared" si="17"/>
        <v>170</v>
      </c>
      <c r="C185" s="58" t="str">
        <f t="shared" si="22"/>
        <v/>
      </c>
      <c r="D185" s="44">
        <f t="shared" si="18"/>
        <v>0</v>
      </c>
      <c r="E185" s="107">
        <f t="shared" si="19"/>
        <v>0</v>
      </c>
      <c r="F185" s="44">
        <f t="shared" si="20"/>
        <v>0</v>
      </c>
      <c r="G185" s="106">
        <f>ROUND(IFERROR((IF(B185&lt;=$D$8,(E185+IF('New Loan'!$C$3&lt;&gt;"Tax Loan",I184,0))*$D$6*(C185-C184)/365,0)),0),2)</f>
        <v>0</v>
      </c>
      <c r="H185" s="106">
        <f>ROUND(IF(B185&lt;$D$8,MIN(I184,D185-G185),IF(B185=$D$8,$I$15-SUM($H$15:$H184),0)),2)</f>
        <v>0</v>
      </c>
      <c r="I185" s="44">
        <f t="shared" si="23"/>
        <v>0</v>
      </c>
      <c r="J185" s="107"/>
      <c r="L185" s="107">
        <f t="shared" si="16"/>
        <v>0</v>
      </c>
      <c r="M185" s="44"/>
      <c r="N185" s="72">
        <f t="shared" si="21"/>
        <v>0</v>
      </c>
      <c r="O185" s="70"/>
      <c r="P185" s="44" t="str">
        <f>IFERROR(IF(MONTH($C185)=MONTH($J$6),SUMIFS(F$15:F185,$C$15:$C185,"&gt;"&amp;EOMONTH($C185,-12)),""),"")</f>
        <v/>
      </c>
      <c r="Q185" s="44" t="str">
        <f>IFERROR(IF(MONTH($C185)=MONTH($J$6),SUMIFS(G$15:G185,$C$15:$C185,"&gt;"&amp;EOMONTH($C185,-12))+SUMIFS(H$15:H185,$C$15:$C185,"&gt;"&amp;EOMONTH($C185,-12)),""),"")</f>
        <v/>
      </c>
    </row>
    <row r="186" spans="2:17" ht="12.75" customHeight="1" x14ac:dyDescent="0.25">
      <c r="B186">
        <f t="shared" si="17"/>
        <v>171</v>
      </c>
      <c r="C186" s="58" t="str">
        <f t="shared" si="22"/>
        <v/>
      </c>
      <c r="D186" s="44">
        <f t="shared" si="18"/>
        <v>0</v>
      </c>
      <c r="E186" s="107">
        <f t="shared" si="19"/>
        <v>0</v>
      </c>
      <c r="F186" s="44">
        <f t="shared" si="20"/>
        <v>0</v>
      </c>
      <c r="G186" s="106">
        <f>ROUND(IFERROR((IF(B186&lt;=$D$8,(E186+IF('New Loan'!$C$3&lt;&gt;"Tax Loan",I185,0))*$D$6*(C186-C185)/365,0)),0),2)</f>
        <v>0</v>
      </c>
      <c r="H186" s="106">
        <f>ROUND(IF(B186&lt;$D$8,MIN(I185,D186-G186),IF(B186=$D$8,$I$15-SUM($H$15:$H185),0)),2)</f>
        <v>0</v>
      </c>
      <c r="I186" s="44">
        <f t="shared" si="23"/>
        <v>0</v>
      </c>
      <c r="J186" s="107"/>
      <c r="L186" s="107">
        <f t="shared" si="16"/>
        <v>0</v>
      </c>
      <c r="M186" s="44"/>
      <c r="N186" s="72">
        <f t="shared" si="21"/>
        <v>0</v>
      </c>
      <c r="O186" s="70"/>
      <c r="P186" s="44" t="str">
        <f>IFERROR(IF(MONTH($C186)=MONTH($J$6),SUMIFS(F$15:F186,$C$15:$C186,"&gt;"&amp;EOMONTH($C186,-12)),""),"")</f>
        <v/>
      </c>
      <c r="Q186" s="44" t="str">
        <f>IFERROR(IF(MONTH($C186)=MONTH($J$6),SUMIFS(G$15:G186,$C$15:$C186,"&gt;"&amp;EOMONTH($C186,-12))+SUMIFS(H$15:H186,$C$15:$C186,"&gt;"&amp;EOMONTH($C186,-12)),""),"")</f>
        <v/>
      </c>
    </row>
    <row r="187" spans="2:17" ht="12.75" customHeight="1" x14ac:dyDescent="0.25">
      <c r="B187">
        <f t="shared" si="17"/>
        <v>172</v>
      </c>
      <c r="C187" s="58" t="str">
        <f t="shared" si="22"/>
        <v/>
      </c>
      <c r="D187" s="44">
        <f t="shared" si="18"/>
        <v>0</v>
      </c>
      <c r="E187" s="107">
        <f t="shared" si="19"/>
        <v>0</v>
      </c>
      <c r="F187" s="44">
        <f t="shared" si="20"/>
        <v>0</v>
      </c>
      <c r="G187" s="106">
        <f>ROUND(IFERROR((IF(B187&lt;=$D$8,(E187+IF('New Loan'!$C$3&lt;&gt;"Tax Loan",I186,0))*$D$6*(C187-C186)/365,0)),0),2)</f>
        <v>0</v>
      </c>
      <c r="H187" s="106">
        <f>ROUND(IF(B187&lt;$D$8,MIN(I186,D187-G187),IF(B187=$D$8,$I$15-SUM($H$15:$H186),0)),2)</f>
        <v>0</v>
      </c>
      <c r="I187" s="44">
        <f t="shared" si="23"/>
        <v>0</v>
      </c>
      <c r="J187" s="107"/>
      <c r="L187" s="107">
        <f t="shared" si="16"/>
        <v>0</v>
      </c>
      <c r="M187" s="44"/>
      <c r="N187" s="72">
        <f t="shared" si="21"/>
        <v>0</v>
      </c>
      <c r="O187" s="70"/>
      <c r="P187" s="44" t="str">
        <f>IFERROR(IF(MONTH($C187)=MONTH($J$6),SUMIFS(F$15:F187,$C$15:$C187,"&gt;"&amp;EOMONTH($C187,-12)),""),"")</f>
        <v/>
      </c>
      <c r="Q187" s="44" t="str">
        <f>IFERROR(IF(MONTH($C187)=MONTH($J$6),SUMIFS(G$15:G187,$C$15:$C187,"&gt;"&amp;EOMONTH($C187,-12))+SUMIFS(H$15:H187,$C$15:$C187,"&gt;"&amp;EOMONTH($C187,-12)),""),"")</f>
        <v/>
      </c>
    </row>
    <row r="188" spans="2:17" ht="12.75" customHeight="1" x14ac:dyDescent="0.25">
      <c r="B188">
        <f t="shared" si="17"/>
        <v>173</v>
      </c>
      <c r="C188" s="58" t="str">
        <f t="shared" si="22"/>
        <v/>
      </c>
      <c r="D188" s="44">
        <f t="shared" si="18"/>
        <v>0</v>
      </c>
      <c r="E188" s="107">
        <f t="shared" si="19"/>
        <v>0</v>
      </c>
      <c r="F188" s="44">
        <f t="shared" si="20"/>
        <v>0</v>
      </c>
      <c r="G188" s="106">
        <f>ROUND(IFERROR((IF(B188&lt;=$D$8,(E188+IF('New Loan'!$C$3&lt;&gt;"Tax Loan",I187,0))*$D$6*(C188-C187)/365,0)),0),2)</f>
        <v>0</v>
      </c>
      <c r="H188" s="106">
        <f>ROUND(IF(B188&lt;$D$8,MIN(I187,D188-G188),IF(B188=$D$8,$I$15-SUM($H$15:$H187),0)),2)</f>
        <v>0</v>
      </c>
      <c r="I188" s="44">
        <f t="shared" si="23"/>
        <v>0</v>
      </c>
      <c r="J188" s="107"/>
      <c r="L188" s="107">
        <f t="shared" si="16"/>
        <v>0</v>
      </c>
      <c r="M188" s="44"/>
      <c r="N188" s="72">
        <f t="shared" si="21"/>
        <v>0</v>
      </c>
      <c r="O188" s="70"/>
      <c r="P188" s="44" t="str">
        <f>IFERROR(IF(MONTH($C188)=MONTH($J$6),SUMIFS(F$15:F188,$C$15:$C188,"&gt;"&amp;EOMONTH($C188,-12)),""),"")</f>
        <v/>
      </c>
      <c r="Q188" s="44" t="str">
        <f>IFERROR(IF(MONTH($C188)=MONTH($J$6),SUMIFS(G$15:G188,$C$15:$C188,"&gt;"&amp;EOMONTH($C188,-12))+SUMIFS(H$15:H188,$C$15:$C188,"&gt;"&amp;EOMONTH($C188,-12)),""),"")</f>
        <v/>
      </c>
    </row>
    <row r="189" spans="2:17" ht="12.75" customHeight="1" x14ac:dyDescent="0.25">
      <c r="B189">
        <f t="shared" si="17"/>
        <v>174</v>
      </c>
      <c r="C189" s="58" t="str">
        <f t="shared" si="22"/>
        <v/>
      </c>
      <c r="D189" s="44">
        <f t="shared" si="18"/>
        <v>0</v>
      </c>
      <c r="E189" s="107">
        <f t="shared" si="19"/>
        <v>0</v>
      </c>
      <c r="F189" s="44">
        <f t="shared" si="20"/>
        <v>0</v>
      </c>
      <c r="G189" s="106">
        <f>ROUND(IFERROR((IF(B189&lt;=$D$8,(E189+IF('New Loan'!$C$3&lt;&gt;"Tax Loan",I188,0))*$D$6*(C189-C188)/365,0)),0),2)</f>
        <v>0</v>
      </c>
      <c r="H189" s="106">
        <f>ROUND(IF(B189&lt;$D$8,MIN(I188,D189-G189),IF(B189=$D$8,$I$15-SUM($H$15:$H188),0)),2)</f>
        <v>0</v>
      </c>
      <c r="I189" s="44">
        <f t="shared" si="23"/>
        <v>0</v>
      </c>
      <c r="J189" s="107"/>
      <c r="L189" s="107">
        <f t="shared" si="16"/>
        <v>0</v>
      </c>
      <c r="M189" s="44"/>
      <c r="N189" s="72">
        <f t="shared" si="21"/>
        <v>0</v>
      </c>
      <c r="O189" s="70"/>
      <c r="P189" s="44" t="str">
        <f>IFERROR(IF(MONTH($C189)=MONTH($J$6),SUMIFS(F$15:F189,$C$15:$C189,"&gt;"&amp;EOMONTH($C189,-12)),""),"")</f>
        <v/>
      </c>
      <c r="Q189" s="44" t="str">
        <f>IFERROR(IF(MONTH($C189)=MONTH($J$6),SUMIFS(G$15:G189,$C$15:$C189,"&gt;"&amp;EOMONTH($C189,-12))+SUMIFS(H$15:H189,$C$15:$C189,"&gt;"&amp;EOMONTH($C189,-12)),""),"")</f>
        <v/>
      </c>
    </row>
    <row r="190" spans="2:17" ht="12.75" customHeight="1" x14ac:dyDescent="0.25">
      <c r="B190">
        <f t="shared" si="17"/>
        <v>175</v>
      </c>
      <c r="C190" s="58" t="str">
        <f t="shared" si="22"/>
        <v/>
      </c>
      <c r="D190" s="44">
        <f t="shared" si="18"/>
        <v>0</v>
      </c>
      <c r="E190" s="107">
        <f t="shared" si="19"/>
        <v>0</v>
      </c>
      <c r="F190" s="44">
        <f t="shared" si="20"/>
        <v>0</v>
      </c>
      <c r="G190" s="106">
        <f>ROUND(IFERROR((IF(B190&lt;=$D$8,(E190+IF('New Loan'!$C$3&lt;&gt;"Tax Loan",I189,0))*$D$6*(C190-C189)/365,0)),0),2)</f>
        <v>0</v>
      </c>
      <c r="H190" s="106">
        <f>ROUND(IF(B190&lt;$D$8,MIN(I189,D190-G190),IF(B190=$D$8,$I$15-SUM($H$15:$H189),0)),2)</f>
        <v>0</v>
      </c>
      <c r="I190" s="44">
        <f t="shared" si="23"/>
        <v>0</v>
      </c>
      <c r="J190" s="107"/>
      <c r="L190" s="107">
        <f t="shared" si="16"/>
        <v>0</v>
      </c>
      <c r="M190" s="44"/>
      <c r="N190" s="72">
        <f t="shared" si="21"/>
        <v>0</v>
      </c>
      <c r="O190" s="70"/>
      <c r="P190" s="44" t="str">
        <f>IFERROR(IF(MONTH($C190)=MONTH($J$6),SUMIFS(F$15:F190,$C$15:$C190,"&gt;"&amp;EOMONTH($C190,-12)),""),"")</f>
        <v/>
      </c>
      <c r="Q190" s="44" t="str">
        <f>IFERROR(IF(MONTH($C190)=MONTH($J$6),SUMIFS(G$15:G190,$C$15:$C190,"&gt;"&amp;EOMONTH($C190,-12))+SUMIFS(H$15:H190,$C$15:$C190,"&gt;"&amp;EOMONTH($C190,-12)),""),"")</f>
        <v/>
      </c>
    </row>
    <row r="191" spans="2:17" ht="12.75" customHeight="1" x14ac:dyDescent="0.25">
      <c r="B191">
        <f t="shared" si="17"/>
        <v>176</v>
      </c>
      <c r="C191" s="58" t="str">
        <f t="shared" si="22"/>
        <v/>
      </c>
      <c r="D191" s="44">
        <f t="shared" si="18"/>
        <v>0</v>
      </c>
      <c r="E191" s="107">
        <f t="shared" si="19"/>
        <v>0</v>
      </c>
      <c r="F191" s="44">
        <f t="shared" si="20"/>
        <v>0</v>
      </c>
      <c r="G191" s="106">
        <f>ROUND(IFERROR((IF(B191&lt;=$D$8,(E191+IF('New Loan'!$C$3&lt;&gt;"Tax Loan",I190,0))*$D$6*(C191-C190)/365,0)),0),2)</f>
        <v>0</v>
      </c>
      <c r="H191" s="106">
        <f>ROUND(IF(B191&lt;$D$8,MIN(I190,D191-G191),IF(B191=$D$8,$I$15-SUM($H$15:$H190),0)),2)</f>
        <v>0</v>
      </c>
      <c r="I191" s="44">
        <f t="shared" si="23"/>
        <v>0</v>
      </c>
      <c r="J191" s="107"/>
      <c r="L191" s="107">
        <f t="shared" si="16"/>
        <v>0</v>
      </c>
      <c r="M191" s="44"/>
      <c r="N191" s="72">
        <f t="shared" si="21"/>
        <v>0</v>
      </c>
      <c r="O191" s="70"/>
      <c r="P191" s="44" t="str">
        <f>IFERROR(IF(MONTH($C191)=MONTH($J$6),SUMIFS(F$15:F191,$C$15:$C191,"&gt;"&amp;EOMONTH($C191,-12)),""),"")</f>
        <v/>
      </c>
      <c r="Q191" s="44" t="str">
        <f>IFERROR(IF(MONTH($C191)=MONTH($J$6),SUMIFS(G$15:G191,$C$15:$C191,"&gt;"&amp;EOMONTH($C191,-12))+SUMIFS(H$15:H191,$C$15:$C191,"&gt;"&amp;EOMONTH($C191,-12)),""),"")</f>
        <v/>
      </c>
    </row>
    <row r="192" spans="2:17" ht="12.75" customHeight="1" x14ac:dyDescent="0.25">
      <c r="B192">
        <f t="shared" si="17"/>
        <v>177</v>
      </c>
      <c r="C192" s="58" t="str">
        <f t="shared" si="22"/>
        <v/>
      </c>
      <c r="D192" s="44">
        <f t="shared" si="18"/>
        <v>0</v>
      </c>
      <c r="E192" s="107">
        <f t="shared" si="19"/>
        <v>0</v>
      </c>
      <c r="F192" s="44">
        <f t="shared" si="20"/>
        <v>0</v>
      </c>
      <c r="G192" s="106">
        <f>ROUND(IFERROR((IF(B192&lt;=$D$8,(E192+IF('New Loan'!$C$3&lt;&gt;"Tax Loan",I191,0))*$D$6*(C192-C191)/365,0)),0),2)</f>
        <v>0</v>
      </c>
      <c r="H192" s="106">
        <f>ROUND(IF(B192&lt;$D$8,MIN(I191,D192-G192),IF(B192=$D$8,$I$15-SUM($H$15:$H191),0)),2)</f>
        <v>0</v>
      </c>
      <c r="I192" s="44">
        <f t="shared" si="23"/>
        <v>0</v>
      </c>
      <c r="J192" s="107"/>
      <c r="L192" s="107">
        <f t="shared" si="16"/>
        <v>0</v>
      </c>
      <c r="M192" s="44"/>
      <c r="N192" s="72">
        <f t="shared" si="21"/>
        <v>0</v>
      </c>
      <c r="O192" s="70"/>
      <c r="P192" s="44" t="str">
        <f>IFERROR(IF(MONTH($C192)=MONTH($J$6),SUMIFS(F$15:F192,$C$15:$C192,"&gt;"&amp;EOMONTH($C192,-12)),""),"")</f>
        <v/>
      </c>
      <c r="Q192" s="44" t="str">
        <f>IFERROR(IF(MONTH($C192)=MONTH($J$6),SUMIFS(G$15:G192,$C$15:$C192,"&gt;"&amp;EOMONTH($C192,-12))+SUMIFS(H$15:H192,$C$15:$C192,"&gt;"&amp;EOMONTH($C192,-12)),""),"")</f>
        <v/>
      </c>
    </row>
    <row r="193" spans="2:17" ht="12.75" customHeight="1" x14ac:dyDescent="0.25">
      <c r="B193">
        <f t="shared" si="17"/>
        <v>178</v>
      </c>
      <c r="C193" s="58" t="str">
        <f t="shared" si="22"/>
        <v/>
      </c>
      <c r="D193" s="44">
        <f t="shared" si="18"/>
        <v>0</v>
      </c>
      <c r="E193" s="107">
        <f t="shared" si="19"/>
        <v>0</v>
      </c>
      <c r="F193" s="44">
        <f t="shared" si="20"/>
        <v>0</v>
      </c>
      <c r="G193" s="106">
        <f>ROUND(IFERROR((IF(B193&lt;=$D$8,(E193+IF('New Loan'!$C$3&lt;&gt;"Tax Loan",I192,0))*$D$6*(C193-C192)/365,0)),0),2)</f>
        <v>0</v>
      </c>
      <c r="H193" s="106">
        <f>ROUND(IF(B193&lt;$D$8,MIN(I192,D193-G193),IF(B193=$D$8,$I$15-SUM($H$15:$H192),0)),2)</f>
        <v>0</v>
      </c>
      <c r="I193" s="44">
        <f t="shared" si="23"/>
        <v>0</v>
      </c>
      <c r="J193" s="107"/>
      <c r="L193" s="107">
        <f t="shared" si="16"/>
        <v>0</v>
      </c>
      <c r="M193" s="44"/>
      <c r="N193" s="72">
        <f t="shared" si="21"/>
        <v>0</v>
      </c>
      <c r="O193" s="70"/>
      <c r="P193" s="44" t="str">
        <f>IFERROR(IF(MONTH($C193)=MONTH($J$6),SUMIFS(F$15:F193,$C$15:$C193,"&gt;"&amp;EOMONTH($C193,-12)),""),"")</f>
        <v/>
      </c>
      <c r="Q193" s="44" t="str">
        <f>IFERROR(IF(MONTH($C193)=MONTH($J$6),SUMIFS(G$15:G193,$C$15:$C193,"&gt;"&amp;EOMONTH($C193,-12))+SUMIFS(H$15:H193,$C$15:$C193,"&gt;"&amp;EOMONTH($C193,-12)),""),"")</f>
        <v/>
      </c>
    </row>
    <row r="194" spans="2:17" ht="12.75" customHeight="1" x14ac:dyDescent="0.25">
      <c r="B194">
        <f t="shared" si="17"/>
        <v>179</v>
      </c>
      <c r="C194" s="58" t="str">
        <f t="shared" si="22"/>
        <v/>
      </c>
      <c r="D194" s="44">
        <f t="shared" si="18"/>
        <v>0</v>
      </c>
      <c r="E194" s="107">
        <f t="shared" si="19"/>
        <v>0</v>
      </c>
      <c r="F194" s="44">
        <f t="shared" si="20"/>
        <v>0</v>
      </c>
      <c r="G194" s="106">
        <f>ROUND(IFERROR((IF(B194&lt;=$D$8,(E194+IF('New Loan'!$C$3&lt;&gt;"Tax Loan",I193,0))*$D$6*(C194-C193)/365,0)),0),2)</f>
        <v>0</v>
      </c>
      <c r="H194" s="106">
        <f>ROUND(IF(B194&lt;$D$8,MIN(I193,D194-G194),IF(B194=$D$8,$I$15-SUM($H$15:$H193),0)),2)</f>
        <v>0</v>
      </c>
      <c r="I194" s="44">
        <f t="shared" si="23"/>
        <v>0</v>
      </c>
      <c r="J194" s="107"/>
      <c r="L194" s="107">
        <f t="shared" si="16"/>
        <v>0</v>
      </c>
      <c r="M194" s="44"/>
      <c r="N194" s="72">
        <f t="shared" si="21"/>
        <v>0</v>
      </c>
      <c r="O194" s="70"/>
      <c r="P194" s="44" t="str">
        <f>IFERROR(IF(MONTH($C194)=MONTH($J$6),SUMIFS(F$15:F194,$C$15:$C194,"&gt;"&amp;EOMONTH($C194,-12)),""),"")</f>
        <v/>
      </c>
      <c r="Q194" s="44" t="str">
        <f>IFERROR(IF(MONTH($C194)=MONTH($J$6),SUMIFS(G$15:G194,$C$15:$C194,"&gt;"&amp;EOMONTH($C194,-12))+SUMIFS(H$15:H194,$C$15:$C194,"&gt;"&amp;EOMONTH($C194,-12)),""),"")</f>
        <v/>
      </c>
    </row>
    <row r="195" spans="2:17" ht="12.75" customHeight="1" x14ac:dyDescent="0.25">
      <c r="B195">
        <f t="shared" si="17"/>
        <v>180</v>
      </c>
      <c r="C195" s="58" t="str">
        <f>IF(L194&lt;=0,"",EDATE(C194,1))</f>
        <v/>
      </c>
      <c r="D195" s="44">
        <f>IF(B195=$D$7,L194+G195,IF(B195&gt;$D$7,0,$D$9))</f>
        <v>0</v>
      </c>
      <c r="E195" s="107">
        <f t="shared" si="19"/>
        <v>0</v>
      </c>
      <c r="F195" s="44">
        <f t="shared" si="20"/>
        <v>0</v>
      </c>
      <c r="G195" s="106">
        <f>ROUND(IFERROR((IF(B195&lt;=$D$8,(E195+IF('New Loan'!$C$3&lt;&gt;"Tax Loan",I194,0))*$D$6*(C195-C194)/365,0)),0),2)</f>
        <v>0</v>
      </c>
      <c r="H195" s="106">
        <f>ROUND(IF(B195&lt;$D$8,$I$15/$D$8,IF(B195=$D$8,$I$15-SUM($H$15:$H194),0)),2)</f>
        <v>0</v>
      </c>
      <c r="I195" s="44">
        <f t="shared" si="23"/>
        <v>0</v>
      </c>
      <c r="J195" s="107"/>
      <c r="L195" s="107">
        <f t="shared" si="16"/>
        <v>0</v>
      </c>
      <c r="M195" s="44"/>
      <c r="N195" s="72">
        <f t="shared" si="21"/>
        <v>0</v>
      </c>
      <c r="O195" s="70"/>
      <c r="P195" s="44" t="str">
        <f>IFERROR(IF(MONTH($C195)=MONTH($J$6),SUMIFS(F$15:F195,$C$15:$C195,"&gt;"&amp;EOMONTH($C195,-12)),""),"")</f>
        <v/>
      </c>
      <c r="Q195" s="44" t="str">
        <f>IFERROR(IF(MONTH($C195)=MONTH($J$6),SUMIFS(G$15:G195,$C$15:$C195,"&gt;"&amp;EOMONTH($C195,-12))+SUMIFS(H$15:H195,$C$15:$C195,"&gt;"&amp;EOMONTH($C195,-12)),""),"")</f>
        <v/>
      </c>
    </row>
    <row r="196" spans="2:17" x14ac:dyDescent="0.25">
      <c r="M196" s="44"/>
      <c r="N196" s="72"/>
      <c r="O196" s="70"/>
      <c r="P196" s="44"/>
      <c r="Q196" s="44"/>
    </row>
    <row r="197" spans="2:17" x14ac:dyDescent="0.25">
      <c r="D197" s="108">
        <f>SUM(D16:D196)</f>
        <v>900</v>
      </c>
      <c r="E197" s="65"/>
      <c r="F197" s="65">
        <f>SUM(F16:F195)</f>
        <v>900</v>
      </c>
      <c r="G197" s="65">
        <f>SUM(G16:G195)</f>
        <v>0</v>
      </c>
      <c r="H197" s="65">
        <f>SUM(H16:H195)</f>
        <v>0</v>
      </c>
      <c r="I197" s="65"/>
      <c r="J197" s="65"/>
      <c r="L197" s="65"/>
      <c r="M197" s="44"/>
      <c r="N197" s="109">
        <f>SUM(N16:N135)</f>
        <v>1</v>
      </c>
      <c r="O197" s="64"/>
      <c r="P197" s="65">
        <f>SUM(P16:P195)</f>
        <v>0</v>
      </c>
      <c r="Q197" s="65">
        <f>SUM(Q16:Q195)</f>
        <v>0</v>
      </c>
    </row>
  </sheetData>
  <mergeCells count="2">
    <mergeCell ref="A2:P2"/>
    <mergeCell ref="A3:P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25CDF-18A6-4D49-95E4-ADE716C4EC86}">
  <sheetPr codeName="Sheet9"/>
  <dimension ref="A1:S208"/>
  <sheetViews>
    <sheetView workbookViewId="0"/>
  </sheetViews>
  <sheetFormatPr defaultRowHeight="15" x14ac:dyDescent="0.25"/>
  <cols>
    <col min="1" max="1" width="1.28515625" customWidth="1"/>
    <col min="2" max="2" width="4.28515625" customWidth="1"/>
    <col min="3" max="3" width="14.140625" customWidth="1"/>
    <col min="4" max="4" width="12.28515625" customWidth="1"/>
    <col min="5" max="5" width="12.42578125" style="44" customWidth="1"/>
    <col min="6" max="6" width="13.28515625" style="44" customWidth="1"/>
    <col min="7" max="7" width="17.140625" style="44" customWidth="1"/>
    <col min="8" max="8" width="20.5703125" style="44" customWidth="1"/>
    <col min="9" max="9" width="16.28515625" style="44" customWidth="1"/>
    <col min="10" max="10" width="11" style="59" customWidth="1"/>
    <col min="11" max="11" width="5.5703125" style="44" customWidth="1"/>
    <col min="12" max="12" width="11.85546875" style="59" customWidth="1"/>
    <col min="13" max="13" width="2.140625" customWidth="1"/>
    <col min="14" max="14" width="10" style="44" customWidth="1"/>
    <col min="15" max="15" width="3.28515625" style="44" customWidth="1"/>
    <col min="16" max="17" width="11.140625" customWidth="1"/>
    <col min="18" max="18" width="9.7109375" customWidth="1"/>
  </cols>
  <sheetData>
    <row r="1" spans="1:19" x14ac:dyDescent="0.25">
      <c r="C1" s="58"/>
      <c r="D1" s="58"/>
      <c r="L1" s="305"/>
      <c r="M1" s="178"/>
      <c r="P1" s="306" t="s">
        <v>372</v>
      </c>
      <c r="Q1" s="182">
        <f ca="1">TODAY()</f>
        <v>43686</v>
      </c>
    </row>
    <row r="2" spans="1:19" ht="23.25" x14ac:dyDescent="0.35">
      <c r="A2" s="658" t="s">
        <v>373</v>
      </c>
      <c r="B2" s="658"/>
      <c r="C2" s="658"/>
      <c r="D2" s="658"/>
      <c r="E2" s="658"/>
      <c r="F2" s="658"/>
      <c r="G2" s="658"/>
      <c r="H2" s="658"/>
      <c r="I2" s="658"/>
      <c r="J2" s="658"/>
      <c r="K2" s="658"/>
      <c r="L2" s="658"/>
      <c r="M2" s="658"/>
      <c r="N2" s="658"/>
      <c r="O2" s="658"/>
      <c r="P2" s="658"/>
      <c r="Q2" s="658"/>
    </row>
    <row r="3" spans="1:19" ht="23.25" x14ac:dyDescent="0.35">
      <c r="A3" s="658" t="s">
        <v>374</v>
      </c>
      <c r="B3" s="658"/>
      <c r="C3" s="658"/>
      <c r="D3" s="658"/>
      <c r="E3" s="658"/>
      <c r="F3" s="658"/>
      <c r="G3" s="658"/>
      <c r="H3" s="658"/>
      <c r="I3" s="658"/>
      <c r="J3" s="658"/>
      <c r="K3" s="658"/>
      <c r="L3" s="658"/>
      <c r="M3" s="658"/>
      <c r="N3" s="658"/>
      <c r="O3" s="658"/>
      <c r="P3" s="658"/>
      <c r="Q3" s="658"/>
    </row>
    <row r="4" spans="1:19" x14ac:dyDescent="0.25">
      <c r="L4" s="305"/>
      <c r="M4" s="178"/>
      <c r="N4" s="307"/>
      <c r="O4" s="307"/>
    </row>
    <row r="5" spans="1:19" x14ac:dyDescent="0.25">
      <c r="C5" s="61" t="s">
        <v>375</v>
      </c>
      <c r="D5" s="308">
        <f>'New Loan'!E10</f>
        <v>900</v>
      </c>
      <c r="F5" s="356"/>
      <c r="G5" s="309"/>
      <c r="H5" s="309"/>
      <c r="I5" s="309"/>
      <c r="K5"/>
      <c r="L5" s="310" t="s">
        <v>376</v>
      </c>
      <c r="M5" s="311"/>
      <c r="N5" s="312">
        <f>'New Loan'!E4</f>
        <v>0</v>
      </c>
      <c r="O5" s="65"/>
      <c r="P5" s="41"/>
    </row>
    <row r="6" spans="1:19" x14ac:dyDescent="0.25">
      <c r="C6" s="5" t="s">
        <v>377</v>
      </c>
      <c r="D6" s="313">
        <f>'New Loan'!H6</f>
        <v>0</v>
      </c>
      <c r="F6" s="314"/>
      <c r="G6" s="67" t="s">
        <v>378</v>
      </c>
      <c r="H6" s="40"/>
      <c r="I6" s="40"/>
      <c r="J6" s="315">
        <f>'New Loan'!K6</f>
        <v>0</v>
      </c>
      <c r="K6"/>
      <c r="L6" s="316" t="s">
        <v>379</v>
      </c>
      <c r="M6" s="317"/>
      <c r="N6" s="318">
        <f>'New Loan'!E5</f>
        <v>0</v>
      </c>
      <c r="O6" s="319"/>
      <c r="P6" s="7"/>
    </row>
    <row r="7" spans="1:19" x14ac:dyDescent="0.25">
      <c r="C7" s="71" t="s">
        <v>380</v>
      </c>
      <c r="D7" s="320">
        <f>'New Loan'!H8</f>
        <v>0</v>
      </c>
      <c r="F7" s="321"/>
      <c r="G7" s="322" t="s">
        <v>3124</v>
      </c>
      <c r="H7" s="323"/>
      <c r="I7" s="323"/>
      <c r="J7" s="324">
        <f>ROUNDDOWN(12*YEARFRAC('New Loan'!$K$6,'New Loan'!$K$7),0)</f>
        <v>0</v>
      </c>
      <c r="K7"/>
      <c r="L7" s="316" t="s">
        <v>339</v>
      </c>
      <c r="M7" s="317"/>
      <c r="N7" s="318">
        <f>'New Loan'!K5</f>
        <v>0</v>
      </c>
      <c r="O7" s="319"/>
      <c r="P7" s="7"/>
      <c r="R7" s="74"/>
      <c r="S7" s="74"/>
    </row>
    <row r="8" spans="1:19" x14ac:dyDescent="0.25">
      <c r="C8" s="71" t="s">
        <v>382</v>
      </c>
      <c r="D8" s="75">
        <f>D7-J7+1</f>
        <v>1</v>
      </c>
      <c r="F8" s="325"/>
      <c r="G8" s="326" t="s">
        <v>383</v>
      </c>
      <c r="H8" s="327"/>
      <c r="I8" s="327"/>
      <c r="J8" s="76">
        <f>'New Loan'!K7</f>
        <v>0</v>
      </c>
      <c r="K8"/>
      <c r="L8" s="328" t="s">
        <v>336</v>
      </c>
      <c r="M8" s="329"/>
      <c r="N8" s="330">
        <f>'New Loan'!K4:K4</f>
        <v>0</v>
      </c>
      <c r="O8" s="79"/>
      <c r="P8" s="8"/>
      <c r="R8" s="74"/>
      <c r="S8" s="74"/>
    </row>
    <row r="9" spans="1:19" x14ac:dyDescent="0.25">
      <c r="C9" s="80" t="s">
        <v>384</v>
      </c>
      <c r="D9" s="331">
        <f>-ROUND(IF('New Loan'!$H$7="yes",-D5*D6/12,PMT(D6/12,D8,D5)),2)</f>
        <v>900</v>
      </c>
      <c r="E9" s="82"/>
      <c r="F9" s="325"/>
      <c r="G9" s="323"/>
      <c r="H9" s="323"/>
      <c r="I9" s="323"/>
      <c r="J9" s="332"/>
      <c r="K9"/>
      <c r="L9" s="333"/>
      <c r="M9" s="317"/>
      <c r="N9" s="318"/>
      <c r="O9" s="319"/>
      <c r="P9" s="303"/>
      <c r="R9" s="334">
        <f ca="1">OFFSET(F15,D8,)+OFFSET(G15,D8,)+OFFSET(H15,D8,)-D9</f>
        <v>0</v>
      </c>
      <c r="S9" s="74"/>
    </row>
    <row r="10" spans="1:19" x14ac:dyDescent="0.25">
      <c r="C10" s="85" t="s">
        <v>385</v>
      </c>
      <c r="D10" s="335" t="e">
        <f ca="1">(((1+XIRR(OFFSET($D$14,0,0,$D$8+2),OFFSET($C$14,0,0,$D$8+2)))^(1/12))-1)*12</f>
        <v>#NUM!</v>
      </c>
      <c r="F10" s="336"/>
      <c r="J10" s="337"/>
      <c r="K10"/>
      <c r="R10" s="74"/>
      <c r="S10" s="74"/>
    </row>
    <row r="11" spans="1:19" x14ac:dyDescent="0.25">
      <c r="J11"/>
      <c r="K11"/>
      <c r="L11" s="338"/>
      <c r="M11" s="339"/>
      <c r="N11" s="307"/>
      <c r="O11" s="307"/>
      <c r="P11" s="178"/>
    </row>
    <row r="12" spans="1:19" ht="12.75" customHeight="1" x14ac:dyDescent="0.25">
      <c r="B12" s="87" t="s">
        <v>386</v>
      </c>
      <c r="C12" s="124"/>
      <c r="D12" s="124"/>
      <c r="E12" s="87"/>
      <c r="F12" s="88"/>
      <c r="G12" s="88"/>
      <c r="H12" s="88"/>
      <c r="I12" s="88"/>
      <c r="J12" s="89"/>
      <c r="L12" s="87" t="s">
        <v>387</v>
      </c>
      <c r="N12" s="340" t="s">
        <v>388</v>
      </c>
      <c r="O12" s="311"/>
      <c r="P12" s="341" t="s">
        <v>364</v>
      </c>
      <c r="Q12" s="341" t="s">
        <v>364</v>
      </c>
    </row>
    <row r="13" spans="1:19" ht="12.75" customHeight="1" x14ac:dyDescent="0.25">
      <c r="B13" s="92" t="s">
        <v>389</v>
      </c>
      <c r="C13" s="355" t="s">
        <v>372</v>
      </c>
      <c r="D13" s="355" t="s">
        <v>384</v>
      </c>
      <c r="E13" s="93" t="s">
        <v>390</v>
      </c>
      <c r="F13" s="94" t="s">
        <v>391</v>
      </c>
      <c r="G13" s="94" t="s">
        <v>392</v>
      </c>
      <c r="H13" s="94" t="s">
        <v>393</v>
      </c>
      <c r="I13" s="94" t="s">
        <v>394</v>
      </c>
      <c r="J13" s="95"/>
      <c r="L13" s="93" t="s">
        <v>395</v>
      </c>
      <c r="N13" s="342" t="s">
        <v>396</v>
      </c>
      <c r="O13" s="343"/>
      <c r="P13" s="344" t="s">
        <v>391</v>
      </c>
      <c r="Q13" s="344" t="s">
        <v>398</v>
      </c>
    </row>
    <row r="14" spans="1:19" ht="12.75" customHeight="1" x14ac:dyDescent="0.25">
      <c r="B14" s="345"/>
      <c r="C14" s="58">
        <f>J6</f>
        <v>0</v>
      </c>
      <c r="D14" s="346">
        <f>-('New Loan'!$E$6+'New Loan'!$E$7+'New Loan'!$E$9)</f>
        <v>-144</v>
      </c>
      <c r="E14" s="347"/>
      <c r="F14" s="348"/>
      <c r="G14" s="348"/>
      <c r="H14" s="348"/>
      <c r="I14" s="348"/>
      <c r="J14" s="349"/>
      <c r="L14" s="347"/>
      <c r="N14" s="350"/>
      <c r="O14" s="351"/>
      <c r="P14" s="352"/>
      <c r="Q14" s="352"/>
    </row>
    <row r="15" spans="1:19" ht="12.75" customHeight="1" x14ac:dyDescent="0.25">
      <c r="B15">
        <v>0</v>
      </c>
      <c r="C15" s="58" t="e">
        <f>MAX(EDATE(C16,-1),J6)</f>
        <v>#NUM!</v>
      </c>
      <c r="E15" s="348">
        <f>D5</f>
        <v>900</v>
      </c>
      <c r="F15" s="348"/>
      <c r="G15" s="44">
        <v>0</v>
      </c>
      <c r="I15" s="106">
        <f>ROUND(MIN(IF(B16&lt;=$D$7,E16*$D$6*(C15-J6)/365,0)),2)</f>
        <v>0</v>
      </c>
      <c r="L15" s="107">
        <f>ROUND(E15-F15,2)</f>
        <v>900</v>
      </c>
      <c r="N15" s="350"/>
      <c r="O15" s="351"/>
      <c r="P15" s="352"/>
      <c r="Q15" s="352"/>
    </row>
    <row r="16" spans="1:19" ht="12.75" customHeight="1" x14ac:dyDescent="0.25">
      <c r="B16" s="303">
        <f t="shared" ref="B16:B79" si="0">B15+1</f>
        <v>1</v>
      </c>
      <c r="C16" s="58">
        <f>J8</f>
        <v>0</v>
      </c>
      <c r="D16" s="44">
        <f>IF(B16=$D$8,L15+G16+H16,IF(B16&gt;$D$8,0,ROUNDUP($D$9,2)))</f>
        <v>900</v>
      </c>
      <c r="E16" s="44">
        <f t="shared" ref="E16:E79" si="1">L15</f>
        <v>900</v>
      </c>
      <c r="F16" s="44">
        <f t="shared" ref="F16:F79" si="2">ROUND(IFERROR(MIN(MAX(D16-H16-G16,0),L15),0),2)</f>
        <v>900</v>
      </c>
      <c r="G16" s="106">
        <f t="shared" ref="G16:G47" si="3">ROUND(IFERROR((IF(B16&lt;=$D$8,(E16+IF(Loan_Type&lt;&gt;"Tax Loan",I15,0))*$D$6*30/360,0)),0),2)</f>
        <v>0</v>
      </c>
      <c r="H16" s="106">
        <f>ROUND(IF(B16&lt;$D$8,MIN(I15,D16-G16),IF(B16=$D$8,$I$15-SUM($H$15:$H15),0)),2)</f>
        <v>0</v>
      </c>
      <c r="I16" s="357">
        <f>I15-H16</f>
        <v>0</v>
      </c>
      <c r="J16" s="107"/>
      <c r="L16" s="107">
        <f t="shared" ref="L16:L79" si="4">ROUND(E16-F16,2)</f>
        <v>0</v>
      </c>
      <c r="N16" s="338">
        <f t="shared" ref="N16:N79" si="5">F16/$D$5</f>
        <v>1</v>
      </c>
      <c r="O16" s="339"/>
      <c r="P16" s="307">
        <f>IFERROR(IF(MONTH($C16)=MONTH($J$6),SUMIFS(F$15:F16,$C$15:$C16,"&gt;"&amp;EOMONTH($C16,-12)),""),"")</f>
        <v>0</v>
      </c>
      <c r="Q16" s="307">
        <f>IFERROR(IF(MONTH($C16)=MONTH($J$6),SUMIFS(G$15:G16,$C$15:$C16,"&gt;"&amp;EOMONTH($C16,-12))+SUMIFS(H$15:H16,$C$15:$C16,"&gt;"&amp;EOMONTH($C16,-12)),""),"")</f>
        <v>0</v>
      </c>
    </row>
    <row r="17" spans="2:17" ht="12.75" customHeight="1" x14ac:dyDescent="0.25">
      <c r="B17">
        <f>B16+1</f>
        <v>2</v>
      </c>
      <c r="C17" s="58" t="str">
        <f t="shared" ref="C17:C80" si="6">IF(L16&lt;=0,"",EDATE($J$8,B17-1))</f>
        <v/>
      </c>
      <c r="D17" s="44">
        <f t="shared" ref="D17:D80" si="7">IF(B17=$D$8,L16+G17+H17,IF(B17&gt;$D$8,0,ROUNDUP($D$9,2)))</f>
        <v>0</v>
      </c>
      <c r="E17" s="107">
        <f t="shared" si="1"/>
        <v>0</v>
      </c>
      <c r="F17" s="44">
        <f t="shared" si="2"/>
        <v>0</v>
      </c>
      <c r="G17" s="106">
        <f t="shared" si="3"/>
        <v>0</v>
      </c>
      <c r="H17" s="106">
        <f>ROUND(IF(B17&lt;$D$8,MIN(I16,D17-G17),IF(B17=$D$8,$I$15-SUM($H$15:$H16),0)),2)</f>
        <v>0</v>
      </c>
      <c r="I17" s="44">
        <f t="shared" ref="I17:I80" si="8">I16-H17</f>
        <v>0</v>
      </c>
      <c r="J17" s="107"/>
      <c r="L17" s="107">
        <f t="shared" si="4"/>
        <v>0</v>
      </c>
      <c r="N17" s="338">
        <f t="shared" si="5"/>
        <v>0</v>
      </c>
      <c r="O17" s="339"/>
      <c r="P17" s="307" t="str">
        <f>IFERROR(IF(MONTH($C17)=MONTH($J$6),SUMIFS(F$15:F17,$C$15:$C17,"&gt;"&amp;EOMONTH($C17,-12)),""),"")</f>
        <v/>
      </c>
      <c r="Q17" s="307" t="str">
        <f>IFERROR(IF(MONTH($C17)=MONTH($J$6),SUMIFS(G$15:G17,$C$15:$C17,"&gt;"&amp;EOMONTH($C17,-12))+SUMIFS(H$15:H17,$C$15:$C17,"&gt;"&amp;EOMONTH($C17,-12)),""),"")</f>
        <v/>
      </c>
    </row>
    <row r="18" spans="2:17" ht="12.75" customHeight="1" x14ac:dyDescent="0.25">
      <c r="B18" s="303">
        <f t="shared" si="0"/>
        <v>3</v>
      </c>
      <c r="C18" s="58" t="str">
        <f t="shared" si="6"/>
        <v/>
      </c>
      <c r="D18" s="44">
        <f t="shared" si="7"/>
        <v>0</v>
      </c>
      <c r="E18" s="353">
        <f t="shared" si="1"/>
        <v>0</v>
      </c>
      <c r="F18" s="44">
        <f t="shared" si="2"/>
        <v>0</v>
      </c>
      <c r="G18" s="106">
        <f t="shared" si="3"/>
        <v>0</v>
      </c>
      <c r="H18" s="106">
        <f>ROUND(IF(B18&lt;$D$8,MIN(I17,D18-G18),IF(B18=$D$8,$I$15-SUM($H$15:$H17),0)),2)</f>
        <v>0</v>
      </c>
      <c r="I18" s="44">
        <f t="shared" si="8"/>
        <v>0</v>
      </c>
      <c r="J18" s="107"/>
      <c r="L18" s="107">
        <f t="shared" si="4"/>
        <v>0</v>
      </c>
      <c r="N18" s="338">
        <f t="shared" si="5"/>
        <v>0</v>
      </c>
      <c r="O18" s="339"/>
      <c r="P18" s="307" t="str">
        <f>IFERROR(IF(MONTH($C18)=MONTH($J$6),SUMIFS(F$15:F18,$C$15:$C18,"&gt;"&amp;EOMONTH($C18,-12)),""),"")</f>
        <v/>
      </c>
      <c r="Q18" s="307" t="str">
        <f>IFERROR(IF(MONTH($C18)=MONTH($J$6),SUMIFS(G$15:G18,$C$15:$C18,"&gt;"&amp;EOMONTH($C18,-12))+SUMIFS(H$15:H18,$C$15:$C18,"&gt;"&amp;EOMONTH($C18,-12)),""),"")</f>
        <v/>
      </c>
    </row>
    <row r="19" spans="2:17" ht="12.75" customHeight="1" x14ac:dyDescent="0.25">
      <c r="B19">
        <f t="shared" si="0"/>
        <v>4</v>
      </c>
      <c r="C19" s="58" t="str">
        <f t="shared" si="6"/>
        <v/>
      </c>
      <c r="D19" s="44">
        <f t="shared" si="7"/>
        <v>0</v>
      </c>
      <c r="E19" s="107">
        <f t="shared" si="1"/>
        <v>0</v>
      </c>
      <c r="F19" s="44">
        <f t="shared" si="2"/>
        <v>0</v>
      </c>
      <c r="G19" s="106">
        <f t="shared" si="3"/>
        <v>0</v>
      </c>
      <c r="H19" s="106">
        <f>ROUND(IF(B19&lt;$D$8,MIN(I18,D19-G19),IF(B19=$D$8,$I$15-SUM($H$15:$H18),0)),2)</f>
        <v>0</v>
      </c>
      <c r="I19" s="44">
        <f t="shared" si="8"/>
        <v>0</v>
      </c>
      <c r="J19" s="107"/>
      <c r="L19" s="107">
        <f t="shared" si="4"/>
        <v>0</v>
      </c>
      <c r="N19" s="338">
        <f t="shared" si="5"/>
        <v>0</v>
      </c>
      <c r="O19" s="339"/>
      <c r="P19" s="307" t="str">
        <f>IFERROR(IF(MONTH($C19)=MONTH($J$6),SUMIFS(F$15:F19,$C$15:$C19,"&gt;"&amp;EOMONTH($C19,-12)),""),"")</f>
        <v/>
      </c>
      <c r="Q19" s="307" t="str">
        <f>IFERROR(IF(MONTH($C19)=MONTH($J$6),SUMIFS(G$15:G19,$C$15:$C19,"&gt;"&amp;EOMONTH($C19,-12))+SUMIFS(H$15:H19,$C$15:$C19,"&gt;"&amp;EOMONTH($C19,-12)),""),"")</f>
        <v/>
      </c>
    </row>
    <row r="20" spans="2:17" ht="12.75" customHeight="1" x14ac:dyDescent="0.25">
      <c r="B20">
        <f t="shared" si="0"/>
        <v>5</v>
      </c>
      <c r="C20" s="58" t="str">
        <f t="shared" si="6"/>
        <v/>
      </c>
      <c r="D20" s="44">
        <f t="shared" si="7"/>
        <v>0</v>
      </c>
      <c r="E20" s="107">
        <f t="shared" si="1"/>
        <v>0</v>
      </c>
      <c r="F20" s="44">
        <f t="shared" si="2"/>
        <v>0</v>
      </c>
      <c r="G20" s="106">
        <f t="shared" si="3"/>
        <v>0</v>
      </c>
      <c r="H20" s="106">
        <f>ROUND(IF(B20&lt;$D$8,MIN(I19,D20-G20),IF(B20=$D$8,$I$15-SUM($H$15:$H19),0)),2)</f>
        <v>0</v>
      </c>
      <c r="I20" s="44">
        <f t="shared" si="8"/>
        <v>0</v>
      </c>
      <c r="J20" s="107"/>
      <c r="L20" s="107">
        <f t="shared" si="4"/>
        <v>0</v>
      </c>
      <c r="N20" s="338">
        <f t="shared" si="5"/>
        <v>0</v>
      </c>
      <c r="O20" s="339"/>
      <c r="P20" s="307" t="str">
        <f>IFERROR(IF(MONTH($C20)=MONTH($J$6),SUMIFS(F$15:F20,$C$15:$C20,"&gt;"&amp;EOMONTH($C20,-12)),""),"")</f>
        <v/>
      </c>
      <c r="Q20" s="307" t="str">
        <f>IFERROR(IF(MONTH($C20)=MONTH($J$6),SUMIFS(G$15:G20,$C$15:$C20,"&gt;"&amp;EOMONTH($C20,-12))+SUMIFS(H$15:H20,$C$15:$C20,"&gt;"&amp;EOMONTH($C20,-12)),""),"")</f>
        <v/>
      </c>
    </row>
    <row r="21" spans="2:17" ht="12.75" customHeight="1" x14ac:dyDescent="0.25">
      <c r="B21" s="303">
        <f t="shared" si="0"/>
        <v>6</v>
      </c>
      <c r="C21" s="58" t="str">
        <f t="shared" si="6"/>
        <v/>
      </c>
      <c r="D21" s="44">
        <f t="shared" si="7"/>
        <v>0</v>
      </c>
      <c r="E21" s="353">
        <f t="shared" si="1"/>
        <v>0</v>
      </c>
      <c r="F21" s="44">
        <f t="shared" si="2"/>
        <v>0</v>
      </c>
      <c r="G21" s="106">
        <f t="shared" si="3"/>
        <v>0</v>
      </c>
      <c r="H21" s="106">
        <f>ROUND(IF(B21&lt;$D$8,MIN(I20,D21-G21),IF(B21=$D$8,$I$15-SUM($H$15:$H20),0)),2)</f>
        <v>0</v>
      </c>
      <c r="I21" s="44">
        <f t="shared" si="8"/>
        <v>0</v>
      </c>
      <c r="J21" s="107"/>
      <c r="L21" s="107">
        <f t="shared" si="4"/>
        <v>0</v>
      </c>
      <c r="N21" s="338">
        <f t="shared" si="5"/>
        <v>0</v>
      </c>
      <c r="O21" s="339"/>
      <c r="P21" s="307" t="str">
        <f>IFERROR(IF(MONTH($C21)=MONTH($J$6),SUMIFS(F$15:F21,$C$15:$C21,"&gt;"&amp;EOMONTH($C21,-12)),""),"")</f>
        <v/>
      </c>
      <c r="Q21" s="307" t="str">
        <f>IFERROR(IF(MONTH($C21)=MONTH($J$6),SUMIFS(G$15:G21,$C$15:$C21,"&gt;"&amp;EOMONTH($C21,-12))+SUMIFS(H$15:H21,$C$15:$C21,"&gt;"&amp;EOMONTH($C21,-12)),""),"")</f>
        <v/>
      </c>
    </row>
    <row r="22" spans="2:17" ht="12.75" customHeight="1" x14ac:dyDescent="0.25">
      <c r="B22" s="303">
        <f t="shared" si="0"/>
        <v>7</v>
      </c>
      <c r="C22" s="58" t="str">
        <f t="shared" si="6"/>
        <v/>
      </c>
      <c r="D22" s="44">
        <f t="shared" si="7"/>
        <v>0</v>
      </c>
      <c r="E22" s="353">
        <f t="shared" si="1"/>
        <v>0</v>
      </c>
      <c r="F22" s="44">
        <f t="shared" si="2"/>
        <v>0</v>
      </c>
      <c r="G22" s="106">
        <f t="shared" si="3"/>
        <v>0</v>
      </c>
      <c r="H22" s="106">
        <f>ROUND(IF(B22&lt;$D$8,MIN(I21,D22-G22),IF(B22=$D$8,$I$15-SUM($H$15:$H21),0)),2)</f>
        <v>0</v>
      </c>
      <c r="I22" s="44">
        <f t="shared" si="8"/>
        <v>0</v>
      </c>
      <c r="J22" s="107"/>
      <c r="L22" s="107">
        <f t="shared" si="4"/>
        <v>0</v>
      </c>
      <c r="N22" s="338">
        <f t="shared" si="5"/>
        <v>0</v>
      </c>
      <c r="O22" s="339"/>
      <c r="P22" s="307" t="str">
        <f>IFERROR(IF(MONTH($C22)=MONTH($J$6),SUMIFS(F$15:F22,$C$15:$C22,"&gt;"&amp;EOMONTH($C22,-12)),""),"")</f>
        <v/>
      </c>
      <c r="Q22" s="307" t="str">
        <f>IFERROR(IF(MONTH($C22)=MONTH($J$6),SUMIFS(G$15:G22,$C$15:$C22,"&gt;"&amp;EOMONTH($C22,-12))+SUMIFS(H$15:H22,$C$15:$C22,"&gt;"&amp;EOMONTH($C22,-12)),""),"")</f>
        <v/>
      </c>
    </row>
    <row r="23" spans="2:17" ht="12.75" customHeight="1" x14ac:dyDescent="0.25">
      <c r="B23">
        <f t="shared" si="0"/>
        <v>8</v>
      </c>
      <c r="C23" s="58" t="str">
        <f t="shared" si="6"/>
        <v/>
      </c>
      <c r="D23" s="44">
        <f t="shared" si="7"/>
        <v>0</v>
      </c>
      <c r="E23" s="107">
        <f t="shared" si="1"/>
        <v>0</v>
      </c>
      <c r="F23" s="44">
        <f t="shared" si="2"/>
        <v>0</v>
      </c>
      <c r="G23" s="106">
        <f t="shared" si="3"/>
        <v>0</v>
      </c>
      <c r="H23" s="106">
        <f>ROUND(IF(B23&lt;$D$8,MIN(I22,D23-G23),IF(B23=$D$8,$I$15-SUM($H$15:$H22),0)),2)</f>
        <v>0</v>
      </c>
      <c r="I23" s="44">
        <f t="shared" si="8"/>
        <v>0</v>
      </c>
      <c r="J23" s="107"/>
      <c r="L23" s="107">
        <f t="shared" si="4"/>
        <v>0</v>
      </c>
      <c r="N23" s="338">
        <f t="shared" si="5"/>
        <v>0</v>
      </c>
      <c r="O23" s="339"/>
      <c r="P23" s="307" t="str">
        <f>IFERROR(IF(MONTH($C23)=MONTH($J$6),SUMIFS(F$15:F23,$C$15:$C23,"&gt;"&amp;EOMONTH($C23,-12)),""),"")</f>
        <v/>
      </c>
      <c r="Q23" s="307" t="str">
        <f>IFERROR(IF(MONTH($C23)=MONTH($J$6),SUMIFS(G$15:G23,$C$15:$C23,"&gt;"&amp;EOMONTH($C23,-12))+SUMIFS(H$15:H23,$C$15:$C23,"&gt;"&amp;EOMONTH($C23,-12)),""),"")</f>
        <v/>
      </c>
    </row>
    <row r="24" spans="2:17" ht="12.75" customHeight="1" x14ac:dyDescent="0.25">
      <c r="B24">
        <f t="shared" si="0"/>
        <v>9</v>
      </c>
      <c r="C24" s="58" t="str">
        <f t="shared" si="6"/>
        <v/>
      </c>
      <c r="D24" s="44">
        <f t="shared" si="7"/>
        <v>0</v>
      </c>
      <c r="E24" s="107">
        <f t="shared" si="1"/>
        <v>0</v>
      </c>
      <c r="F24" s="44">
        <f t="shared" si="2"/>
        <v>0</v>
      </c>
      <c r="G24" s="106">
        <f t="shared" si="3"/>
        <v>0</v>
      </c>
      <c r="H24" s="106">
        <f>ROUND(IF(B24&lt;$D$8,MIN(I23,D24-G24),IF(B24=$D$8,$I$15-SUM($H$15:$H23),0)),2)</f>
        <v>0</v>
      </c>
      <c r="I24" s="44">
        <f t="shared" si="8"/>
        <v>0</v>
      </c>
      <c r="J24" s="107"/>
      <c r="L24" s="107">
        <f t="shared" si="4"/>
        <v>0</v>
      </c>
      <c r="N24" s="338">
        <f t="shared" si="5"/>
        <v>0</v>
      </c>
      <c r="O24" s="339"/>
      <c r="P24" s="307" t="str">
        <f>IFERROR(IF(MONTH($C24)=MONTH($J$6),SUMIFS(F$15:F24,$C$15:$C24,"&gt;"&amp;EOMONTH($C24,-12)),""),"")</f>
        <v/>
      </c>
      <c r="Q24" s="307" t="str">
        <f>IFERROR(IF(MONTH($C24)=MONTH($J$6),SUMIFS(G$15:G24,$C$15:$C24,"&gt;"&amp;EOMONTH($C24,-12))+SUMIFS(H$15:H24,$C$15:$C24,"&gt;"&amp;EOMONTH($C24,-12)),""),"")</f>
        <v/>
      </c>
    </row>
    <row r="25" spans="2:17" ht="12.75" customHeight="1" x14ac:dyDescent="0.25">
      <c r="B25">
        <f t="shared" si="0"/>
        <v>10</v>
      </c>
      <c r="C25" s="58" t="str">
        <f t="shared" si="6"/>
        <v/>
      </c>
      <c r="D25" s="44">
        <f t="shared" si="7"/>
        <v>0</v>
      </c>
      <c r="E25" s="107">
        <f t="shared" si="1"/>
        <v>0</v>
      </c>
      <c r="F25" s="44">
        <f t="shared" si="2"/>
        <v>0</v>
      </c>
      <c r="G25" s="106">
        <f t="shared" si="3"/>
        <v>0</v>
      </c>
      <c r="H25" s="106">
        <f>ROUND(IF(B25&lt;$D$8,MIN(I24,D25-G25),IF(B25=$D$8,$I$15-SUM($H$15:$H24),0)),2)</f>
        <v>0</v>
      </c>
      <c r="I25" s="44">
        <f t="shared" si="8"/>
        <v>0</v>
      </c>
      <c r="J25" s="107"/>
      <c r="L25" s="107">
        <f t="shared" si="4"/>
        <v>0</v>
      </c>
      <c r="N25" s="338">
        <f t="shared" si="5"/>
        <v>0</v>
      </c>
      <c r="O25" s="339"/>
      <c r="P25" s="307" t="str">
        <f>IFERROR(IF(MONTH($C25)=MONTH($J$6),SUMIFS(F$15:F25,$C$15:$C25,"&gt;"&amp;EOMONTH($C25,-12)),""),"")</f>
        <v/>
      </c>
      <c r="Q25" s="307" t="str">
        <f>IFERROR(IF(MONTH($C25)=MONTH($J$6),SUMIFS(G$15:G25,$C$15:$C25,"&gt;"&amp;EOMONTH($C25,-12))+SUMIFS(H$15:H25,$C$15:$C25,"&gt;"&amp;EOMONTH($C25,-12)),""),"")</f>
        <v/>
      </c>
    </row>
    <row r="26" spans="2:17" ht="12.75" customHeight="1" x14ac:dyDescent="0.25">
      <c r="B26">
        <f t="shared" si="0"/>
        <v>11</v>
      </c>
      <c r="C26" s="58" t="str">
        <f t="shared" si="6"/>
        <v/>
      </c>
      <c r="D26" s="44">
        <f t="shared" si="7"/>
        <v>0</v>
      </c>
      <c r="E26" s="107">
        <f t="shared" si="1"/>
        <v>0</v>
      </c>
      <c r="F26" s="44">
        <f t="shared" si="2"/>
        <v>0</v>
      </c>
      <c r="G26" s="106">
        <f t="shared" si="3"/>
        <v>0</v>
      </c>
      <c r="H26" s="106">
        <f>ROUND(IF(B26&lt;$D$8,MIN(I25,D26-G26),IF(B26=$D$8,$I$15-SUM($H$15:$H25),0)),2)</f>
        <v>0</v>
      </c>
      <c r="I26" s="44">
        <f t="shared" si="8"/>
        <v>0</v>
      </c>
      <c r="J26" s="107"/>
      <c r="L26" s="107">
        <f t="shared" si="4"/>
        <v>0</v>
      </c>
      <c r="N26" s="338">
        <f t="shared" si="5"/>
        <v>0</v>
      </c>
      <c r="O26" s="339"/>
      <c r="P26" s="307" t="str">
        <f>IFERROR(IF(MONTH($C26)=MONTH($J$6),SUMIFS(F$15:F26,$C$15:$C26,"&gt;"&amp;EOMONTH($C26,-12)),""),"")</f>
        <v/>
      </c>
      <c r="Q26" s="307" t="str">
        <f>IFERROR(IF(MONTH($C26)=MONTH($J$6),SUMIFS(G$15:G26,$C$15:$C26,"&gt;"&amp;EOMONTH($C26,-12))+SUMIFS(H$15:H26,$C$15:$C26,"&gt;"&amp;EOMONTH($C26,-12)),""),"")</f>
        <v/>
      </c>
    </row>
    <row r="27" spans="2:17" ht="12.75" customHeight="1" x14ac:dyDescent="0.25">
      <c r="B27">
        <f t="shared" si="0"/>
        <v>12</v>
      </c>
      <c r="C27" s="58" t="str">
        <f t="shared" si="6"/>
        <v/>
      </c>
      <c r="D27" s="44">
        <f t="shared" si="7"/>
        <v>0</v>
      </c>
      <c r="E27" s="107">
        <f t="shared" si="1"/>
        <v>0</v>
      </c>
      <c r="F27" s="44">
        <f t="shared" si="2"/>
        <v>0</v>
      </c>
      <c r="G27" s="106">
        <f t="shared" si="3"/>
        <v>0</v>
      </c>
      <c r="H27" s="106">
        <f>ROUND(IF(B27&lt;$D$8,MIN(I26,D27-G27),IF(B27=$D$8,$I$15-SUM($H$15:$H26),0)),2)</f>
        <v>0</v>
      </c>
      <c r="I27" s="357">
        <f t="shared" si="8"/>
        <v>0</v>
      </c>
      <c r="J27" s="107"/>
      <c r="L27" s="107">
        <f t="shared" si="4"/>
        <v>0</v>
      </c>
      <c r="N27" s="338">
        <f t="shared" si="5"/>
        <v>0</v>
      </c>
      <c r="O27" s="339"/>
      <c r="P27" s="307" t="str">
        <f>IFERROR(IF(MONTH($C27)=MONTH($J$6),SUMIFS(F$15:F27,$C$15:$C27,"&gt;"&amp;EOMONTH($C27,-12)),""),"")</f>
        <v/>
      </c>
      <c r="Q27" s="307" t="str">
        <f>IFERROR(IF(MONTH($C27)=MONTH($J$6),SUMIFS(G$15:G27,$C$15:$C27,"&gt;"&amp;EOMONTH($C27,-12))+SUMIFS(H$15:H27,$C$15:$C27,"&gt;"&amp;EOMONTH($C27,-12)),""),"")</f>
        <v/>
      </c>
    </row>
    <row r="28" spans="2:17" ht="12.75" customHeight="1" x14ac:dyDescent="0.25">
      <c r="B28">
        <f t="shared" si="0"/>
        <v>13</v>
      </c>
      <c r="C28" s="58" t="str">
        <f t="shared" si="6"/>
        <v/>
      </c>
      <c r="D28" s="44">
        <f t="shared" si="7"/>
        <v>0</v>
      </c>
      <c r="E28" s="107">
        <f t="shared" si="1"/>
        <v>0</v>
      </c>
      <c r="F28" s="44">
        <f t="shared" si="2"/>
        <v>0</v>
      </c>
      <c r="G28" s="106">
        <f t="shared" si="3"/>
        <v>0</v>
      </c>
      <c r="H28" s="106">
        <f>ROUND(IF(B28&lt;$D$8,MIN(I27,D28-G28),IF(B28=$D$8,$I$15-SUM($H$15:$H27),0)),2)</f>
        <v>0</v>
      </c>
      <c r="I28" s="44">
        <f t="shared" si="8"/>
        <v>0</v>
      </c>
      <c r="J28" s="107"/>
      <c r="L28" s="107">
        <f t="shared" si="4"/>
        <v>0</v>
      </c>
      <c r="N28" s="338">
        <f t="shared" si="5"/>
        <v>0</v>
      </c>
      <c r="O28" s="339"/>
      <c r="P28" s="307" t="str">
        <f>IFERROR(IF(MONTH($C28)=MONTH($J$6),SUMIFS(F$15:F28,$C$15:$C28,"&gt;"&amp;EOMONTH($C28,-12)),""),"")</f>
        <v/>
      </c>
      <c r="Q28" s="307" t="str">
        <f>IFERROR(IF(MONTH($C28)=MONTH($J$6),SUMIFS(G$15:G28,$C$15:$C28,"&gt;"&amp;EOMONTH($C28,-12))+SUMIFS(H$15:H28,$C$15:$C28,"&gt;"&amp;EOMONTH($C28,-12)),""),"")</f>
        <v/>
      </c>
    </row>
    <row r="29" spans="2:17" ht="12.75" customHeight="1" x14ac:dyDescent="0.25">
      <c r="B29">
        <f t="shared" si="0"/>
        <v>14</v>
      </c>
      <c r="C29" s="58" t="str">
        <f t="shared" si="6"/>
        <v/>
      </c>
      <c r="D29" s="44">
        <f t="shared" si="7"/>
        <v>0</v>
      </c>
      <c r="E29" s="107">
        <f t="shared" si="1"/>
        <v>0</v>
      </c>
      <c r="F29" s="44">
        <f t="shared" si="2"/>
        <v>0</v>
      </c>
      <c r="G29" s="106">
        <f t="shared" si="3"/>
        <v>0</v>
      </c>
      <c r="H29" s="106">
        <f>ROUND(IF(B29&lt;$D$8,MIN(I28,D29-G29),IF(B29=$D$8,$I$15-SUM($H$15:$H28),0)),2)</f>
        <v>0</v>
      </c>
      <c r="I29" s="44">
        <f t="shared" si="8"/>
        <v>0</v>
      </c>
      <c r="J29" s="107"/>
      <c r="L29" s="107">
        <f t="shared" si="4"/>
        <v>0</v>
      </c>
      <c r="N29" s="338">
        <f t="shared" si="5"/>
        <v>0</v>
      </c>
      <c r="O29" s="339"/>
      <c r="P29" s="307" t="str">
        <f>IFERROR(IF(MONTH($C29)=MONTH($J$6),SUMIFS(F$15:F29,$C$15:$C29,"&gt;"&amp;EOMONTH($C29,-12)),""),"")</f>
        <v/>
      </c>
      <c r="Q29" s="307" t="str">
        <f>IFERROR(IF(MONTH($C29)=MONTH($J$6),SUMIFS(G$15:G29,$C$15:$C29,"&gt;"&amp;EOMONTH($C29,-12))+SUMIFS(H$15:H29,$C$15:$C29,"&gt;"&amp;EOMONTH($C29,-12)),""),"")</f>
        <v/>
      </c>
    </row>
    <row r="30" spans="2:17" ht="12.75" customHeight="1" x14ac:dyDescent="0.25">
      <c r="B30">
        <f t="shared" si="0"/>
        <v>15</v>
      </c>
      <c r="C30" s="58" t="str">
        <f t="shared" si="6"/>
        <v/>
      </c>
      <c r="D30" s="44">
        <f t="shared" si="7"/>
        <v>0</v>
      </c>
      <c r="E30" s="107">
        <f t="shared" si="1"/>
        <v>0</v>
      </c>
      <c r="F30" s="44">
        <f t="shared" si="2"/>
        <v>0</v>
      </c>
      <c r="G30" s="106">
        <f t="shared" si="3"/>
        <v>0</v>
      </c>
      <c r="H30" s="106">
        <f>ROUND(IF(B30&lt;$D$8,MIN(I29,D30-G30),IF(B30=$D$8,$I$15-SUM($H$15:$H29),0)),2)</f>
        <v>0</v>
      </c>
      <c r="I30" s="44">
        <f t="shared" si="8"/>
        <v>0</v>
      </c>
      <c r="J30" s="107"/>
      <c r="L30" s="107">
        <f t="shared" si="4"/>
        <v>0</v>
      </c>
      <c r="N30" s="338">
        <f t="shared" si="5"/>
        <v>0</v>
      </c>
      <c r="O30" s="339"/>
      <c r="P30" s="307" t="str">
        <f>IFERROR(IF(MONTH($C30)=MONTH($J$6),SUMIFS(F$15:F30,$C$15:$C30,"&gt;"&amp;EOMONTH($C30,-12)),""),"")</f>
        <v/>
      </c>
      <c r="Q30" s="307" t="str">
        <f>IFERROR(IF(MONTH($C30)=MONTH($J$6),SUMIFS(G$15:G30,$C$15:$C30,"&gt;"&amp;EOMONTH($C30,-12))+SUMIFS(H$15:H30,$C$15:$C30,"&gt;"&amp;EOMONTH($C30,-12)),""),"")</f>
        <v/>
      </c>
    </row>
    <row r="31" spans="2:17" ht="12.75" customHeight="1" x14ac:dyDescent="0.25">
      <c r="B31">
        <f t="shared" si="0"/>
        <v>16</v>
      </c>
      <c r="C31" s="58" t="str">
        <f t="shared" si="6"/>
        <v/>
      </c>
      <c r="D31" s="44">
        <f t="shared" si="7"/>
        <v>0</v>
      </c>
      <c r="E31" s="107">
        <f t="shared" si="1"/>
        <v>0</v>
      </c>
      <c r="F31" s="44">
        <f t="shared" si="2"/>
        <v>0</v>
      </c>
      <c r="G31" s="106">
        <f t="shared" si="3"/>
        <v>0</v>
      </c>
      <c r="H31" s="106">
        <f>ROUND(IF(B31&lt;$D$8,MIN(I30,D31-G31),IF(B31=$D$8,$I$15-SUM($H$15:$H30),0)),2)</f>
        <v>0</v>
      </c>
      <c r="I31" s="44">
        <f t="shared" si="8"/>
        <v>0</v>
      </c>
      <c r="J31" s="107"/>
      <c r="L31" s="107">
        <f t="shared" si="4"/>
        <v>0</v>
      </c>
      <c r="N31" s="338">
        <f t="shared" si="5"/>
        <v>0</v>
      </c>
      <c r="O31" s="339"/>
      <c r="P31" s="307" t="str">
        <f>IFERROR(IF(MONTH($C31)=MONTH($J$6),SUMIFS(F$15:F31,$C$15:$C31,"&gt;"&amp;EOMONTH($C31,-12)),""),"")</f>
        <v/>
      </c>
      <c r="Q31" s="307" t="str">
        <f>IFERROR(IF(MONTH($C31)=MONTH($J$6),SUMIFS(G$15:G31,$C$15:$C31,"&gt;"&amp;EOMONTH($C31,-12))+SUMIFS(H$15:H31,$C$15:$C31,"&gt;"&amp;EOMONTH($C31,-12)),""),"")</f>
        <v/>
      </c>
    </row>
    <row r="32" spans="2:17" ht="12.75" customHeight="1" x14ac:dyDescent="0.25">
      <c r="B32">
        <f t="shared" si="0"/>
        <v>17</v>
      </c>
      <c r="C32" s="58" t="str">
        <f t="shared" si="6"/>
        <v/>
      </c>
      <c r="D32" s="44">
        <f t="shared" si="7"/>
        <v>0</v>
      </c>
      <c r="E32" s="107">
        <f t="shared" si="1"/>
        <v>0</v>
      </c>
      <c r="F32" s="44">
        <f t="shared" si="2"/>
        <v>0</v>
      </c>
      <c r="G32" s="106">
        <f t="shared" si="3"/>
        <v>0</v>
      </c>
      <c r="H32" s="358">
        <f>ROUND(IF(B32&lt;$D$8,MIN(I31,D32-G32),IF(B32=$D$8,$I$15-SUM($H$15:$H31),0)),2)</f>
        <v>0</v>
      </c>
      <c r="I32" s="357">
        <f t="shared" si="8"/>
        <v>0</v>
      </c>
      <c r="J32" s="107"/>
      <c r="L32" s="107">
        <f t="shared" si="4"/>
        <v>0</v>
      </c>
      <c r="N32" s="338">
        <f t="shared" si="5"/>
        <v>0</v>
      </c>
      <c r="O32" s="339"/>
      <c r="P32" s="307" t="str">
        <f>IFERROR(IF(MONTH($C32)=MONTH($J$6),SUMIFS(F$15:F32,$C$15:$C32,"&gt;"&amp;EOMONTH($C32,-12)),""),"")</f>
        <v/>
      </c>
      <c r="Q32" s="307" t="str">
        <f>IFERROR(IF(MONTH($C32)=MONTH($J$6),SUMIFS(G$15:G32,$C$15:$C32,"&gt;"&amp;EOMONTH($C32,-12))+SUMIFS(H$15:H32,$C$15:$C32,"&gt;"&amp;EOMONTH($C32,-12)),""),"")</f>
        <v/>
      </c>
    </row>
    <row r="33" spans="2:17" ht="12.75" customHeight="1" x14ac:dyDescent="0.25">
      <c r="B33">
        <f t="shared" si="0"/>
        <v>18</v>
      </c>
      <c r="C33" s="58" t="str">
        <f t="shared" si="6"/>
        <v/>
      </c>
      <c r="D33" s="44">
        <f t="shared" si="7"/>
        <v>0</v>
      </c>
      <c r="E33" s="107">
        <f t="shared" si="1"/>
        <v>0</v>
      </c>
      <c r="F33" s="44">
        <f t="shared" si="2"/>
        <v>0</v>
      </c>
      <c r="G33" s="106">
        <f t="shared" si="3"/>
        <v>0</v>
      </c>
      <c r="H33" s="358">
        <f>ROUND(IF(B33&lt;$D$8,MIN(I32,D33-G33),IF(B33=$D$8,$I$15-SUM($H$15:$H32),0)),2)</f>
        <v>0</v>
      </c>
      <c r="I33" s="357">
        <f t="shared" si="8"/>
        <v>0</v>
      </c>
      <c r="J33" s="107"/>
      <c r="L33" s="107">
        <f t="shared" si="4"/>
        <v>0</v>
      </c>
      <c r="N33" s="338">
        <f t="shared" si="5"/>
        <v>0</v>
      </c>
      <c r="O33" s="339"/>
      <c r="P33" s="307" t="str">
        <f>IFERROR(IF(MONTH($C33)=MONTH($J$6),SUMIFS(F$15:F33,$C$15:$C33,"&gt;"&amp;EOMONTH($C33,-12)),""),"")</f>
        <v/>
      </c>
      <c r="Q33" s="307" t="str">
        <f>IFERROR(IF(MONTH($C33)=MONTH($J$6),SUMIFS(G$15:G33,$C$15:$C33,"&gt;"&amp;EOMONTH($C33,-12))+SUMIFS(H$15:H33,$C$15:$C33,"&gt;"&amp;EOMONTH($C33,-12)),""),"")</f>
        <v/>
      </c>
    </row>
    <row r="34" spans="2:17" ht="12.75" customHeight="1" x14ac:dyDescent="0.25">
      <c r="B34">
        <f t="shared" si="0"/>
        <v>19</v>
      </c>
      <c r="C34" s="58" t="str">
        <f t="shared" si="6"/>
        <v/>
      </c>
      <c r="D34" s="44">
        <f t="shared" si="7"/>
        <v>0</v>
      </c>
      <c r="E34" s="107">
        <f t="shared" si="1"/>
        <v>0</v>
      </c>
      <c r="F34" s="44">
        <f t="shared" si="2"/>
        <v>0</v>
      </c>
      <c r="G34" s="106">
        <f t="shared" si="3"/>
        <v>0</v>
      </c>
      <c r="H34" s="358">
        <f>ROUND(IF(B34&lt;$D$8,MIN(I33,D34-G34),IF(B34=$D$8,$I$15-SUM($H$15:$H33),0)),2)</f>
        <v>0</v>
      </c>
      <c r="I34" s="357">
        <f t="shared" si="8"/>
        <v>0</v>
      </c>
      <c r="J34" s="107"/>
      <c r="L34" s="107">
        <f t="shared" si="4"/>
        <v>0</v>
      </c>
      <c r="N34" s="338">
        <f t="shared" si="5"/>
        <v>0</v>
      </c>
      <c r="O34" s="339"/>
      <c r="P34" s="307" t="str">
        <f>IFERROR(IF(MONTH($C34)=MONTH($J$6),SUMIFS(F$15:F34,$C$15:$C34,"&gt;"&amp;EOMONTH($C34,-12)),""),"")</f>
        <v/>
      </c>
      <c r="Q34" s="307" t="str">
        <f>IFERROR(IF(MONTH($C34)=MONTH($J$6),SUMIFS(G$15:G34,$C$15:$C34,"&gt;"&amp;EOMONTH($C34,-12))+SUMIFS(H$15:H34,$C$15:$C34,"&gt;"&amp;EOMONTH($C34,-12)),""),"")</f>
        <v/>
      </c>
    </row>
    <row r="35" spans="2:17" ht="12.75" customHeight="1" x14ac:dyDescent="0.25">
      <c r="B35">
        <f t="shared" si="0"/>
        <v>20</v>
      </c>
      <c r="C35" s="58" t="str">
        <f t="shared" si="6"/>
        <v/>
      </c>
      <c r="D35" s="44">
        <f t="shared" si="7"/>
        <v>0</v>
      </c>
      <c r="E35" s="107">
        <f t="shared" si="1"/>
        <v>0</v>
      </c>
      <c r="F35" s="44">
        <f t="shared" si="2"/>
        <v>0</v>
      </c>
      <c r="G35" s="106">
        <f t="shared" si="3"/>
        <v>0</v>
      </c>
      <c r="H35" s="106">
        <f>ROUND(IF(B35&lt;$D$8,MIN(I34,D35-G35),IF(B35=$D$8,$I$15-SUM($H$15:$H34),0)),2)</f>
        <v>0</v>
      </c>
      <c r="I35" s="44">
        <f t="shared" si="8"/>
        <v>0</v>
      </c>
      <c r="J35" s="107"/>
      <c r="L35" s="107">
        <f t="shared" si="4"/>
        <v>0</v>
      </c>
      <c r="N35" s="338">
        <f t="shared" si="5"/>
        <v>0</v>
      </c>
      <c r="O35" s="339"/>
      <c r="P35" s="307" t="str">
        <f>IFERROR(IF(MONTH($C35)=MONTH($J$6),SUMIFS(F$15:F35,$C$15:$C35,"&gt;"&amp;EOMONTH($C35,-12)),""),"")</f>
        <v/>
      </c>
      <c r="Q35" s="307" t="str">
        <f>IFERROR(IF(MONTH($C35)=MONTH($J$6),SUMIFS(G$15:G35,$C$15:$C35,"&gt;"&amp;EOMONTH($C35,-12))+SUMIFS(H$15:H35,$C$15:$C35,"&gt;"&amp;EOMONTH($C35,-12)),""),"")</f>
        <v/>
      </c>
    </row>
    <row r="36" spans="2:17" ht="12.75" customHeight="1" x14ac:dyDescent="0.25">
      <c r="B36">
        <f t="shared" si="0"/>
        <v>21</v>
      </c>
      <c r="C36" s="58" t="str">
        <f t="shared" si="6"/>
        <v/>
      </c>
      <c r="D36" s="44">
        <f t="shared" si="7"/>
        <v>0</v>
      </c>
      <c r="E36" s="107">
        <f t="shared" si="1"/>
        <v>0</v>
      </c>
      <c r="F36" s="44">
        <f t="shared" si="2"/>
        <v>0</v>
      </c>
      <c r="G36" s="106">
        <f t="shared" si="3"/>
        <v>0</v>
      </c>
      <c r="H36" s="106">
        <f>ROUND(IF(B36&lt;$D$8,MIN(I35,D36-G36),IF(B36=$D$8,$I$15-SUM($H$15:$H35),0)),2)</f>
        <v>0</v>
      </c>
      <c r="I36" s="358">
        <f t="shared" si="8"/>
        <v>0</v>
      </c>
      <c r="J36" s="107"/>
      <c r="L36" s="107">
        <f t="shared" si="4"/>
        <v>0</v>
      </c>
      <c r="N36" s="338">
        <f t="shared" si="5"/>
        <v>0</v>
      </c>
      <c r="O36" s="339"/>
      <c r="P36" s="307" t="str">
        <f>IFERROR(IF(MONTH($C36)=MONTH($J$6),SUMIFS(F$15:F36,$C$15:$C36,"&gt;"&amp;EOMONTH($C36,-12)),""),"")</f>
        <v/>
      </c>
      <c r="Q36" s="307" t="str">
        <f>IFERROR(IF(MONTH($C36)=MONTH($J$6),SUMIFS(G$15:G36,$C$15:$C36,"&gt;"&amp;EOMONTH($C36,-12))+SUMIFS(H$15:H36,$C$15:$C36,"&gt;"&amp;EOMONTH($C36,-12)),""),"")</f>
        <v/>
      </c>
    </row>
    <row r="37" spans="2:17" ht="12.75" customHeight="1" x14ac:dyDescent="0.25">
      <c r="B37">
        <f t="shared" si="0"/>
        <v>22</v>
      </c>
      <c r="C37" s="58" t="str">
        <f t="shared" si="6"/>
        <v/>
      </c>
      <c r="D37" s="44">
        <f t="shared" si="7"/>
        <v>0</v>
      </c>
      <c r="E37" s="107">
        <f t="shared" si="1"/>
        <v>0</v>
      </c>
      <c r="F37" s="44">
        <f t="shared" si="2"/>
        <v>0</v>
      </c>
      <c r="G37" s="106">
        <f t="shared" si="3"/>
        <v>0</v>
      </c>
      <c r="H37" s="106">
        <f>ROUND(IF(B37&lt;$D$8,MIN(I36,D37-G37),IF(B37=$D$8,$I$15-SUM($H$15:$H36),0)),2)</f>
        <v>0</v>
      </c>
      <c r="I37" s="44">
        <f t="shared" si="8"/>
        <v>0</v>
      </c>
      <c r="J37" s="107"/>
      <c r="L37" s="107">
        <f t="shared" si="4"/>
        <v>0</v>
      </c>
      <c r="N37" s="338">
        <f t="shared" si="5"/>
        <v>0</v>
      </c>
      <c r="O37" s="339"/>
      <c r="P37" s="307" t="str">
        <f>IFERROR(IF(MONTH($C37)=MONTH($J$6),SUMIFS(F$15:F37,$C$15:$C37,"&gt;"&amp;EOMONTH($C37,-12)),""),"")</f>
        <v/>
      </c>
      <c r="Q37" s="307" t="str">
        <f>IFERROR(IF(MONTH($C37)=MONTH($J$6),SUMIFS(G$15:G37,$C$15:$C37,"&gt;"&amp;EOMONTH($C37,-12))+SUMIFS(H$15:H37,$C$15:$C37,"&gt;"&amp;EOMONTH($C37,-12)),""),"")</f>
        <v/>
      </c>
    </row>
    <row r="38" spans="2:17" ht="12.75" customHeight="1" x14ac:dyDescent="0.25">
      <c r="B38">
        <f t="shared" si="0"/>
        <v>23</v>
      </c>
      <c r="C38" s="58" t="str">
        <f t="shared" si="6"/>
        <v/>
      </c>
      <c r="D38" s="44">
        <f t="shared" si="7"/>
        <v>0</v>
      </c>
      <c r="E38" s="107">
        <f t="shared" si="1"/>
        <v>0</v>
      </c>
      <c r="F38" s="44">
        <f t="shared" si="2"/>
        <v>0</v>
      </c>
      <c r="G38" s="106">
        <f t="shared" si="3"/>
        <v>0</v>
      </c>
      <c r="H38" s="106">
        <f>ROUND(IF(B38&lt;$D$8,MIN(I37,D38-G38),IF(B38=$D$8,$I$15-SUM($H$15:$H37),0)),2)</f>
        <v>0</v>
      </c>
      <c r="I38" s="44">
        <f t="shared" si="8"/>
        <v>0</v>
      </c>
      <c r="J38" s="107"/>
      <c r="L38" s="107">
        <f t="shared" si="4"/>
        <v>0</v>
      </c>
      <c r="N38" s="338">
        <f t="shared" si="5"/>
        <v>0</v>
      </c>
      <c r="O38" s="339"/>
      <c r="P38" s="307" t="str">
        <f>IFERROR(IF(MONTH($C38)=MONTH($J$6),SUMIFS(F$15:F38,$C$15:$C38,"&gt;"&amp;EOMONTH($C38,-12)),""),"")</f>
        <v/>
      </c>
      <c r="Q38" s="307" t="str">
        <f>IFERROR(IF(MONTH($C38)=MONTH($J$6),SUMIFS(G$15:G38,$C$15:$C38,"&gt;"&amp;EOMONTH($C38,-12))+SUMIFS(H$15:H38,$C$15:$C38,"&gt;"&amp;EOMONTH($C38,-12)),""),"")</f>
        <v/>
      </c>
    </row>
    <row r="39" spans="2:17" ht="12.75" customHeight="1" x14ac:dyDescent="0.25">
      <c r="B39">
        <f t="shared" si="0"/>
        <v>24</v>
      </c>
      <c r="C39" s="58" t="str">
        <f t="shared" si="6"/>
        <v/>
      </c>
      <c r="D39" s="44">
        <f t="shared" si="7"/>
        <v>0</v>
      </c>
      <c r="E39" s="107">
        <f t="shared" si="1"/>
        <v>0</v>
      </c>
      <c r="F39" s="44">
        <f t="shared" si="2"/>
        <v>0</v>
      </c>
      <c r="G39" s="106">
        <f t="shared" si="3"/>
        <v>0</v>
      </c>
      <c r="H39" s="106">
        <f>ROUND(IF(B39&lt;$D$8,MIN(I38,D39-G39),IF(B39=$D$8,$I$15-SUM($H$15:$H38),0)),2)</f>
        <v>0</v>
      </c>
      <c r="I39" s="44">
        <f t="shared" si="8"/>
        <v>0</v>
      </c>
      <c r="J39" s="107"/>
      <c r="L39" s="107">
        <f t="shared" si="4"/>
        <v>0</v>
      </c>
      <c r="N39" s="338">
        <f t="shared" si="5"/>
        <v>0</v>
      </c>
      <c r="O39" s="339"/>
      <c r="P39" s="307" t="str">
        <f>IFERROR(IF(MONTH($C39)=MONTH($J$6),SUMIFS(F$15:F39,$C$15:$C39,"&gt;"&amp;EOMONTH($C39,-12)),""),"")</f>
        <v/>
      </c>
      <c r="Q39" s="307" t="str">
        <f>IFERROR(IF(MONTH($C39)=MONTH($J$6),SUMIFS(G$15:G39,$C$15:$C39,"&gt;"&amp;EOMONTH($C39,-12))+SUMIFS(H$15:H39,$C$15:$C39,"&gt;"&amp;EOMONTH($C39,-12)),""),"")</f>
        <v/>
      </c>
    </row>
    <row r="40" spans="2:17" ht="12.75" customHeight="1" x14ac:dyDescent="0.25">
      <c r="B40">
        <f t="shared" si="0"/>
        <v>25</v>
      </c>
      <c r="C40" s="58" t="str">
        <f t="shared" si="6"/>
        <v/>
      </c>
      <c r="D40" s="44">
        <f t="shared" si="7"/>
        <v>0</v>
      </c>
      <c r="E40" s="107">
        <f t="shared" si="1"/>
        <v>0</v>
      </c>
      <c r="F40" s="44">
        <f t="shared" si="2"/>
        <v>0</v>
      </c>
      <c r="G40" s="106">
        <f t="shared" si="3"/>
        <v>0</v>
      </c>
      <c r="H40" s="106">
        <f>ROUND(IF(B40&lt;$D$8,MIN(I39,D40-G40),IF(B40=$D$8,$I$15-SUM($H$15:$H39),0)),2)</f>
        <v>0</v>
      </c>
      <c r="I40" s="44">
        <f t="shared" si="8"/>
        <v>0</v>
      </c>
      <c r="J40" s="107"/>
      <c r="L40" s="107">
        <f t="shared" si="4"/>
        <v>0</v>
      </c>
      <c r="N40" s="338">
        <f t="shared" si="5"/>
        <v>0</v>
      </c>
      <c r="O40" s="339"/>
      <c r="P40" s="307" t="str">
        <f>IFERROR(IF(MONTH($C40)=MONTH($J$6),SUMIFS(F$15:F40,$C$15:$C40,"&gt;"&amp;EOMONTH($C40,-12)),""),"")</f>
        <v/>
      </c>
      <c r="Q40" s="307" t="str">
        <f>IFERROR(IF(MONTH($C40)=MONTH($J$6),SUMIFS(G$15:G40,$C$15:$C40,"&gt;"&amp;EOMONTH($C40,-12))+SUMIFS(H$15:H40,$C$15:$C40,"&gt;"&amp;EOMONTH($C40,-12)),""),"")</f>
        <v/>
      </c>
    </row>
    <row r="41" spans="2:17" ht="12.75" customHeight="1" x14ac:dyDescent="0.25">
      <c r="B41">
        <f t="shared" si="0"/>
        <v>26</v>
      </c>
      <c r="C41" s="58" t="str">
        <f t="shared" si="6"/>
        <v/>
      </c>
      <c r="D41" s="44">
        <f t="shared" si="7"/>
        <v>0</v>
      </c>
      <c r="E41" s="107">
        <f t="shared" si="1"/>
        <v>0</v>
      </c>
      <c r="F41" s="44">
        <f t="shared" si="2"/>
        <v>0</v>
      </c>
      <c r="G41" s="106">
        <f t="shared" si="3"/>
        <v>0</v>
      </c>
      <c r="H41" s="106">
        <f>ROUND(IF(B41&lt;$D$8,MIN(I40,D41-G41),IF(B41=$D$8,$I$15-SUM($H$15:$H40),0)),2)</f>
        <v>0</v>
      </c>
      <c r="I41" s="44">
        <f t="shared" si="8"/>
        <v>0</v>
      </c>
      <c r="J41" s="107"/>
      <c r="L41" s="107">
        <f t="shared" si="4"/>
        <v>0</v>
      </c>
      <c r="N41" s="338">
        <f t="shared" si="5"/>
        <v>0</v>
      </c>
      <c r="O41" s="339"/>
      <c r="P41" s="307" t="str">
        <f>IFERROR(IF(MONTH($C41)=MONTH($J$6),SUMIFS(F$15:F41,$C$15:$C41,"&gt;"&amp;EOMONTH($C41,-12)),""),"")</f>
        <v/>
      </c>
      <c r="Q41" s="307" t="str">
        <f>IFERROR(IF(MONTH($C41)=MONTH($J$6),SUMIFS(G$15:G41,$C$15:$C41,"&gt;"&amp;EOMONTH($C41,-12))+SUMIFS(H$15:H41,$C$15:$C41,"&gt;"&amp;EOMONTH($C41,-12)),""),"")</f>
        <v/>
      </c>
    </row>
    <row r="42" spans="2:17" ht="12.75" customHeight="1" x14ac:dyDescent="0.25">
      <c r="B42">
        <f t="shared" si="0"/>
        <v>27</v>
      </c>
      <c r="C42" s="58" t="str">
        <f t="shared" si="6"/>
        <v/>
      </c>
      <c r="D42" s="44">
        <f t="shared" si="7"/>
        <v>0</v>
      </c>
      <c r="E42" s="107">
        <f t="shared" si="1"/>
        <v>0</v>
      </c>
      <c r="F42" s="44">
        <f t="shared" si="2"/>
        <v>0</v>
      </c>
      <c r="G42" s="106">
        <f t="shared" si="3"/>
        <v>0</v>
      </c>
      <c r="H42" s="106">
        <f>ROUND(IF(B42&lt;$D$8,MIN(I41,D42-G42),IF(B42=$D$8,$I$15-SUM($H$15:$H41),0)),2)</f>
        <v>0</v>
      </c>
      <c r="I42" s="44">
        <f t="shared" si="8"/>
        <v>0</v>
      </c>
      <c r="J42" s="107"/>
      <c r="L42" s="107">
        <f t="shared" si="4"/>
        <v>0</v>
      </c>
      <c r="N42" s="338">
        <f t="shared" si="5"/>
        <v>0</v>
      </c>
      <c r="O42" s="339"/>
      <c r="P42" s="307" t="str">
        <f>IFERROR(IF(MONTH($C42)=MONTH($J$6),SUMIFS(F$15:F42,$C$15:$C42,"&gt;"&amp;EOMONTH($C42,-12)),""),"")</f>
        <v/>
      </c>
      <c r="Q42" s="307" t="str">
        <f>IFERROR(IF(MONTH($C42)=MONTH($J$6),SUMIFS(G$15:G42,$C$15:$C42,"&gt;"&amp;EOMONTH($C42,-12))+SUMIFS(H$15:H42,$C$15:$C42,"&gt;"&amp;EOMONTH($C42,-12)),""),"")</f>
        <v/>
      </c>
    </row>
    <row r="43" spans="2:17" ht="12.75" customHeight="1" x14ac:dyDescent="0.25">
      <c r="B43">
        <f t="shared" si="0"/>
        <v>28</v>
      </c>
      <c r="C43" s="58" t="str">
        <f t="shared" si="6"/>
        <v/>
      </c>
      <c r="D43" s="44">
        <f t="shared" si="7"/>
        <v>0</v>
      </c>
      <c r="E43" s="107">
        <f t="shared" si="1"/>
        <v>0</v>
      </c>
      <c r="F43" s="44">
        <f t="shared" si="2"/>
        <v>0</v>
      </c>
      <c r="G43" s="106">
        <f t="shared" si="3"/>
        <v>0</v>
      </c>
      <c r="H43" s="106">
        <f>ROUND(IF(B43&lt;$D$8,MIN(I42,D43-G43),IF(B43=$D$8,$I$15-SUM($H$15:$H42),0)),2)</f>
        <v>0</v>
      </c>
      <c r="I43" s="44">
        <f t="shared" si="8"/>
        <v>0</v>
      </c>
      <c r="J43" s="107"/>
      <c r="L43" s="107">
        <f t="shared" si="4"/>
        <v>0</v>
      </c>
      <c r="N43" s="338">
        <f t="shared" si="5"/>
        <v>0</v>
      </c>
      <c r="O43" s="339"/>
      <c r="P43" s="307" t="str">
        <f>IFERROR(IF(MONTH($C43)=MONTH($J$6),SUMIFS(F$15:F43,$C$15:$C43,"&gt;"&amp;EOMONTH($C43,-12)),""),"")</f>
        <v/>
      </c>
      <c r="Q43" s="307" t="str">
        <f>IFERROR(IF(MONTH($C43)=MONTH($J$6),SUMIFS(G$15:G43,$C$15:$C43,"&gt;"&amp;EOMONTH($C43,-12))+SUMIFS(H$15:H43,$C$15:$C43,"&gt;"&amp;EOMONTH($C43,-12)),""),"")</f>
        <v/>
      </c>
    </row>
    <row r="44" spans="2:17" ht="12.75" customHeight="1" x14ac:dyDescent="0.25">
      <c r="B44">
        <f t="shared" si="0"/>
        <v>29</v>
      </c>
      <c r="C44" s="58" t="str">
        <f t="shared" si="6"/>
        <v/>
      </c>
      <c r="D44" s="44">
        <f t="shared" si="7"/>
        <v>0</v>
      </c>
      <c r="E44" s="107">
        <f t="shared" si="1"/>
        <v>0</v>
      </c>
      <c r="F44" s="44">
        <f t="shared" si="2"/>
        <v>0</v>
      </c>
      <c r="G44" s="106">
        <f t="shared" si="3"/>
        <v>0</v>
      </c>
      <c r="H44" s="106">
        <f>ROUND(IF(B44&lt;$D$8,MIN(I43,D44-G44),IF(B44=$D$8,$I$15-SUM($H$15:$H43),0)),2)</f>
        <v>0</v>
      </c>
      <c r="I44" s="44">
        <f t="shared" si="8"/>
        <v>0</v>
      </c>
      <c r="J44" s="107"/>
      <c r="L44" s="107">
        <f t="shared" si="4"/>
        <v>0</v>
      </c>
      <c r="N44" s="338">
        <f t="shared" si="5"/>
        <v>0</v>
      </c>
      <c r="O44" s="339"/>
      <c r="P44" s="307" t="str">
        <f>IFERROR(IF(MONTH($C44)=MONTH($J$6),SUMIFS(F$15:F44,$C$15:$C44,"&gt;"&amp;EOMONTH($C44,-12)),""),"")</f>
        <v/>
      </c>
      <c r="Q44" s="307" t="str">
        <f>IFERROR(IF(MONTH($C44)=MONTH($J$6),SUMIFS(G$15:G44,$C$15:$C44,"&gt;"&amp;EOMONTH($C44,-12))+SUMIFS(H$15:H44,$C$15:$C44,"&gt;"&amp;EOMONTH($C44,-12)),""),"")</f>
        <v/>
      </c>
    </row>
    <row r="45" spans="2:17" ht="12.75" customHeight="1" x14ac:dyDescent="0.25">
      <c r="B45">
        <f t="shared" si="0"/>
        <v>30</v>
      </c>
      <c r="C45" s="58" t="str">
        <f t="shared" si="6"/>
        <v/>
      </c>
      <c r="D45" s="44">
        <f t="shared" si="7"/>
        <v>0</v>
      </c>
      <c r="E45" s="107">
        <f t="shared" si="1"/>
        <v>0</v>
      </c>
      <c r="F45" s="44">
        <f t="shared" si="2"/>
        <v>0</v>
      </c>
      <c r="G45" s="106">
        <f t="shared" si="3"/>
        <v>0</v>
      </c>
      <c r="H45" s="106">
        <f>ROUND(IF(B45&lt;$D$8,MIN(I44,D45-G45),IF(B45=$D$8,$I$15-SUM($H$15:$H44),0)),2)</f>
        <v>0</v>
      </c>
      <c r="I45" s="44">
        <f t="shared" si="8"/>
        <v>0</v>
      </c>
      <c r="J45" s="107"/>
      <c r="L45" s="107">
        <f t="shared" si="4"/>
        <v>0</v>
      </c>
      <c r="N45" s="338">
        <f t="shared" si="5"/>
        <v>0</v>
      </c>
      <c r="O45" s="339"/>
      <c r="P45" s="307" t="str">
        <f>IFERROR(IF(MONTH($C45)=MONTH($J$6),SUMIFS(F$15:F45,$C$15:$C45,"&gt;"&amp;EOMONTH($C45,-12)),""),"")</f>
        <v/>
      </c>
      <c r="Q45" s="307" t="str">
        <f>IFERROR(IF(MONTH($C45)=MONTH($J$6),SUMIFS(G$15:G45,$C$15:$C45,"&gt;"&amp;EOMONTH($C45,-12))+SUMIFS(H$15:H45,$C$15:$C45,"&gt;"&amp;EOMONTH($C45,-12)),""),"")</f>
        <v/>
      </c>
    </row>
    <row r="46" spans="2:17" ht="12.75" customHeight="1" x14ac:dyDescent="0.25">
      <c r="B46">
        <f t="shared" si="0"/>
        <v>31</v>
      </c>
      <c r="C46" s="58" t="str">
        <f t="shared" si="6"/>
        <v/>
      </c>
      <c r="D46" s="44">
        <f t="shared" si="7"/>
        <v>0</v>
      </c>
      <c r="E46" s="107">
        <f t="shared" si="1"/>
        <v>0</v>
      </c>
      <c r="F46" s="44">
        <f t="shared" si="2"/>
        <v>0</v>
      </c>
      <c r="G46" s="106">
        <f t="shared" si="3"/>
        <v>0</v>
      </c>
      <c r="H46" s="106">
        <f>ROUND(IF(B46&lt;$D$8,MIN(I45,D46-G46),IF(B46=$D$8,$I$15-SUM($H$15:$H45),0)),2)</f>
        <v>0</v>
      </c>
      <c r="I46" s="44">
        <f t="shared" si="8"/>
        <v>0</v>
      </c>
      <c r="J46" s="107"/>
      <c r="L46" s="107">
        <f t="shared" si="4"/>
        <v>0</v>
      </c>
      <c r="N46" s="338">
        <f t="shared" si="5"/>
        <v>0</v>
      </c>
      <c r="O46" s="339"/>
      <c r="P46" s="307" t="str">
        <f>IFERROR(IF(MONTH($C46)=MONTH($J$6),SUMIFS(F$15:F46,$C$15:$C46,"&gt;"&amp;EOMONTH($C46,-12)),""),"")</f>
        <v/>
      </c>
      <c r="Q46" s="307" t="str">
        <f>IFERROR(IF(MONTH($C46)=MONTH($J$6),SUMIFS(G$15:G46,$C$15:$C46,"&gt;"&amp;EOMONTH($C46,-12))+SUMIFS(H$15:H46,$C$15:$C46,"&gt;"&amp;EOMONTH($C46,-12)),""),"")</f>
        <v/>
      </c>
    </row>
    <row r="47" spans="2:17" ht="12.75" customHeight="1" x14ac:dyDescent="0.25">
      <c r="B47">
        <f t="shared" si="0"/>
        <v>32</v>
      </c>
      <c r="C47" s="58" t="str">
        <f t="shared" si="6"/>
        <v/>
      </c>
      <c r="D47" s="44">
        <f t="shared" si="7"/>
        <v>0</v>
      </c>
      <c r="E47" s="107">
        <f t="shared" si="1"/>
        <v>0</v>
      </c>
      <c r="F47" s="44">
        <f t="shared" si="2"/>
        <v>0</v>
      </c>
      <c r="G47" s="106">
        <f t="shared" si="3"/>
        <v>0</v>
      </c>
      <c r="H47" s="106">
        <f>ROUND(IF(B47&lt;$D$8,MIN(I46,D47-G47),IF(B47=$D$8,$I$15-SUM($H$15:$H46),0)),2)</f>
        <v>0</v>
      </c>
      <c r="I47" s="44">
        <f t="shared" si="8"/>
        <v>0</v>
      </c>
      <c r="J47" s="107"/>
      <c r="L47" s="107">
        <f t="shared" si="4"/>
        <v>0</v>
      </c>
      <c r="N47" s="338">
        <f t="shared" si="5"/>
        <v>0</v>
      </c>
      <c r="O47" s="339"/>
      <c r="P47" s="307" t="str">
        <f>IFERROR(IF(MONTH($C47)=MONTH($J$6),SUMIFS(F$15:F47,$C$15:$C47,"&gt;"&amp;EOMONTH($C47,-12)),""),"")</f>
        <v/>
      </c>
      <c r="Q47" s="307" t="str">
        <f>IFERROR(IF(MONTH($C47)=MONTH($J$6),SUMIFS(G$15:G47,$C$15:$C47,"&gt;"&amp;EOMONTH($C47,-12))+SUMIFS(H$15:H47,$C$15:$C47,"&gt;"&amp;EOMONTH($C47,-12)),""),"")</f>
        <v/>
      </c>
    </row>
    <row r="48" spans="2:17" ht="12.75" customHeight="1" x14ac:dyDescent="0.25">
      <c r="B48">
        <f t="shared" si="0"/>
        <v>33</v>
      </c>
      <c r="C48" s="58" t="str">
        <f t="shared" si="6"/>
        <v/>
      </c>
      <c r="D48" s="44">
        <f t="shared" si="7"/>
        <v>0</v>
      </c>
      <c r="E48" s="107">
        <f t="shared" si="1"/>
        <v>0</v>
      </c>
      <c r="F48" s="44">
        <f t="shared" si="2"/>
        <v>0</v>
      </c>
      <c r="G48" s="106">
        <f t="shared" ref="G48:G79" si="9">ROUND(IFERROR((IF(B48&lt;=$D$8,(E48+IF(Loan_Type&lt;&gt;"Tax Loan",I47,0))*$D$6*30/360,0)),0),2)</f>
        <v>0</v>
      </c>
      <c r="H48" s="106">
        <f>ROUND(IF(B48&lt;$D$8,MIN(I47,D48-G48),IF(B48=$D$8,$I$15-SUM($H$15:$H47),0)),2)</f>
        <v>0</v>
      </c>
      <c r="I48" s="44">
        <f t="shared" si="8"/>
        <v>0</v>
      </c>
      <c r="J48" s="107"/>
      <c r="L48" s="107">
        <f t="shared" si="4"/>
        <v>0</v>
      </c>
      <c r="N48" s="338">
        <f t="shared" si="5"/>
        <v>0</v>
      </c>
      <c r="O48" s="339"/>
      <c r="P48" s="307" t="str">
        <f>IFERROR(IF(MONTH($C48)=MONTH($J$6),SUMIFS(F$15:F48,$C$15:$C48,"&gt;"&amp;EOMONTH($C48,-12)),""),"")</f>
        <v/>
      </c>
      <c r="Q48" s="307" t="str">
        <f>IFERROR(IF(MONTH($C48)=MONTH($J$6),SUMIFS(G$15:G48,$C$15:$C48,"&gt;"&amp;EOMONTH($C48,-12))+SUMIFS(H$15:H48,$C$15:$C48,"&gt;"&amp;EOMONTH($C48,-12)),""),"")</f>
        <v/>
      </c>
    </row>
    <row r="49" spans="2:17" ht="12.75" customHeight="1" x14ac:dyDescent="0.25">
      <c r="B49">
        <f t="shared" si="0"/>
        <v>34</v>
      </c>
      <c r="C49" s="58" t="str">
        <f t="shared" si="6"/>
        <v/>
      </c>
      <c r="D49" s="44">
        <f t="shared" si="7"/>
        <v>0</v>
      </c>
      <c r="E49" s="107">
        <f t="shared" si="1"/>
        <v>0</v>
      </c>
      <c r="F49" s="44">
        <f t="shared" si="2"/>
        <v>0</v>
      </c>
      <c r="G49" s="106">
        <f t="shared" si="9"/>
        <v>0</v>
      </c>
      <c r="H49" s="106">
        <f>ROUND(IF(B49&lt;$D$8,MIN(I48,D49-G49),IF(B49=$D$8,$I$15-SUM($H$15:$H48),0)),2)</f>
        <v>0</v>
      </c>
      <c r="I49" s="44">
        <f t="shared" si="8"/>
        <v>0</v>
      </c>
      <c r="J49" s="107"/>
      <c r="L49" s="107">
        <f t="shared" si="4"/>
        <v>0</v>
      </c>
      <c r="N49" s="338">
        <f t="shared" si="5"/>
        <v>0</v>
      </c>
      <c r="O49" s="339"/>
      <c r="P49" s="307" t="str">
        <f>IFERROR(IF(MONTH($C49)=MONTH($J$6),SUMIFS(F$15:F49,$C$15:$C49,"&gt;"&amp;EOMONTH($C49,-12)),""),"")</f>
        <v/>
      </c>
      <c r="Q49" s="307" t="str">
        <f>IFERROR(IF(MONTH($C49)=MONTH($J$6),SUMIFS(G$15:G49,$C$15:$C49,"&gt;"&amp;EOMONTH($C49,-12))+SUMIFS(H$15:H49,$C$15:$C49,"&gt;"&amp;EOMONTH($C49,-12)),""),"")</f>
        <v/>
      </c>
    </row>
    <row r="50" spans="2:17" ht="12.75" customHeight="1" x14ac:dyDescent="0.25">
      <c r="B50">
        <f t="shared" si="0"/>
        <v>35</v>
      </c>
      <c r="C50" s="58" t="str">
        <f t="shared" si="6"/>
        <v/>
      </c>
      <c r="D50" s="44">
        <f t="shared" si="7"/>
        <v>0</v>
      </c>
      <c r="E50" s="107">
        <f t="shared" si="1"/>
        <v>0</v>
      </c>
      <c r="F50" s="44">
        <f t="shared" si="2"/>
        <v>0</v>
      </c>
      <c r="G50" s="106">
        <f t="shared" si="9"/>
        <v>0</v>
      </c>
      <c r="H50" s="106">
        <f>ROUND(IF(B50&lt;$D$8,MIN(I49,D50-G50),IF(B50=$D$8,$I$15-SUM($H$15:$H49),0)),2)</f>
        <v>0</v>
      </c>
      <c r="I50" s="44">
        <f t="shared" si="8"/>
        <v>0</v>
      </c>
      <c r="J50" s="107"/>
      <c r="L50" s="107">
        <f t="shared" si="4"/>
        <v>0</v>
      </c>
      <c r="N50" s="338">
        <f t="shared" si="5"/>
        <v>0</v>
      </c>
      <c r="O50" s="339"/>
      <c r="P50" s="307" t="str">
        <f>IFERROR(IF(MONTH($C50)=MONTH($J$6),SUMIFS(F$15:F50,$C$15:$C50,"&gt;"&amp;EOMONTH($C50,-12)),""),"")</f>
        <v/>
      </c>
      <c r="Q50" s="307" t="str">
        <f>IFERROR(IF(MONTH($C50)=MONTH($J$6),SUMIFS(G$15:G50,$C$15:$C50,"&gt;"&amp;EOMONTH($C50,-12))+SUMIFS(H$15:H50,$C$15:$C50,"&gt;"&amp;EOMONTH($C50,-12)),""),"")</f>
        <v/>
      </c>
    </row>
    <row r="51" spans="2:17" ht="12.75" customHeight="1" x14ac:dyDescent="0.25">
      <c r="B51">
        <f t="shared" si="0"/>
        <v>36</v>
      </c>
      <c r="C51" s="58" t="str">
        <f t="shared" si="6"/>
        <v/>
      </c>
      <c r="D51" s="44">
        <f t="shared" si="7"/>
        <v>0</v>
      </c>
      <c r="E51" s="107">
        <f t="shared" si="1"/>
        <v>0</v>
      </c>
      <c r="F51" s="44">
        <f t="shared" si="2"/>
        <v>0</v>
      </c>
      <c r="G51" s="106">
        <f t="shared" si="9"/>
        <v>0</v>
      </c>
      <c r="H51" s="106">
        <f>ROUND(IF(B51&lt;$D$8,MIN(I50,D51-G51),IF(B51=$D$8,$I$15-SUM($H$15:$H50),0)),2)</f>
        <v>0</v>
      </c>
      <c r="I51" s="44">
        <f t="shared" si="8"/>
        <v>0</v>
      </c>
      <c r="J51" s="107"/>
      <c r="L51" s="107">
        <f t="shared" si="4"/>
        <v>0</v>
      </c>
      <c r="N51" s="338">
        <f t="shared" si="5"/>
        <v>0</v>
      </c>
      <c r="O51" s="339"/>
      <c r="P51" s="307" t="str">
        <f>IFERROR(IF(MONTH($C51)=MONTH($J$6),SUMIFS(F$15:F51,$C$15:$C51,"&gt;"&amp;EOMONTH($C51,-12)),""),"")</f>
        <v/>
      </c>
      <c r="Q51" s="307" t="str">
        <f>IFERROR(IF(MONTH($C51)=MONTH($J$6),SUMIFS(G$15:G51,$C$15:$C51,"&gt;"&amp;EOMONTH($C51,-12))+SUMIFS(H$15:H51,$C$15:$C51,"&gt;"&amp;EOMONTH($C51,-12)),""),"")</f>
        <v/>
      </c>
    </row>
    <row r="52" spans="2:17" ht="12.75" customHeight="1" x14ac:dyDescent="0.25">
      <c r="B52">
        <f t="shared" si="0"/>
        <v>37</v>
      </c>
      <c r="C52" s="58" t="str">
        <f t="shared" si="6"/>
        <v/>
      </c>
      <c r="D52" s="44">
        <f t="shared" si="7"/>
        <v>0</v>
      </c>
      <c r="E52" s="107">
        <f t="shared" si="1"/>
        <v>0</v>
      </c>
      <c r="F52" s="44">
        <f t="shared" si="2"/>
        <v>0</v>
      </c>
      <c r="G52" s="106">
        <f t="shared" si="9"/>
        <v>0</v>
      </c>
      <c r="H52" s="106">
        <f>ROUND(IF(B52&lt;$D$8,MIN(I51,D52-G52),IF(B52=$D$8,$I$15-SUM($H$15:$H51),0)),2)</f>
        <v>0</v>
      </c>
      <c r="I52" s="44">
        <f t="shared" si="8"/>
        <v>0</v>
      </c>
      <c r="J52" s="107"/>
      <c r="L52" s="107">
        <f t="shared" si="4"/>
        <v>0</v>
      </c>
      <c r="N52" s="338">
        <f t="shared" si="5"/>
        <v>0</v>
      </c>
      <c r="O52" s="339"/>
      <c r="P52" s="307" t="str">
        <f>IFERROR(IF(MONTH($C52)=MONTH($J$6),SUMIFS(F$15:F52,$C$15:$C52,"&gt;"&amp;EOMONTH($C52,-12)),""),"")</f>
        <v/>
      </c>
      <c r="Q52" s="307" t="str">
        <f>IFERROR(IF(MONTH($C52)=MONTH($J$6),SUMIFS(G$15:G52,$C$15:$C52,"&gt;"&amp;EOMONTH($C52,-12))+SUMIFS(H$15:H52,$C$15:$C52,"&gt;"&amp;EOMONTH($C52,-12)),""),"")</f>
        <v/>
      </c>
    </row>
    <row r="53" spans="2:17" ht="12.75" customHeight="1" x14ac:dyDescent="0.25">
      <c r="B53">
        <f t="shared" si="0"/>
        <v>38</v>
      </c>
      <c r="C53" s="58" t="str">
        <f t="shared" si="6"/>
        <v/>
      </c>
      <c r="D53" s="44">
        <f t="shared" si="7"/>
        <v>0</v>
      </c>
      <c r="E53" s="107">
        <f t="shared" si="1"/>
        <v>0</v>
      </c>
      <c r="F53" s="44">
        <f t="shared" si="2"/>
        <v>0</v>
      </c>
      <c r="G53" s="106">
        <f t="shared" si="9"/>
        <v>0</v>
      </c>
      <c r="H53" s="106">
        <f>ROUND(IF(B53&lt;$D$8,MIN(I52,D53-G53),IF(B53=$D$8,$I$15-SUM($H$15:$H52),0)),2)</f>
        <v>0</v>
      </c>
      <c r="I53" s="44">
        <f t="shared" si="8"/>
        <v>0</v>
      </c>
      <c r="J53" s="107"/>
      <c r="L53" s="107">
        <f t="shared" si="4"/>
        <v>0</v>
      </c>
      <c r="N53" s="338">
        <f t="shared" si="5"/>
        <v>0</v>
      </c>
      <c r="O53" s="339"/>
      <c r="P53" s="307" t="str">
        <f>IFERROR(IF(MONTH($C53)=MONTH($J$6),SUMIFS(F$15:F53,$C$15:$C53,"&gt;"&amp;EOMONTH($C53,-12)),""),"")</f>
        <v/>
      </c>
      <c r="Q53" s="307" t="str">
        <f>IFERROR(IF(MONTH($C53)=MONTH($J$6),SUMIFS(G$15:G53,$C$15:$C53,"&gt;"&amp;EOMONTH($C53,-12))+SUMIFS(H$15:H53,$C$15:$C53,"&gt;"&amp;EOMONTH($C53,-12)),""),"")</f>
        <v/>
      </c>
    </row>
    <row r="54" spans="2:17" ht="12.75" customHeight="1" x14ac:dyDescent="0.25">
      <c r="B54">
        <f t="shared" si="0"/>
        <v>39</v>
      </c>
      <c r="C54" s="58" t="str">
        <f t="shared" si="6"/>
        <v/>
      </c>
      <c r="D54" s="44">
        <f t="shared" si="7"/>
        <v>0</v>
      </c>
      <c r="E54" s="107">
        <f t="shared" si="1"/>
        <v>0</v>
      </c>
      <c r="F54" s="44">
        <f t="shared" si="2"/>
        <v>0</v>
      </c>
      <c r="G54" s="106">
        <f t="shared" si="9"/>
        <v>0</v>
      </c>
      <c r="H54" s="106">
        <f>ROUND(IF(B54&lt;$D$8,MIN(I53,D54-G54),IF(B54=$D$8,$I$15-SUM($H$15:$H53),0)),2)</f>
        <v>0</v>
      </c>
      <c r="I54" s="44">
        <f t="shared" si="8"/>
        <v>0</v>
      </c>
      <c r="J54" s="107"/>
      <c r="L54" s="107">
        <f t="shared" si="4"/>
        <v>0</v>
      </c>
      <c r="N54" s="338">
        <f t="shared" si="5"/>
        <v>0</v>
      </c>
      <c r="O54" s="339"/>
      <c r="P54" s="307" t="str">
        <f>IFERROR(IF(MONTH($C54)=MONTH($J$6),SUMIFS(F$15:F54,$C$15:$C54,"&gt;"&amp;EOMONTH($C54,-12)),""),"")</f>
        <v/>
      </c>
      <c r="Q54" s="307" t="str">
        <f>IFERROR(IF(MONTH($C54)=MONTH($J$6),SUMIFS(G$15:G54,$C$15:$C54,"&gt;"&amp;EOMONTH($C54,-12))+SUMIFS(H$15:H54,$C$15:$C54,"&gt;"&amp;EOMONTH($C54,-12)),""),"")</f>
        <v/>
      </c>
    </row>
    <row r="55" spans="2:17" ht="12.75" customHeight="1" x14ac:dyDescent="0.25">
      <c r="B55">
        <f t="shared" si="0"/>
        <v>40</v>
      </c>
      <c r="C55" s="58" t="str">
        <f t="shared" si="6"/>
        <v/>
      </c>
      <c r="D55" s="44">
        <f t="shared" si="7"/>
        <v>0</v>
      </c>
      <c r="E55" s="107">
        <f t="shared" si="1"/>
        <v>0</v>
      </c>
      <c r="F55" s="44">
        <f t="shared" si="2"/>
        <v>0</v>
      </c>
      <c r="G55" s="106">
        <f t="shared" si="9"/>
        <v>0</v>
      </c>
      <c r="H55" s="106">
        <f>ROUND(IF(B55&lt;$D$8,MIN(I54,D55-G55),IF(B55=$D$8,$I$15-SUM($H$15:$H54),0)),2)</f>
        <v>0</v>
      </c>
      <c r="I55" s="44">
        <f t="shared" si="8"/>
        <v>0</v>
      </c>
      <c r="J55" s="107"/>
      <c r="L55" s="107">
        <f t="shared" si="4"/>
        <v>0</v>
      </c>
      <c r="N55" s="338">
        <f t="shared" si="5"/>
        <v>0</v>
      </c>
      <c r="O55" s="339"/>
      <c r="P55" s="307" t="str">
        <f>IFERROR(IF(MONTH($C55)=MONTH($J$6),SUMIFS(F$15:F55,$C$15:$C55,"&gt;"&amp;EOMONTH($C55,-12)),""),"")</f>
        <v/>
      </c>
      <c r="Q55" s="307" t="str">
        <f>IFERROR(IF(MONTH($C55)=MONTH($J$6),SUMIFS(G$15:G55,$C$15:$C55,"&gt;"&amp;EOMONTH($C55,-12))+SUMIFS(H$15:H55,$C$15:$C55,"&gt;"&amp;EOMONTH($C55,-12)),""),"")</f>
        <v/>
      </c>
    </row>
    <row r="56" spans="2:17" ht="12.75" customHeight="1" x14ac:dyDescent="0.25">
      <c r="B56">
        <f t="shared" si="0"/>
        <v>41</v>
      </c>
      <c r="C56" s="58" t="str">
        <f t="shared" si="6"/>
        <v/>
      </c>
      <c r="D56" s="44">
        <f t="shared" si="7"/>
        <v>0</v>
      </c>
      <c r="E56" s="107">
        <f t="shared" si="1"/>
        <v>0</v>
      </c>
      <c r="F56" s="44">
        <f t="shared" si="2"/>
        <v>0</v>
      </c>
      <c r="G56" s="106">
        <f t="shared" si="9"/>
        <v>0</v>
      </c>
      <c r="H56" s="106">
        <f>ROUND(IF(B56&lt;$D$8,MIN(I55,D56-G56),IF(B56=$D$8,$I$15-SUM($H$15:$H55),0)),2)</f>
        <v>0</v>
      </c>
      <c r="I56" s="44">
        <f t="shared" si="8"/>
        <v>0</v>
      </c>
      <c r="J56" s="107"/>
      <c r="L56" s="107">
        <f t="shared" si="4"/>
        <v>0</v>
      </c>
      <c r="N56" s="338">
        <f t="shared" si="5"/>
        <v>0</v>
      </c>
      <c r="O56" s="339"/>
      <c r="P56" s="307" t="str">
        <f>IFERROR(IF(MONTH($C56)=MONTH($J$6),SUMIFS(F$15:F56,$C$15:$C56,"&gt;"&amp;EOMONTH($C56,-12)),""),"")</f>
        <v/>
      </c>
      <c r="Q56" s="307" t="str">
        <f>IFERROR(IF(MONTH($C56)=MONTH($J$6),SUMIFS(G$15:G56,$C$15:$C56,"&gt;"&amp;EOMONTH($C56,-12))+SUMIFS(H$15:H56,$C$15:$C56,"&gt;"&amp;EOMONTH($C56,-12)),""),"")</f>
        <v/>
      </c>
    </row>
    <row r="57" spans="2:17" ht="12.75" customHeight="1" x14ac:dyDescent="0.25">
      <c r="B57">
        <f t="shared" si="0"/>
        <v>42</v>
      </c>
      <c r="C57" s="58" t="str">
        <f t="shared" si="6"/>
        <v/>
      </c>
      <c r="D57" s="44">
        <f t="shared" si="7"/>
        <v>0</v>
      </c>
      <c r="E57" s="107">
        <f t="shared" si="1"/>
        <v>0</v>
      </c>
      <c r="F57" s="44">
        <f t="shared" si="2"/>
        <v>0</v>
      </c>
      <c r="G57" s="106">
        <f t="shared" si="9"/>
        <v>0</v>
      </c>
      <c r="H57" s="106">
        <f>ROUND(IF(B57&lt;$D$8,MIN(I56,D57-G57),IF(B57=$D$8,$I$15-SUM($H$15:$H56),0)),2)</f>
        <v>0</v>
      </c>
      <c r="I57" s="44">
        <f t="shared" si="8"/>
        <v>0</v>
      </c>
      <c r="J57" s="107"/>
      <c r="L57" s="107">
        <f t="shared" si="4"/>
        <v>0</v>
      </c>
      <c r="N57" s="338">
        <f t="shared" si="5"/>
        <v>0</v>
      </c>
      <c r="O57" s="339"/>
      <c r="P57" s="307" t="str">
        <f>IFERROR(IF(MONTH($C57)=MONTH($J$6),SUMIFS(F$15:F57,$C$15:$C57,"&gt;"&amp;EOMONTH($C57,-12)),""),"")</f>
        <v/>
      </c>
      <c r="Q57" s="307" t="str">
        <f>IFERROR(IF(MONTH($C57)=MONTH($J$6),SUMIFS(G$15:G57,$C$15:$C57,"&gt;"&amp;EOMONTH($C57,-12))+SUMIFS(H$15:H57,$C$15:$C57,"&gt;"&amp;EOMONTH($C57,-12)),""),"")</f>
        <v/>
      </c>
    </row>
    <row r="58" spans="2:17" ht="12.75" customHeight="1" x14ac:dyDescent="0.25">
      <c r="B58">
        <f t="shared" si="0"/>
        <v>43</v>
      </c>
      <c r="C58" s="58" t="str">
        <f t="shared" si="6"/>
        <v/>
      </c>
      <c r="D58" s="44">
        <f t="shared" si="7"/>
        <v>0</v>
      </c>
      <c r="E58" s="107">
        <f t="shared" si="1"/>
        <v>0</v>
      </c>
      <c r="F58" s="44">
        <f t="shared" si="2"/>
        <v>0</v>
      </c>
      <c r="G58" s="106">
        <f t="shared" si="9"/>
        <v>0</v>
      </c>
      <c r="H58" s="106">
        <f>ROUND(IF(B58&lt;$D$8,MIN(I57,D58-G58),IF(B58=$D$8,$I$15-SUM($H$15:$H57),0)),2)</f>
        <v>0</v>
      </c>
      <c r="I58" s="44">
        <f t="shared" si="8"/>
        <v>0</v>
      </c>
      <c r="J58" s="107"/>
      <c r="L58" s="107">
        <f t="shared" si="4"/>
        <v>0</v>
      </c>
      <c r="N58" s="338">
        <f t="shared" si="5"/>
        <v>0</v>
      </c>
      <c r="O58" s="339"/>
      <c r="P58" s="307" t="str">
        <f>IFERROR(IF(MONTH($C58)=MONTH($J$6),SUMIFS(F$15:F58,$C$15:$C58,"&gt;"&amp;EOMONTH($C58,-12)),""),"")</f>
        <v/>
      </c>
      <c r="Q58" s="307" t="str">
        <f>IFERROR(IF(MONTH($C58)=MONTH($J$6),SUMIFS(G$15:G58,$C$15:$C58,"&gt;"&amp;EOMONTH($C58,-12))+SUMIFS(H$15:H58,$C$15:$C58,"&gt;"&amp;EOMONTH($C58,-12)),""),"")</f>
        <v/>
      </c>
    </row>
    <row r="59" spans="2:17" ht="12.75" customHeight="1" x14ac:dyDescent="0.25">
      <c r="B59">
        <f t="shared" si="0"/>
        <v>44</v>
      </c>
      <c r="C59" s="58" t="str">
        <f t="shared" si="6"/>
        <v/>
      </c>
      <c r="D59" s="44">
        <f t="shared" si="7"/>
        <v>0</v>
      </c>
      <c r="E59" s="107">
        <f t="shared" si="1"/>
        <v>0</v>
      </c>
      <c r="F59" s="44">
        <f t="shared" si="2"/>
        <v>0</v>
      </c>
      <c r="G59" s="106">
        <f t="shared" si="9"/>
        <v>0</v>
      </c>
      <c r="H59" s="106">
        <f>ROUND(IF(B59&lt;$D$8,MIN(I58,D59-G59),IF(B59=$D$8,$I$15-SUM($H$15:$H58),0)),2)</f>
        <v>0</v>
      </c>
      <c r="I59" s="44">
        <f t="shared" si="8"/>
        <v>0</v>
      </c>
      <c r="J59" s="107"/>
      <c r="L59" s="107">
        <f t="shared" si="4"/>
        <v>0</v>
      </c>
      <c r="N59" s="338">
        <f t="shared" si="5"/>
        <v>0</v>
      </c>
      <c r="O59" s="339"/>
      <c r="P59" s="307" t="str">
        <f>IFERROR(IF(MONTH($C59)=MONTH($J$6),SUMIFS(F$15:F59,$C$15:$C59,"&gt;"&amp;EOMONTH($C59,-12)),""),"")</f>
        <v/>
      </c>
      <c r="Q59" s="307" t="str">
        <f>IFERROR(IF(MONTH($C59)=MONTH($J$6),SUMIFS(G$15:G59,$C$15:$C59,"&gt;"&amp;EOMONTH($C59,-12))+SUMIFS(H$15:H59,$C$15:$C59,"&gt;"&amp;EOMONTH($C59,-12)),""),"")</f>
        <v/>
      </c>
    </row>
    <row r="60" spans="2:17" ht="12.75" customHeight="1" x14ac:dyDescent="0.25">
      <c r="B60">
        <f t="shared" si="0"/>
        <v>45</v>
      </c>
      <c r="C60" s="58" t="str">
        <f t="shared" si="6"/>
        <v/>
      </c>
      <c r="D60" s="44">
        <f t="shared" si="7"/>
        <v>0</v>
      </c>
      <c r="E60" s="107">
        <f t="shared" si="1"/>
        <v>0</v>
      </c>
      <c r="F60" s="44">
        <f t="shared" si="2"/>
        <v>0</v>
      </c>
      <c r="G60" s="106">
        <f t="shared" si="9"/>
        <v>0</v>
      </c>
      <c r="H60" s="106">
        <f>ROUND(IF(B60&lt;$D$8,MIN(I59,D60-G60),IF(B60=$D$8,$I$15-SUM($H$15:$H59),0)),2)</f>
        <v>0</v>
      </c>
      <c r="I60" s="44">
        <f t="shared" si="8"/>
        <v>0</v>
      </c>
      <c r="J60" s="107"/>
      <c r="L60" s="107">
        <f t="shared" si="4"/>
        <v>0</v>
      </c>
      <c r="N60" s="338">
        <f t="shared" si="5"/>
        <v>0</v>
      </c>
      <c r="O60" s="339"/>
      <c r="P60" s="307" t="str">
        <f>IFERROR(IF(MONTH($C60)=MONTH($J$6),SUMIFS(F$15:F60,$C$15:$C60,"&gt;"&amp;EOMONTH($C60,-12)),""),"")</f>
        <v/>
      </c>
      <c r="Q60" s="307" t="str">
        <f>IFERROR(IF(MONTH($C60)=MONTH($J$6),SUMIFS(G$15:G60,$C$15:$C60,"&gt;"&amp;EOMONTH($C60,-12))+SUMIFS(H$15:H60,$C$15:$C60,"&gt;"&amp;EOMONTH($C60,-12)),""),"")</f>
        <v/>
      </c>
    </row>
    <row r="61" spans="2:17" ht="12.75" customHeight="1" x14ac:dyDescent="0.25">
      <c r="B61">
        <f t="shared" si="0"/>
        <v>46</v>
      </c>
      <c r="C61" s="58" t="str">
        <f t="shared" si="6"/>
        <v/>
      </c>
      <c r="D61" s="44">
        <f t="shared" si="7"/>
        <v>0</v>
      </c>
      <c r="E61" s="107">
        <f t="shared" si="1"/>
        <v>0</v>
      </c>
      <c r="F61" s="44">
        <f t="shared" si="2"/>
        <v>0</v>
      </c>
      <c r="G61" s="106">
        <f t="shared" si="9"/>
        <v>0</v>
      </c>
      <c r="H61" s="106">
        <f>ROUND(IF(B61&lt;$D$8,MIN(I60,D61-G61),IF(B61=$D$8,$I$15-SUM($H$15:$H60),0)),2)</f>
        <v>0</v>
      </c>
      <c r="I61" s="44">
        <f t="shared" si="8"/>
        <v>0</v>
      </c>
      <c r="J61" s="107"/>
      <c r="L61" s="107">
        <f t="shared" si="4"/>
        <v>0</v>
      </c>
      <c r="N61" s="338">
        <f t="shared" si="5"/>
        <v>0</v>
      </c>
      <c r="O61" s="339"/>
      <c r="P61" s="307" t="str">
        <f>IFERROR(IF(MONTH($C61)=MONTH($J$6),SUMIFS(F$15:F61,$C$15:$C61,"&gt;"&amp;EOMONTH($C61,-12)),""),"")</f>
        <v/>
      </c>
      <c r="Q61" s="307" t="str">
        <f>IFERROR(IF(MONTH($C61)=MONTH($J$6),SUMIFS(G$15:G61,$C$15:$C61,"&gt;"&amp;EOMONTH($C61,-12))+SUMIFS(H$15:H61,$C$15:$C61,"&gt;"&amp;EOMONTH($C61,-12)),""),"")</f>
        <v/>
      </c>
    </row>
    <row r="62" spans="2:17" ht="12.75" customHeight="1" x14ac:dyDescent="0.25">
      <c r="B62">
        <f t="shared" si="0"/>
        <v>47</v>
      </c>
      <c r="C62" s="58" t="str">
        <f t="shared" si="6"/>
        <v/>
      </c>
      <c r="D62" s="44">
        <f t="shared" si="7"/>
        <v>0</v>
      </c>
      <c r="E62" s="107">
        <f t="shared" si="1"/>
        <v>0</v>
      </c>
      <c r="F62" s="44">
        <f t="shared" si="2"/>
        <v>0</v>
      </c>
      <c r="G62" s="106">
        <f t="shared" si="9"/>
        <v>0</v>
      </c>
      <c r="H62" s="106">
        <f>ROUND(IF(B62&lt;$D$8,MIN(I61,D62-G62),IF(B62=$D$8,$I$15-SUM($H$15:$H61),0)),2)</f>
        <v>0</v>
      </c>
      <c r="I62" s="44">
        <f t="shared" si="8"/>
        <v>0</v>
      </c>
      <c r="J62" s="107"/>
      <c r="L62" s="107">
        <f t="shared" si="4"/>
        <v>0</v>
      </c>
      <c r="N62" s="338">
        <f t="shared" si="5"/>
        <v>0</v>
      </c>
      <c r="O62" s="339"/>
      <c r="P62" s="307" t="str">
        <f>IFERROR(IF(MONTH($C62)=MONTH($J$6),SUMIFS(F$15:F62,$C$15:$C62,"&gt;"&amp;EOMONTH($C62,-12)),""),"")</f>
        <v/>
      </c>
      <c r="Q62" s="307" t="str">
        <f>IFERROR(IF(MONTH($C62)=MONTH($J$6),SUMIFS(G$15:G62,$C$15:$C62,"&gt;"&amp;EOMONTH($C62,-12))+SUMIFS(H$15:H62,$C$15:$C62,"&gt;"&amp;EOMONTH($C62,-12)),""),"")</f>
        <v/>
      </c>
    </row>
    <row r="63" spans="2:17" ht="12.75" customHeight="1" x14ac:dyDescent="0.25">
      <c r="B63">
        <f t="shared" si="0"/>
        <v>48</v>
      </c>
      <c r="C63" s="58" t="str">
        <f t="shared" si="6"/>
        <v/>
      </c>
      <c r="D63" s="44">
        <f t="shared" si="7"/>
        <v>0</v>
      </c>
      <c r="E63" s="107">
        <f t="shared" si="1"/>
        <v>0</v>
      </c>
      <c r="F63" s="44">
        <f t="shared" si="2"/>
        <v>0</v>
      </c>
      <c r="G63" s="106">
        <f t="shared" si="9"/>
        <v>0</v>
      </c>
      <c r="H63" s="106">
        <f>ROUND(IF(B63&lt;$D$8,MIN(I62,D63-G63),IF(B63=$D$8,$I$15-SUM($H$15:$H62),0)),2)</f>
        <v>0</v>
      </c>
      <c r="I63" s="44">
        <f t="shared" si="8"/>
        <v>0</v>
      </c>
      <c r="J63" s="107"/>
      <c r="L63" s="107">
        <f t="shared" si="4"/>
        <v>0</v>
      </c>
      <c r="N63" s="338">
        <f t="shared" si="5"/>
        <v>0</v>
      </c>
      <c r="O63" s="339"/>
      <c r="P63" s="307" t="str">
        <f>IFERROR(IF(MONTH($C63)=MONTH($J$6),SUMIFS(F$15:F63,$C$15:$C63,"&gt;"&amp;EOMONTH($C63,-12)),""),"")</f>
        <v/>
      </c>
      <c r="Q63" s="307" t="str">
        <f>IFERROR(IF(MONTH($C63)=MONTH($J$6),SUMIFS(G$15:G63,$C$15:$C63,"&gt;"&amp;EOMONTH($C63,-12))+SUMIFS(H$15:H63,$C$15:$C63,"&gt;"&amp;EOMONTH($C63,-12)),""),"")</f>
        <v/>
      </c>
    </row>
    <row r="64" spans="2:17" ht="12.75" customHeight="1" x14ac:dyDescent="0.25">
      <c r="B64">
        <f t="shared" si="0"/>
        <v>49</v>
      </c>
      <c r="C64" s="58" t="str">
        <f t="shared" si="6"/>
        <v/>
      </c>
      <c r="D64" s="44">
        <f t="shared" si="7"/>
        <v>0</v>
      </c>
      <c r="E64" s="107">
        <f t="shared" si="1"/>
        <v>0</v>
      </c>
      <c r="F64" s="44">
        <f t="shared" si="2"/>
        <v>0</v>
      </c>
      <c r="G64" s="106">
        <f t="shared" si="9"/>
        <v>0</v>
      </c>
      <c r="H64" s="106">
        <f>ROUND(IF(B64&lt;$D$8,MIN(I63,D64-G64),IF(B64=$D$8,$I$15-SUM($H$15:$H63),0)),2)</f>
        <v>0</v>
      </c>
      <c r="I64" s="44">
        <f t="shared" si="8"/>
        <v>0</v>
      </c>
      <c r="J64" s="107"/>
      <c r="L64" s="107">
        <f t="shared" si="4"/>
        <v>0</v>
      </c>
      <c r="N64" s="338">
        <f t="shared" si="5"/>
        <v>0</v>
      </c>
      <c r="O64" s="339"/>
      <c r="P64" s="307" t="str">
        <f>IFERROR(IF(MONTH($C64)=MONTH($J$6),SUMIFS(F$15:F64,$C$15:$C64,"&gt;"&amp;EOMONTH($C64,-12)),""),"")</f>
        <v/>
      </c>
      <c r="Q64" s="307" t="str">
        <f>IFERROR(IF(MONTH($C64)=MONTH($J$6),SUMIFS(G$15:G64,$C$15:$C64,"&gt;"&amp;EOMONTH($C64,-12))+SUMIFS(H$15:H64,$C$15:$C64,"&gt;"&amp;EOMONTH($C64,-12)),""),"")</f>
        <v/>
      </c>
    </row>
    <row r="65" spans="2:17" ht="12.75" customHeight="1" x14ac:dyDescent="0.25">
      <c r="B65">
        <f t="shared" si="0"/>
        <v>50</v>
      </c>
      <c r="C65" s="58" t="str">
        <f t="shared" si="6"/>
        <v/>
      </c>
      <c r="D65" s="44">
        <f t="shared" si="7"/>
        <v>0</v>
      </c>
      <c r="E65" s="107">
        <f t="shared" si="1"/>
        <v>0</v>
      </c>
      <c r="F65" s="44">
        <f t="shared" si="2"/>
        <v>0</v>
      </c>
      <c r="G65" s="106">
        <f t="shared" si="9"/>
        <v>0</v>
      </c>
      <c r="H65" s="106">
        <f>ROUND(IF(B65&lt;$D$8,MIN(I64,D65-G65),IF(B65=$D$8,$I$15-SUM($H$15:$H64),0)),2)</f>
        <v>0</v>
      </c>
      <c r="I65" s="44">
        <f t="shared" si="8"/>
        <v>0</v>
      </c>
      <c r="J65" s="107"/>
      <c r="L65" s="107">
        <f t="shared" si="4"/>
        <v>0</v>
      </c>
      <c r="N65" s="338">
        <f t="shared" si="5"/>
        <v>0</v>
      </c>
      <c r="O65" s="339"/>
      <c r="P65" s="307" t="str">
        <f>IFERROR(IF(MONTH($C65)=MONTH($J$6),SUMIFS(F$15:F65,$C$15:$C65,"&gt;"&amp;EOMONTH($C65,-12)),""),"")</f>
        <v/>
      </c>
      <c r="Q65" s="307" t="str">
        <f>IFERROR(IF(MONTH($C65)=MONTH($J$6),SUMIFS(G$15:G65,$C$15:$C65,"&gt;"&amp;EOMONTH($C65,-12))+SUMIFS(H$15:H65,$C$15:$C65,"&gt;"&amp;EOMONTH($C65,-12)),""),"")</f>
        <v/>
      </c>
    </row>
    <row r="66" spans="2:17" ht="12.75" customHeight="1" x14ac:dyDescent="0.25">
      <c r="B66">
        <f t="shared" si="0"/>
        <v>51</v>
      </c>
      <c r="C66" s="58" t="str">
        <f t="shared" si="6"/>
        <v/>
      </c>
      <c r="D66" s="44">
        <f t="shared" si="7"/>
        <v>0</v>
      </c>
      <c r="E66" s="107">
        <f t="shared" si="1"/>
        <v>0</v>
      </c>
      <c r="F66" s="44">
        <f t="shared" si="2"/>
        <v>0</v>
      </c>
      <c r="G66" s="106">
        <f t="shared" si="9"/>
        <v>0</v>
      </c>
      <c r="H66" s="106">
        <f>ROUND(IF(B66&lt;$D$8,MIN(I65,D66-G66),IF(B66=$D$8,$I$15-SUM($H$15:$H65),0)),2)</f>
        <v>0</v>
      </c>
      <c r="I66" s="44">
        <f t="shared" si="8"/>
        <v>0</v>
      </c>
      <c r="J66" s="107"/>
      <c r="L66" s="107">
        <f t="shared" si="4"/>
        <v>0</v>
      </c>
      <c r="N66" s="338">
        <f t="shared" si="5"/>
        <v>0</v>
      </c>
      <c r="O66" s="339"/>
      <c r="P66" s="307" t="str">
        <f>IFERROR(IF(MONTH($C66)=MONTH($J$6),SUMIFS(F$15:F66,$C$15:$C66,"&gt;"&amp;EOMONTH($C66,-12)),""),"")</f>
        <v/>
      </c>
      <c r="Q66" s="307" t="str">
        <f>IFERROR(IF(MONTH($C66)=MONTH($J$6),SUMIFS(G$15:G66,$C$15:$C66,"&gt;"&amp;EOMONTH($C66,-12))+SUMIFS(H$15:H66,$C$15:$C66,"&gt;"&amp;EOMONTH($C66,-12)),""),"")</f>
        <v/>
      </c>
    </row>
    <row r="67" spans="2:17" ht="12.75" customHeight="1" x14ac:dyDescent="0.25">
      <c r="B67">
        <f t="shared" si="0"/>
        <v>52</v>
      </c>
      <c r="C67" s="58" t="str">
        <f t="shared" si="6"/>
        <v/>
      </c>
      <c r="D67" s="44">
        <f t="shared" si="7"/>
        <v>0</v>
      </c>
      <c r="E67" s="107">
        <f t="shared" si="1"/>
        <v>0</v>
      </c>
      <c r="F67" s="44">
        <f t="shared" si="2"/>
        <v>0</v>
      </c>
      <c r="G67" s="106">
        <f t="shared" si="9"/>
        <v>0</v>
      </c>
      <c r="H67" s="106">
        <f>ROUND(IF(B67&lt;$D$8,MIN(I66,D67-G67),IF(B67=$D$8,$I$15-SUM($H$15:$H66),0)),2)</f>
        <v>0</v>
      </c>
      <c r="I67" s="44">
        <f t="shared" si="8"/>
        <v>0</v>
      </c>
      <c r="J67" s="107"/>
      <c r="L67" s="107">
        <f t="shared" si="4"/>
        <v>0</v>
      </c>
      <c r="N67" s="338">
        <f t="shared" si="5"/>
        <v>0</v>
      </c>
      <c r="O67" s="339"/>
      <c r="P67" s="307" t="str">
        <f>IFERROR(IF(MONTH($C67)=MONTH($J$6),SUMIFS(F$15:F67,$C$15:$C67,"&gt;"&amp;EOMONTH($C67,-12)),""),"")</f>
        <v/>
      </c>
      <c r="Q67" s="307" t="str">
        <f>IFERROR(IF(MONTH($C67)=MONTH($J$6),SUMIFS(G$15:G67,$C$15:$C67,"&gt;"&amp;EOMONTH($C67,-12))+SUMIFS(H$15:H67,$C$15:$C67,"&gt;"&amp;EOMONTH($C67,-12)),""),"")</f>
        <v/>
      </c>
    </row>
    <row r="68" spans="2:17" ht="12.75" customHeight="1" x14ac:dyDescent="0.25">
      <c r="B68">
        <f t="shared" si="0"/>
        <v>53</v>
      </c>
      <c r="C68" s="58" t="str">
        <f t="shared" si="6"/>
        <v/>
      </c>
      <c r="D68" s="44">
        <f t="shared" si="7"/>
        <v>0</v>
      </c>
      <c r="E68" s="107">
        <f t="shared" si="1"/>
        <v>0</v>
      </c>
      <c r="F68" s="44">
        <f t="shared" si="2"/>
        <v>0</v>
      </c>
      <c r="G68" s="106">
        <f t="shared" si="9"/>
        <v>0</v>
      </c>
      <c r="H68" s="106">
        <f>ROUND(IF(B68&lt;$D$8,MIN(I67,D68-G68),IF(B68=$D$8,$I$15-SUM($H$15:$H67),0)),2)</f>
        <v>0</v>
      </c>
      <c r="I68" s="44">
        <f t="shared" si="8"/>
        <v>0</v>
      </c>
      <c r="J68" s="107"/>
      <c r="L68" s="107">
        <f t="shared" si="4"/>
        <v>0</v>
      </c>
      <c r="N68" s="338">
        <f t="shared" si="5"/>
        <v>0</v>
      </c>
      <c r="O68" s="339"/>
      <c r="P68" s="307" t="str">
        <f>IFERROR(IF(MONTH($C68)=MONTH($J$6),SUMIFS(F$15:F68,$C$15:$C68,"&gt;"&amp;EOMONTH($C68,-12)),""),"")</f>
        <v/>
      </c>
      <c r="Q68" s="307" t="str">
        <f>IFERROR(IF(MONTH($C68)=MONTH($J$6),SUMIFS(G$15:G68,$C$15:$C68,"&gt;"&amp;EOMONTH($C68,-12))+SUMIFS(H$15:H68,$C$15:$C68,"&gt;"&amp;EOMONTH($C68,-12)),""),"")</f>
        <v/>
      </c>
    </row>
    <row r="69" spans="2:17" ht="12.75" customHeight="1" x14ac:dyDescent="0.25">
      <c r="B69">
        <f t="shared" si="0"/>
        <v>54</v>
      </c>
      <c r="C69" s="58" t="str">
        <f t="shared" si="6"/>
        <v/>
      </c>
      <c r="D69" s="44">
        <f t="shared" si="7"/>
        <v>0</v>
      </c>
      <c r="E69" s="107">
        <f t="shared" si="1"/>
        <v>0</v>
      </c>
      <c r="F69" s="44">
        <f t="shared" si="2"/>
        <v>0</v>
      </c>
      <c r="G69" s="106">
        <f t="shared" si="9"/>
        <v>0</v>
      </c>
      <c r="H69" s="106">
        <f>ROUND(IF(B69&lt;$D$8,MIN(I68,D69-G69),IF(B69=$D$8,$I$15-SUM($H$15:$H68),0)),2)</f>
        <v>0</v>
      </c>
      <c r="I69" s="44">
        <f t="shared" si="8"/>
        <v>0</v>
      </c>
      <c r="J69" s="107"/>
      <c r="L69" s="107">
        <f t="shared" si="4"/>
        <v>0</v>
      </c>
      <c r="N69" s="338">
        <f t="shared" si="5"/>
        <v>0</v>
      </c>
      <c r="O69" s="339"/>
      <c r="P69" s="307" t="str">
        <f>IFERROR(IF(MONTH($C69)=MONTH($J$6),SUMIFS(F$15:F69,$C$15:$C69,"&gt;"&amp;EOMONTH($C69,-12)),""),"")</f>
        <v/>
      </c>
      <c r="Q69" s="307" t="str">
        <f>IFERROR(IF(MONTH($C69)=MONTH($J$6),SUMIFS(G$15:G69,$C$15:$C69,"&gt;"&amp;EOMONTH($C69,-12))+SUMIFS(H$15:H69,$C$15:$C69,"&gt;"&amp;EOMONTH($C69,-12)),""),"")</f>
        <v/>
      </c>
    </row>
    <row r="70" spans="2:17" ht="12.75" customHeight="1" x14ac:dyDescent="0.25">
      <c r="B70">
        <f t="shared" si="0"/>
        <v>55</v>
      </c>
      <c r="C70" s="58" t="str">
        <f t="shared" si="6"/>
        <v/>
      </c>
      <c r="D70" s="44">
        <f t="shared" si="7"/>
        <v>0</v>
      </c>
      <c r="E70" s="107">
        <f t="shared" si="1"/>
        <v>0</v>
      </c>
      <c r="F70" s="44">
        <f t="shared" si="2"/>
        <v>0</v>
      </c>
      <c r="G70" s="106">
        <f t="shared" si="9"/>
        <v>0</v>
      </c>
      <c r="H70" s="106">
        <f>ROUND(IF(B70&lt;$D$8,MIN(I69,D70-G70),IF(B70=$D$8,$I$15-SUM($H$15:$H69),0)),2)</f>
        <v>0</v>
      </c>
      <c r="I70" s="44">
        <f t="shared" si="8"/>
        <v>0</v>
      </c>
      <c r="J70" s="107"/>
      <c r="L70" s="107">
        <f t="shared" si="4"/>
        <v>0</v>
      </c>
      <c r="N70" s="338">
        <f t="shared" si="5"/>
        <v>0</v>
      </c>
      <c r="O70" s="339"/>
      <c r="P70" s="307" t="str">
        <f>IFERROR(IF(MONTH($C70)=MONTH($J$6),SUMIFS(F$15:F70,$C$15:$C70,"&gt;"&amp;EOMONTH($C70,-12)),""),"")</f>
        <v/>
      </c>
      <c r="Q70" s="307" t="str">
        <f>IFERROR(IF(MONTH($C70)=MONTH($J$6),SUMIFS(G$15:G70,$C$15:$C70,"&gt;"&amp;EOMONTH($C70,-12))+SUMIFS(H$15:H70,$C$15:$C70,"&gt;"&amp;EOMONTH($C70,-12)),""),"")</f>
        <v/>
      </c>
    </row>
    <row r="71" spans="2:17" ht="12.75" customHeight="1" x14ac:dyDescent="0.25">
      <c r="B71">
        <f t="shared" si="0"/>
        <v>56</v>
      </c>
      <c r="C71" s="58" t="str">
        <f t="shared" si="6"/>
        <v/>
      </c>
      <c r="D71" s="44">
        <f t="shared" si="7"/>
        <v>0</v>
      </c>
      <c r="E71" s="107">
        <f t="shared" si="1"/>
        <v>0</v>
      </c>
      <c r="F71" s="44">
        <f t="shared" si="2"/>
        <v>0</v>
      </c>
      <c r="G71" s="106">
        <f t="shared" si="9"/>
        <v>0</v>
      </c>
      <c r="H71" s="106">
        <f>ROUND(IF(B71&lt;$D$8,MIN(I70,D71-G71),IF(B71=$D$8,$I$15-SUM($H$15:$H70),0)),2)</f>
        <v>0</v>
      </c>
      <c r="I71" s="44">
        <f t="shared" si="8"/>
        <v>0</v>
      </c>
      <c r="J71" s="107"/>
      <c r="L71" s="107">
        <f t="shared" si="4"/>
        <v>0</v>
      </c>
      <c r="N71" s="338">
        <f t="shared" si="5"/>
        <v>0</v>
      </c>
      <c r="O71" s="339"/>
      <c r="P71" s="307" t="str">
        <f>IFERROR(IF(MONTH($C71)=MONTH($J$6),SUMIFS(F$15:F71,$C$15:$C71,"&gt;"&amp;EOMONTH($C71,-12)),""),"")</f>
        <v/>
      </c>
      <c r="Q71" s="307" t="str">
        <f>IFERROR(IF(MONTH($C71)=MONTH($J$6),SUMIFS(G$15:G71,$C$15:$C71,"&gt;"&amp;EOMONTH($C71,-12))+SUMIFS(H$15:H71,$C$15:$C71,"&gt;"&amp;EOMONTH($C71,-12)),""),"")</f>
        <v/>
      </c>
    </row>
    <row r="72" spans="2:17" ht="12.75" customHeight="1" x14ac:dyDescent="0.25">
      <c r="B72">
        <f t="shared" si="0"/>
        <v>57</v>
      </c>
      <c r="C72" s="58" t="str">
        <f t="shared" si="6"/>
        <v/>
      </c>
      <c r="D72" s="44">
        <f t="shared" si="7"/>
        <v>0</v>
      </c>
      <c r="E72" s="107">
        <f t="shared" si="1"/>
        <v>0</v>
      </c>
      <c r="F72" s="44">
        <f t="shared" si="2"/>
        <v>0</v>
      </c>
      <c r="G72" s="106">
        <f t="shared" si="9"/>
        <v>0</v>
      </c>
      <c r="H72" s="106">
        <f>ROUND(IF(B72&lt;$D$8,MIN(I71,D72-G72),IF(B72=$D$8,$I$15-SUM($H$15:$H71),0)),2)</f>
        <v>0</v>
      </c>
      <c r="I72" s="44">
        <f t="shared" si="8"/>
        <v>0</v>
      </c>
      <c r="J72" s="107"/>
      <c r="L72" s="107">
        <f t="shared" si="4"/>
        <v>0</v>
      </c>
      <c r="N72" s="338">
        <f t="shared" si="5"/>
        <v>0</v>
      </c>
      <c r="O72" s="339"/>
      <c r="P72" s="307" t="str">
        <f>IFERROR(IF(MONTH($C72)=MONTH($J$6),SUMIFS(F$15:F72,$C$15:$C72,"&gt;"&amp;EOMONTH($C72,-12)),""),"")</f>
        <v/>
      </c>
      <c r="Q72" s="307" t="str">
        <f>IFERROR(IF(MONTH($C72)=MONTH($J$6),SUMIFS(G$15:G72,$C$15:$C72,"&gt;"&amp;EOMONTH($C72,-12))+SUMIFS(H$15:H72,$C$15:$C72,"&gt;"&amp;EOMONTH($C72,-12)),""),"")</f>
        <v/>
      </c>
    </row>
    <row r="73" spans="2:17" ht="12.75" customHeight="1" x14ac:dyDescent="0.25">
      <c r="B73">
        <f t="shared" si="0"/>
        <v>58</v>
      </c>
      <c r="C73" s="58" t="str">
        <f t="shared" si="6"/>
        <v/>
      </c>
      <c r="D73" s="44">
        <f t="shared" si="7"/>
        <v>0</v>
      </c>
      <c r="E73" s="107">
        <f t="shared" si="1"/>
        <v>0</v>
      </c>
      <c r="F73" s="44">
        <f t="shared" si="2"/>
        <v>0</v>
      </c>
      <c r="G73" s="106">
        <f t="shared" si="9"/>
        <v>0</v>
      </c>
      <c r="H73" s="106">
        <f>ROUND(IF(B73&lt;$D$8,MIN(I72,D73-G73),IF(B73=$D$8,$I$15-SUM($H$15:$H72),0)),2)</f>
        <v>0</v>
      </c>
      <c r="I73" s="44">
        <f t="shared" si="8"/>
        <v>0</v>
      </c>
      <c r="J73" s="107"/>
      <c r="L73" s="107">
        <f t="shared" si="4"/>
        <v>0</v>
      </c>
      <c r="N73" s="338">
        <f t="shared" si="5"/>
        <v>0</v>
      </c>
      <c r="O73" s="339"/>
      <c r="P73" s="307" t="str">
        <f>IFERROR(IF(MONTH($C73)=MONTH($J$6),SUMIFS(F$15:F73,$C$15:$C73,"&gt;"&amp;EOMONTH($C73,-12)),""),"")</f>
        <v/>
      </c>
      <c r="Q73" s="307" t="str">
        <f>IFERROR(IF(MONTH($C73)=MONTH($J$6),SUMIFS(G$15:G73,$C$15:$C73,"&gt;"&amp;EOMONTH($C73,-12))+SUMIFS(H$15:H73,$C$15:$C73,"&gt;"&amp;EOMONTH($C73,-12)),""),"")</f>
        <v/>
      </c>
    </row>
    <row r="74" spans="2:17" ht="12.75" customHeight="1" x14ac:dyDescent="0.25">
      <c r="B74">
        <f t="shared" si="0"/>
        <v>59</v>
      </c>
      <c r="C74" s="58" t="str">
        <f t="shared" si="6"/>
        <v/>
      </c>
      <c r="D74" s="44">
        <f t="shared" si="7"/>
        <v>0</v>
      </c>
      <c r="E74" s="107">
        <f t="shared" si="1"/>
        <v>0</v>
      </c>
      <c r="F74" s="44">
        <f t="shared" si="2"/>
        <v>0</v>
      </c>
      <c r="G74" s="106">
        <f t="shared" si="9"/>
        <v>0</v>
      </c>
      <c r="H74" s="106">
        <f>ROUND(IF(B74&lt;$D$8,MIN(I73,D74-G74),IF(B74=$D$8,$I$15-SUM($H$15:$H73),0)),2)</f>
        <v>0</v>
      </c>
      <c r="I74" s="44">
        <f t="shared" si="8"/>
        <v>0</v>
      </c>
      <c r="J74" s="107"/>
      <c r="L74" s="107">
        <f t="shared" si="4"/>
        <v>0</v>
      </c>
      <c r="N74" s="338">
        <f t="shared" si="5"/>
        <v>0</v>
      </c>
      <c r="O74" s="339"/>
      <c r="P74" s="307" t="str">
        <f>IFERROR(IF(MONTH($C74)=MONTH($J$6),SUMIFS(F$15:F74,$C$15:$C74,"&gt;"&amp;EOMONTH($C74,-12)),""),"")</f>
        <v/>
      </c>
      <c r="Q74" s="307" t="str">
        <f>IFERROR(IF(MONTH($C74)=MONTH($J$6),SUMIFS(G$15:G74,$C$15:$C74,"&gt;"&amp;EOMONTH($C74,-12))+SUMIFS(H$15:H74,$C$15:$C74,"&gt;"&amp;EOMONTH($C74,-12)),""),"")</f>
        <v/>
      </c>
    </row>
    <row r="75" spans="2:17" ht="12.75" customHeight="1" x14ac:dyDescent="0.25">
      <c r="B75">
        <f t="shared" si="0"/>
        <v>60</v>
      </c>
      <c r="C75" s="58" t="str">
        <f t="shared" si="6"/>
        <v/>
      </c>
      <c r="D75" s="44">
        <f t="shared" si="7"/>
        <v>0</v>
      </c>
      <c r="E75" s="107">
        <f t="shared" si="1"/>
        <v>0</v>
      </c>
      <c r="F75" s="44">
        <f t="shared" si="2"/>
        <v>0</v>
      </c>
      <c r="G75" s="106">
        <f t="shared" si="9"/>
        <v>0</v>
      </c>
      <c r="H75" s="106">
        <f>ROUND(IF(B75&lt;$D$8,MIN(I74,D75-G75),IF(B75=$D$8,$I$15-SUM($H$15:$H74),0)),2)</f>
        <v>0</v>
      </c>
      <c r="I75" s="44">
        <f t="shared" si="8"/>
        <v>0</v>
      </c>
      <c r="J75" s="107"/>
      <c r="L75" s="107">
        <f t="shared" si="4"/>
        <v>0</v>
      </c>
      <c r="N75" s="338">
        <f t="shared" si="5"/>
        <v>0</v>
      </c>
      <c r="O75" s="339"/>
      <c r="P75" s="307" t="str">
        <f>IFERROR(IF(MONTH($C75)=MONTH($J$6),SUMIFS(F$15:F75,$C$15:$C75,"&gt;"&amp;EOMONTH($C75,-12)),""),"")</f>
        <v/>
      </c>
      <c r="Q75" s="307" t="str">
        <f>IFERROR(IF(MONTH($C75)=MONTH($J$6),SUMIFS(G$15:G75,$C$15:$C75,"&gt;"&amp;EOMONTH($C75,-12))+SUMIFS(H$15:H75,$C$15:$C75,"&gt;"&amp;EOMONTH($C75,-12)),""),"")</f>
        <v/>
      </c>
    </row>
    <row r="76" spans="2:17" ht="12.75" customHeight="1" x14ac:dyDescent="0.25">
      <c r="B76">
        <f t="shared" si="0"/>
        <v>61</v>
      </c>
      <c r="C76" s="58" t="str">
        <f t="shared" si="6"/>
        <v/>
      </c>
      <c r="D76" s="44">
        <f t="shared" si="7"/>
        <v>0</v>
      </c>
      <c r="E76" s="107">
        <f t="shared" si="1"/>
        <v>0</v>
      </c>
      <c r="F76" s="44">
        <f t="shared" si="2"/>
        <v>0</v>
      </c>
      <c r="G76" s="106">
        <f t="shared" si="9"/>
        <v>0</v>
      </c>
      <c r="H76" s="106">
        <f>ROUND(IF(B76&lt;$D$8,MIN(I75,D76-G76),IF(B76=$D$8,$I$15-SUM($H$15:$H75),0)),2)</f>
        <v>0</v>
      </c>
      <c r="I76" s="44">
        <f t="shared" si="8"/>
        <v>0</v>
      </c>
      <c r="J76" s="107"/>
      <c r="L76" s="107">
        <f t="shared" si="4"/>
        <v>0</v>
      </c>
      <c r="N76" s="338">
        <f t="shared" si="5"/>
        <v>0</v>
      </c>
      <c r="O76" s="339"/>
      <c r="P76" s="307" t="str">
        <f>IFERROR(IF(MONTH($C76)=MONTH($J$6),SUMIFS(F$15:F76,$C$15:$C76,"&gt;"&amp;EOMONTH($C76,-12)),""),"")</f>
        <v/>
      </c>
      <c r="Q76" s="307" t="str">
        <f>IFERROR(IF(MONTH($C76)=MONTH($J$6),SUMIFS(G$15:G76,$C$15:$C76,"&gt;"&amp;EOMONTH($C76,-12))+SUMIFS(H$15:H76,$C$15:$C76,"&gt;"&amp;EOMONTH($C76,-12)),""),"")</f>
        <v/>
      </c>
    </row>
    <row r="77" spans="2:17" ht="12.75" customHeight="1" x14ac:dyDescent="0.25">
      <c r="B77">
        <f t="shared" si="0"/>
        <v>62</v>
      </c>
      <c r="C77" s="58" t="str">
        <f t="shared" si="6"/>
        <v/>
      </c>
      <c r="D77" s="44">
        <f t="shared" si="7"/>
        <v>0</v>
      </c>
      <c r="E77" s="107">
        <f t="shared" si="1"/>
        <v>0</v>
      </c>
      <c r="F77" s="44">
        <f t="shared" si="2"/>
        <v>0</v>
      </c>
      <c r="G77" s="106">
        <f t="shared" si="9"/>
        <v>0</v>
      </c>
      <c r="H77" s="106">
        <f>ROUND(IF(B77&lt;$D$8,MIN(I76,D77-G77),IF(B77=$D$8,$I$15-SUM($H$15:$H76),0)),2)</f>
        <v>0</v>
      </c>
      <c r="I77" s="44">
        <f t="shared" si="8"/>
        <v>0</v>
      </c>
      <c r="J77" s="107"/>
      <c r="L77" s="107">
        <f t="shared" si="4"/>
        <v>0</v>
      </c>
      <c r="N77" s="338">
        <f t="shared" si="5"/>
        <v>0</v>
      </c>
      <c r="O77" s="339"/>
      <c r="P77" s="307" t="str">
        <f>IFERROR(IF(MONTH($C77)=MONTH($J$6),SUMIFS(F$15:F77,$C$15:$C77,"&gt;"&amp;EOMONTH($C77,-12)),""),"")</f>
        <v/>
      </c>
      <c r="Q77" s="307" t="str">
        <f>IFERROR(IF(MONTH($C77)=MONTH($J$6),SUMIFS(G$15:G77,$C$15:$C77,"&gt;"&amp;EOMONTH($C77,-12))+SUMIFS(H$15:H77,$C$15:$C77,"&gt;"&amp;EOMONTH($C77,-12)),""),"")</f>
        <v/>
      </c>
    </row>
    <row r="78" spans="2:17" ht="12.75" customHeight="1" x14ac:dyDescent="0.25">
      <c r="B78">
        <f t="shared" si="0"/>
        <v>63</v>
      </c>
      <c r="C78" s="58" t="str">
        <f t="shared" si="6"/>
        <v/>
      </c>
      <c r="D78" s="44">
        <f t="shared" si="7"/>
        <v>0</v>
      </c>
      <c r="E78" s="107">
        <f t="shared" si="1"/>
        <v>0</v>
      </c>
      <c r="F78" s="44">
        <f t="shared" si="2"/>
        <v>0</v>
      </c>
      <c r="G78" s="106">
        <f t="shared" si="9"/>
        <v>0</v>
      </c>
      <c r="H78" s="106">
        <f>ROUND(IF(B78&lt;$D$8,MIN(I77,D78-G78),IF(B78=$D$8,$I$15-SUM($H$15:$H77),0)),2)</f>
        <v>0</v>
      </c>
      <c r="I78" s="44">
        <f t="shared" si="8"/>
        <v>0</v>
      </c>
      <c r="J78" s="107"/>
      <c r="L78" s="107">
        <f t="shared" si="4"/>
        <v>0</v>
      </c>
      <c r="N78" s="338">
        <f t="shared" si="5"/>
        <v>0</v>
      </c>
      <c r="O78" s="339"/>
      <c r="P78" s="307" t="str">
        <f>IFERROR(IF(MONTH($C78)=MONTH($J$6),SUMIFS(F$15:F78,$C$15:$C78,"&gt;"&amp;EOMONTH($C78,-12)),""),"")</f>
        <v/>
      </c>
      <c r="Q78" s="307" t="str">
        <f>IFERROR(IF(MONTH($C78)=MONTH($J$6),SUMIFS(G$15:G78,$C$15:$C78,"&gt;"&amp;EOMONTH($C78,-12))+SUMIFS(H$15:H78,$C$15:$C78,"&gt;"&amp;EOMONTH($C78,-12)),""),"")</f>
        <v/>
      </c>
    </row>
    <row r="79" spans="2:17" ht="12.75" customHeight="1" x14ac:dyDescent="0.25">
      <c r="B79">
        <f t="shared" si="0"/>
        <v>64</v>
      </c>
      <c r="C79" s="58" t="str">
        <f t="shared" si="6"/>
        <v/>
      </c>
      <c r="D79" s="44">
        <f t="shared" si="7"/>
        <v>0</v>
      </c>
      <c r="E79" s="107">
        <f t="shared" si="1"/>
        <v>0</v>
      </c>
      <c r="F79" s="44">
        <f t="shared" si="2"/>
        <v>0</v>
      </c>
      <c r="G79" s="106">
        <f t="shared" si="9"/>
        <v>0</v>
      </c>
      <c r="H79" s="106">
        <f>ROUND(IF(B79&lt;$D$8,MIN(I78,D79-G79),IF(B79=$D$8,$I$15-SUM($H$15:$H78),0)),2)</f>
        <v>0</v>
      </c>
      <c r="I79" s="44">
        <f t="shared" si="8"/>
        <v>0</v>
      </c>
      <c r="J79" s="107"/>
      <c r="L79" s="107">
        <f t="shared" si="4"/>
        <v>0</v>
      </c>
      <c r="N79" s="338">
        <f t="shared" si="5"/>
        <v>0</v>
      </c>
      <c r="O79" s="339"/>
      <c r="P79" s="307" t="str">
        <f>IFERROR(IF(MONTH($C79)=MONTH($J$6),SUMIFS(F$15:F79,$C$15:$C79,"&gt;"&amp;EOMONTH($C79,-12)),""),"")</f>
        <v/>
      </c>
      <c r="Q79" s="307" t="str">
        <f>IFERROR(IF(MONTH($C79)=MONTH($J$6),SUMIFS(G$15:G79,$C$15:$C79,"&gt;"&amp;EOMONTH($C79,-12))+SUMIFS(H$15:H79,$C$15:$C79,"&gt;"&amp;EOMONTH($C79,-12)),""),"")</f>
        <v/>
      </c>
    </row>
    <row r="80" spans="2:17" ht="12.75" customHeight="1" x14ac:dyDescent="0.25">
      <c r="B80">
        <f t="shared" ref="B80:B143" si="10">B79+1</f>
        <v>65</v>
      </c>
      <c r="C80" s="58" t="str">
        <f t="shared" si="6"/>
        <v/>
      </c>
      <c r="D80" s="44">
        <f t="shared" si="7"/>
        <v>0</v>
      </c>
      <c r="E80" s="107">
        <f t="shared" ref="E80:E143" si="11">L79</f>
        <v>0</v>
      </c>
      <c r="F80" s="44">
        <f t="shared" ref="F80:F143" si="12">ROUND(IFERROR(MIN(MAX(D80-H80-G80,0),L79),0),2)</f>
        <v>0</v>
      </c>
      <c r="G80" s="106">
        <f t="shared" ref="G80:G111" si="13">ROUND(IFERROR((IF(B80&lt;=$D$8,(E80+IF(Loan_Type&lt;&gt;"Tax Loan",I79,0))*$D$6*30/360,0)),0),2)</f>
        <v>0</v>
      </c>
      <c r="H80" s="106">
        <f>ROUND(IF(B80&lt;$D$8,MIN(I79,D80-G80),IF(B80=$D$8,$I$15-SUM($H$15:$H79),0)),2)</f>
        <v>0</v>
      </c>
      <c r="I80" s="44">
        <f t="shared" si="8"/>
        <v>0</v>
      </c>
      <c r="J80" s="107"/>
      <c r="L80" s="107">
        <f t="shared" ref="L80:L143" si="14">ROUND(E80-F80,2)</f>
        <v>0</v>
      </c>
      <c r="N80" s="338">
        <f t="shared" ref="N80:N143" si="15">F80/$D$5</f>
        <v>0</v>
      </c>
      <c r="O80" s="339"/>
      <c r="P80" s="307" t="str">
        <f>IFERROR(IF(MONTH($C80)=MONTH($J$6),SUMIFS(F$15:F80,$C$15:$C80,"&gt;"&amp;EOMONTH($C80,-12)),""),"")</f>
        <v/>
      </c>
      <c r="Q80" s="307" t="str">
        <f>IFERROR(IF(MONTH($C80)=MONTH($J$6),SUMIFS(G$15:G80,$C$15:$C80,"&gt;"&amp;EOMONTH($C80,-12))+SUMIFS(H$15:H80,$C$15:$C80,"&gt;"&amp;EOMONTH($C80,-12)),""),"")</f>
        <v/>
      </c>
    </row>
    <row r="81" spans="2:17" ht="12.75" customHeight="1" x14ac:dyDescent="0.25">
      <c r="B81">
        <f t="shared" si="10"/>
        <v>66</v>
      </c>
      <c r="C81" s="58" t="str">
        <f t="shared" ref="C81:C144" si="16">IF(L80&lt;=0,"",EDATE($J$8,B81-1))</f>
        <v/>
      </c>
      <c r="D81" s="44">
        <f t="shared" ref="D81:D144" si="17">IF(B81=$D$8,L80+G81+H81,IF(B81&gt;$D$8,0,ROUNDUP($D$9,2)))</f>
        <v>0</v>
      </c>
      <c r="E81" s="107">
        <f t="shared" si="11"/>
        <v>0</v>
      </c>
      <c r="F81" s="44">
        <f t="shared" si="12"/>
        <v>0</v>
      </c>
      <c r="G81" s="106">
        <f t="shared" si="13"/>
        <v>0</v>
      </c>
      <c r="H81" s="106">
        <f>ROUND(IF(B81&lt;$D$8,MIN(I80,D81-G81),IF(B81=$D$8,$I$15-SUM($H$15:$H80),0)),2)</f>
        <v>0</v>
      </c>
      <c r="I81" s="44">
        <f t="shared" ref="I81:I144" si="18">I80-H81</f>
        <v>0</v>
      </c>
      <c r="J81" s="107"/>
      <c r="L81" s="107">
        <f t="shared" si="14"/>
        <v>0</v>
      </c>
      <c r="N81" s="338">
        <f t="shared" si="15"/>
        <v>0</v>
      </c>
      <c r="O81" s="339"/>
      <c r="P81" s="307" t="str">
        <f>IFERROR(IF(MONTH($C81)=MONTH($J$6),SUMIFS(F$15:F81,$C$15:$C81,"&gt;"&amp;EOMONTH($C81,-12)),""),"")</f>
        <v/>
      </c>
      <c r="Q81" s="307" t="str">
        <f>IFERROR(IF(MONTH($C81)=MONTH($J$6),SUMIFS(G$15:G81,$C$15:$C81,"&gt;"&amp;EOMONTH($C81,-12))+SUMIFS(H$15:H81,$C$15:$C81,"&gt;"&amp;EOMONTH($C81,-12)),""),"")</f>
        <v/>
      </c>
    </row>
    <row r="82" spans="2:17" ht="12.75" customHeight="1" x14ac:dyDescent="0.25">
      <c r="B82">
        <f t="shared" si="10"/>
        <v>67</v>
      </c>
      <c r="C82" s="58" t="str">
        <f t="shared" si="16"/>
        <v/>
      </c>
      <c r="D82" s="44">
        <f t="shared" si="17"/>
        <v>0</v>
      </c>
      <c r="E82" s="107">
        <f t="shared" si="11"/>
        <v>0</v>
      </c>
      <c r="F82" s="44">
        <f t="shared" si="12"/>
        <v>0</v>
      </c>
      <c r="G82" s="106">
        <f t="shared" si="13"/>
        <v>0</v>
      </c>
      <c r="H82" s="106">
        <f>ROUND(IF(B82&lt;$D$8,MIN(I81,D82-G82),IF(B82=$D$8,$I$15-SUM($H$15:$H81),0)),2)</f>
        <v>0</v>
      </c>
      <c r="I82" s="44">
        <f t="shared" si="18"/>
        <v>0</v>
      </c>
      <c r="J82" s="107"/>
      <c r="L82" s="107">
        <f t="shared" si="14"/>
        <v>0</v>
      </c>
      <c r="N82" s="338">
        <f t="shared" si="15"/>
        <v>0</v>
      </c>
      <c r="O82" s="339"/>
      <c r="P82" s="307" t="str">
        <f>IFERROR(IF(MONTH($C82)=MONTH($J$6),SUMIFS(F$15:F82,$C$15:$C82,"&gt;"&amp;EOMONTH($C82,-12)),""),"")</f>
        <v/>
      </c>
      <c r="Q82" s="307" t="str">
        <f>IFERROR(IF(MONTH($C82)=MONTH($J$6),SUMIFS(G$15:G82,$C$15:$C82,"&gt;"&amp;EOMONTH($C82,-12))+SUMIFS(H$15:H82,$C$15:$C82,"&gt;"&amp;EOMONTH($C82,-12)),""),"")</f>
        <v/>
      </c>
    </row>
    <row r="83" spans="2:17" ht="12.75" customHeight="1" x14ac:dyDescent="0.25">
      <c r="B83">
        <f t="shared" si="10"/>
        <v>68</v>
      </c>
      <c r="C83" s="58" t="str">
        <f t="shared" si="16"/>
        <v/>
      </c>
      <c r="D83" s="44">
        <f t="shared" si="17"/>
        <v>0</v>
      </c>
      <c r="E83" s="107">
        <f t="shared" si="11"/>
        <v>0</v>
      </c>
      <c r="F83" s="44">
        <f t="shared" si="12"/>
        <v>0</v>
      </c>
      <c r="G83" s="106">
        <f t="shared" si="13"/>
        <v>0</v>
      </c>
      <c r="H83" s="106">
        <f>ROUND(IF(B83&lt;$D$8,MIN(I82,D83-G83),IF(B83=$D$8,$I$15-SUM($H$15:$H82),0)),2)</f>
        <v>0</v>
      </c>
      <c r="I83" s="44">
        <f t="shared" si="18"/>
        <v>0</v>
      </c>
      <c r="J83" s="107"/>
      <c r="L83" s="107">
        <f t="shared" si="14"/>
        <v>0</v>
      </c>
      <c r="N83" s="338">
        <f t="shared" si="15"/>
        <v>0</v>
      </c>
      <c r="O83" s="339"/>
      <c r="P83" s="307" t="str">
        <f>IFERROR(IF(MONTH($C83)=MONTH($J$6),SUMIFS(F$15:F83,$C$15:$C83,"&gt;"&amp;EOMONTH($C83,-12)),""),"")</f>
        <v/>
      </c>
      <c r="Q83" s="307" t="str">
        <f>IFERROR(IF(MONTH($C83)=MONTH($J$6),SUMIFS(G$15:G83,$C$15:$C83,"&gt;"&amp;EOMONTH($C83,-12))+SUMIFS(H$15:H83,$C$15:$C83,"&gt;"&amp;EOMONTH($C83,-12)),""),"")</f>
        <v/>
      </c>
    </row>
    <row r="84" spans="2:17" ht="12.75" customHeight="1" x14ac:dyDescent="0.25">
      <c r="B84">
        <f t="shared" si="10"/>
        <v>69</v>
      </c>
      <c r="C84" s="58" t="str">
        <f t="shared" si="16"/>
        <v/>
      </c>
      <c r="D84" s="44">
        <f t="shared" si="17"/>
        <v>0</v>
      </c>
      <c r="E84" s="107">
        <f t="shared" si="11"/>
        <v>0</v>
      </c>
      <c r="F84" s="44">
        <f t="shared" si="12"/>
        <v>0</v>
      </c>
      <c r="G84" s="106">
        <f t="shared" si="13"/>
        <v>0</v>
      </c>
      <c r="H84" s="106">
        <f>ROUND(IF(B84&lt;$D$8,MIN(I83,D84-G84),IF(B84=$D$8,$I$15-SUM($H$15:$H83),0)),2)</f>
        <v>0</v>
      </c>
      <c r="I84" s="44">
        <f t="shared" si="18"/>
        <v>0</v>
      </c>
      <c r="J84" s="107"/>
      <c r="L84" s="107">
        <f t="shared" si="14"/>
        <v>0</v>
      </c>
      <c r="N84" s="338">
        <f t="shared" si="15"/>
        <v>0</v>
      </c>
      <c r="O84" s="339"/>
      <c r="P84" s="307" t="str">
        <f>IFERROR(IF(MONTH($C84)=MONTH($J$6),SUMIFS(F$15:F84,$C$15:$C84,"&gt;"&amp;EOMONTH($C84,-12)),""),"")</f>
        <v/>
      </c>
      <c r="Q84" s="307" t="str">
        <f>IFERROR(IF(MONTH($C84)=MONTH($J$6),SUMIFS(G$15:G84,$C$15:$C84,"&gt;"&amp;EOMONTH($C84,-12))+SUMIFS(H$15:H84,$C$15:$C84,"&gt;"&amp;EOMONTH($C84,-12)),""),"")</f>
        <v/>
      </c>
    </row>
    <row r="85" spans="2:17" ht="12.75" customHeight="1" x14ac:dyDescent="0.25">
      <c r="B85">
        <f t="shared" si="10"/>
        <v>70</v>
      </c>
      <c r="C85" s="58" t="str">
        <f t="shared" si="16"/>
        <v/>
      </c>
      <c r="D85" s="44">
        <f t="shared" si="17"/>
        <v>0</v>
      </c>
      <c r="E85" s="107">
        <f t="shared" si="11"/>
        <v>0</v>
      </c>
      <c r="F85" s="44">
        <f t="shared" si="12"/>
        <v>0</v>
      </c>
      <c r="G85" s="106">
        <f t="shared" si="13"/>
        <v>0</v>
      </c>
      <c r="H85" s="106">
        <f>ROUND(IF(B85&lt;$D$8,MIN(I84,D85-G85),IF(B85=$D$8,$I$15-SUM($H$15:$H84),0)),2)</f>
        <v>0</v>
      </c>
      <c r="I85" s="44">
        <f t="shared" si="18"/>
        <v>0</v>
      </c>
      <c r="J85" s="107"/>
      <c r="L85" s="107">
        <f t="shared" si="14"/>
        <v>0</v>
      </c>
      <c r="N85" s="338">
        <f t="shared" si="15"/>
        <v>0</v>
      </c>
      <c r="O85" s="339"/>
      <c r="P85" s="307" t="str">
        <f>IFERROR(IF(MONTH($C85)=MONTH($J$6),SUMIFS(F$15:F85,$C$15:$C85,"&gt;"&amp;EOMONTH($C85,-12)),""),"")</f>
        <v/>
      </c>
      <c r="Q85" s="307" t="str">
        <f>IFERROR(IF(MONTH($C85)=MONTH($J$6),SUMIFS(G$15:G85,$C$15:$C85,"&gt;"&amp;EOMONTH($C85,-12))+SUMIFS(H$15:H85,$C$15:$C85,"&gt;"&amp;EOMONTH($C85,-12)),""),"")</f>
        <v/>
      </c>
    </row>
    <row r="86" spans="2:17" ht="12.75" customHeight="1" x14ac:dyDescent="0.25">
      <c r="B86">
        <f t="shared" si="10"/>
        <v>71</v>
      </c>
      <c r="C86" s="58" t="str">
        <f t="shared" si="16"/>
        <v/>
      </c>
      <c r="D86" s="44">
        <f t="shared" si="17"/>
        <v>0</v>
      </c>
      <c r="E86" s="107">
        <f t="shared" si="11"/>
        <v>0</v>
      </c>
      <c r="F86" s="44">
        <f t="shared" si="12"/>
        <v>0</v>
      </c>
      <c r="G86" s="106">
        <f t="shared" si="13"/>
        <v>0</v>
      </c>
      <c r="H86" s="106">
        <f>ROUND(IF(B86&lt;$D$8,MIN(I85,D86-G86),IF(B86=$D$8,$I$15-SUM($H$15:$H85),0)),2)</f>
        <v>0</v>
      </c>
      <c r="I86" s="44">
        <f t="shared" si="18"/>
        <v>0</v>
      </c>
      <c r="J86" s="107"/>
      <c r="L86" s="107">
        <f t="shared" si="14"/>
        <v>0</v>
      </c>
      <c r="N86" s="338">
        <f t="shared" si="15"/>
        <v>0</v>
      </c>
      <c r="O86" s="339"/>
      <c r="P86" s="307" t="str">
        <f>IFERROR(IF(MONTH($C86)=MONTH($J$6),SUMIFS(F$15:F86,$C$15:$C86,"&gt;"&amp;EOMONTH($C86,-12)),""),"")</f>
        <v/>
      </c>
      <c r="Q86" s="307" t="str">
        <f>IFERROR(IF(MONTH($C86)=MONTH($J$6),SUMIFS(G$15:G86,$C$15:$C86,"&gt;"&amp;EOMONTH($C86,-12))+SUMIFS(H$15:H86,$C$15:$C86,"&gt;"&amp;EOMONTH($C86,-12)),""),"")</f>
        <v/>
      </c>
    </row>
    <row r="87" spans="2:17" ht="12.75" customHeight="1" x14ac:dyDescent="0.25">
      <c r="B87">
        <f t="shared" si="10"/>
        <v>72</v>
      </c>
      <c r="C87" s="58" t="str">
        <f t="shared" si="16"/>
        <v/>
      </c>
      <c r="D87" s="44">
        <f t="shared" si="17"/>
        <v>0</v>
      </c>
      <c r="E87" s="107">
        <f t="shared" si="11"/>
        <v>0</v>
      </c>
      <c r="F87" s="44">
        <f t="shared" si="12"/>
        <v>0</v>
      </c>
      <c r="G87" s="106">
        <f t="shared" si="13"/>
        <v>0</v>
      </c>
      <c r="H87" s="106">
        <f>ROUND(IF(B87&lt;$D$8,MIN(I86,D87-G87),IF(B87=$D$8,$I$15-SUM($H$15:$H86),0)),2)</f>
        <v>0</v>
      </c>
      <c r="I87" s="44">
        <f t="shared" si="18"/>
        <v>0</v>
      </c>
      <c r="J87" s="107"/>
      <c r="L87" s="107">
        <f t="shared" si="14"/>
        <v>0</v>
      </c>
      <c r="N87" s="338">
        <f t="shared" si="15"/>
        <v>0</v>
      </c>
      <c r="O87" s="339"/>
      <c r="P87" s="307" t="str">
        <f>IFERROR(IF(MONTH($C87)=MONTH($J$6),SUMIFS(F$15:F87,$C$15:$C87,"&gt;"&amp;EOMONTH($C87,-12)),""),"")</f>
        <v/>
      </c>
      <c r="Q87" s="307" t="str">
        <f>IFERROR(IF(MONTH($C87)=MONTH($J$6),SUMIFS(G$15:G87,$C$15:$C87,"&gt;"&amp;EOMONTH($C87,-12))+SUMIFS(H$15:H87,$C$15:$C87,"&gt;"&amp;EOMONTH($C87,-12)),""),"")</f>
        <v/>
      </c>
    </row>
    <row r="88" spans="2:17" ht="12.75" customHeight="1" x14ac:dyDescent="0.25">
      <c r="B88">
        <f t="shared" si="10"/>
        <v>73</v>
      </c>
      <c r="C88" s="58" t="str">
        <f t="shared" si="16"/>
        <v/>
      </c>
      <c r="D88" s="44">
        <f t="shared" si="17"/>
        <v>0</v>
      </c>
      <c r="E88" s="107">
        <f t="shared" si="11"/>
        <v>0</v>
      </c>
      <c r="F88" s="44">
        <f t="shared" si="12"/>
        <v>0</v>
      </c>
      <c r="G88" s="106">
        <f t="shared" si="13"/>
        <v>0</v>
      </c>
      <c r="H88" s="106">
        <f>ROUND(IF(B88&lt;$D$8,MIN(I87,D88-G88),IF(B88=$D$8,$I$15-SUM($H$15:$H87),0)),2)</f>
        <v>0</v>
      </c>
      <c r="I88" s="44">
        <f t="shared" si="18"/>
        <v>0</v>
      </c>
      <c r="J88" s="107"/>
      <c r="L88" s="107">
        <f t="shared" si="14"/>
        <v>0</v>
      </c>
      <c r="N88" s="338">
        <f t="shared" si="15"/>
        <v>0</v>
      </c>
      <c r="O88" s="339"/>
      <c r="P88" s="307" t="str">
        <f>IFERROR(IF(MONTH($C88)=MONTH($J$6),SUMIFS(F$15:F88,$C$15:$C88,"&gt;"&amp;EOMONTH($C88,-12)),""),"")</f>
        <v/>
      </c>
      <c r="Q88" s="307" t="str">
        <f>IFERROR(IF(MONTH($C88)=MONTH($J$6),SUMIFS(G$15:G88,$C$15:$C88,"&gt;"&amp;EOMONTH($C88,-12))+SUMIFS(H$15:H88,$C$15:$C88,"&gt;"&amp;EOMONTH($C88,-12)),""),"")</f>
        <v/>
      </c>
    </row>
    <row r="89" spans="2:17" ht="12.75" customHeight="1" x14ac:dyDescent="0.25">
      <c r="B89">
        <f t="shared" si="10"/>
        <v>74</v>
      </c>
      <c r="C89" s="58" t="str">
        <f t="shared" si="16"/>
        <v/>
      </c>
      <c r="D89" s="44">
        <f t="shared" si="17"/>
        <v>0</v>
      </c>
      <c r="E89" s="107">
        <f t="shared" si="11"/>
        <v>0</v>
      </c>
      <c r="F89" s="44">
        <f t="shared" si="12"/>
        <v>0</v>
      </c>
      <c r="G89" s="106">
        <f t="shared" si="13"/>
        <v>0</v>
      </c>
      <c r="H89" s="106">
        <f>ROUND(IF(B89&lt;$D$8,MIN(I88,D89-G89),IF(B89=$D$8,$I$15-SUM($H$15:$H88),0)),2)</f>
        <v>0</v>
      </c>
      <c r="I89" s="44">
        <f t="shared" si="18"/>
        <v>0</v>
      </c>
      <c r="J89" s="107"/>
      <c r="L89" s="107">
        <f t="shared" si="14"/>
        <v>0</v>
      </c>
      <c r="N89" s="338">
        <f t="shared" si="15"/>
        <v>0</v>
      </c>
      <c r="O89" s="339"/>
      <c r="P89" s="307" t="str">
        <f>IFERROR(IF(MONTH($C89)=MONTH($J$6),SUMIFS(F$15:F89,$C$15:$C89,"&gt;"&amp;EOMONTH($C89,-12)),""),"")</f>
        <v/>
      </c>
      <c r="Q89" s="307" t="str">
        <f>IFERROR(IF(MONTH($C89)=MONTH($J$6),SUMIFS(G$15:G89,$C$15:$C89,"&gt;"&amp;EOMONTH($C89,-12))+SUMIFS(H$15:H89,$C$15:$C89,"&gt;"&amp;EOMONTH($C89,-12)),""),"")</f>
        <v/>
      </c>
    </row>
    <row r="90" spans="2:17" ht="12.75" customHeight="1" x14ac:dyDescent="0.25">
      <c r="B90">
        <f t="shared" si="10"/>
        <v>75</v>
      </c>
      <c r="C90" s="58" t="str">
        <f t="shared" si="16"/>
        <v/>
      </c>
      <c r="D90" s="44">
        <f t="shared" si="17"/>
        <v>0</v>
      </c>
      <c r="E90" s="107">
        <f t="shared" si="11"/>
        <v>0</v>
      </c>
      <c r="F90" s="44">
        <f t="shared" si="12"/>
        <v>0</v>
      </c>
      <c r="G90" s="106">
        <f t="shared" si="13"/>
        <v>0</v>
      </c>
      <c r="H90" s="106">
        <f>ROUND(IF(B90&lt;$D$8,MIN(I89,D90-G90),IF(B90=$D$8,$I$15-SUM($H$15:$H89),0)),2)</f>
        <v>0</v>
      </c>
      <c r="I90" s="44">
        <f t="shared" si="18"/>
        <v>0</v>
      </c>
      <c r="J90" s="107"/>
      <c r="L90" s="107">
        <f t="shared" si="14"/>
        <v>0</v>
      </c>
      <c r="N90" s="338">
        <f t="shared" si="15"/>
        <v>0</v>
      </c>
      <c r="O90" s="339"/>
      <c r="P90" s="307" t="str">
        <f>IFERROR(IF(MONTH($C90)=MONTH($J$6),SUMIFS(F$15:F90,$C$15:$C90,"&gt;"&amp;EOMONTH($C90,-12)),""),"")</f>
        <v/>
      </c>
      <c r="Q90" s="307" t="str">
        <f>IFERROR(IF(MONTH($C90)=MONTH($J$6),SUMIFS(G$15:G90,$C$15:$C90,"&gt;"&amp;EOMONTH($C90,-12))+SUMIFS(H$15:H90,$C$15:$C90,"&gt;"&amp;EOMONTH($C90,-12)),""),"")</f>
        <v/>
      </c>
    </row>
    <row r="91" spans="2:17" ht="12.75" customHeight="1" x14ac:dyDescent="0.25">
      <c r="B91">
        <f t="shared" si="10"/>
        <v>76</v>
      </c>
      <c r="C91" s="58" t="str">
        <f t="shared" si="16"/>
        <v/>
      </c>
      <c r="D91" s="44">
        <f t="shared" si="17"/>
        <v>0</v>
      </c>
      <c r="E91" s="107">
        <f t="shared" si="11"/>
        <v>0</v>
      </c>
      <c r="F91" s="44">
        <f t="shared" si="12"/>
        <v>0</v>
      </c>
      <c r="G91" s="106">
        <f t="shared" si="13"/>
        <v>0</v>
      </c>
      <c r="H91" s="106">
        <f>ROUND(IF(B91&lt;$D$8,MIN(I90,D91-G91),IF(B91=$D$8,$I$15-SUM($H$15:$H90),0)),2)</f>
        <v>0</v>
      </c>
      <c r="I91" s="44">
        <f t="shared" si="18"/>
        <v>0</v>
      </c>
      <c r="J91" s="107"/>
      <c r="L91" s="107">
        <f t="shared" si="14"/>
        <v>0</v>
      </c>
      <c r="N91" s="338">
        <f t="shared" si="15"/>
        <v>0</v>
      </c>
      <c r="O91" s="339"/>
      <c r="P91" s="307" t="str">
        <f>IFERROR(IF(MONTH($C91)=MONTH($J$6),SUMIFS(F$15:F91,$C$15:$C91,"&gt;"&amp;EOMONTH($C91,-12)),""),"")</f>
        <v/>
      </c>
      <c r="Q91" s="307" t="str">
        <f>IFERROR(IF(MONTH($C91)=MONTH($J$6),SUMIFS(G$15:G91,$C$15:$C91,"&gt;"&amp;EOMONTH($C91,-12))+SUMIFS(H$15:H91,$C$15:$C91,"&gt;"&amp;EOMONTH($C91,-12)),""),"")</f>
        <v/>
      </c>
    </row>
    <row r="92" spans="2:17" ht="12.75" customHeight="1" x14ac:dyDescent="0.25">
      <c r="B92">
        <f t="shared" si="10"/>
        <v>77</v>
      </c>
      <c r="C92" s="58" t="str">
        <f t="shared" si="16"/>
        <v/>
      </c>
      <c r="D92" s="44">
        <f t="shared" si="17"/>
        <v>0</v>
      </c>
      <c r="E92" s="107">
        <f t="shared" si="11"/>
        <v>0</v>
      </c>
      <c r="F92" s="44">
        <f t="shared" si="12"/>
        <v>0</v>
      </c>
      <c r="G92" s="106">
        <f t="shared" si="13"/>
        <v>0</v>
      </c>
      <c r="H92" s="106">
        <f>ROUND(IF(B92&lt;$D$8,MIN(I91,D92-G92),IF(B92=$D$8,$I$15-SUM($H$15:$H91),0)),2)</f>
        <v>0</v>
      </c>
      <c r="I92" s="44">
        <f t="shared" si="18"/>
        <v>0</v>
      </c>
      <c r="J92" s="107"/>
      <c r="L92" s="107">
        <f t="shared" si="14"/>
        <v>0</v>
      </c>
      <c r="N92" s="338">
        <f t="shared" si="15"/>
        <v>0</v>
      </c>
      <c r="O92" s="339"/>
      <c r="P92" s="307" t="str">
        <f>IFERROR(IF(MONTH($C92)=MONTH($J$6),SUMIFS(F$15:F92,$C$15:$C92,"&gt;"&amp;EOMONTH($C92,-12)),""),"")</f>
        <v/>
      </c>
      <c r="Q92" s="307" t="str">
        <f>IFERROR(IF(MONTH($C92)=MONTH($J$6),SUMIFS(G$15:G92,$C$15:$C92,"&gt;"&amp;EOMONTH($C92,-12))+SUMIFS(H$15:H92,$C$15:$C92,"&gt;"&amp;EOMONTH($C92,-12)),""),"")</f>
        <v/>
      </c>
    </row>
    <row r="93" spans="2:17" ht="12.75" customHeight="1" x14ac:dyDescent="0.25">
      <c r="B93">
        <f t="shared" si="10"/>
        <v>78</v>
      </c>
      <c r="C93" s="58" t="str">
        <f t="shared" si="16"/>
        <v/>
      </c>
      <c r="D93" s="44">
        <f t="shared" si="17"/>
        <v>0</v>
      </c>
      <c r="E93" s="107">
        <f t="shared" si="11"/>
        <v>0</v>
      </c>
      <c r="F93" s="44">
        <f t="shared" si="12"/>
        <v>0</v>
      </c>
      <c r="G93" s="106">
        <f t="shared" si="13"/>
        <v>0</v>
      </c>
      <c r="H93" s="106">
        <f>ROUND(IF(B93&lt;$D$8,MIN(I92,D93-G93),IF(B93=$D$8,$I$15-SUM($H$15:$H92),0)),2)</f>
        <v>0</v>
      </c>
      <c r="I93" s="44">
        <f t="shared" si="18"/>
        <v>0</v>
      </c>
      <c r="J93" s="107"/>
      <c r="L93" s="107">
        <f t="shared" si="14"/>
        <v>0</v>
      </c>
      <c r="N93" s="338">
        <f t="shared" si="15"/>
        <v>0</v>
      </c>
      <c r="O93" s="339"/>
      <c r="P93" s="307" t="str">
        <f>IFERROR(IF(MONTH($C93)=MONTH($J$6),SUMIFS(F$15:F93,$C$15:$C93,"&gt;"&amp;EOMONTH($C93,-12)),""),"")</f>
        <v/>
      </c>
      <c r="Q93" s="307" t="str">
        <f>IFERROR(IF(MONTH($C93)=MONTH($J$6),SUMIFS(G$15:G93,$C$15:$C93,"&gt;"&amp;EOMONTH($C93,-12))+SUMIFS(H$15:H93,$C$15:$C93,"&gt;"&amp;EOMONTH($C93,-12)),""),"")</f>
        <v/>
      </c>
    </row>
    <row r="94" spans="2:17" ht="12.75" customHeight="1" x14ac:dyDescent="0.25">
      <c r="B94">
        <f t="shared" si="10"/>
        <v>79</v>
      </c>
      <c r="C94" s="58" t="str">
        <f t="shared" si="16"/>
        <v/>
      </c>
      <c r="D94" s="44">
        <f t="shared" si="17"/>
        <v>0</v>
      </c>
      <c r="E94" s="107">
        <f t="shared" si="11"/>
        <v>0</v>
      </c>
      <c r="F94" s="44">
        <f t="shared" si="12"/>
        <v>0</v>
      </c>
      <c r="G94" s="106">
        <f t="shared" si="13"/>
        <v>0</v>
      </c>
      <c r="H94" s="106">
        <f>ROUND(IF(B94&lt;$D$8,MIN(I93,D94-G94),IF(B94=$D$8,$I$15-SUM($H$15:$H93),0)),2)</f>
        <v>0</v>
      </c>
      <c r="I94" s="44">
        <f t="shared" si="18"/>
        <v>0</v>
      </c>
      <c r="J94" s="107"/>
      <c r="L94" s="107">
        <f t="shared" si="14"/>
        <v>0</v>
      </c>
      <c r="N94" s="338">
        <f t="shared" si="15"/>
        <v>0</v>
      </c>
      <c r="O94" s="339"/>
      <c r="P94" s="307" t="str">
        <f>IFERROR(IF(MONTH($C94)=MONTH($J$6),SUMIFS(F$15:F94,$C$15:$C94,"&gt;"&amp;EOMONTH($C94,-12)),""),"")</f>
        <v/>
      </c>
      <c r="Q94" s="307" t="str">
        <f>IFERROR(IF(MONTH($C94)=MONTH($J$6),SUMIFS(G$15:G94,$C$15:$C94,"&gt;"&amp;EOMONTH($C94,-12))+SUMIFS(H$15:H94,$C$15:$C94,"&gt;"&amp;EOMONTH($C94,-12)),""),"")</f>
        <v/>
      </c>
    </row>
    <row r="95" spans="2:17" ht="12.75" customHeight="1" x14ac:dyDescent="0.25">
      <c r="B95">
        <f t="shared" si="10"/>
        <v>80</v>
      </c>
      <c r="C95" s="58" t="str">
        <f t="shared" si="16"/>
        <v/>
      </c>
      <c r="D95" s="44">
        <f t="shared" si="17"/>
        <v>0</v>
      </c>
      <c r="E95" s="107">
        <f t="shared" si="11"/>
        <v>0</v>
      </c>
      <c r="F95" s="44">
        <f t="shared" si="12"/>
        <v>0</v>
      </c>
      <c r="G95" s="106">
        <f t="shared" si="13"/>
        <v>0</v>
      </c>
      <c r="H95" s="106">
        <f>ROUND(IF(B95&lt;$D$8,MIN(I94,D95-G95),IF(B95=$D$8,$I$15-SUM($H$15:$H94),0)),2)</f>
        <v>0</v>
      </c>
      <c r="I95" s="44">
        <f t="shared" si="18"/>
        <v>0</v>
      </c>
      <c r="J95" s="107"/>
      <c r="L95" s="107">
        <f t="shared" si="14"/>
        <v>0</v>
      </c>
      <c r="N95" s="338">
        <f t="shared" si="15"/>
        <v>0</v>
      </c>
      <c r="O95" s="339"/>
      <c r="P95" s="307" t="str">
        <f>IFERROR(IF(MONTH($C95)=MONTH($J$6),SUMIFS(F$15:F95,$C$15:$C95,"&gt;"&amp;EOMONTH($C95,-12)),""),"")</f>
        <v/>
      </c>
      <c r="Q95" s="307" t="str">
        <f>IFERROR(IF(MONTH($C95)=MONTH($J$6),SUMIFS(G$15:G95,$C$15:$C95,"&gt;"&amp;EOMONTH($C95,-12))+SUMIFS(H$15:H95,$C$15:$C95,"&gt;"&amp;EOMONTH($C95,-12)),""),"")</f>
        <v/>
      </c>
    </row>
    <row r="96" spans="2:17" ht="12.75" customHeight="1" x14ac:dyDescent="0.25">
      <c r="B96">
        <f t="shared" si="10"/>
        <v>81</v>
      </c>
      <c r="C96" s="58" t="str">
        <f t="shared" si="16"/>
        <v/>
      </c>
      <c r="D96" s="44">
        <f t="shared" si="17"/>
        <v>0</v>
      </c>
      <c r="E96" s="107">
        <f t="shared" si="11"/>
        <v>0</v>
      </c>
      <c r="F96" s="44">
        <f t="shared" si="12"/>
        <v>0</v>
      </c>
      <c r="G96" s="106">
        <f t="shared" si="13"/>
        <v>0</v>
      </c>
      <c r="H96" s="106">
        <f>ROUND(IF(B96&lt;$D$8,MIN(I95,D96-G96),IF(B96=$D$8,$I$15-SUM($H$15:$H95),0)),2)</f>
        <v>0</v>
      </c>
      <c r="I96" s="44">
        <f t="shared" si="18"/>
        <v>0</v>
      </c>
      <c r="J96" s="107"/>
      <c r="L96" s="107">
        <f t="shared" si="14"/>
        <v>0</v>
      </c>
      <c r="N96" s="338">
        <f t="shared" si="15"/>
        <v>0</v>
      </c>
      <c r="O96" s="339"/>
      <c r="P96" s="307" t="str">
        <f>IFERROR(IF(MONTH($C96)=MONTH($J$6),SUMIFS(F$15:F96,$C$15:$C96,"&gt;"&amp;EOMONTH($C96,-12)),""),"")</f>
        <v/>
      </c>
      <c r="Q96" s="307" t="str">
        <f>IFERROR(IF(MONTH($C96)=MONTH($J$6),SUMIFS(G$15:G96,$C$15:$C96,"&gt;"&amp;EOMONTH($C96,-12))+SUMIFS(H$15:H96,$C$15:$C96,"&gt;"&amp;EOMONTH($C96,-12)),""),"")</f>
        <v/>
      </c>
    </row>
    <row r="97" spans="2:17" ht="12.75" customHeight="1" x14ac:dyDescent="0.25">
      <c r="B97">
        <f t="shared" si="10"/>
        <v>82</v>
      </c>
      <c r="C97" s="58" t="str">
        <f t="shared" si="16"/>
        <v/>
      </c>
      <c r="D97" s="44">
        <f t="shared" si="17"/>
        <v>0</v>
      </c>
      <c r="E97" s="107">
        <f t="shared" si="11"/>
        <v>0</v>
      </c>
      <c r="F97" s="44">
        <f t="shared" si="12"/>
        <v>0</v>
      </c>
      <c r="G97" s="106">
        <f t="shared" si="13"/>
        <v>0</v>
      </c>
      <c r="H97" s="106">
        <f>ROUND(IF(B97&lt;$D$8,MIN(I96,D97-G97),IF(B97=$D$8,$I$15-SUM($H$15:$H96),0)),2)</f>
        <v>0</v>
      </c>
      <c r="I97" s="44">
        <f t="shared" si="18"/>
        <v>0</v>
      </c>
      <c r="J97" s="107"/>
      <c r="L97" s="107">
        <f t="shared" si="14"/>
        <v>0</v>
      </c>
      <c r="N97" s="338">
        <f t="shared" si="15"/>
        <v>0</v>
      </c>
      <c r="O97" s="339"/>
      <c r="P97" s="307" t="str">
        <f>IFERROR(IF(MONTH($C97)=MONTH($J$6),SUMIFS(F$15:F97,$C$15:$C97,"&gt;"&amp;EOMONTH($C97,-12)),""),"")</f>
        <v/>
      </c>
      <c r="Q97" s="307" t="str">
        <f>IFERROR(IF(MONTH($C97)=MONTH($J$6),SUMIFS(G$15:G97,$C$15:$C97,"&gt;"&amp;EOMONTH($C97,-12))+SUMIFS(H$15:H97,$C$15:$C97,"&gt;"&amp;EOMONTH($C97,-12)),""),"")</f>
        <v/>
      </c>
    </row>
    <row r="98" spans="2:17" ht="12.75" customHeight="1" x14ac:dyDescent="0.25">
      <c r="B98">
        <f t="shared" si="10"/>
        <v>83</v>
      </c>
      <c r="C98" s="58" t="str">
        <f t="shared" si="16"/>
        <v/>
      </c>
      <c r="D98" s="44">
        <f t="shared" si="17"/>
        <v>0</v>
      </c>
      <c r="E98" s="107">
        <f t="shared" si="11"/>
        <v>0</v>
      </c>
      <c r="F98" s="44">
        <f t="shared" si="12"/>
        <v>0</v>
      </c>
      <c r="G98" s="106">
        <f t="shared" si="13"/>
        <v>0</v>
      </c>
      <c r="H98" s="106">
        <f>ROUND(IF(B98&lt;$D$8,MIN(I97,D98-G98),IF(B98=$D$8,$I$15-SUM($H$15:$H97),0)),2)</f>
        <v>0</v>
      </c>
      <c r="I98" s="44">
        <f t="shared" si="18"/>
        <v>0</v>
      </c>
      <c r="J98" s="107"/>
      <c r="L98" s="107">
        <f t="shared" si="14"/>
        <v>0</v>
      </c>
      <c r="N98" s="338">
        <f t="shared" si="15"/>
        <v>0</v>
      </c>
      <c r="O98" s="339"/>
      <c r="P98" s="307" t="str">
        <f>IFERROR(IF(MONTH($C98)=MONTH($J$6),SUMIFS(F$15:F98,$C$15:$C98,"&gt;"&amp;EOMONTH($C98,-12)),""),"")</f>
        <v/>
      </c>
      <c r="Q98" s="307" t="str">
        <f>IFERROR(IF(MONTH($C98)=MONTH($J$6),SUMIFS(G$15:G98,$C$15:$C98,"&gt;"&amp;EOMONTH($C98,-12))+SUMIFS(H$15:H98,$C$15:$C98,"&gt;"&amp;EOMONTH($C98,-12)),""),"")</f>
        <v/>
      </c>
    </row>
    <row r="99" spans="2:17" ht="12.75" customHeight="1" x14ac:dyDescent="0.25">
      <c r="B99">
        <f t="shared" si="10"/>
        <v>84</v>
      </c>
      <c r="C99" s="58" t="str">
        <f t="shared" si="16"/>
        <v/>
      </c>
      <c r="D99" s="44">
        <f t="shared" si="17"/>
        <v>0</v>
      </c>
      <c r="E99" s="107">
        <f t="shared" si="11"/>
        <v>0</v>
      </c>
      <c r="F99" s="44">
        <f t="shared" si="12"/>
        <v>0</v>
      </c>
      <c r="G99" s="106">
        <f t="shared" si="13"/>
        <v>0</v>
      </c>
      <c r="H99" s="106">
        <f>ROUND(IF(B99&lt;$D$8,MIN(I98,D99-G99),IF(B99=$D$8,$I$15-SUM($H$15:$H98),0)),2)</f>
        <v>0</v>
      </c>
      <c r="I99" s="44">
        <f t="shared" si="18"/>
        <v>0</v>
      </c>
      <c r="J99" s="107"/>
      <c r="L99" s="107">
        <f t="shared" si="14"/>
        <v>0</v>
      </c>
      <c r="N99" s="338">
        <f t="shared" si="15"/>
        <v>0</v>
      </c>
      <c r="O99" s="339"/>
      <c r="P99" s="307" t="str">
        <f>IFERROR(IF(MONTH($C99)=MONTH($J$6),SUMIFS(F$15:F99,$C$15:$C99,"&gt;"&amp;EOMONTH($C99,-12)),""),"")</f>
        <v/>
      </c>
      <c r="Q99" s="307" t="str">
        <f>IFERROR(IF(MONTH($C99)=MONTH($J$6),SUMIFS(G$15:G99,$C$15:$C99,"&gt;"&amp;EOMONTH($C99,-12))+SUMIFS(H$15:H99,$C$15:$C99,"&gt;"&amp;EOMONTH($C99,-12)),""),"")</f>
        <v/>
      </c>
    </row>
    <row r="100" spans="2:17" ht="12.75" customHeight="1" x14ac:dyDescent="0.25">
      <c r="B100">
        <f t="shared" si="10"/>
        <v>85</v>
      </c>
      <c r="C100" s="58" t="str">
        <f t="shared" si="16"/>
        <v/>
      </c>
      <c r="D100" s="44">
        <f t="shared" si="17"/>
        <v>0</v>
      </c>
      <c r="E100" s="107">
        <f t="shared" si="11"/>
        <v>0</v>
      </c>
      <c r="F100" s="44">
        <f t="shared" si="12"/>
        <v>0</v>
      </c>
      <c r="G100" s="106">
        <f t="shared" si="13"/>
        <v>0</v>
      </c>
      <c r="H100" s="106">
        <f>ROUND(IF(B100&lt;$D$8,MIN(I99,D100-G100),IF(B100=$D$8,$I$15-SUM($H$15:$H99),0)),2)</f>
        <v>0</v>
      </c>
      <c r="I100" s="44">
        <f t="shared" si="18"/>
        <v>0</v>
      </c>
      <c r="J100" s="107"/>
      <c r="L100" s="107">
        <f t="shared" si="14"/>
        <v>0</v>
      </c>
      <c r="N100" s="338">
        <f t="shared" si="15"/>
        <v>0</v>
      </c>
      <c r="O100" s="339"/>
      <c r="P100" s="307" t="str">
        <f>IFERROR(IF(MONTH($C100)=MONTH($J$6),SUMIFS(F$15:F100,$C$15:$C100,"&gt;"&amp;EOMONTH($C100,-12)),""),"")</f>
        <v/>
      </c>
      <c r="Q100" s="307" t="str">
        <f>IFERROR(IF(MONTH($C100)=MONTH($J$6),SUMIFS(G$15:G100,$C$15:$C100,"&gt;"&amp;EOMONTH($C100,-12))+SUMIFS(H$15:H100,$C$15:$C100,"&gt;"&amp;EOMONTH($C100,-12)),""),"")</f>
        <v/>
      </c>
    </row>
    <row r="101" spans="2:17" ht="12.75" customHeight="1" x14ac:dyDescent="0.25">
      <c r="B101">
        <f t="shared" si="10"/>
        <v>86</v>
      </c>
      <c r="C101" s="58" t="str">
        <f t="shared" si="16"/>
        <v/>
      </c>
      <c r="D101" s="44">
        <f t="shared" si="17"/>
        <v>0</v>
      </c>
      <c r="E101" s="107">
        <f t="shared" si="11"/>
        <v>0</v>
      </c>
      <c r="F101" s="44">
        <f t="shared" si="12"/>
        <v>0</v>
      </c>
      <c r="G101" s="106">
        <f t="shared" si="13"/>
        <v>0</v>
      </c>
      <c r="H101" s="106">
        <f>ROUND(IF(B101&lt;$D$8,MIN(I100,D101-G101),IF(B101=$D$8,$I$15-SUM($H$15:$H100),0)),2)</f>
        <v>0</v>
      </c>
      <c r="I101" s="44">
        <f t="shared" si="18"/>
        <v>0</v>
      </c>
      <c r="J101" s="107"/>
      <c r="L101" s="107">
        <f t="shared" si="14"/>
        <v>0</v>
      </c>
      <c r="N101" s="338">
        <f t="shared" si="15"/>
        <v>0</v>
      </c>
      <c r="O101" s="339"/>
      <c r="P101" s="307" t="str">
        <f>IFERROR(IF(MONTH($C101)=MONTH($J$6),SUMIFS(F$15:F101,$C$15:$C101,"&gt;"&amp;EOMONTH($C101,-12)),""),"")</f>
        <v/>
      </c>
      <c r="Q101" s="307" t="str">
        <f>IFERROR(IF(MONTH($C101)=MONTH($J$6),SUMIFS(G$15:G101,$C$15:$C101,"&gt;"&amp;EOMONTH($C101,-12))+SUMIFS(H$15:H101,$C$15:$C101,"&gt;"&amp;EOMONTH($C101,-12)),""),"")</f>
        <v/>
      </c>
    </row>
    <row r="102" spans="2:17" ht="12.75" customHeight="1" x14ac:dyDescent="0.25">
      <c r="B102">
        <f t="shared" si="10"/>
        <v>87</v>
      </c>
      <c r="C102" s="58" t="str">
        <f t="shared" si="16"/>
        <v/>
      </c>
      <c r="D102" s="44">
        <f t="shared" si="17"/>
        <v>0</v>
      </c>
      <c r="E102" s="107">
        <f t="shared" si="11"/>
        <v>0</v>
      </c>
      <c r="F102" s="44">
        <f t="shared" si="12"/>
        <v>0</v>
      </c>
      <c r="G102" s="106">
        <f t="shared" si="13"/>
        <v>0</v>
      </c>
      <c r="H102" s="106">
        <f>ROUND(IF(B102&lt;$D$8,MIN(I101,D102-G102),IF(B102=$D$8,$I$15-SUM($H$15:$H101),0)),2)</f>
        <v>0</v>
      </c>
      <c r="I102" s="44">
        <f t="shared" si="18"/>
        <v>0</v>
      </c>
      <c r="J102" s="107"/>
      <c r="L102" s="107">
        <f t="shared" si="14"/>
        <v>0</v>
      </c>
      <c r="N102" s="338">
        <f t="shared" si="15"/>
        <v>0</v>
      </c>
      <c r="O102" s="339"/>
      <c r="P102" s="307" t="str">
        <f>IFERROR(IF(MONTH($C102)=MONTH($J$6),SUMIFS(F$15:F102,$C$15:$C102,"&gt;"&amp;EOMONTH($C102,-12)),""),"")</f>
        <v/>
      </c>
      <c r="Q102" s="307" t="str">
        <f>IFERROR(IF(MONTH($C102)=MONTH($J$6),SUMIFS(G$15:G102,$C$15:$C102,"&gt;"&amp;EOMONTH($C102,-12))+SUMIFS(H$15:H102,$C$15:$C102,"&gt;"&amp;EOMONTH($C102,-12)),""),"")</f>
        <v/>
      </c>
    </row>
    <row r="103" spans="2:17" ht="12.75" customHeight="1" x14ac:dyDescent="0.25">
      <c r="B103">
        <f t="shared" si="10"/>
        <v>88</v>
      </c>
      <c r="C103" s="58" t="str">
        <f t="shared" si="16"/>
        <v/>
      </c>
      <c r="D103" s="44">
        <f t="shared" si="17"/>
        <v>0</v>
      </c>
      <c r="E103" s="107">
        <f t="shared" si="11"/>
        <v>0</v>
      </c>
      <c r="F103" s="44">
        <f t="shared" si="12"/>
        <v>0</v>
      </c>
      <c r="G103" s="106">
        <f t="shared" si="13"/>
        <v>0</v>
      </c>
      <c r="H103" s="106">
        <f>ROUND(IF(B103&lt;$D$8,MIN(I102,D103-G103),IF(B103=$D$8,$I$15-SUM($H$15:$H102),0)),2)</f>
        <v>0</v>
      </c>
      <c r="I103" s="44">
        <f t="shared" si="18"/>
        <v>0</v>
      </c>
      <c r="J103" s="107"/>
      <c r="L103" s="107">
        <f t="shared" si="14"/>
        <v>0</v>
      </c>
      <c r="N103" s="338">
        <f t="shared" si="15"/>
        <v>0</v>
      </c>
      <c r="O103" s="339"/>
      <c r="P103" s="307" t="str">
        <f>IFERROR(IF(MONTH($C103)=MONTH($J$6),SUMIFS(F$15:F103,$C$15:$C103,"&gt;"&amp;EOMONTH($C103,-12)),""),"")</f>
        <v/>
      </c>
      <c r="Q103" s="307" t="str">
        <f>IFERROR(IF(MONTH($C103)=MONTH($J$6),SUMIFS(G$15:G103,$C$15:$C103,"&gt;"&amp;EOMONTH($C103,-12))+SUMIFS(H$15:H103,$C$15:$C103,"&gt;"&amp;EOMONTH($C103,-12)),""),"")</f>
        <v/>
      </c>
    </row>
    <row r="104" spans="2:17" ht="12.75" customHeight="1" x14ac:dyDescent="0.25">
      <c r="B104">
        <f t="shared" si="10"/>
        <v>89</v>
      </c>
      <c r="C104" s="58" t="str">
        <f t="shared" si="16"/>
        <v/>
      </c>
      <c r="D104" s="44">
        <f t="shared" si="17"/>
        <v>0</v>
      </c>
      <c r="E104" s="107">
        <f t="shared" si="11"/>
        <v>0</v>
      </c>
      <c r="F104" s="44">
        <f t="shared" si="12"/>
        <v>0</v>
      </c>
      <c r="G104" s="106">
        <f t="shared" si="13"/>
        <v>0</v>
      </c>
      <c r="H104" s="106">
        <f>ROUND(IF(B104&lt;$D$8,MIN(I103,D104-G104),IF(B104=$D$8,$I$15-SUM($H$15:$H103),0)),2)</f>
        <v>0</v>
      </c>
      <c r="I104" s="44">
        <f t="shared" si="18"/>
        <v>0</v>
      </c>
      <c r="J104" s="107"/>
      <c r="L104" s="107">
        <f t="shared" si="14"/>
        <v>0</v>
      </c>
      <c r="N104" s="338">
        <f t="shared" si="15"/>
        <v>0</v>
      </c>
      <c r="O104" s="339"/>
      <c r="P104" s="307" t="str">
        <f>IFERROR(IF(MONTH($C104)=MONTH($J$6),SUMIFS(F$15:F104,$C$15:$C104,"&gt;"&amp;EOMONTH($C104,-12)),""),"")</f>
        <v/>
      </c>
      <c r="Q104" s="307" t="str">
        <f>IFERROR(IF(MONTH($C104)=MONTH($J$6),SUMIFS(G$15:G104,$C$15:$C104,"&gt;"&amp;EOMONTH($C104,-12))+SUMIFS(H$15:H104,$C$15:$C104,"&gt;"&amp;EOMONTH($C104,-12)),""),"")</f>
        <v/>
      </c>
    </row>
    <row r="105" spans="2:17" ht="12.75" customHeight="1" x14ac:dyDescent="0.25">
      <c r="B105">
        <f t="shared" si="10"/>
        <v>90</v>
      </c>
      <c r="C105" s="58" t="str">
        <f t="shared" si="16"/>
        <v/>
      </c>
      <c r="D105" s="44">
        <f t="shared" si="17"/>
        <v>0</v>
      </c>
      <c r="E105" s="107">
        <f t="shared" si="11"/>
        <v>0</v>
      </c>
      <c r="F105" s="44">
        <f t="shared" si="12"/>
        <v>0</v>
      </c>
      <c r="G105" s="106">
        <f t="shared" si="13"/>
        <v>0</v>
      </c>
      <c r="H105" s="106">
        <f>ROUND(IF(B105&lt;$D$8,MIN(I104,D105-G105),IF(B105=$D$8,$I$15-SUM($H$15:$H104),0)),2)</f>
        <v>0</v>
      </c>
      <c r="I105" s="44">
        <f t="shared" si="18"/>
        <v>0</v>
      </c>
      <c r="J105" s="107"/>
      <c r="L105" s="107">
        <f t="shared" si="14"/>
        <v>0</v>
      </c>
      <c r="N105" s="338">
        <f t="shared" si="15"/>
        <v>0</v>
      </c>
      <c r="O105" s="339"/>
      <c r="P105" s="307" t="str">
        <f>IFERROR(IF(MONTH($C105)=MONTH($J$6),SUMIFS(F$15:F105,$C$15:$C105,"&gt;"&amp;EOMONTH($C105,-12)),""),"")</f>
        <v/>
      </c>
      <c r="Q105" s="307" t="str">
        <f>IFERROR(IF(MONTH($C105)=MONTH($J$6),SUMIFS(G$15:G105,$C$15:$C105,"&gt;"&amp;EOMONTH($C105,-12))+SUMIFS(H$15:H105,$C$15:$C105,"&gt;"&amp;EOMONTH($C105,-12)),""),"")</f>
        <v/>
      </c>
    </row>
    <row r="106" spans="2:17" ht="12.75" customHeight="1" x14ac:dyDescent="0.25">
      <c r="B106">
        <f t="shared" si="10"/>
        <v>91</v>
      </c>
      <c r="C106" s="58" t="str">
        <f t="shared" si="16"/>
        <v/>
      </c>
      <c r="D106" s="44">
        <f t="shared" si="17"/>
        <v>0</v>
      </c>
      <c r="E106" s="107">
        <f t="shared" si="11"/>
        <v>0</v>
      </c>
      <c r="F106" s="44">
        <f t="shared" si="12"/>
        <v>0</v>
      </c>
      <c r="G106" s="106">
        <f t="shared" si="13"/>
        <v>0</v>
      </c>
      <c r="H106" s="106">
        <f>ROUND(IF(B106&lt;$D$8,MIN(I105,D106-G106),IF(B106=$D$8,$I$15-SUM($H$15:$H105),0)),2)</f>
        <v>0</v>
      </c>
      <c r="I106" s="44">
        <f t="shared" si="18"/>
        <v>0</v>
      </c>
      <c r="J106" s="107"/>
      <c r="L106" s="107">
        <f t="shared" si="14"/>
        <v>0</v>
      </c>
      <c r="N106" s="338">
        <f t="shared" si="15"/>
        <v>0</v>
      </c>
      <c r="O106" s="339"/>
      <c r="P106" s="307" t="str">
        <f>IFERROR(IF(MONTH($C106)=MONTH($J$6),SUMIFS(F$15:F106,$C$15:$C106,"&gt;"&amp;EOMONTH($C106,-12)),""),"")</f>
        <v/>
      </c>
      <c r="Q106" s="307" t="str">
        <f>IFERROR(IF(MONTH($C106)=MONTH($J$6),SUMIFS(G$15:G106,$C$15:$C106,"&gt;"&amp;EOMONTH($C106,-12))+SUMIFS(H$15:H106,$C$15:$C106,"&gt;"&amp;EOMONTH($C106,-12)),""),"")</f>
        <v/>
      </c>
    </row>
    <row r="107" spans="2:17" ht="12.75" customHeight="1" x14ac:dyDescent="0.25">
      <c r="B107">
        <f t="shared" si="10"/>
        <v>92</v>
      </c>
      <c r="C107" s="58" t="str">
        <f t="shared" si="16"/>
        <v/>
      </c>
      <c r="D107" s="44">
        <f t="shared" si="17"/>
        <v>0</v>
      </c>
      <c r="E107" s="107">
        <f t="shared" si="11"/>
        <v>0</v>
      </c>
      <c r="F107" s="44">
        <f t="shared" si="12"/>
        <v>0</v>
      </c>
      <c r="G107" s="106">
        <f t="shared" si="13"/>
        <v>0</v>
      </c>
      <c r="H107" s="106">
        <f>ROUND(IF(B107&lt;$D$8,MIN(I106,D107-G107),IF(B107=$D$8,$I$15-SUM($H$15:$H106),0)),2)</f>
        <v>0</v>
      </c>
      <c r="I107" s="44">
        <f t="shared" si="18"/>
        <v>0</v>
      </c>
      <c r="J107" s="107"/>
      <c r="L107" s="107">
        <f t="shared" si="14"/>
        <v>0</v>
      </c>
      <c r="N107" s="338">
        <f t="shared" si="15"/>
        <v>0</v>
      </c>
      <c r="O107" s="339"/>
      <c r="P107" s="307" t="str">
        <f>IFERROR(IF(MONTH($C107)=MONTH($J$6),SUMIFS(F$15:F107,$C$15:$C107,"&gt;"&amp;EOMONTH($C107,-12)),""),"")</f>
        <v/>
      </c>
      <c r="Q107" s="307" t="str">
        <f>IFERROR(IF(MONTH($C107)=MONTH($J$6),SUMIFS(G$15:G107,$C$15:$C107,"&gt;"&amp;EOMONTH($C107,-12))+SUMIFS(H$15:H107,$C$15:$C107,"&gt;"&amp;EOMONTH($C107,-12)),""),"")</f>
        <v/>
      </c>
    </row>
    <row r="108" spans="2:17" ht="12.75" customHeight="1" x14ac:dyDescent="0.25">
      <c r="B108">
        <f t="shared" si="10"/>
        <v>93</v>
      </c>
      <c r="C108" s="58" t="str">
        <f t="shared" si="16"/>
        <v/>
      </c>
      <c r="D108" s="44">
        <f t="shared" si="17"/>
        <v>0</v>
      </c>
      <c r="E108" s="107">
        <f t="shared" si="11"/>
        <v>0</v>
      </c>
      <c r="F108" s="44">
        <f t="shared" si="12"/>
        <v>0</v>
      </c>
      <c r="G108" s="106">
        <f t="shared" si="13"/>
        <v>0</v>
      </c>
      <c r="H108" s="106">
        <f>ROUND(IF(B108&lt;$D$8,MIN(I107,D108-G108),IF(B108=$D$8,$I$15-SUM($H$15:$H107),0)),2)</f>
        <v>0</v>
      </c>
      <c r="I108" s="44">
        <f t="shared" si="18"/>
        <v>0</v>
      </c>
      <c r="J108" s="107"/>
      <c r="L108" s="107">
        <f t="shared" si="14"/>
        <v>0</v>
      </c>
      <c r="N108" s="338">
        <f t="shared" si="15"/>
        <v>0</v>
      </c>
      <c r="O108" s="339"/>
      <c r="P108" s="307" t="str">
        <f>IFERROR(IF(MONTH($C108)=MONTH($J$6),SUMIFS(F$15:F108,$C$15:$C108,"&gt;"&amp;EOMONTH($C108,-12)),""),"")</f>
        <v/>
      </c>
      <c r="Q108" s="307" t="str">
        <f>IFERROR(IF(MONTH($C108)=MONTH($J$6),SUMIFS(G$15:G108,$C$15:$C108,"&gt;"&amp;EOMONTH($C108,-12))+SUMIFS(H$15:H108,$C$15:$C108,"&gt;"&amp;EOMONTH($C108,-12)),""),"")</f>
        <v/>
      </c>
    </row>
    <row r="109" spans="2:17" ht="12.75" customHeight="1" x14ac:dyDescent="0.25">
      <c r="B109">
        <f t="shared" si="10"/>
        <v>94</v>
      </c>
      <c r="C109" s="58" t="str">
        <f t="shared" si="16"/>
        <v/>
      </c>
      <c r="D109" s="44">
        <f t="shared" si="17"/>
        <v>0</v>
      </c>
      <c r="E109" s="107">
        <f t="shared" si="11"/>
        <v>0</v>
      </c>
      <c r="F109" s="44">
        <f t="shared" si="12"/>
        <v>0</v>
      </c>
      <c r="G109" s="106">
        <f t="shared" si="13"/>
        <v>0</v>
      </c>
      <c r="H109" s="106">
        <f>ROUND(IF(B109&lt;$D$8,MIN(I108,D109-G109),IF(B109=$D$8,$I$15-SUM($H$15:$H108),0)),2)</f>
        <v>0</v>
      </c>
      <c r="I109" s="44">
        <f t="shared" si="18"/>
        <v>0</v>
      </c>
      <c r="J109" s="107"/>
      <c r="L109" s="107">
        <f t="shared" si="14"/>
        <v>0</v>
      </c>
      <c r="N109" s="338">
        <f t="shared" si="15"/>
        <v>0</v>
      </c>
      <c r="O109" s="339"/>
      <c r="P109" s="307" t="str">
        <f>IFERROR(IF(MONTH($C109)=MONTH($J$6),SUMIFS(F$15:F109,$C$15:$C109,"&gt;"&amp;EOMONTH($C109,-12)),""),"")</f>
        <v/>
      </c>
      <c r="Q109" s="307" t="str">
        <f>IFERROR(IF(MONTH($C109)=MONTH($J$6),SUMIFS(G$15:G109,$C$15:$C109,"&gt;"&amp;EOMONTH($C109,-12))+SUMIFS(H$15:H109,$C$15:$C109,"&gt;"&amp;EOMONTH($C109,-12)),""),"")</f>
        <v/>
      </c>
    </row>
    <row r="110" spans="2:17" ht="12.75" customHeight="1" x14ac:dyDescent="0.25">
      <c r="B110">
        <f t="shared" si="10"/>
        <v>95</v>
      </c>
      <c r="C110" s="58" t="str">
        <f t="shared" si="16"/>
        <v/>
      </c>
      <c r="D110" s="44">
        <f t="shared" si="17"/>
        <v>0</v>
      </c>
      <c r="E110" s="107">
        <f t="shared" si="11"/>
        <v>0</v>
      </c>
      <c r="F110" s="44">
        <f t="shared" si="12"/>
        <v>0</v>
      </c>
      <c r="G110" s="106">
        <f t="shared" si="13"/>
        <v>0</v>
      </c>
      <c r="H110" s="106">
        <f>ROUND(IF(B110&lt;$D$8,MIN(I109,D110-G110),IF(B110=$D$8,$I$15-SUM($H$15:$H109),0)),2)</f>
        <v>0</v>
      </c>
      <c r="I110" s="44">
        <f t="shared" si="18"/>
        <v>0</v>
      </c>
      <c r="J110" s="107"/>
      <c r="L110" s="107">
        <f t="shared" si="14"/>
        <v>0</v>
      </c>
      <c r="N110" s="338">
        <f t="shared" si="15"/>
        <v>0</v>
      </c>
      <c r="O110" s="339"/>
      <c r="P110" s="307" t="str">
        <f>IFERROR(IF(MONTH($C110)=MONTH($J$6),SUMIFS(F$15:F110,$C$15:$C110,"&gt;"&amp;EOMONTH($C110,-12)),""),"")</f>
        <v/>
      </c>
      <c r="Q110" s="307" t="str">
        <f>IFERROR(IF(MONTH($C110)=MONTH($J$6),SUMIFS(G$15:G110,$C$15:$C110,"&gt;"&amp;EOMONTH($C110,-12))+SUMIFS(H$15:H110,$C$15:$C110,"&gt;"&amp;EOMONTH($C110,-12)),""),"")</f>
        <v/>
      </c>
    </row>
    <row r="111" spans="2:17" ht="12.75" customHeight="1" x14ac:dyDescent="0.25">
      <c r="B111">
        <f t="shared" si="10"/>
        <v>96</v>
      </c>
      <c r="C111" s="58" t="str">
        <f t="shared" si="16"/>
        <v/>
      </c>
      <c r="D111" s="44">
        <f t="shared" si="17"/>
        <v>0</v>
      </c>
      <c r="E111" s="107">
        <f t="shared" si="11"/>
        <v>0</v>
      </c>
      <c r="F111" s="44">
        <f t="shared" si="12"/>
        <v>0</v>
      </c>
      <c r="G111" s="106">
        <f t="shared" si="13"/>
        <v>0</v>
      </c>
      <c r="H111" s="106">
        <f>ROUND(IF(B111&lt;$D$8,MIN(I110,D111-G111),IF(B111=$D$8,$I$15-SUM($H$15:$H110),0)),2)</f>
        <v>0</v>
      </c>
      <c r="I111" s="44">
        <f t="shared" si="18"/>
        <v>0</v>
      </c>
      <c r="J111" s="107"/>
      <c r="L111" s="107">
        <f t="shared" si="14"/>
        <v>0</v>
      </c>
      <c r="N111" s="338">
        <f t="shared" si="15"/>
        <v>0</v>
      </c>
      <c r="O111" s="339"/>
      <c r="P111" s="307" t="str">
        <f>IFERROR(IF(MONTH($C111)=MONTH($J$6),SUMIFS(F$15:F111,$C$15:$C111,"&gt;"&amp;EOMONTH($C111,-12)),""),"")</f>
        <v/>
      </c>
      <c r="Q111" s="307" t="str">
        <f>IFERROR(IF(MONTH($C111)=MONTH($J$6),SUMIFS(G$15:G111,$C$15:$C111,"&gt;"&amp;EOMONTH($C111,-12))+SUMIFS(H$15:H111,$C$15:$C111,"&gt;"&amp;EOMONTH($C111,-12)),""),"")</f>
        <v/>
      </c>
    </row>
    <row r="112" spans="2:17" ht="12.75" customHeight="1" x14ac:dyDescent="0.25">
      <c r="B112">
        <f t="shared" si="10"/>
        <v>97</v>
      </c>
      <c r="C112" s="58" t="str">
        <f t="shared" si="16"/>
        <v/>
      </c>
      <c r="D112" s="44">
        <f t="shared" si="17"/>
        <v>0</v>
      </c>
      <c r="E112" s="107">
        <f t="shared" si="11"/>
        <v>0</v>
      </c>
      <c r="F112" s="44">
        <f t="shared" si="12"/>
        <v>0</v>
      </c>
      <c r="G112" s="106">
        <f t="shared" ref="G112:G143" si="19">ROUND(IFERROR((IF(B112&lt;=$D$8,(E112+IF(Loan_Type&lt;&gt;"Tax Loan",I111,0))*$D$6*30/360,0)),0),2)</f>
        <v>0</v>
      </c>
      <c r="H112" s="106">
        <f>ROUND(IF(B112&lt;$D$8,MIN(I111,D112-G112),IF(B112=$D$8,$I$15-SUM($H$15:$H111),0)),2)</f>
        <v>0</v>
      </c>
      <c r="I112" s="44">
        <f t="shared" si="18"/>
        <v>0</v>
      </c>
      <c r="J112" s="107"/>
      <c r="L112" s="107">
        <f t="shared" si="14"/>
        <v>0</v>
      </c>
      <c r="N112" s="338">
        <f t="shared" si="15"/>
        <v>0</v>
      </c>
      <c r="O112" s="339"/>
      <c r="P112" s="307" t="str">
        <f>IFERROR(IF(MONTH($C112)=MONTH($J$6),SUMIFS(F$15:F112,$C$15:$C112,"&gt;"&amp;EOMONTH($C112,-12)),""),"")</f>
        <v/>
      </c>
      <c r="Q112" s="307" t="str">
        <f>IFERROR(IF(MONTH($C112)=MONTH($J$6),SUMIFS(G$15:G112,$C$15:$C112,"&gt;"&amp;EOMONTH($C112,-12))+SUMIFS(H$15:H112,$C$15:$C112,"&gt;"&amp;EOMONTH($C112,-12)),""),"")</f>
        <v/>
      </c>
    </row>
    <row r="113" spans="2:17" ht="12.75" customHeight="1" x14ac:dyDescent="0.25">
      <c r="B113">
        <f t="shared" si="10"/>
        <v>98</v>
      </c>
      <c r="C113" s="58" t="str">
        <f t="shared" si="16"/>
        <v/>
      </c>
      <c r="D113" s="44">
        <f t="shared" si="17"/>
        <v>0</v>
      </c>
      <c r="E113" s="107">
        <f t="shared" si="11"/>
        <v>0</v>
      </c>
      <c r="F113" s="44">
        <f t="shared" si="12"/>
        <v>0</v>
      </c>
      <c r="G113" s="106">
        <f t="shared" si="19"/>
        <v>0</v>
      </c>
      <c r="H113" s="106">
        <f>ROUND(IF(B113&lt;$D$8,MIN(I112,D113-G113),IF(B113=$D$8,$I$15-SUM($H$15:$H112),0)),2)</f>
        <v>0</v>
      </c>
      <c r="I113" s="44">
        <f t="shared" si="18"/>
        <v>0</v>
      </c>
      <c r="J113" s="107"/>
      <c r="L113" s="107">
        <f t="shared" si="14"/>
        <v>0</v>
      </c>
      <c r="N113" s="338">
        <f t="shared" si="15"/>
        <v>0</v>
      </c>
      <c r="O113" s="339"/>
      <c r="P113" s="307" t="str">
        <f>IFERROR(IF(MONTH($C113)=MONTH($J$6),SUMIFS(F$15:F113,$C$15:$C113,"&gt;"&amp;EOMONTH($C113,-12)),""),"")</f>
        <v/>
      </c>
      <c r="Q113" s="307" t="str">
        <f>IFERROR(IF(MONTH($C113)=MONTH($J$6),SUMIFS(G$15:G113,$C$15:$C113,"&gt;"&amp;EOMONTH($C113,-12))+SUMIFS(H$15:H113,$C$15:$C113,"&gt;"&amp;EOMONTH($C113,-12)),""),"")</f>
        <v/>
      </c>
    </row>
    <row r="114" spans="2:17" ht="12.75" customHeight="1" x14ac:dyDescent="0.25">
      <c r="B114">
        <f t="shared" si="10"/>
        <v>99</v>
      </c>
      <c r="C114" s="58" t="str">
        <f t="shared" si="16"/>
        <v/>
      </c>
      <c r="D114" s="44">
        <f t="shared" si="17"/>
        <v>0</v>
      </c>
      <c r="E114" s="107">
        <f t="shared" si="11"/>
        <v>0</v>
      </c>
      <c r="F114" s="44">
        <f t="shared" si="12"/>
        <v>0</v>
      </c>
      <c r="G114" s="106">
        <f t="shared" si="19"/>
        <v>0</v>
      </c>
      <c r="H114" s="106">
        <f>ROUND(IF(B114&lt;$D$8,MIN(I113,D114-G114),IF(B114=$D$8,$I$15-SUM($H$15:$H113),0)),2)</f>
        <v>0</v>
      </c>
      <c r="I114" s="44">
        <f t="shared" si="18"/>
        <v>0</v>
      </c>
      <c r="J114" s="107"/>
      <c r="L114" s="107">
        <f t="shared" si="14"/>
        <v>0</v>
      </c>
      <c r="N114" s="338">
        <f t="shared" si="15"/>
        <v>0</v>
      </c>
      <c r="O114" s="339"/>
      <c r="P114" s="307" t="str">
        <f>IFERROR(IF(MONTH($C114)=MONTH($J$6),SUMIFS(F$15:F114,$C$15:$C114,"&gt;"&amp;EOMONTH($C114,-12)),""),"")</f>
        <v/>
      </c>
      <c r="Q114" s="307" t="str">
        <f>IFERROR(IF(MONTH($C114)=MONTH($J$6),SUMIFS(G$15:G114,$C$15:$C114,"&gt;"&amp;EOMONTH($C114,-12))+SUMIFS(H$15:H114,$C$15:$C114,"&gt;"&amp;EOMONTH($C114,-12)),""),"")</f>
        <v/>
      </c>
    </row>
    <row r="115" spans="2:17" ht="12.75" customHeight="1" x14ac:dyDescent="0.25">
      <c r="B115">
        <f t="shared" si="10"/>
        <v>100</v>
      </c>
      <c r="C115" s="58" t="str">
        <f t="shared" si="16"/>
        <v/>
      </c>
      <c r="D115" s="44">
        <f t="shared" si="17"/>
        <v>0</v>
      </c>
      <c r="E115" s="107">
        <f t="shared" si="11"/>
        <v>0</v>
      </c>
      <c r="F115" s="44">
        <f t="shared" si="12"/>
        <v>0</v>
      </c>
      <c r="G115" s="106">
        <f t="shared" si="19"/>
        <v>0</v>
      </c>
      <c r="H115" s="106">
        <f>ROUND(IF(B115&lt;$D$8,MIN(I114,D115-G115),IF(B115=$D$8,$I$15-SUM($H$15:$H114),0)),2)</f>
        <v>0</v>
      </c>
      <c r="I115" s="44">
        <f t="shared" si="18"/>
        <v>0</v>
      </c>
      <c r="J115" s="107"/>
      <c r="L115" s="107">
        <f t="shared" si="14"/>
        <v>0</v>
      </c>
      <c r="N115" s="338">
        <f t="shared" si="15"/>
        <v>0</v>
      </c>
      <c r="O115" s="339"/>
      <c r="P115" s="307" t="str">
        <f>IFERROR(IF(MONTH($C115)=MONTH($J$6),SUMIFS(F$15:F115,$C$15:$C115,"&gt;"&amp;EOMONTH($C115,-12)),""),"")</f>
        <v/>
      </c>
      <c r="Q115" s="307" t="str">
        <f>IFERROR(IF(MONTH($C115)=MONTH($J$6),SUMIFS(G$15:G115,$C$15:$C115,"&gt;"&amp;EOMONTH($C115,-12))+SUMIFS(H$15:H115,$C$15:$C115,"&gt;"&amp;EOMONTH($C115,-12)),""),"")</f>
        <v/>
      </c>
    </row>
    <row r="116" spans="2:17" ht="12.75" customHeight="1" x14ac:dyDescent="0.25">
      <c r="B116">
        <f t="shared" si="10"/>
        <v>101</v>
      </c>
      <c r="C116" s="58" t="str">
        <f t="shared" si="16"/>
        <v/>
      </c>
      <c r="D116" s="44">
        <f t="shared" si="17"/>
        <v>0</v>
      </c>
      <c r="E116" s="107">
        <f t="shared" si="11"/>
        <v>0</v>
      </c>
      <c r="F116" s="44">
        <f t="shared" si="12"/>
        <v>0</v>
      </c>
      <c r="G116" s="106">
        <f t="shared" si="19"/>
        <v>0</v>
      </c>
      <c r="H116" s="106">
        <f>ROUND(IF(B116&lt;$D$8,MIN(I115,D116-G116),IF(B116=$D$8,$I$15-SUM($H$15:$H115),0)),2)</f>
        <v>0</v>
      </c>
      <c r="I116" s="44">
        <f t="shared" si="18"/>
        <v>0</v>
      </c>
      <c r="J116" s="107"/>
      <c r="L116" s="107">
        <f t="shared" si="14"/>
        <v>0</v>
      </c>
      <c r="N116" s="338">
        <f t="shared" si="15"/>
        <v>0</v>
      </c>
      <c r="O116" s="339"/>
      <c r="P116" s="307" t="str">
        <f>IFERROR(IF(MONTH($C116)=MONTH($J$6),SUMIFS(F$15:F116,$C$15:$C116,"&gt;"&amp;EOMONTH($C116,-12)),""),"")</f>
        <v/>
      </c>
      <c r="Q116" s="307" t="str">
        <f>IFERROR(IF(MONTH($C116)=MONTH($J$6),SUMIFS(G$15:G116,$C$15:$C116,"&gt;"&amp;EOMONTH($C116,-12))+SUMIFS(H$15:H116,$C$15:$C116,"&gt;"&amp;EOMONTH($C116,-12)),""),"")</f>
        <v/>
      </c>
    </row>
    <row r="117" spans="2:17" ht="12.75" customHeight="1" x14ac:dyDescent="0.25">
      <c r="B117">
        <f t="shared" si="10"/>
        <v>102</v>
      </c>
      <c r="C117" s="58" t="str">
        <f t="shared" si="16"/>
        <v/>
      </c>
      <c r="D117" s="44">
        <f t="shared" si="17"/>
        <v>0</v>
      </c>
      <c r="E117" s="107">
        <f t="shared" si="11"/>
        <v>0</v>
      </c>
      <c r="F117" s="44">
        <f t="shared" si="12"/>
        <v>0</v>
      </c>
      <c r="G117" s="106">
        <f t="shared" si="19"/>
        <v>0</v>
      </c>
      <c r="H117" s="106">
        <f>ROUND(IF(B117&lt;$D$8,MIN(I116,D117-G117),IF(B117=$D$8,$I$15-SUM($H$15:$H116),0)),2)</f>
        <v>0</v>
      </c>
      <c r="I117" s="44">
        <f t="shared" si="18"/>
        <v>0</v>
      </c>
      <c r="J117" s="107"/>
      <c r="L117" s="107">
        <f t="shared" si="14"/>
        <v>0</v>
      </c>
      <c r="N117" s="338">
        <f t="shared" si="15"/>
        <v>0</v>
      </c>
      <c r="O117" s="339"/>
      <c r="P117" s="307" t="str">
        <f>IFERROR(IF(MONTH($C117)=MONTH($J$6),SUMIFS(F$15:F117,$C$15:$C117,"&gt;"&amp;EOMONTH($C117,-12)),""),"")</f>
        <v/>
      </c>
      <c r="Q117" s="307" t="str">
        <f>IFERROR(IF(MONTH($C117)=MONTH($J$6),SUMIFS(G$15:G117,$C$15:$C117,"&gt;"&amp;EOMONTH($C117,-12))+SUMIFS(H$15:H117,$C$15:$C117,"&gt;"&amp;EOMONTH($C117,-12)),""),"")</f>
        <v/>
      </c>
    </row>
    <row r="118" spans="2:17" ht="12.75" customHeight="1" x14ac:dyDescent="0.25">
      <c r="B118">
        <f t="shared" si="10"/>
        <v>103</v>
      </c>
      <c r="C118" s="58" t="str">
        <f t="shared" si="16"/>
        <v/>
      </c>
      <c r="D118" s="44">
        <f t="shared" si="17"/>
        <v>0</v>
      </c>
      <c r="E118" s="107">
        <f t="shared" si="11"/>
        <v>0</v>
      </c>
      <c r="F118" s="44">
        <f t="shared" si="12"/>
        <v>0</v>
      </c>
      <c r="G118" s="106">
        <f t="shared" si="19"/>
        <v>0</v>
      </c>
      <c r="H118" s="106">
        <f>ROUND(IF(B118&lt;$D$8,MIN(I117,D118-G118),IF(B118=$D$8,$I$15-SUM($H$15:$H117),0)),2)</f>
        <v>0</v>
      </c>
      <c r="I118" s="44">
        <f t="shared" si="18"/>
        <v>0</v>
      </c>
      <c r="J118" s="107"/>
      <c r="L118" s="107">
        <f t="shared" si="14"/>
        <v>0</v>
      </c>
      <c r="N118" s="338">
        <f t="shared" si="15"/>
        <v>0</v>
      </c>
      <c r="O118" s="339"/>
      <c r="P118" s="307" t="str">
        <f>IFERROR(IF(MONTH($C118)=MONTH($J$6),SUMIFS(F$15:F118,$C$15:$C118,"&gt;"&amp;EOMONTH($C118,-12)),""),"")</f>
        <v/>
      </c>
      <c r="Q118" s="307" t="str">
        <f>IFERROR(IF(MONTH($C118)=MONTH($J$6),SUMIFS(G$15:G118,$C$15:$C118,"&gt;"&amp;EOMONTH($C118,-12))+SUMIFS(H$15:H118,$C$15:$C118,"&gt;"&amp;EOMONTH($C118,-12)),""),"")</f>
        <v/>
      </c>
    </row>
    <row r="119" spans="2:17" ht="12.75" customHeight="1" x14ac:dyDescent="0.25">
      <c r="B119">
        <f t="shared" si="10"/>
        <v>104</v>
      </c>
      <c r="C119" s="58" t="str">
        <f t="shared" si="16"/>
        <v/>
      </c>
      <c r="D119" s="44">
        <f t="shared" si="17"/>
        <v>0</v>
      </c>
      <c r="E119" s="107">
        <f t="shared" si="11"/>
        <v>0</v>
      </c>
      <c r="F119" s="44">
        <f t="shared" si="12"/>
        <v>0</v>
      </c>
      <c r="G119" s="106">
        <f t="shared" si="19"/>
        <v>0</v>
      </c>
      <c r="H119" s="106">
        <f>ROUND(IF(B119&lt;$D$8,MIN(I118,D119-G119),IF(B119=$D$8,$I$15-SUM($H$15:$H118),0)),2)</f>
        <v>0</v>
      </c>
      <c r="I119" s="44">
        <f t="shared" si="18"/>
        <v>0</v>
      </c>
      <c r="J119" s="107"/>
      <c r="L119" s="107">
        <f t="shared" si="14"/>
        <v>0</v>
      </c>
      <c r="N119" s="338">
        <f t="shared" si="15"/>
        <v>0</v>
      </c>
      <c r="O119" s="339"/>
      <c r="P119" s="307" t="str">
        <f>IFERROR(IF(MONTH($C119)=MONTH($J$6),SUMIFS(F$15:F119,$C$15:$C119,"&gt;"&amp;EOMONTH($C119,-12)),""),"")</f>
        <v/>
      </c>
      <c r="Q119" s="307" t="str">
        <f>IFERROR(IF(MONTH($C119)=MONTH($J$6),SUMIFS(G$15:G119,$C$15:$C119,"&gt;"&amp;EOMONTH($C119,-12))+SUMIFS(H$15:H119,$C$15:$C119,"&gt;"&amp;EOMONTH($C119,-12)),""),"")</f>
        <v/>
      </c>
    </row>
    <row r="120" spans="2:17" ht="12.75" customHeight="1" x14ac:dyDescent="0.25">
      <c r="B120">
        <f t="shared" si="10"/>
        <v>105</v>
      </c>
      <c r="C120" s="58" t="str">
        <f t="shared" si="16"/>
        <v/>
      </c>
      <c r="D120" s="44">
        <f t="shared" si="17"/>
        <v>0</v>
      </c>
      <c r="E120" s="107">
        <f t="shared" si="11"/>
        <v>0</v>
      </c>
      <c r="F120" s="44">
        <f t="shared" si="12"/>
        <v>0</v>
      </c>
      <c r="G120" s="106">
        <f t="shared" si="19"/>
        <v>0</v>
      </c>
      <c r="H120" s="106">
        <f>ROUND(IF(B120&lt;$D$8,MIN(I119,D120-G120),IF(B120=$D$8,$I$15-SUM($H$15:$H119),0)),2)</f>
        <v>0</v>
      </c>
      <c r="I120" s="44">
        <f t="shared" si="18"/>
        <v>0</v>
      </c>
      <c r="J120" s="107"/>
      <c r="L120" s="107">
        <f t="shared" si="14"/>
        <v>0</v>
      </c>
      <c r="N120" s="338">
        <f t="shared" si="15"/>
        <v>0</v>
      </c>
      <c r="O120" s="339"/>
      <c r="P120" s="307" t="str">
        <f>IFERROR(IF(MONTH($C120)=MONTH($J$6),SUMIFS(F$15:F120,$C$15:$C120,"&gt;"&amp;EOMONTH($C120,-12)),""),"")</f>
        <v/>
      </c>
      <c r="Q120" s="307" t="str">
        <f>IFERROR(IF(MONTH($C120)=MONTH($J$6),SUMIFS(G$15:G120,$C$15:$C120,"&gt;"&amp;EOMONTH($C120,-12))+SUMIFS(H$15:H120,$C$15:$C120,"&gt;"&amp;EOMONTH($C120,-12)),""),"")</f>
        <v/>
      </c>
    </row>
    <row r="121" spans="2:17" ht="12.75" customHeight="1" x14ac:dyDescent="0.25">
      <c r="B121">
        <f t="shared" si="10"/>
        <v>106</v>
      </c>
      <c r="C121" s="58" t="str">
        <f t="shared" si="16"/>
        <v/>
      </c>
      <c r="D121" s="44">
        <f t="shared" si="17"/>
        <v>0</v>
      </c>
      <c r="E121" s="107">
        <f t="shared" si="11"/>
        <v>0</v>
      </c>
      <c r="F121" s="44">
        <f t="shared" si="12"/>
        <v>0</v>
      </c>
      <c r="G121" s="106">
        <f t="shared" si="19"/>
        <v>0</v>
      </c>
      <c r="H121" s="106">
        <f>ROUND(IF(B121&lt;$D$8,MIN(I120,D121-G121),IF(B121=$D$8,$I$15-SUM($H$15:$H120),0)),2)</f>
        <v>0</v>
      </c>
      <c r="I121" s="44">
        <f t="shared" si="18"/>
        <v>0</v>
      </c>
      <c r="J121" s="107"/>
      <c r="L121" s="107">
        <f t="shared" si="14"/>
        <v>0</v>
      </c>
      <c r="N121" s="338">
        <f t="shared" si="15"/>
        <v>0</v>
      </c>
      <c r="O121" s="339"/>
      <c r="P121" s="307" t="str">
        <f>IFERROR(IF(MONTH($C121)=MONTH($J$6),SUMIFS(F$15:F121,$C$15:$C121,"&gt;"&amp;EOMONTH($C121,-12)),""),"")</f>
        <v/>
      </c>
      <c r="Q121" s="307" t="str">
        <f>IFERROR(IF(MONTH($C121)=MONTH($J$6),SUMIFS(G$15:G121,$C$15:$C121,"&gt;"&amp;EOMONTH($C121,-12))+SUMIFS(H$15:H121,$C$15:$C121,"&gt;"&amp;EOMONTH($C121,-12)),""),"")</f>
        <v/>
      </c>
    </row>
    <row r="122" spans="2:17" ht="12.75" customHeight="1" x14ac:dyDescent="0.25">
      <c r="B122">
        <f t="shared" si="10"/>
        <v>107</v>
      </c>
      <c r="C122" s="58" t="str">
        <f t="shared" si="16"/>
        <v/>
      </c>
      <c r="D122" s="44">
        <f t="shared" si="17"/>
        <v>0</v>
      </c>
      <c r="E122" s="107">
        <f t="shared" si="11"/>
        <v>0</v>
      </c>
      <c r="F122" s="44">
        <f t="shared" si="12"/>
        <v>0</v>
      </c>
      <c r="G122" s="106">
        <f t="shared" si="19"/>
        <v>0</v>
      </c>
      <c r="H122" s="106">
        <f>ROUND(IF(B122&lt;$D$8,MIN(I121,D122-G122),IF(B122=$D$8,$I$15-SUM($H$15:$H121),0)),2)</f>
        <v>0</v>
      </c>
      <c r="I122" s="44">
        <f t="shared" si="18"/>
        <v>0</v>
      </c>
      <c r="J122" s="107"/>
      <c r="L122" s="107">
        <f t="shared" si="14"/>
        <v>0</v>
      </c>
      <c r="N122" s="338">
        <f t="shared" si="15"/>
        <v>0</v>
      </c>
      <c r="O122" s="339"/>
      <c r="P122" s="307" t="str">
        <f>IFERROR(IF(MONTH($C122)=MONTH($J$6),SUMIFS(F$15:F122,$C$15:$C122,"&gt;"&amp;EOMONTH($C122,-12)),""),"")</f>
        <v/>
      </c>
      <c r="Q122" s="307" t="str">
        <f>IFERROR(IF(MONTH($C122)=MONTH($J$6),SUMIFS(G$15:G122,$C$15:$C122,"&gt;"&amp;EOMONTH($C122,-12))+SUMIFS(H$15:H122,$C$15:$C122,"&gt;"&amp;EOMONTH($C122,-12)),""),"")</f>
        <v/>
      </c>
    </row>
    <row r="123" spans="2:17" ht="12.75" customHeight="1" x14ac:dyDescent="0.25">
      <c r="B123">
        <f t="shared" si="10"/>
        <v>108</v>
      </c>
      <c r="C123" s="58" t="str">
        <f t="shared" si="16"/>
        <v/>
      </c>
      <c r="D123" s="44">
        <f t="shared" si="17"/>
        <v>0</v>
      </c>
      <c r="E123" s="107">
        <f t="shared" si="11"/>
        <v>0</v>
      </c>
      <c r="F123" s="44">
        <f t="shared" si="12"/>
        <v>0</v>
      </c>
      <c r="G123" s="106">
        <f t="shared" si="19"/>
        <v>0</v>
      </c>
      <c r="H123" s="106">
        <f>ROUND(IF(B123&lt;$D$8,MIN(I122,D123-G123),IF(B123=$D$8,$I$15-SUM($H$15:$H122),0)),2)</f>
        <v>0</v>
      </c>
      <c r="I123" s="44">
        <f t="shared" si="18"/>
        <v>0</v>
      </c>
      <c r="J123" s="107"/>
      <c r="L123" s="107">
        <f t="shared" si="14"/>
        <v>0</v>
      </c>
      <c r="N123" s="338">
        <f t="shared" si="15"/>
        <v>0</v>
      </c>
      <c r="O123" s="339"/>
      <c r="P123" s="307" t="str">
        <f>IFERROR(IF(MONTH($C123)=MONTH($J$6),SUMIFS(F$15:F123,$C$15:$C123,"&gt;"&amp;EOMONTH($C123,-12)),""),"")</f>
        <v/>
      </c>
      <c r="Q123" s="307" t="str">
        <f>IFERROR(IF(MONTH($C123)=MONTH($J$6),SUMIFS(G$15:G123,$C$15:$C123,"&gt;"&amp;EOMONTH($C123,-12))+SUMIFS(H$15:H123,$C$15:$C123,"&gt;"&amp;EOMONTH($C123,-12)),""),"")</f>
        <v/>
      </c>
    </row>
    <row r="124" spans="2:17" ht="12.75" customHeight="1" x14ac:dyDescent="0.25">
      <c r="B124">
        <f t="shared" si="10"/>
        <v>109</v>
      </c>
      <c r="C124" s="58" t="str">
        <f t="shared" si="16"/>
        <v/>
      </c>
      <c r="D124" s="44">
        <f t="shared" si="17"/>
        <v>0</v>
      </c>
      <c r="E124" s="107">
        <f t="shared" si="11"/>
        <v>0</v>
      </c>
      <c r="F124" s="44">
        <f t="shared" si="12"/>
        <v>0</v>
      </c>
      <c r="G124" s="106">
        <f t="shared" si="19"/>
        <v>0</v>
      </c>
      <c r="H124" s="106">
        <f>ROUND(IF(B124&lt;$D$8,MIN(I123,D124-G124),IF(B124=$D$8,$I$15-SUM($H$15:$H123),0)),2)</f>
        <v>0</v>
      </c>
      <c r="I124" s="44">
        <f t="shared" si="18"/>
        <v>0</v>
      </c>
      <c r="J124" s="107"/>
      <c r="L124" s="107">
        <f t="shared" si="14"/>
        <v>0</v>
      </c>
      <c r="N124" s="338">
        <f t="shared" si="15"/>
        <v>0</v>
      </c>
      <c r="O124" s="339"/>
      <c r="P124" s="307" t="str">
        <f>IFERROR(IF(MONTH($C124)=MONTH($J$6),SUMIFS(F$15:F124,$C$15:$C124,"&gt;"&amp;EOMONTH($C124,-12)),""),"")</f>
        <v/>
      </c>
      <c r="Q124" s="307" t="str">
        <f>IFERROR(IF(MONTH($C124)=MONTH($J$6),SUMIFS(G$15:G124,$C$15:$C124,"&gt;"&amp;EOMONTH($C124,-12))+SUMIFS(H$15:H124,$C$15:$C124,"&gt;"&amp;EOMONTH($C124,-12)),""),"")</f>
        <v/>
      </c>
    </row>
    <row r="125" spans="2:17" ht="12.75" customHeight="1" x14ac:dyDescent="0.25">
      <c r="B125">
        <f t="shared" si="10"/>
        <v>110</v>
      </c>
      <c r="C125" s="58" t="str">
        <f t="shared" si="16"/>
        <v/>
      </c>
      <c r="D125" s="44">
        <f t="shared" si="17"/>
        <v>0</v>
      </c>
      <c r="E125" s="107">
        <f t="shared" si="11"/>
        <v>0</v>
      </c>
      <c r="F125" s="44">
        <f t="shared" si="12"/>
        <v>0</v>
      </c>
      <c r="G125" s="106">
        <f t="shared" si="19"/>
        <v>0</v>
      </c>
      <c r="H125" s="106">
        <f>ROUND(IF(B125&lt;$D$8,MIN(I124,D125-G125),IF(B125=$D$8,$I$15-SUM($H$15:$H124),0)),2)</f>
        <v>0</v>
      </c>
      <c r="I125" s="44">
        <f t="shared" si="18"/>
        <v>0</v>
      </c>
      <c r="J125" s="107"/>
      <c r="L125" s="107">
        <f t="shared" si="14"/>
        <v>0</v>
      </c>
      <c r="N125" s="338">
        <f t="shared" si="15"/>
        <v>0</v>
      </c>
      <c r="O125" s="339"/>
      <c r="P125" s="307" t="str">
        <f>IFERROR(IF(MONTH($C125)=MONTH($J$6),SUMIFS(F$15:F125,$C$15:$C125,"&gt;"&amp;EOMONTH($C125,-12)),""),"")</f>
        <v/>
      </c>
      <c r="Q125" s="307" t="str">
        <f>IFERROR(IF(MONTH($C125)=MONTH($J$6),SUMIFS(G$15:G125,$C$15:$C125,"&gt;"&amp;EOMONTH($C125,-12))+SUMIFS(H$15:H125,$C$15:$C125,"&gt;"&amp;EOMONTH($C125,-12)),""),"")</f>
        <v/>
      </c>
    </row>
    <row r="126" spans="2:17" ht="12.75" customHeight="1" x14ac:dyDescent="0.25">
      <c r="B126">
        <f t="shared" si="10"/>
        <v>111</v>
      </c>
      <c r="C126" s="58" t="str">
        <f t="shared" si="16"/>
        <v/>
      </c>
      <c r="D126" s="44">
        <f t="shared" si="17"/>
        <v>0</v>
      </c>
      <c r="E126" s="107">
        <f t="shared" si="11"/>
        <v>0</v>
      </c>
      <c r="F126" s="44">
        <f t="shared" si="12"/>
        <v>0</v>
      </c>
      <c r="G126" s="106">
        <f t="shared" si="19"/>
        <v>0</v>
      </c>
      <c r="H126" s="106">
        <f>ROUND(IF(B126&lt;$D$8,MIN(I125,D126-G126),IF(B126=$D$8,$I$15-SUM($H$15:$H125),0)),2)</f>
        <v>0</v>
      </c>
      <c r="I126" s="44">
        <f t="shared" si="18"/>
        <v>0</v>
      </c>
      <c r="J126" s="107"/>
      <c r="L126" s="107">
        <f t="shared" si="14"/>
        <v>0</v>
      </c>
      <c r="N126" s="338">
        <f t="shared" si="15"/>
        <v>0</v>
      </c>
      <c r="O126" s="339"/>
      <c r="P126" s="307" t="str">
        <f>IFERROR(IF(MONTH($C126)=MONTH($J$6),SUMIFS(F$15:F126,$C$15:$C126,"&gt;"&amp;EOMONTH($C126,-12)),""),"")</f>
        <v/>
      </c>
      <c r="Q126" s="307" t="str">
        <f>IFERROR(IF(MONTH($C126)=MONTH($J$6),SUMIFS(G$15:G126,$C$15:$C126,"&gt;"&amp;EOMONTH($C126,-12))+SUMIFS(H$15:H126,$C$15:$C126,"&gt;"&amp;EOMONTH($C126,-12)),""),"")</f>
        <v/>
      </c>
    </row>
    <row r="127" spans="2:17" ht="12.75" customHeight="1" x14ac:dyDescent="0.25">
      <c r="B127">
        <f t="shared" si="10"/>
        <v>112</v>
      </c>
      <c r="C127" s="58" t="str">
        <f t="shared" si="16"/>
        <v/>
      </c>
      <c r="D127" s="44">
        <f t="shared" si="17"/>
        <v>0</v>
      </c>
      <c r="E127" s="107">
        <f t="shared" si="11"/>
        <v>0</v>
      </c>
      <c r="F127" s="44">
        <f t="shared" si="12"/>
        <v>0</v>
      </c>
      <c r="G127" s="106">
        <f t="shared" si="19"/>
        <v>0</v>
      </c>
      <c r="H127" s="106">
        <f>ROUND(IF(B127&lt;$D$8,MIN(I126,D127-G127),IF(B127=$D$8,$I$15-SUM($H$15:$H126),0)),2)</f>
        <v>0</v>
      </c>
      <c r="I127" s="44">
        <f t="shared" si="18"/>
        <v>0</v>
      </c>
      <c r="J127" s="107"/>
      <c r="L127" s="107">
        <f t="shared" si="14"/>
        <v>0</v>
      </c>
      <c r="N127" s="338">
        <f t="shared" si="15"/>
        <v>0</v>
      </c>
      <c r="O127" s="339"/>
      <c r="P127" s="307" t="str">
        <f>IFERROR(IF(MONTH($C127)=MONTH($J$6),SUMIFS(F$15:F127,$C$15:$C127,"&gt;"&amp;EOMONTH($C127,-12)),""),"")</f>
        <v/>
      </c>
      <c r="Q127" s="307" t="str">
        <f>IFERROR(IF(MONTH($C127)=MONTH($J$6),SUMIFS(G$15:G127,$C$15:$C127,"&gt;"&amp;EOMONTH($C127,-12))+SUMIFS(H$15:H127,$C$15:$C127,"&gt;"&amp;EOMONTH($C127,-12)),""),"")</f>
        <v/>
      </c>
    </row>
    <row r="128" spans="2:17" ht="12.75" customHeight="1" x14ac:dyDescent="0.25">
      <c r="B128">
        <f t="shared" si="10"/>
        <v>113</v>
      </c>
      <c r="C128" s="58" t="str">
        <f t="shared" si="16"/>
        <v/>
      </c>
      <c r="D128" s="44">
        <f t="shared" si="17"/>
        <v>0</v>
      </c>
      <c r="E128" s="107">
        <f t="shared" si="11"/>
        <v>0</v>
      </c>
      <c r="F128" s="44">
        <f t="shared" si="12"/>
        <v>0</v>
      </c>
      <c r="G128" s="106">
        <f t="shared" si="19"/>
        <v>0</v>
      </c>
      <c r="H128" s="106">
        <f>ROUND(IF(B128&lt;$D$8,MIN(I127,D128-G128),IF(B128=$D$8,$I$15-SUM($H$15:$H127),0)),2)</f>
        <v>0</v>
      </c>
      <c r="I128" s="44">
        <f t="shared" si="18"/>
        <v>0</v>
      </c>
      <c r="J128" s="107"/>
      <c r="L128" s="107">
        <f t="shared" si="14"/>
        <v>0</v>
      </c>
      <c r="N128" s="338">
        <f t="shared" si="15"/>
        <v>0</v>
      </c>
      <c r="O128" s="339"/>
      <c r="P128" s="307" t="str">
        <f>IFERROR(IF(MONTH($C128)=MONTH($J$6),SUMIFS(F$15:F128,$C$15:$C128,"&gt;"&amp;EOMONTH($C128,-12)),""),"")</f>
        <v/>
      </c>
      <c r="Q128" s="307" t="str">
        <f>IFERROR(IF(MONTH($C128)=MONTH($J$6),SUMIFS(G$15:G128,$C$15:$C128,"&gt;"&amp;EOMONTH($C128,-12))+SUMIFS(H$15:H128,$C$15:$C128,"&gt;"&amp;EOMONTH($C128,-12)),""),"")</f>
        <v/>
      </c>
    </row>
    <row r="129" spans="2:17" ht="12.75" customHeight="1" x14ac:dyDescent="0.25">
      <c r="B129">
        <f t="shared" si="10"/>
        <v>114</v>
      </c>
      <c r="C129" s="58" t="str">
        <f t="shared" si="16"/>
        <v/>
      </c>
      <c r="D129" s="44">
        <f t="shared" si="17"/>
        <v>0</v>
      </c>
      <c r="E129" s="107">
        <f t="shared" si="11"/>
        <v>0</v>
      </c>
      <c r="F129" s="44">
        <f t="shared" si="12"/>
        <v>0</v>
      </c>
      <c r="G129" s="106">
        <f t="shared" si="19"/>
        <v>0</v>
      </c>
      <c r="H129" s="106">
        <f>ROUND(IF(B129&lt;$D$8,MIN(I128,D129-G129),IF(B129=$D$8,$I$15-SUM($H$15:$H128),0)),2)</f>
        <v>0</v>
      </c>
      <c r="I129" s="44">
        <f t="shared" si="18"/>
        <v>0</v>
      </c>
      <c r="J129" s="107"/>
      <c r="L129" s="107">
        <f t="shared" si="14"/>
        <v>0</v>
      </c>
      <c r="N129" s="338">
        <f t="shared" si="15"/>
        <v>0</v>
      </c>
      <c r="O129" s="339"/>
      <c r="P129" s="307" t="str">
        <f>IFERROR(IF(MONTH($C129)=MONTH($J$6),SUMIFS(F$15:F129,$C$15:$C129,"&gt;"&amp;EOMONTH($C129,-12)),""),"")</f>
        <v/>
      </c>
      <c r="Q129" s="307" t="str">
        <f>IFERROR(IF(MONTH($C129)=MONTH($J$6),SUMIFS(G$15:G129,$C$15:$C129,"&gt;"&amp;EOMONTH($C129,-12))+SUMIFS(H$15:H129,$C$15:$C129,"&gt;"&amp;EOMONTH($C129,-12)),""),"")</f>
        <v/>
      </c>
    </row>
    <row r="130" spans="2:17" ht="12.75" customHeight="1" x14ac:dyDescent="0.25">
      <c r="B130">
        <f t="shared" si="10"/>
        <v>115</v>
      </c>
      <c r="C130" s="58" t="str">
        <f t="shared" si="16"/>
        <v/>
      </c>
      <c r="D130" s="44">
        <f t="shared" si="17"/>
        <v>0</v>
      </c>
      <c r="E130" s="107">
        <f t="shared" si="11"/>
        <v>0</v>
      </c>
      <c r="F130" s="44">
        <f t="shared" si="12"/>
        <v>0</v>
      </c>
      <c r="G130" s="106">
        <f t="shared" si="19"/>
        <v>0</v>
      </c>
      <c r="H130" s="106">
        <f>ROUND(IF(B130&lt;$D$8,MIN(I129,D130-G130),IF(B130=$D$8,$I$15-SUM($H$15:$H129),0)),2)</f>
        <v>0</v>
      </c>
      <c r="I130" s="44">
        <f t="shared" si="18"/>
        <v>0</v>
      </c>
      <c r="J130" s="107"/>
      <c r="L130" s="107">
        <f t="shared" si="14"/>
        <v>0</v>
      </c>
      <c r="N130" s="338">
        <f t="shared" si="15"/>
        <v>0</v>
      </c>
      <c r="O130" s="339"/>
      <c r="P130" s="307" t="str">
        <f>IFERROR(IF(MONTH($C130)=MONTH($J$6),SUMIFS(F$15:F130,$C$15:$C130,"&gt;"&amp;EOMONTH($C130,-12)),""),"")</f>
        <v/>
      </c>
      <c r="Q130" s="307" t="str">
        <f>IFERROR(IF(MONTH($C130)=MONTH($J$6),SUMIFS(G$15:G130,$C$15:$C130,"&gt;"&amp;EOMONTH($C130,-12))+SUMIFS(H$15:H130,$C$15:$C130,"&gt;"&amp;EOMONTH($C130,-12)),""),"")</f>
        <v/>
      </c>
    </row>
    <row r="131" spans="2:17" ht="12.75" customHeight="1" x14ac:dyDescent="0.25">
      <c r="B131">
        <f t="shared" si="10"/>
        <v>116</v>
      </c>
      <c r="C131" s="58" t="str">
        <f t="shared" si="16"/>
        <v/>
      </c>
      <c r="D131" s="44">
        <f t="shared" si="17"/>
        <v>0</v>
      </c>
      <c r="E131" s="107">
        <f t="shared" si="11"/>
        <v>0</v>
      </c>
      <c r="F131" s="44">
        <f t="shared" si="12"/>
        <v>0</v>
      </c>
      <c r="G131" s="106">
        <f t="shared" si="19"/>
        <v>0</v>
      </c>
      <c r="H131" s="106">
        <f>ROUND(IF(B131&lt;$D$8,MIN(I130,D131-G131),IF(B131=$D$8,$I$15-SUM($H$15:$H130),0)),2)</f>
        <v>0</v>
      </c>
      <c r="I131" s="44">
        <f t="shared" si="18"/>
        <v>0</v>
      </c>
      <c r="J131" s="107"/>
      <c r="L131" s="107">
        <f t="shared" si="14"/>
        <v>0</v>
      </c>
      <c r="N131" s="338">
        <f t="shared" si="15"/>
        <v>0</v>
      </c>
      <c r="O131" s="339"/>
      <c r="P131" s="307" t="str">
        <f>IFERROR(IF(MONTH($C131)=MONTH($J$6),SUMIFS(F$15:F131,$C$15:$C131,"&gt;"&amp;EOMONTH($C131,-12)),""),"")</f>
        <v/>
      </c>
      <c r="Q131" s="307" t="str">
        <f>IFERROR(IF(MONTH($C131)=MONTH($J$6),SUMIFS(G$15:G131,$C$15:$C131,"&gt;"&amp;EOMONTH($C131,-12))+SUMIFS(H$15:H131,$C$15:$C131,"&gt;"&amp;EOMONTH($C131,-12)),""),"")</f>
        <v/>
      </c>
    </row>
    <row r="132" spans="2:17" ht="12.75" customHeight="1" x14ac:dyDescent="0.25">
      <c r="B132">
        <f t="shared" si="10"/>
        <v>117</v>
      </c>
      <c r="C132" s="58" t="str">
        <f t="shared" si="16"/>
        <v/>
      </c>
      <c r="D132" s="44">
        <f t="shared" si="17"/>
        <v>0</v>
      </c>
      <c r="E132" s="107">
        <f t="shared" si="11"/>
        <v>0</v>
      </c>
      <c r="F132" s="44">
        <f t="shared" si="12"/>
        <v>0</v>
      </c>
      <c r="G132" s="106">
        <f t="shared" si="19"/>
        <v>0</v>
      </c>
      <c r="H132" s="106">
        <f>ROUND(IF(B132&lt;$D$8,MIN(I131,D132-G132),IF(B132=$D$8,$I$15-SUM($H$15:$H131),0)),2)</f>
        <v>0</v>
      </c>
      <c r="I132" s="44">
        <f t="shared" si="18"/>
        <v>0</v>
      </c>
      <c r="J132" s="107"/>
      <c r="L132" s="107">
        <f t="shared" si="14"/>
        <v>0</v>
      </c>
      <c r="N132" s="338">
        <f t="shared" si="15"/>
        <v>0</v>
      </c>
      <c r="O132" s="339"/>
      <c r="P132" s="307" t="str">
        <f>IFERROR(IF(MONTH($C132)=MONTH($J$6),SUMIFS(F$15:F132,$C$15:$C132,"&gt;"&amp;EOMONTH($C132,-12)),""),"")</f>
        <v/>
      </c>
      <c r="Q132" s="307" t="str">
        <f>IFERROR(IF(MONTH($C132)=MONTH($J$6),SUMIFS(G$15:G132,$C$15:$C132,"&gt;"&amp;EOMONTH($C132,-12))+SUMIFS(H$15:H132,$C$15:$C132,"&gt;"&amp;EOMONTH($C132,-12)),""),"")</f>
        <v/>
      </c>
    </row>
    <row r="133" spans="2:17" ht="12.75" customHeight="1" x14ac:dyDescent="0.25">
      <c r="B133">
        <f t="shared" si="10"/>
        <v>118</v>
      </c>
      <c r="C133" s="58" t="str">
        <f t="shared" si="16"/>
        <v/>
      </c>
      <c r="D133" s="44">
        <f t="shared" si="17"/>
        <v>0</v>
      </c>
      <c r="E133" s="107">
        <f t="shared" si="11"/>
        <v>0</v>
      </c>
      <c r="F133" s="44">
        <f t="shared" si="12"/>
        <v>0</v>
      </c>
      <c r="G133" s="106">
        <f t="shared" si="19"/>
        <v>0</v>
      </c>
      <c r="H133" s="106">
        <f>ROUND(IF(B133&lt;$D$8,MIN(I132,D133-G133),IF(B133=$D$8,$I$15-SUM($H$15:$H132),0)),2)</f>
        <v>0</v>
      </c>
      <c r="I133" s="44">
        <f t="shared" si="18"/>
        <v>0</v>
      </c>
      <c r="J133" s="107"/>
      <c r="L133" s="107">
        <f t="shared" si="14"/>
        <v>0</v>
      </c>
      <c r="N133" s="338">
        <f t="shared" si="15"/>
        <v>0</v>
      </c>
      <c r="O133" s="339"/>
      <c r="P133" s="307" t="str">
        <f>IFERROR(IF(MONTH($C133)=MONTH($J$6),SUMIFS(F$15:F133,$C$15:$C133,"&gt;"&amp;EOMONTH($C133,-12)),""),"")</f>
        <v/>
      </c>
      <c r="Q133" s="307" t="str">
        <f>IFERROR(IF(MONTH($C133)=MONTH($J$6),SUMIFS(G$15:G133,$C$15:$C133,"&gt;"&amp;EOMONTH($C133,-12))+SUMIFS(H$15:H133,$C$15:$C133,"&gt;"&amp;EOMONTH($C133,-12)),""),"")</f>
        <v/>
      </c>
    </row>
    <row r="134" spans="2:17" ht="12.75" customHeight="1" x14ac:dyDescent="0.25">
      <c r="B134">
        <f t="shared" si="10"/>
        <v>119</v>
      </c>
      <c r="C134" s="58" t="str">
        <f t="shared" si="16"/>
        <v/>
      </c>
      <c r="D134" s="44">
        <f t="shared" si="17"/>
        <v>0</v>
      </c>
      <c r="E134" s="107">
        <f t="shared" si="11"/>
        <v>0</v>
      </c>
      <c r="F134" s="44">
        <f t="shared" si="12"/>
        <v>0</v>
      </c>
      <c r="G134" s="106">
        <f t="shared" si="19"/>
        <v>0</v>
      </c>
      <c r="H134" s="106">
        <f>ROUND(IF(B134&lt;$D$8,MIN(I133,D134-G134),IF(B134=$D$8,$I$15-SUM($H$15:$H133),0)),2)</f>
        <v>0</v>
      </c>
      <c r="I134" s="44">
        <f t="shared" si="18"/>
        <v>0</v>
      </c>
      <c r="J134" s="107"/>
      <c r="L134" s="107">
        <f t="shared" si="14"/>
        <v>0</v>
      </c>
      <c r="N134" s="338">
        <f t="shared" si="15"/>
        <v>0</v>
      </c>
      <c r="O134" s="339"/>
      <c r="P134" s="307" t="str">
        <f>IFERROR(IF(MONTH($C134)=MONTH($J$6),SUMIFS(F$15:F134,$C$15:$C134,"&gt;"&amp;EOMONTH($C134,-12)),""),"")</f>
        <v/>
      </c>
      <c r="Q134" s="307" t="str">
        <f>IFERROR(IF(MONTH($C134)=MONTH($J$6),SUMIFS(G$15:G134,$C$15:$C134,"&gt;"&amp;EOMONTH($C134,-12))+SUMIFS(H$15:H134,$C$15:$C134,"&gt;"&amp;EOMONTH($C134,-12)),""),"")</f>
        <v/>
      </c>
    </row>
    <row r="135" spans="2:17" ht="12.75" customHeight="1" x14ac:dyDescent="0.25">
      <c r="B135">
        <f t="shared" si="10"/>
        <v>120</v>
      </c>
      <c r="C135" s="58" t="str">
        <f t="shared" si="16"/>
        <v/>
      </c>
      <c r="D135" s="44">
        <f t="shared" si="17"/>
        <v>0</v>
      </c>
      <c r="E135" s="107">
        <f t="shared" si="11"/>
        <v>0</v>
      </c>
      <c r="F135" s="44">
        <f t="shared" si="12"/>
        <v>0</v>
      </c>
      <c r="G135" s="106">
        <f t="shared" si="19"/>
        <v>0</v>
      </c>
      <c r="H135" s="106">
        <f>ROUND(IF(B135&lt;$D$8,MIN(I134,D135-G135),IF(B135=$D$8,$I$15-SUM($H$15:$H134),0)),2)</f>
        <v>0</v>
      </c>
      <c r="I135" s="44">
        <f t="shared" si="18"/>
        <v>0</v>
      </c>
      <c r="J135" s="107"/>
      <c r="L135" s="107">
        <f t="shared" si="14"/>
        <v>0</v>
      </c>
      <c r="N135" s="338">
        <f t="shared" si="15"/>
        <v>0</v>
      </c>
      <c r="O135" s="317"/>
      <c r="P135" s="307" t="str">
        <f>IFERROR(IF(MONTH($C135)=MONTH($J$6),SUMIFS(F$15:F135,$C$15:$C135,"&gt;"&amp;EOMONTH($C135,-12)),""),"")</f>
        <v/>
      </c>
      <c r="Q135" s="307" t="str">
        <f>IFERROR(IF(MONTH($C135)=MONTH($J$6),SUMIFS(G$15:G135,$C$15:$C135,"&gt;"&amp;EOMONTH($C135,-12))+SUMIFS(H$15:H135,$C$15:$C135,"&gt;"&amp;EOMONTH($C135,-12)),""),"")</f>
        <v/>
      </c>
    </row>
    <row r="136" spans="2:17" ht="12.75" customHeight="1" x14ac:dyDescent="0.25">
      <c r="B136">
        <f t="shared" si="10"/>
        <v>121</v>
      </c>
      <c r="C136" s="58" t="str">
        <f t="shared" si="16"/>
        <v/>
      </c>
      <c r="D136" s="44">
        <f t="shared" si="17"/>
        <v>0</v>
      </c>
      <c r="E136" s="107">
        <f t="shared" si="11"/>
        <v>0</v>
      </c>
      <c r="F136" s="44">
        <f t="shared" si="12"/>
        <v>0</v>
      </c>
      <c r="G136" s="106">
        <f t="shared" si="19"/>
        <v>0</v>
      </c>
      <c r="H136" s="106">
        <f>ROUND(IF(B136&lt;$D$8,MIN(I135,D136-G136),IF(B136=$D$8,$I$15-SUM($H$15:$H135),0)),2)</f>
        <v>0</v>
      </c>
      <c r="I136" s="44">
        <f t="shared" si="18"/>
        <v>0</v>
      </c>
      <c r="J136" s="107"/>
      <c r="L136" s="107">
        <f t="shared" si="14"/>
        <v>0</v>
      </c>
      <c r="N136" s="338">
        <f t="shared" si="15"/>
        <v>0</v>
      </c>
      <c r="O136" s="339"/>
      <c r="P136" s="307" t="str">
        <f>IFERROR(IF(MONTH($C136)=MONTH($J$6),SUMIFS(F$15:F136,$C$15:$C136,"&gt;"&amp;EOMONTH($C136,-12)),""),"")</f>
        <v/>
      </c>
      <c r="Q136" s="307" t="str">
        <f>IFERROR(IF(MONTH($C136)=MONTH($J$6),SUMIFS(G$15:G136,$C$15:$C136,"&gt;"&amp;EOMONTH($C136,-12))+SUMIFS(H$15:H136,$C$15:$C136,"&gt;"&amp;EOMONTH($C136,-12)),""),"")</f>
        <v/>
      </c>
    </row>
    <row r="137" spans="2:17" ht="12.75" customHeight="1" x14ac:dyDescent="0.25">
      <c r="B137">
        <f t="shared" si="10"/>
        <v>122</v>
      </c>
      <c r="C137" s="58" t="str">
        <f t="shared" si="16"/>
        <v/>
      </c>
      <c r="D137" s="44">
        <f t="shared" si="17"/>
        <v>0</v>
      </c>
      <c r="E137" s="107">
        <f t="shared" si="11"/>
        <v>0</v>
      </c>
      <c r="F137" s="44">
        <f t="shared" si="12"/>
        <v>0</v>
      </c>
      <c r="G137" s="106">
        <f t="shared" si="19"/>
        <v>0</v>
      </c>
      <c r="H137" s="106">
        <f>ROUND(IF(B137&lt;$D$8,MIN(I136,D137-G137),IF(B137=$D$8,$I$15-SUM($H$15:$H136),0)),2)</f>
        <v>0</v>
      </c>
      <c r="I137" s="44">
        <f t="shared" si="18"/>
        <v>0</v>
      </c>
      <c r="J137" s="107"/>
      <c r="L137" s="107">
        <f t="shared" si="14"/>
        <v>0</v>
      </c>
      <c r="M137" s="44"/>
      <c r="N137" s="338">
        <f t="shared" si="15"/>
        <v>0</v>
      </c>
      <c r="O137" s="339"/>
      <c r="P137" s="307" t="str">
        <f>IFERROR(IF(MONTH($C137)=MONTH($J$6),SUMIFS(F$15:F137,$C$15:$C137,"&gt;"&amp;EOMONTH($C137,-12)),""),"")</f>
        <v/>
      </c>
      <c r="Q137" s="307" t="str">
        <f>IFERROR(IF(MONTH($C137)=MONTH($J$6),SUMIFS(G$15:G137,$C$15:$C137,"&gt;"&amp;EOMONTH($C137,-12))+SUMIFS(H$15:H137,$C$15:$C137,"&gt;"&amp;EOMONTH($C137,-12)),""),"")</f>
        <v/>
      </c>
    </row>
    <row r="138" spans="2:17" ht="12.75" customHeight="1" x14ac:dyDescent="0.25">
      <c r="B138">
        <f t="shared" si="10"/>
        <v>123</v>
      </c>
      <c r="C138" s="58" t="str">
        <f t="shared" si="16"/>
        <v/>
      </c>
      <c r="D138" s="44">
        <f t="shared" si="17"/>
        <v>0</v>
      </c>
      <c r="E138" s="107">
        <f t="shared" si="11"/>
        <v>0</v>
      </c>
      <c r="F138" s="44">
        <f t="shared" si="12"/>
        <v>0</v>
      </c>
      <c r="G138" s="106">
        <f t="shared" si="19"/>
        <v>0</v>
      </c>
      <c r="H138" s="106">
        <f>ROUND(IF(B138&lt;$D$8,MIN(I137,D138-G138),IF(B138=$D$8,$I$15-SUM($H$15:$H137),0)),2)</f>
        <v>0</v>
      </c>
      <c r="I138" s="44">
        <f t="shared" si="18"/>
        <v>0</v>
      </c>
      <c r="J138" s="107"/>
      <c r="L138" s="107">
        <f t="shared" si="14"/>
        <v>0</v>
      </c>
      <c r="M138" s="44"/>
      <c r="N138" s="338">
        <f t="shared" si="15"/>
        <v>0</v>
      </c>
      <c r="O138" s="339"/>
      <c r="P138" s="307" t="str">
        <f>IFERROR(IF(MONTH($C138)=MONTH($J$6),SUMIFS(F$15:F138,$C$15:$C138,"&gt;"&amp;EOMONTH($C138,-12)),""),"")</f>
        <v/>
      </c>
      <c r="Q138" s="307" t="str">
        <f>IFERROR(IF(MONTH($C138)=MONTH($J$6),SUMIFS(G$15:G138,$C$15:$C138,"&gt;"&amp;EOMONTH($C138,-12))+SUMIFS(H$15:H138,$C$15:$C138,"&gt;"&amp;EOMONTH($C138,-12)),""),"")</f>
        <v/>
      </c>
    </row>
    <row r="139" spans="2:17" ht="12.75" customHeight="1" x14ac:dyDescent="0.25">
      <c r="B139">
        <f t="shared" si="10"/>
        <v>124</v>
      </c>
      <c r="C139" s="58" t="str">
        <f t="shared" si="16"/>
        <v/>
      </c>
      <c r="D139" s="44">
        <f t="shared" si="17"/>
        <v>0</v>
      </c>
      <c r="E139" s="107">
        <f t="shared" si="11"/>
        <v>0</v>
      </c>
      <c r="F139" s="44">
        <f t="shared" si="12"/>
        <v>0</v>
      </c>
      <c r="G139" s="106">
        <f t="shared" si="19"/>
        <v>0</v>
      </c>
      <c r="H139" s="106">
        <f>ROUND(IF(B139&lt;$D$8,MIN(I138,D139-G139),IF(B139=$D$8,$I$15-SUM($H$15:$H138),0)),2)</f>
        <v>0</v>
      </c>
      <c r="I139" s="44">
        <f t="shared" si="18"/>
        <v>0</v>
      </c>
      <c r="J139" s="107"/>
      <c r="L139" s="107">
        <f t="shared" si="14"/>
        <v>0</v>
      </c>
      <c r="M139" s="44"/>
      <c r="N139" s="338">
        <f t="shared" si="15"/>
        <v>0</v>
      </c>
      <c r="O139" s="339"/>
      <c r="P139" s="307" t="str">
        <f>IFERROR(IF(MONTH($C139)=MONTH($J$6),SUMIFS(F$15:F139,$C$15:$C139,"&gt;"&amp;EOMONTH($C139,-12)),""),"")</f>
        <v/>
      </c>
      <c r="Q139" s="307" t="str">
        <f>IFERROR(IF(MONTH($C139)=MONTH($J$6),SUMIFS(G$15:G139,$C$15:$C139,"&gt;"&amp;EOMONTH($C139,-12))+SUMIFS(H$15:H139,$C$15:$C139,"&gt;"&amp;EOMONTH($C139,-12)),""),"")</f>
        <v/>
      </c>
    </row>
    <row r="140" spans="2:17" ht="12.75" customHeight="1" x14ac:dyDescent="0.25">
      <c r="B140">
        <f t="shared" si="10"/>
        <v>125</v>
      </c>
      <c r="C140" s="58" t="str">
        <f t="shared" si="16"/>
        <v/>
      </c>
      <c r="D140" s="44">
        <f t="shared" si="17"/>
        <v>0</v>
      </c>
      <c r="E140" s="107">
        <f t="shared" si="11"/>
        <v>0</v>
      </c>
      <c r="F140" s="44">
        <f t="shared" si="12"/>
        <v>0</v>
      </c>
      <c r="G140" s="106">
        <f t="shared" si="19"/>
        <v>0</v>
      </c>
      <c r="H140" s="106">
        <f>ROUND(IF(B140&lt;$D$8,MIN(I139,D140-G140),IF(B140=$D$8,$I$15-SUM($H$15:$H139),0)),2)</f>
        <v>0</v>
      </c>
      <c r="I140" s="44">
        <f t="shared" si="18"/>
        <v>0</v>
      </c>
      <c r="J140" s="107"/>
      <c r="L140" s="107">
        <f t="shared" si="14"/>
        <v>0</v>
      </c>
      <c r="M140" s="44"/>
      <c r="N140" s="338">
        <f t="shared" si="15"/>
        <v>0</v>
      </c>
      <c r="O140" s="339"/>
      <c r="P140" s="307" t="str">
        <f>IFERROR(IF(MONTH($C140)=MONTH($J$6),SUMIFS(F$15:F140,$C$15:$C140,"&gt;"&amp;EOMONTH($C140,-12)),""),"")</f>
        <v/>
      </c>
      <c r="Q140" s="307" t="str">
        <f>IFERROR(IF(MONTH($C140)=MONTH($J$6),SUMIFS(G$15:G140,$C$15:$C140,"&gt;"&amp;EOMONTH($C140,-12))+SUMIFS(H$15:H140,$C$15:$C140,"&gt;"&amp;EOMONTH($C140,-12)),""),"")</f>
        <v/>
      </c>
    </row>
    <row r="141" spans="2:17" ht="12.75" customHeight="1" x14ac:dyDescent="0.25">
      <c r="B141">
        <f t="shared" si="10"/>
        <v>126</v>
      </c>
      <c r="C141" s="58" t="str">
        <f t="shared" si="16"/>
        <v/>
      </c>
      <c r="D141" s="44">
        <f t="shared" si="17"/>
        <v>0</v>
      </c>
      <c r="E141" s="107">
        <f t="shared" si="11"/>
        <v>0</v>
      </c>
      <c r="F141" s="44">
        <f t="shared" si="12"/>
        <v>0</v>
      </c>
      <c r="G141" s="106">
        <f t="shared" si="19"/>
        <v>0</v>
      </c>
      <c r="H141" s="106">
        <f>ROUND(IF(B141&lt;$D$8,MIN(I140,D141-G141),IF(B141=$D$8,$I$15-SUM($H$15:$H140),0)),2)</f>
        <v>0</v>
      </c>
      <c r="I141" s="44">
        <f t="shared" si="18"/>
        <v>0</v>
      </c>
      <c r="J141" s="107"/>
      <c r="L141" s="107">
        <f t="shared" si="14"/>
        <v>0</v>
      </c>
      <c r="M141" s="44"/>
      <c r="N141" s="338">
        <f t="shared" si="15"/>
        <v>0</v>
      </c>
      <c r="O141" s="339"/>
      <c r="P141" s="307" t="str">
        <f>IFERROR(IF(MONTH($C141)=MONTH($J$6),SUMIFS(F$15:F141,$C$15:$C141,"&gt;"&amp;EOMONTH($C141,-12)),""),"")</f>
        <v/>
      </c>
      <c r="Q141" s="307" t="str">
        <f>IFERROR(IF(MONTH($C141)=MONTH($J$6),SUMIFS(G$15:G141,$C$15:$C141,"&gt;"&amp;EOMONTH($C141,-12))+SUMIFS(H$15:H141,$C$15:$C141,"&gt;"&amp;EOMONTH($C141,-12)),""),"")</f>
        <v/>
      </c>
    </row>
    <row r="142" spans="2:17" ht="12.75" customHeight="1" x14ac:dyDescent="0.25">
      <c r="B142">
        <f t="shared" si="10"/>
        <v>127</v>
      </c>
      <c r="C142" s="58" t="str">
        <f t="shared" si="16"/>
        <v/>
      </c>
      <c r="D142" s="44">
        <f t="shared" si="17"/>
        <v>0</v>
      </c>
      <c r="E142" s="107">
        <f t="shared" si="11"/>
        <v>0</v>
      </c>
      <c r="F142" s="44">
        <f t="shared" si="12"/>
        <v>0</v>
      </c>
      <c r="G142" s="106">
        <f t="shared" si="19"/>
        <v>0</v>
      </c>
      <c r="H142" s="106">
        <f>ROUND(IF(B142&lt;$D$8,MIN(I141,D142-G142),IF(B142=$D$8,$I$15-SUM($H$15:$H141),0)),2)</f>
        <v>0</v>
      </c>
      <c r="I142" s="44">
        <f t="shared" si="18"/>
        <v>0</v>
      </c>
      <c r="J142" s="107"/>
      <c r="L142" s="107">
        <f t="shared" si="14"/>
        <v>0</v>
      </c>
      <c r="M142" s="44"/>
      <c r="N142" s="338">
        <f t="shared" si="15"/>
        <v>0</v>
      </c>
      <c r="O142" s="339"/>
      <c r="P142" s="307" t="str">
        <f>IFERROR(IF(MONTH($C142)=MONTH($J$6),SUMIFS(F$15:F142,$C$15:$C142,"&gt;"&amp;EOMONTH($C142,-12)),""),"")</f>
        <v/>
      </c>
      <c r="Q142" s="307" t="str">
        <f>IFERROR(IF(MONTH($C142)=MONTH($J$6),SUMIFS(G$15:G142,$C$15:$C142,"&gt;"&amp;EOMONTH($C142,-12))+SUMIFS(H$15:H142,$C$15:$C142,"&gt;"&amp;EOMONTH($C142,-12)),""),"")</f>
        <v/>
      </c>
    </row>
    <row r="143" spans="2:17" ht="12.75" customHeight="1" x14ac:dyDescent="0.25">
      <c r="B143">
        <f t="shared" si="10"/>
        <v>128</v>
      </c>
      <c r="C143" s="58" t="str">
        <f t="shared" si="16"/>
        <v/>
      </c>
      <c r="D143" s="44">
        <f t="shared" si="17"/>
        <v>0</v>
      </c>
      <c r="E143" s="107">
        <f t="shared" si="11"/>
        <v>0</v>
      </c>
      <c r="F143" s="44">
        <f t="shared" si="12"/>
        <v>0</v>
      </c>
      <c r="G143" s="106">
        <f t="shared" si="19"/>
        <v>0</v>
      </c>
      <c r="H143" s="106">
        <f>ROUND(IF(B143&lt;$D$8,MIN(I142,D143-G143),IF(B143=$D$8,$I$15-SUM($H$15:$H142),0)),2)</f>
        <v>0</v>
      </c>
      <c r="I143" s="44">
        <f t="shared" si="18"/>
        <v>0</v>
      </c>
      <c r="J143" s="107"/>
      <c r="L143" s="107">
        <f t="shared" si="14"/>
        <v>0</v>
      </c>
      <c r="M143" s="44"/>
      <c r="N143" s="338">
        <f t="shared" si="15"/>
        <v>0</v>
      </c>
      <c r="O143" s="339"/>
      <c r="P143" s="307" t="str">
        <f>IFERROR(IF(MONTH($C143)=MONTH($J$6),SUMIFS(F$15:F143,$C$15:$C143,"&gt;"&amp;EOMONTH($C143,-12)),""),"")</f>
        <v/>
      </c>
      <c r="Q143" s="307" t="str">
        <f>IFERROR(IF(MONTH($C143)=MONTH($J$6),SUMIFS(G$15:G143,$C$15:$C143,"&gt;"&amp;EOMONTH($C143,-12))+SUMIFS(H$15:H143,$C$15:$C143,"&gt;"&amp;EOMONTH($C143,-12)),""),"")</f>
        <v/>
      </c>
    </row>
    <row r="144" spans="2:17" ht="12.75" customHeight="1" x14ac:dyDescent="0.25">
      <c r="B144">
        <f t="shared" ref="B144:B195" si="20">B143+1</f>
        <v>129</v>
      </c>
      <c r="C144" s="58" t="str">
        <f t="shared" si="16"/>
        <v/>
      </c>
      <c r="D144" s="44">
        <f t="shared" si="17"/>
        <v>0</v>
      </c>
      <c r="E144" s="107">
        <f t="shared" ref="E144:E195" si="21">L143</f>
        <v>0</v>
      </c>
      <c r="F144" s="44">
        <f t="shared" ref="F144:F195" si="22">ROUND(IFERROR(MIN(MAX(D144-H144-G144,0),L143),0),2)</f>
        <v>0</v>
      </c>
      <c r="G144" s="106">
        <f t="shared" ref="G144:G175" si="23">ROUND(IFERROR((IF(B144&lt;=$D$8,(E144+IF(Loan_Type&lt;&gt;"Tax Loan",I143,0))*$D$6*30/360,0)),0),2)</f>
        <v>0</v>
      </c>
      <c r="H144" s="106">
        <f>ROUND(IF(B144&lt;$D$8,MIN(I143,D144-G144),IF(B144=$D$8,$I$15-SUM($H$15:$H143),0)),2)</f>
        <v>0</v>
      </c>
      <c r="I144" s="44">
        <f t="shared" si="18"/>
        <v>0</v>
      </c>
      <c r="J144" s="107"/>
      <c r="L144" s="107">
        <f t="shared" ref="L144:L195" si="24">ROUND(E144-F144,2)</f>
        <v>0</v>
      </c>
      <c r="M144" s="44"/>
      <c r="N144" s="338">
        <f t="shared" ref="N144:N195" si="25">F144/$D$5</f>
        <v>0</v>
      </c>
      <c r="O144" s="339"/>
      <c r="P144" s="307" t="str">
        <f>IFERROR(IF(MONTH($C144)=MONTH($J$6),SUMIFS(F$15:F144,$C$15:$C144,"&gt;"&amp;EOMONTH($C144,-12)),""),"")</f>
        <v/>
      </c>
      <c r="Q144" s="307" t="str">
        <f>IFERROR(IF(MONTH($C144)=MONTH($J$6),SUMIFS(G$15:G144,$C$15:$C144,"&gt;"&amp;EOMONTH($C144,-12))+SUMIFS(H$15:H144,$C$15:$C144,"&gt;"&amp;EOMONTH($C144,-12)),""),"")</f>
        <v/>
      </c>
    </row>
    <row r="145" spans="2:17" ht="12.75" customHeight="1" x14ac:dyDescent="0.25">
      <c r="B145">
        <f t="shared" si="20"/>
        <v>130</v>
      </c>
      <c r="C145" s="58" t="str">
        <f t="shared" ref="C145:C194" si="26">IF(L144&lt;=0,"",EDATE($J$8,B145-1))</f>
        <v/>
      </c>
      <c r="D145" s="44">
        <f t="shared" ref="D145:D194" si="27">IF(B145=$D$8,L144+G145+H145,IF(B145&gt;$D$8,0,ROUNDUP($D$9,2)))</f>
        <v>0</v>
      </c>
      <c r="E145" s="107">
        <f t="shared" si="21"/>
        <v>0</v>
      </c>
      <c r="F145" s="44">
        <f t="shared" si="22"/>
        <v>0</v>
      </c>
      <c r="G145" s="106">
        <f t="shared" si="23"/>
        <v>0</v>
      </c>
      <c r="H145" s="106">
        <f>ROUND(IF(B145&lt;$D$8,MIN(I144,D145-G145),IF(B145=$D$8,$I$15-SUM($H$15:$H144),0)),2)</f>
        <v>0</v>
      </c>
      <c r="I145" s="44">
        <f t="shared" ref="I145:I195" si="28">I144-H145</f>
        <v>0</v>
      </c>
      <c r="J145" s="107"/>
      <c r="L145" s="107">
        <f t="shared" si="24"/>
        <v>0</v>
      </c>
      <c r="M145" s="44"/>
      <c r="N145" s="338">
        <f t="shared" si="25"/>
        <v>0</v>
      </c>
      <c r="O145" s="339"/>
      <c r="P145" s="307" t="str">
        <f>IFERROR(IF(MONTH($C145)=MONTH($J$6),SUMIFS(F$15:F145,$C$15:$C145,"&gt;"&amp;EOMONTH($C145,-12)),""),"")</f>
        <v/>
      </c>
      <c r="Q145" s="307" t="str">
        <f>IFERROR(IF(MONTH($C145)=MONTH($J$6),SUMIFS(G$15:G145,$C$15:$C145,"&gt;"&amp;EOMONTH($C145,-12))+SUMIFS(H$15:H145,$C$15:$C145,"&gt;"&amp;EOMONTH($C145,-12)),""),"")</f>
        <v/>
      </c>
    </row>
    <row r="146" spans="2:17" ht="12.75" customHeight="1" x14ac:dyDescent="0.25">
      <c r="B146">
        <f t="shared" si="20"/>
        <v>131</v>
      </c>
      <c r="C146" s="58" t="str">
        <f t="shared" si="26"/>
        <v/>
      </c>
      <c r="D146" s="44">
        <f t="shared" si="27"/>
        <v>0</v>
      </c>
      <c r="E146" s="107">
        <f t="shared" si="21"/>
        <v>0</v>
      </c>
      <c r="F146" s="44">
        <f t="shared" si="22"/>
        <v>0</v>
      </c>
      <c r="G146" s="106">
        <f t="shared" si="23"/>
        <v>0</v>
      </c>
      <c r="H146" s="106">
        <f>ROUND(IF(B146&lt;$D$8,MIN(I145,D146-G146),IF(B146=$D$8,$I$15-SUM($H$15:$H145),0)),2)</f>
        <v>0</v>
      </c>
      <c r="I146" s="44">
        <f t="shared" si="28"/>
        <v>0</v>
      </c>
      <c r="J146" s="107"/>
      <c r="L146" s="107">
        <f t="shared" si="24"/>
        <v>0</v>
      </c>
      <c r="M146" s="44"/>
      <c r="N146" s="338">
        <f t="shared" si="25"/>
        <v>0</v>
      </c>
      <c r="O146" s="339"/>
      <c r="P146" s="307" t="str">
        <f>IFERROR(IF(MONTH($C146)=MONTH($J$6),SUMIFS(F$15:F146,$C$15:$C146,"&gt;"&amp;EOMONTH($C146,-12)),""),"")</f>
        <v/>
      </c>
      <c r="Q146" s="307" t="str">
        <f>IFERROR(IF(MONTH($C146)=MONTH($J$6),SUMIFS(G$15:G146,$C$15:$C146,"&gt;"&amp;EOMONTH($C146,-12))+SUMIFS(H$15:H146,$C$15:$C146,"&gt;"&amp;EOMONTH($C146,-12)),""),"")</f>
        <v/>
      </c>
    </row>
    <row r="147" spans="2:17" ht="12.75" customHeight="1" x14ac:dyDescent="0.25">
      <c r="B147">
        <f t="shared" si="20"/>
        <v>132</v>
      </c>
      <c r="C147" s="58" t="str">
        <f t="shared" si="26"/>
        <v/>
      </c>
      <c r="D147" s="44">
        <f t="shared" si="27"/>
        <v>0</v>
      </c>
      <c r="E147" s="107">
        <f t="shared" si="21"/>
        <v>0</v>
      </c>
      <c r="F147" s="44">
        <f t="shared" si="22"/>
        <v>0</v>
      </c>
      <c r="G147" s="106">
        <f t="shared" si="23"/>
        <v>0</v>
      </c>
      <c r="H147" s="106">
        <f>ROUND(IF(B147&lt;$D$8,MIN(I146,D147-G147),IF(B147=$D$8,$I$15-SUM($H$15:$H146),0)),2)</f>
        <v>0</v>
      </c>
      <c r="I147" s="44">
        <f t="shared" si="28"/>
        <v>0</v>
      </c>
      <c r="J147" s="107"/>
      <c r="L147" s="107">
        <f t="shared" si="24"/>
        <v>0</v>
      </c>
      <c r="M147" s="44"/>
      <c r="N147" s="338">
        <f t="shared" si="25"/>
        <v>0</v>
      </c>
      <c r="O147" s="317"/>
      <c r="P147" s="307" t="str">
        <f>IFERROR(IF(MONTH($C147)=MONTH($J$6),SUMIFS(F$15:F147,$C$15:$C147,"&gt;"&amp;EOMONTH($C147,-12)),""),"")</f>
        <v/>
      </c>
      <c r="Q147" s="307" t="str">
        <f>IFERROR(IF(MONTH($C147)=MONTH($J$6),SUMIFS(G$15:G147,$C$15:$C147,"&gt;"&amp;EOMONTH($C147,-12))+SUMIFS(H$15:H147,$C$15:$C147,"&gt;"&amp;EOMONTH($C147,-12)),""),"")</f>
        <v/>
      </c>
    </row>
    <row r="148" spans="2:17" ht="12.75" customHeight="1" x14ac:dyDescent="0.25">
      <c r="B148">
        <f t="shared" si="20"/>
        <v>133</v>
      </c>
      <c r="C148" s="58" t="str">
        <f t="shared" si="26"/>
        <v/>
      </c>
      <c r="D148" s="44">
        <f t="shared" si="27"/>
        <v>0</v>
      </c>
      <c r="E148" s="107">
        <f t="shared" si="21"/>
        <v>0</v>
      </c>
      <c r="F148" s="44">
        <f t="shared" si="22"/>
        <v>0</v>
      </c>
      <c r="G148" s="106">
        <f t="shared" si="23"/>
        <v>0</v>
      </c>
      <c r="H148" s="106">
        <f>ROUND(IF(B148&lt;$D$8,MIN(I147,D148-G148),IF(B148=$D$8,$I$15-SUM($H$15:$H147),0)),2)</f>
        <v>0</v>
      </c>
      <c r="I148" s="44">
        <f t="shared" si="28"/>
        <v>0</v>
      </c>
      <c r="J148" s="107"/>
      <c r="L148" s="107">
        <f t="shared" si="24"/>
        <v>0</v>
      </c>
      <c r="M148" s="44"/>
      <c r="N148" s="338">
        <f t="shared" si="25"/>
        <v>0</v>
      </c>
      <c r="O148" s="339"/>
      <c r="P148" s="307" t="str">
        <f>IFERROR(IF(MONTH($C148)=MONTH($J$6),SUMIFS(F$15:F148,$C$15:$C148,"&gt;"&amp;EOMONTH($C148,-12)),""),"")</f>
        <v/>
      </c>
      <c r="Q148" s="307" t="str">
        <f>IFERROR(IF(MONTH($C148)=MONTH($J$6),SUMIFS(G$15:G148,$C$15:$C148,"&gt;"&amp;EOMONTH($C148,-12))+SUMIFS(H$15:H148,$C$15:$C148,"&gt;"&amp;EOMONTH($C148,-12)),""),"")</f>
        <v/>
      </c>
    </row>
    <row r="149" spans="2:17" ht="12.75" customHeight="1" x14ac:dyDescent="0.25">
      <c r="B149">
        <f t="shared" si="20"/>
        <v>134</v>
      </c>
      <c r="C149" s="58" t="str">
        <f t="shared" si="26"/>
        <v/>
      </c>
      <c r="D149" s="44">
        <f t="shared" si="27"/>
        <v>0</v>
      </c>
      <c r="E149" s="107">
        <f t="shared" si="21"/>
        <v>0</v>
      </c>
      <c r="F149" s="44">
        <f t="shared" si="22"/>
        <v>0</v>
      </c>
      <c r="G149" s="106">
        <f t="shared" si="23"/>
        <v>0</v>
      </c>
      <c r="H149" s="106">
        <f>ROUND(IF(B149&lt;$D$8,MIN(I148,D149-G149),IF(B149=$D$8,$I$15-SUM($H$15:$H148),0)),2)</f>
        <v>0</v>
      </c>
      <c r="I149" s="44">
        <f t="shared" si="28"/>
        <v>0</v>
      </c>
      <c r="J149" s="107"/>
      <c r="L149" s="107">
        <f t="shared" si="24"/>
        <v>0</v>
      </c>
      <c r="M149" s="44"/>
      <c r="N149" s="338">
        <f t="shared" si="25"/>
        <v>0</v>
      </c>
      <c r="O149" s="339"/>
      <c r="P149" s="307" t="str">
        <f>IFERROR(IF(MONTH($C149)=MONTH($J$6),SUMIFS(F$15:F149,$C$15:$C149,"&gt;"&amp;EOMONTH($C149,-12)),""),"")</f>
        <v/>
      </c>
      <c r="Q149" s="307" t="str">
        <f>IFERROR(IF(MONTH($C149)=MONTH($J$6),SUMIFS(G$15:G149,$C$15:$C149,"&gt;"&amp;EOMONTH($C149,-12))+SUMIFS(H$15:H149,$C$15:$C149,"&gt;"&amp;EOMONTH($C149,-12)),""),"")</f>
        <v/>
      </c>
    </row>
    <row r="150" spans="2:17" ht="12.75" customHeight="1" x14ac:dyDescent="0.25">
      <c r="B150">
        <f t="shared" si="20"/>
        <v>135</v>
      </c>
      <c r="C150" s="58" t="str">
        <f t="shared" si="26"/>
        <v/>
      </c>
      <c r="D150" s="44">
        <f t="shared" si="27"/>
        <v>0</v>
      </c>
      <c r="E150" s="107">
        <f t="shared" si="21"/>
        <v>0</v>
      </c>
      <c r="F150" s="44">
        <f t="shared" si="22"/>
        <v>0</v>
      </c>
      <c r="G150" s="106">
        <f t="shared" si="23"/>
        <v>0</v>
      </c>
      <c r="H150" s="106">
        <f>ROUND(IF(B150&lt;$D$8,MIN(I149,D150-G150),IF(B150=$D$8,$I$15-SUM($H$15:$H149),0)),2)</f>
        <v>0</v>
      </c>
      <c r="I150" s="44">
        <f t="shared" si="28"/>
        <v>0</v>
      </c>
      <c r="J150" s="107"/>
      <c r="L150" s="107">
        <f t="shared" si="24"/>
        <v>0</v>
      </c>
      <c r="M150" s="44"/>
      <c r="N150" s="338">
        <f t="shared" si="25"/>
        <v>0</v>
      </c>
      <c r="O150" s="339"/>
      <c r="P150" s="307" t="str">
        <f>IFERROR(IF(MONTH($C150)=MONTH($J$6),SUMIFS(F$15:F150,$C$15:$C150,"&gt;"&amp;EOMONTH($C150,-12)),""),"")</f>
        <v/>
      </c>
      <c r="Q150" s="307" t="str">
        <f>IFERROR(IF(MONTH($C150)=MONTH($J$6),SUMIFS(G$15:G150,$C$15:$C150,"&gt;"&amp;EOMONTH($C150,-12))+SUMIFS(H$15:H150,$C$15:$C150,"&gt;"&amp;EOMONTH($C150,-12)),""),"")</f>
        <v/>
      </c>
    </row>
    <row r="151" spans="2:17" ht="12.75" customHeight="1" x14ac:dyDescent="0.25">
      <c r="B151">
        <f t="shared" si="20"/>
        <v>136</v>
      </c>
      <c r="C151" s="58" t="str">
        <f t="shared" si="26"/>
        <v/>
      </c>
      <c r="D151" s="44">
        <f t="shared" si="27"/>
        <v>0</v>
      </c>
      <c r="E151" s="107">
        <f t="shared" si="21"/>
        <v>0</v>
      </c>
      <c r="F151" s="44">
        <f t="shared" si="22"/>
        <v>0</v>
      </c>
      <c r="G151" s="106">
        <f t="shared" si="23"/>
        <v>0</v>
      </c>
      <c r="H151" s="106">
        <f>ROUND(IF(B151&lt;$D$8,MIN(I150,D151-G151),IF(B151=$D$8,$I$15-SUM($H$15:$H150),0)),2)</f>
        <v>0</v>
      </c>
      <c r="I151" s="44">
        <f t="shared" si="28"/>
        <v>0</v>
      </c>
      <c r="J151" s="107"/>
      <c r="L151" s="107">
        <f t="shared" si="24"/>
        <v>0</v>
      </c>
      <c r="M151" s="44"/>
      <c r="N151" s="338">
        <f t="shared" si="25"/>
        <v>0</v>
      </c>
      <c r="O151" s="339"/>
      <c r="P151" s="307" t="str">
        <f>IFERROR(IF(MONTH($C151)=MONTH($J$6),SUMIFS(F$15:F151,$C$15:$C151,"&gt;"&amp;EOMONTH($C151,-12)),""),"")</f>
        <v/>
      </c>
      <c r="Q151" s="307" t="str">
        <f>IFERROR(IF(MONTH($C151)=MONTH($J$6),SUMIFS(G$15:G151,$C$15:$C151,"&gt;"&amp;EOMONTH($C151,-12))+SUMIFS(H$15:H151,$C$15:$C151,"&gt;"&amp;EOMONTH($C151,-12)),""),"")</f>
        <v/>
      </c>
    </row>
    <row r="152" spans="2:17" ht="12.75" customHeight="1" x14ac:dyDescent="0.25">
      <c r="B152">
        <f t="shared" si="20"/>
        <v>137</v>
      </c>
      <c r="C152" s="58" t="str">
        <f t="shared" si="26"/>
        <v/>
      </c>
      <c r="D152" s="44">
        <f t="shared" si="27"/>
        <v>0</v>
      </c>
      <c r="E152" s="107">
        <f t="shared" si="21"/>
        <v>0</v>
      </c>
      <c r="F152" s="44">
        <f t="shared" si="22"/>
        <v>0</v>
      </c>
      <c r="G152" s="106">
        <f t="shared" si="23"/>
        <v>0</v>
      </c>
      <c r="H152" s="106">
        <f>ROUND(IF(B152&lt;$D$8,MIN(I151,D152-G152),IF(B152=$D$8,$I$15-SUM($H$15:$H151),0)),2)</f>
        <v>0</v>
      </c>
      <c r="I152" s="44">
        <f t="shared" si="28"/>
        <v>0</v>
      </c>
      <c r="J152" s="107"/>
      <c r="L152" s="107">
        <f t="shared" si="24"/>
        <v>0</v>
      </c>
      <c r="M152" s="44"/>
      <c r="N152" s="338">
        <f t="shared" si="25"/>
        <v>0</v>
      </c>
      <c r="O152" s="339"/>
      <c r="P152" s="307" t="str">
        <f>IFERROR(IF(MONTH($C152)=MONTH($J$6),SUMIFS(F$15:F152,$C$15:$C152,"&gt;"&amp;EOMONTH($C152,-12)),""),"")</f>
        <v/>
      </c>
      <c r="Q152" s="307" t="str">
        <f>IFERROR(IF(MONTH($C152)=MONTH($J$6),SUMIFS(G$15:G152,$C$15:$C152,"&gt;"&amp;EOMONTH($C152,-12))+SUMIFS(H$15:H152,$C$15:$C152,"&gt;"&amp;EOMONTH($C152,-12)),""),"")</f>
        <v/>
      </c>
    </row>
    <row r="153" spans="2:17" ht="12.75" customHeight="1" x14ac:dyDescent="0.25">
      <c r="B153">
        <f t="shared" si="20"/>
        <v>138</v>
      </c>
      <c r="C153" s="58" t="str">
        <f t="shared" si="26"/>
        <v/>
      </c>
      <c r="D153" s="44">
        <f t="shared" si="27"/>
        <v>0</v>
      </c>
      <c r="E153" s="107">
        <f t="shared" si="21"/>
        <v>0</v>
      </c>
      <c r="F153" s="44">
        <f t="shared" si="22"/>
        <v>0</v>
      </c>
      <c r="G153" s="106">
        <f t="shared" si="23"/>
        <v>0</v>
      </c>
      <c r="H153" s="106">
        <f>ROUND(IF(B153&lt;$D$8,MIN(I152,D153-G153),IF(B153=$D$8,$I$15-SUM($H$15:$H152),0)),2)</f>
        <v>0</v>
      </c>
      <c r="I153" s="44">
        <f t="shared" si="28"/>
        <v>0</v>
      </c>
      <c r="J153" s="107"/>
      <c r="L153" s="107">
        <f t="shared" si="24"/>
        <v>0</v>
      </c>
      <c r="M153" s="44"/>
      <c r="N153" s="338">
        <f t="shared" si="25"/>
        <v>0</v>
      </c>
      <c r="O153" s="339"/>
      <c r="P153" s="307" t="str">
        <f>IFERROR(IF(MONTH($C153)=MONTH($J$6),SUMIFS(F$15:F153,$C$15:$C153,"&gt;"&amp;EOMONTH($C153,-12)),""),"")</f>
        <v/>
      </c>
      <c r="Q153" s="307" t="str">
        <f>IFERROR(IF(MONTH($C153)=MONTH($J$6),SUMIFS(G$15:G153,$C$15:$C153,"&gt;"&amp;EOMONTH($C153,-12))+SUMIFS(H$15:H153,$C$15:$C153,"&gt;"&amp;EOMONTH($C153,-12)),""),"")</f>
        <v/>
      </c>
    </row>
    <row r="154" spans="2:17" ht="12.75" customHeight="1" x14ac:dyDescent="0.25">
      <c r="B154">
        <f t="shared" si="20"/>
        <v>139</v>
      </c>
      <c r="C154" s="58" t="str">
        <f t="shared" si="26"/>
        <v/>
      </c>
      <c r="D154" s="44">
        <f t="shared" si="27"/>
        <v>0</v>
      </c>
      <c r="E154" s="107">
        <f t="shared" si="21"/>
        <v>0</v>
      </c>
      <c r="F154" s="44">
        <f t="shared" si="22"/>
        <v>0</v>
      </c>
      <c r="G154" s="106">
        <f t="shared" si="23"/>
        <v>0</v>
      </c>
      <c r="H154" s="106">
        <f>ROUND(IF(B154&lt;$D$8,MIN(I153,D154-G154),IF(B154=$D$8,$I$15-SUM($H$15:$H153),0)),2)</f>
        <v>0</v>
      </c>
      <c r="I154" s="44">
        <f t="shared" si="28"/>
        <v>0</v>
      </c>
      <c r="J154" s="107"/>
      <c r="L154" s="107">
        <f t="shared" si="24"/>
        <v>0</v>
      </c>
      <c r="M154" s="44"/>
      <c r="N154" s="338">
        <f t="shared" si="25"/>
        <v>0</v>
      </c>
      <c r="O154" s="339"/>
      <c r="P154" s="307" t="str">
        <f>IFERROR(IF(MONTH($C154)=MONTH($J$6),SUMIFS(F$15:F154,$C$15:$C154,"&gt;"&amp;EOMONTH($C154,-12)),""),"")</f>
        <v/>
      </c>
      <c r="Q154" s="307" t="str">
        <f>IFERROR(IF(MONTH($C154)=MONTH($J$6),SUMIFS(G$15:G154,$C$15:$C154,"&gt;"&amp;EOMONTH($C154,-12))+SUMIFS(H$15:H154,$C$15:$C154,"&gt;"&amp;EOMONTH($C154,-12)),""),"")</f>
        <v/>
      </c>
    </row>
    <row r="155" spans="2:17" ht="12.75" customHeight="1" x14ac:dyDescent="0.25">
      <c r="B155">
        <f t="shared" si="20"/>
        <v>140</v>
      </c>
      <c r="C155" s="58" t="str">
        <f t="shared" si="26"/>
        <v/>
      </c>
      <c r="D155" s="44">
        <f t="shared" si="27"/>
        <v>0</v>
      </c>
      <c r="E155" s="107">
        <f t="shared" si="21"/>
        <v>0</v>
      </c>
      <c r="F155" s="44">
        <f t="shared" si="22"/>
        <v>0</v>
      </c>
      <c r="G155" s="106">
        <f t="shared" si="23"/>
        <v>0</v>
      </c>
      <c r="H155" s="106">
        <f>ROUND(IF(B155&lt;$D$8,MIN(I154,D155-G155),IF(B155=$D$8,$I$15-SUM($H$15:$H154),0)),2)</f>
        <v>0</v>
      </c>
      <c r="I155" s="44">
        <f t="shared" si="28"/>
        <v>0</v>
      </c>
      <c r="J155" s="107"/>
      <c r="L155" s="107">
        <f t="shared" si="24"/>
        <v>0</v>
      </c>
      <c r="M155" s="44"/>
      <c r="N155" s="338">
        <f t="shared" si="25"/>
        <v>0</v>
      </c>
      <c r="O155" s="339"/>
      <c r="P155" s="307" t="str">
        <f>IFERROR(IF(MONTH($C155)=MONTH($J$6),SUMIFS(F$15:F155,$C$15:$C155,"&gt;"&amp;EOMONTH($C155,-12)),""),"")</f>
        <v/>
      </c>
      <c r="Q155" s="307" t="str">
        <f>IFERROR(IF(MONTH($C155)=MONTH($J$6),SUMIFS(G$15:G155,$C$15:$C155,"&gt;"&amp;EOMONTH($C155,-12))+SUMIFS(H$15:H155,$C$15:$C155,"&gt;"&amp;EOMONTH($C155,-12)),""),"")</f>
        <v/>
      </c>
    </row>
    <row r="156" spans="2:17" ht="12.75" customHeight="1" x14ac:dyDescent="0.25">
      <c r="B156">
        <f t="shared" si="20"/>
        <v>141</v>
      </c>
      <c r="C156" s="58" t="str">
        <f t="shared" si="26"/>
        <v/>
      </c>
      <c r="D156" s="44">
        <f t="shared" si="27"/>
        <v>0</v>
      </c>
      <c r="E156" s="107">
        <f t="shared" si="21"/>
        <v>0</v>
      </c>
      <c r="F156" s="44">
        <f t="shared" si="22"/>
        <v>0</v>
      </c>
      <c r="G156" s="106">
        <f t="shared" si="23"/>
        <v>0</v>
      </c>
      <c r="H156" s="106">
        <f>ROUND(IF(B156&lt;$D$8,MIN(I155,D156-G156),IF(B156=$D$8,$I$15-SUM($H$15:$H155),0)),2)</f>
        <v>0</v>
      </c>
      <c r="I156" s="44">
        <f t="shared" si="28"/>
        <v>0</v>
      </c>
      <c r="J156" s="107"/>
      <c r="L156" s="107">
        <f t="shared" si="24"/>
        <v>0</v>
      </c>
      <c r="M156" s="44"/>
      <c r="N156" s="338">
        <f t="shared" si="25"/>
        <v>0</v>
      </c>
      <c r="O156" s="339"/>
      <c r="P156" s="307" t="str">
        <f>IFERROR(IF(MONTH($C156)=MONTH($J$6),SUMIFS(F$15:F156,$C$15:$C156,"&gt;"&amp;EOMONTH($C156,-12)),""),"")</f>
        <v/>
      </c>
      <c r="Q156" s="307" t="str">
        <f>IFERROR(IF(MONTH($C156)=MONTH($J$6),SUMIFS(G$15:G156,$C$15:$C156,"&gt;"&amp;EOMONTH($C156,-12))+SUMIFS(H$15:H156,$C$15:$C156,"&gt;"&amp;EOMONTH($C156,-12)),""),"")</f>
        <v/>
      </c>
    </row>
    <row r="157" spans="2:17" ht="12.75" customHeight="1" x14ac:dyDescent="0.25">
      <c r="B157">
        <f t="shared" si="20"/>
        <v>142</v>
      </c>
      <c r="C157" s="58" t="str">
        <f t="shared" si="26"/>
        <v/>
      </c>
      <c r="D157" s="44">
        <f t="shared" si="27"/>
        <v>0</v>
      </c>
      <c r="E157" s="107">
        <f t="shared" si="21"/>
        <v>0</v>
      </c>
      <c r="F157" s="44">
        <f t="shared" si="22"/>
        <v>0</v>
      </c>
      <c r="G157" s="106">
        <f t="shared" si="23"/>
        <v>0</v>
      </c>
      <c r="H157" s="106">
        <f>ROUND(IF(B157&lt;$D$8,MIN(I156,D157-G157),IF(B157=$D$8,$I$15-SUM($H$15:$H156),0)),2)</f>
        <v>0</v>
      </c>
      <c r="I157" s="44">
        <f t="shared" si="28"/>
        <v>0</v>
      </c>
      <c r="J157" s="107"/>
      <c r="L157" s="107">
        <f t="shared" si="24"/>
        <v>0</v>
      </c>
      <c r="M157" s="44"/>
      <c r="N157" s="338">
        <f t="shared" si="25"/>
        <v>0</v>
      </c>
      <c r="O157" s="339"/>
      <c r="P157" s="307" t="str">
        <f>IFERROR(IF(MONTH($C157)=MONTH($J$6),SUMIFS(F$15:F157,$C$15:$C157,"&gt;"&amp;EOMONTH($C157,-12)),""),"")</f>
        <v/>
      </c>
      <c r="Q157" s="307" t="str">
        <f>IFERROR(IF(MONTH($C157)=MONTH($J$6),SUMIFS(G$15:G157,$C$15:$C157,"&gt;"&amp;EOMONTH($C157,-12))+SUMIFS(H$15:H157,$C$15:$C157,"&gt;"&amp;EOMONTH($C157,-12)),""),"")</f>
        <v/>
      </c>
    </row>
    <row r="158" spans="2:17" ht="12.75" customHeight="1" x14ac:dyDescent="0.25">
      <c r="B158">
        <f t="shared" si="20"/>
        <v>143</v>
      </c>
      <c r="C158" s="58" t="str">
        <f t="shared" si="26"/>
        <v/>
      </c>
      <c r="D158" s="44">
        <f t="shared" si="27"/>
        <v>0</v>
      </c>
      <c r="E158" s="107">
        <f t="shared" si="21"/>
        <v>0</v>
      </c>
      <c r="F158" s="44">
        <f t="shared" si="22"/>
        <v>0</v>
      </c>
      <c r="G158" s="106">
        <f t="shared" si="23"/>
        <v>0</v>
      </c>
      <c r="H158" s="106">
        <f>ROUND(IF(B158&lt;$D$8,MIN(I157,D158-G158),IF(B158=$D$8,$I$15-SUM($H$15:$H157),0)),2)</f>
        <v>0</v>
      </c>
      <c r="I158" s="44">
        <f t="shared" si="28"/>
        <v>0</v>
      </c>
      <c r="J158" s="107"/>
      <c r="L158" s="107">
        <f t="shared" si="24"/>
        <v>0</v>
      </c>
      <c r="M158" s="44"/>
      <c r="N158" s="338">
        <f t="shared" si="25"/>
        <v>0</v>
      </c>
      <c r="O158" s="339"/>
      <c r="P158" s="307" t="str">
        <f>IFERROR(IF(MONTH($C158)=MONTH($J$6),SUMIFS(F$15:F158,$C$15:$C158,"&gt;"&amp;EOMONTH($C158,-12)),""),"")</f>
        <v/>
      </c>
      <c r="Q158" s="307" t="str">
        <f>IFERROR(IF(MONTH($C158)=MONTH($J$6),SUMIFS(G$15:G158,$C$15:$C158,"&gt;"&amp;EOMONTH($C158,-12))+SUMIFS(H$15:H158,$C$15:$C158,"&gt;"&amp;EOMONTH($C158,-12)),""),"")</f>
        <v/>
      </c>
    </row>
    <row r="159" spans="2:17" ht="12.75" customHeight="1" x14ac:dyDescent="0.25">
      <c r="B159">
        <f t="shared" si="20"/>
        <v>144</v>
      </c>
      <c r="C159" s="58" t="str">
        <f t="shared" si="26"/>
        <v/>
      </c>
      <c r="D159" s="44">
        <f t="shared" si="27"/>
        <v>0</v>
      </c>
      <c r="E159" s="107">
        <f t="shared" si="21"/>
        <v>0</v>
      </c>
      <c r="F159" s="44">
        <f t="shared" si="22"/>
        <v>0</v>
      </c>
      <c r="G159" s="106">
        <f t="shared" si="23"/>
        <v>0</v>
      </c>
      <c r="H159" s="106">
        <f>ROUND(IF(B159&lt;$D$8,MIN(I158,D159-G159),IF(B159=$D$8,$I$15-SUM($H$15:$H158),0)),2)</f>
        <v>0</v>
      </c>
      <c r="I159" s="44">
        <f t="shared" si="28"/>
        <v>0</v>
      </c>
      <c r="J159" s="107"/>
      <c r="L159" s="107">
        <f t="shared" si="24"/>
        <v>0</v>
      </c>
      <c r="M159" s="44"/>
      <c r="N159" s="338">
        <f t="shared" si="25"/>
        <v>0</v>
      </c>
      <c r="O159" s="317"/>
      <c r="P159" s="307" t="str">
        <f>IFERROR(IF(MONTH($C159)=MONTH($J$6),SUMIFS(F$15:F159,$C$15:$C159,"&gt;"&amp;EOMONTH($C159,-12)),""),"")</f>
        <v/>
      </c>
      <c r="Q159" s="307" t="str">
        <f>IFERROR(IF(MONTH($C159)=MONTH($J$6),SUMIFS(G$15:G159,$C$15:$C159,"&gt;"&amp;EOMONTH($C159,-12))+SUMIFS(H$15:H159,$C$15:$C159,"&gt;"&amp;EOMONTH($C159,-12)),""),"")</f>
        <v/>
      </c>
    </row>
    <row r="160" spans="2:17" ht="12.75" customHeight="1" x14ac:dyDescent="0.25">
      <c r="B160">
        <f t="shared" si="20"/>
        <v>145</v>
      </c>
      <c r="C160" s="58" t="str">
        <f t="shared" si="26"/>
        <v/>
      </c>
      <c r="D160" s="44">
        <f t="shared" si="27"/>
        <v>0</v>
      </c>
      <c r="E160" s="107">
        <f t="shared" si="21"/>
        <v>0</v>
      </c>
      <c r="F160" s="44">
        <f t="shared" si="22"/>
        <v>0</v>
      </c>
      <c r="G160" s="106">
        <f t="shared" si="23"/>
        <v>0</v>
      </c>
      <c r="H160" s="106">
        <f>ROUND(IF(B160&lt;$D$8,MIN(I159,D160-G160),IF(B160=$D$8,$I$15-SUM($H$15:$H159),0)),2)</f>
        <v>0</v>
      </c>
      <c r="I160" s="44">
        <f t="shared" si="28"/>
        <v>0</v>
      </c>
      <c r="J160" s="107"/>
      <c r="L160" s="107">
        <f t="shared" si="24"/>
        <v>0</v>
      </c>
      <c r="M160" s="44"/>
      <c r="N160" s="338">
        <f t="shared" si="25"/>
        <v>0</v>
      </c>
      <c r="O160" s="339"/>
      <c r="P160" s="307" t="str">
        <f>IFERROR(IF(MONTH($C160)=MONTH($J$6),SUMIFS(F$15:F160,$C$15:$C160,"&gt;"&amp;EOMONTH($C160,-12)),""),"")</f>
        <v/>
      </c>
      <c r="Q160" s="307" t="str">
        <f>IFERROR(IF(MONTH($C160)=MONTH($J$6),SUMIFS(G$15:G160,$C$15:$C160,"&gt;"&amp;EOMONTH($C160,-12))+SUMIFS(H$15:H160,$C$15:$C160,"&gt;"&amp;EOMONTH($C160,-12)),""),"")</f>
        <v/>
      </c>
    </row>
    <row r="161" spans="2:17" ht="12.75" customHeight="1" x14ac:dyDescent="0.25">
      <c r="B161">
        <f t="shared" si="20"/>
        <v>146</v>
      </c>
      <c r="C161" s="58" t="str">
        <f t="shared" si="26"/>
        <v/>
      </c>
      <c r="D161" s="44">
        <f t="shared" si="27"/>
        <v>0</v>
      </c>
      <c r="E161" s="107">
        <f t="shared" si="21"/>
        <v>0</v>
      </c>
      <c r="F161" s="44">
        <f t="shared" si="22"/>
        <v>0</v>
      </c>
      <c r="G161" s="106">
        <f t="shared" si="23"/>
        <v>0</v>
      </c>
      <c r="H161" s="106">
        <f>ROUND(IF(B161&lt;$D$8,MIN(I160,D161-G161),IF(B161=$D$8,$I$15-SUM($H$15:$H160),0)),2)</f>
        <v>0</v>
      </c>
      <c r="I161" s="44">
        <f t="shared" si="28"/>
        <v>0</v>
      </c>
      <c r="J161" s="107"/>
      <c r="L161" s="107">
        <f t="shared" si="24"/>
        <v>0</v>
      </c>
      <c r="M161" s="44"/>
      <c r="N161" s="338">
        <f t="shared" si="25"/>
        <v>0</v>
      </c>
      <c r="O161" s="339"/>
      <c r="P161" s="307" t="str">
        <f>IFERROR(IF(MONTH($C161)=MONTH($J$6),SUMIFS(F$15:F161,$C$15:$C161,"&gt;"&amp;EOMONTH($C161,-12)),""),"")</f>
        <v/>
      </c>
      <c r="Q161" s="307" t="str">
        <f>IFERROR(IF(MONTH($C161)=MONTH($J$6),SUMIFS(G$15:G161,$C$15:$C161,"&gt;"&amp;EOMONTH($C161,-12))+SUMIFS(H$15:H161,$C$15:$C161,"&gt;"&amp;EOMONTH($C161,-12)),""),"")</f>
        <v/>
      </c>
    </row>
    <row r="162" spans="2:17" ht="12.75" customHeight="1" x14ac:dyDescent="0.25">
      <c r="B162">
        <f t="shared" si="20"/>
        <v>147</v>
      </c>
      <c r="C162" s="58" t="str">
        <f t="shared" si="26"/>
        <v/>
      </c>
      <c r="D162" s="44">
        <f t="shared" si="27"/>
        <v>0</v>
      </c>
      <c r="E162" s="107">
        <f t="shared" si="21"/>
        <v>0</v>
      </c>
      <c r="F162" s="44">
        <f t="shared" si="22"/>
        <v>0</v>
      </c>
      <c r="G162" s="106">
        <f t="shared" si="23"/>
        <v>0</v>
      </c>
      <c r="H162" s="106">
        <f>ROUND(IF(B162&lt;$D$8,MIN(I161,D162-G162),IF(B162=$D$8,$I$15-SUM($H$15:$H161),0)),2)</f>
        <v>0</v>
      </c>
      <c r="I162" s="44">
        <f t="shared" si="28"/>
        <v>0</v>
      </c>
      <c r="J162" s="107"/>
      <c r="L162" s="107">
        <f t="shared" si="24"/>
        <v>0</v>
      </c>
      <c r="M162" s="44"/>
      <c r="N162" s="338">
        <f t="shared" si="25"/>
        <v>0</v>
      </c>
      <c r="O162" s="339"/>
      <c r="P162" s="307" t="str">
        <f>IFERROR(IF(MONTH($C162)=MONTH($J$6),SUMIFS(F$15:F162,$C$15:$C162,"&gt;"&amp;EOMONTH($C162,-12)),""),"")</f>
        <v/>
      </c>
      <c r="Q162" s="307" t="str">
        <f>IFERROR(IF(MONTH($C162)=MONTH($J$6),SUMIFS(G$15:G162,$C$15:$C162,"&gt;"&amp;EOMONTH($C162,-12))+SUMIFS(H$15:H162,$C$15:$C162,"&gt;"&amp;EOMONTH($C162,-12)),""),"")</f>
        <v/>
      </c>
    </row>
    <row r="163" spans="2:17" ht="12.75" customHeight="1" x14ac:dyDescent="0.25">
      <c r="B163">
        <f t="shared" si="20"/>
        <v>148</v>
      </c>
      <c r="C163" s="58" t="str">
        <f t="shared" si="26"/>
        <v/>
      </c>
      <c r="D163" s="44">
        <f t="shared" si="27"/>
        <v>0</v>
      </c>
      <c r="E163" s="107">
        <f t="shared" si="21"/>
        <v>0</v>
      </c>
      <c r="F163" s="44">
        <f t="shared" si="22"/>
        <v>0</v>
      </c>
      <c r="G163" s="106">
        <f t="shared" si="23"/>
        <v>0</v>
      </c>
      <c r="H163" s="106">
        <f>ROUND(IF(B163&lt;$D$8,MIN(I162,D163-G163),IF(B163=$D$8,$I$15-SUM($H$15:$H162),0)),2)</f>
        <v>0</v>
      </c>
      <c r="I163" s="44">
        <f t="shared" si="28"/>
        <v>0</v>
      </c>
      <c r="J163" s="107"/>
      <c r="L163" s="107">
        <f t="shared" si="24"/>
        <v>0</v>
      </c>
      <c r="M163" s="44"/>
      <c r="N163" s="338">
        <f t="shared" si="25"/>
        <v>0</v>
      </c>
      <c r="O163" s="339"/>
      <c r="P163" s="307" t="str">
        <f>IFERROR(IF(MONTH($C163)=MONTH($J$6),SUMIFS(F$15:F163,$C$15:$C163,"&gt;"&amp;EOMONTH($C163,-12)),""),"")</f>
        <v/>
      </c>
      <c r="Q163" s="307" t="str">
        <f>IFERROR(IF(MONTH($C163)=MONTH($J$6),SUMIFS(G$15:G163,$C$15:$C163,"&gt;"&amp;EOMONTH($C163,-12))+SUMIFS(H$15:H163,$C$15:$C163,"&gt;"&amp;EOMONTH($C163,-12)),""),"")</f>
        <v/>
      </c>
    </row>
    <row r="164" spans="2:17" ht="12.75" customHeight="1" x14ac:dyDescent="0.25">
      <c r="B164">
        <f t="shared" si="20"/>
        <v>149</v>
      </c>
      <c r="C164" s="58" t="str">
        <f t="shared" si="26"/>
        <v/>
      </c>
      <c r="D164" s="44">
        <f t="shared" si="27"/>
        <v>0</v>
      </c>
      <c r="E164" s="107">
        <f t="shared" si="21"/>
        <v>0</v>
      </c>
      <c r="F164" s="44">
        <f t="shared" si="22"/>
        <v>0</v>
      </c>
      <c r="G164" s="106">
        <f t="shared" si="23"/>
        <v>0</v>
      </c>
      <c r="H164" s="106">
        <f>ROUND(IF(B164&lt;$D$8,MIN(I163,D164-G164),IF(B164=$D$8,$I$15-SUM($H$15:$H163),0)),2)</f>
        <v>0</v>
      </c>
      <c r="I164" s="44">
        <f t="shared" si="28"/>
        <v>0</v>
      </c>
      <c r="J164" s="107"/>
      <c r="L164" s="107">
        <f t="shared" si="24"/>
        <v>0</v>
      </c>
      <c r="M164" s="44"/>
      <c r="N164" s="338">
        <f t="shared" si="25"/>
        <v>0</v>
      </c>
      <c r="O164" s="339"/>
      <c r="P164" s="307" t="str">
        <f>IFERROR(IF(MONTH($C164)=MONTH($J$6),SUMIFS(F$15:F164,$C$15:$C164,"&gt;"&amp;EOMONTH($C164,-12)),""),"")</f>
        <v/>
      </c>
      <c r="Q164" s="307" t="str">
        <f>IFERROR(IF(MONTH($C164)=MONTH($J$6),SUMIFS(G$15:G164,$C$15:$C164,"&gt;"&amp;EOMONTH($C164,-12))+SUMIFS(H$15:H164,$C$15:$C164,"&gt;"&amp;EOMONTH($C164,-12)),""),"")</f>
        <v/>
      </c>
    </row>
    <row r="165" spans="2:17" ht="12.75" customHeight="1" x14ac:dyDescent="0.25">
      <c r="B165">
        <f t="shared" si="20"/>
        <v>150</v>
      </c>
      <c r="C165" s="58" t="str">
        <f t="shared" si="26"/>
        <v/>
      </c>
      <c r="D165" s="44">
        <f t="shared" si="27"/>
        <v>0</v>
      </c>
      <c r="E165" s="107">
        <f t="shared" si="21"/>
        <v>0</v>
      </c>
      <c r="F165" s="44">
        <f t="shared" si="22"/>
        <v>0</v>
      </c>
      <c r="G165" s="106">
        <f t="shared" si="23"/>
        <v>0</v>
      </c>
      <c r="H165" s="106">
        <f>ROUND(IF(B165&lt;$D$8,MIN(I164,D165-G165),IF(B165=$D$8,$I$15-SUM($H$15:$H164),0)),2)</f>
        <v>0</v>
      </c>
      <c r="I165" s="44">
        <f t="shared" si="28"/>
        <v>0</v>
      </c>
      <c r="J165" s="107"/>
      <c r="L165" s="107">
        <f t="shared" si="24"/>
        <v>0</v>
      </c>
      <c r="M165" s="44"/>
      <c r="N165" s="338">
        <f t="shared" si="25"/>
        <v>0</v>
      </c>
      <c r="O165" s="339"/>
      <c r="P165" s="307" t="str">
        <f>IFERROR(IF(MONTH($C165)=MONTH($J$6),SUMIFS(F$15:F165,$C$15:$C165,"&gt;"&amp;EOMONTH($C165,-12)),""),"")</f>
        <v/>
      </c>
      <c r="Q165" s="307" t="str">
        <f>IFERROR(IF(MONTH($C165)=MONTH($J$6),SUMIFS(G$15:G165,$C$15:$C165,"&gt;"&amp;EOMONTH($C165,-12))+SUMIFS(H$15:H165,$C$15:$C165,"&gt;"&amp;EOMONTH($C165,-12)),""),"")</f>
        <v/>
      </c>
    </row>
    <row r="166" spans="2:17" ht="12.75" customHeight="1" x14ac:dyDescent="0.25">
      <c r="B166">
        <f t="shared" si="20"/>
        <v>151</v>
      </c>
      <c r="C166" s="58" t="str">
        <f t="shared" si="26"/>
        <v/>
      </c>
      <c r="D166" s="44">
        <f t="shared" si="27"/>
        <v>0</v>
      </c>
      <c r="E166" s="107">
        <f t="shared" si="21"/>
        <v>0</v>
      </c>
      <c r="F166" s="44">
        <f t="shared" si="22"/>
        <v>0</v>
      </c>
      <c r="G166" s="106">
        <f t="shared" si="23"/>
        <v>0</v>
      </c>
      <c r="H166" s="106">
        <f>ROUND(IF(B166&lt;$D$8,MIN(I165,D166-G166),IF(B166=$D$8,$I$15-SUM($H$15:$H165),0)),2)</f>
        <v>0</v>
      </c>
      <c r="I166" s="44">
        <f t="shared" si="28"/>
        <v>0</v>
      </c>
      <c r="J166" s="107"/>
      <c r="L166" s="107">
        <f t="shared" si="24"/>
        <v>0</v>
      </c>
      <c r="M166" s="44"/>
      <c r="N166" s="338">
        <f t="shared" si="25"/>
        <v>0</v>
      </c>
      <c r="O166" s="339"/>
      <c r="P166" s="307" t="str">
        <f>IFERROR(IF(MONTH($C166)=MONTH($J$6),SUMIFS(F$15:F166,$C$15:$C166,"&gt;"&amp;EOMONTH($C166,-12)),""),"")</f>
        <v/>
      </c>
      <c r="Q166" s="307" t="str">
        <f>IFERROR(IF(MONTH($C166)=MONTH($J$6),SUMIFS(G$15:G166,$C$15:$C166,"&gt;"&amp;EOMONTH($C166,-12))+SUMIFS(H$15:H166,$C$15:$C166,"&gt;"&amp;EOMONTH($C166,-12)),""),"")</f>
        <v/>
      </c>
    </row>
    <row r="167" spans="2:17" ht="12.75" customHeight="1" x14ac:dyDescent="0.25">
      <c r="B167">
        <f t="shared" si="20"/>
        <v>152</v>
      </c>
      <c r="C167" s="58" t="str">
        <f t="shared" si="26"/>
        <v/>
      </c>
      <c r="D167" s="44">
        <f t="shared" si="27"/>
        <v>0</v>
      </c>
      <c r="E167" s="107">
        <f t="shared" si="21"/>
        <v>0</v>
      </c>
      <c r="F167" s="44">
        <f t="shared" si="22"/>
        <v>0</v>
      </c>
      <c r="G167" s="106">
        <f t="shared" si="23"/>
        <v>0</v>
      </c>
      <c r="H167" s="106">
        <f>ROUND(IF(B167&lt;$D$8,MIN(I166,D167-G167),IF(B167=$D$8,$I$15-SUM($H$15:$H166),0)),2)</f>
        <v>0</v>
      </c>
      <c r="I167" s="44">
        <f t="shared" si="28"/>
        <v>0</v>
      </c>
      <c r="J167" s="107"/>
      <c r="L167" s="107">
        <f t="shared" si="24"/>
        <v>0</v>
      </c>
      <c r="M167" s="44"/>
      <c r="N167" s="338">
        <f t="shared" si="25"/>
        <v>0</v>
      </c>
      <c r="O167" s="339"/>
      <c r="P167" s="307" t="str">
        <f>IFERROR(IF(MONTH($C167)=MONTH($J$6),SUMIFS(F$15:F167,$C$15:$C167,"&gt;"&amp;EOMONTH($C167,-12)),""),"")</f>
        <v/>
      </c>
      <c r="Q167" s="307" t="str">
        <f>IFERROR(IF(MONTH($C167)=MONTH($J$6),SUMIFS(G$15:G167,$C$15:$C167,"&gt;"&amp;EOMONTH($C167,-12))+SUMIFS(H$15:H167,$C$15:$C167,"&gt;"&amp;EOMONTH($C167,-12)),""),"")</f>
        <v/>
      </c>
    </row>
    <row r="168" spans="2:17" ht="12.75" customHeight="1" x14ac:dyDescent="0.25">
      <c r="B168">
        <f t="shared" si="20"/>
        <v>153</v>
      </c>
      <c r="C168" s="58" t="str">
        <f t="shared" si="26"/>
        <v/>
      </c>
      <c r="D168" s="44">
        <f t="shared" si="27"/>
        <v>0</v>
      </c>
      <c r="E168" s="107">
        <f t="shared" si="21"/>
        <v>0</v>
      </c>
      <c r="F168" s="44">
        <f t="shared" si="22"/>
        <v>0</v>
      </c>
      <c r="G168" s="106">
        <f t="shared" si="23"/>
        <v>0</v>
      </c>
      <c r="H168" s="106">
        <f>ROUND(IF(B168&lt;$D$8,MIN(I167,D168-G168),IF(B168=$D$8,$I$15-SUM($H$15:$H167),0)),2)</f>
        <v>0</v>
      </c>
      <c r="I168" s="44">
        <f t="shared" si="28"/>
        <v>0</v>
      </c>
      <c r="J168" s="107"/>
      <c r="L168" s="107">
        <f t="shared" si="24"/>
        <v>0</v>
      </c>
      <c r="M168" s="44"/>
      <c r="N168" s="338">
        <f t="shared" si="25"/>
        <v>0</v>
      </c>
      <c r="O168" s="339"/>
      <c r="P168" s="307" t="str">
        <f>IFERROR(IF(MONTH($C168)=MONTH($J$6),SUMIFS(F$15:F168,$C$15:$C168,"&gt;"&amp;EOMONTH($C168,-12)),""),"")</f>
        <v/>
      </c>
      <c r="Q168" s="307" t="str">
        <f>IFERROR(IF(MONTH($C168)=MONTH($J$6),SUMIFS(G$15:G168,$C$15:$C168,"&gt;"&amp;EOMONTH($C168,-12))+SUMIFS(H$15:H168,$C$15:$C168,"&gt;"&amp;EOMONTH($C168,-12)),""),"")</f>
        <v/>
      </c>
    </row>
    <row r="169" spans="2:17" ht="12.75" customHeight="1" x14ac:dyDescent="0.25">
      <c r="B169">
        <f t="shared" si="20"/>
        <v>154</v>
      </c>
      <c r="C169" s="58" t="str">
        <f t="shared" si="26"/>
        <v/>
      </c>
      <c r="D169" s="44">
        <f t="shared" si="27"/>
        <v>0</v>
      </c>
      <c r="E169" s="107">
        <f t="shared" si="21"/>
        <v>0</v>
      </c>
      <c r="F169" s="44">
        <f t="shared" si="22"/>
        <v>0</v>
      </c>
      <c r="G169" s="106">
        <f t="shared" si="23"/>
        <v>0</v>
      </c>
      <c r="H169" s="106">
        <f>ROUND(IF(B169&lt;$D$8,MIN(I168,D169-G169),IF(B169=$D$8,$I$15-SUM($H$15:$H168),0)),2)</f>
        <v>0</v>
      </c>
      <c r="I169" s="44">
        <f t="shared" si="28"/>
        <v>0</v>
      </c>
      <c r="J169" s="107"/>
      <c r="L169" s="107">
        <f t="shared" si="24"/>
        <v>0</v>
      </c>
      <c r="M169" s="44"/>
      <c r="N169" s="338">
        <f t="shared" si="25"/>
        <v>0</v>
      </c>
      <c r="O169" s="339"/>
      <c r="P169" s="307" t="str">
        <f>IFERROR(IF(MONTH($C169)=MONTH($J$6),SUMIFS(F$15:F169,$C$15:$C169,"&gt;"&amp;EOMONTH($C169,-12)),""),"")</f>
        <v/>
      </c>
      <c r="Q169" s="307" t="str">
        <f>IFERROR(IF(MONTH($C169)=MONTH($J$6),SUMIFS(G$15:G169,$C$15:$C169,"&gt;"&amp;EOMONTH($C169,-12))+SUMIFS(H$15:H169,$C$15:$C169,"&gt;"&amp;EOMONTH($C169,-12)),""),"")</f>
        <v/>
      </c>
    </row>
    <row r="170" spans="2:17" ht="12.75" customHeight="1" x14ac:dyDescent="0.25">
      <c r="B170">
        <f t="shared" si="20"/>
        <v>155</v>
      </c>
      <c r="C170" s="58" t="str">
        <f t="shared" si="26"/>
        <v/>
      </c>
      <c r="D170" s="44">
        <f t="shared" si="27"/>
        <v>0</v>
      </c>
      <c r="E170" s="107">
        <f t="shared" si="21"/>
        <v>0</v>
      </c>
      <c r="F170" s="44">
        <f t="shared" si="22"/>
        <v>0</v>
      </c>
      <c r="G170" s="106">
        <f t="shared" si="23"/>
        <v>0</v>
      </c>
      <c r="H170" s="106">
        <f>ROUND(IF(B170&lt;$D$8,MIN(I169,D170-G170),IF(B170=$D$8,$I$15-SUM($H$15:$H169),0)),2)</f>
        <v>0</v>
      </c>
      <c r="I170" s="44">
        <f t="shared" si="28"/>
        <v>0</v>
      </c>
      <c r="J170" s="107"/>
      <c r="L170" s="107">
        <f t="shared" si="24"/>
        <v>0</v>
      </c>
      <c r="M170" s="44"/>
      <c r="N170" s="338">
        <f t="shared" si="25"/>
        <v>0</v>
      </c>
      <c r="O170" s="339"/>
      <c r="P170" s="307" t="str">
        <f>IFERROR(IF(MONTH($C170)=MONTH($J$6),SUMIFS(F$15:F170,$C$15:$C170,"&gt;"&amp;EOMONTH($C170,-12)),""),"")</f>
        <v/>
      </c>
      <c r="Q170" s="307" t="str">
        <f>IFERROR(IF(MONTH($C170)=MONTH($J$6),SUMIFS(G$15:G170,$C$15:$C170,"&gt;"&amp;EOMONTH($C170,-12))+SUMIFS(H$15:H170,$C$15:$C170,"&gt;"&amp;EOMONTH($C170,-12)),""),"")</f>
        <v/>
      </c>
    </row>
    <row r="171" spans="2:17" ht="12.75" customHeight="1" x14ac:dyDescent="0.25">
      <c r="B171">
        <f t="shared" si="20"/>
        <v>156</v>
      </c>
      <c r="C171" s="58" t="str">
        <f t="shared" si="26"/>
        <v/>
      </c>
      <c r="D171" s="44">
        <f t="shared" si="27"/>
        <v>0</v>
      </c>
      <c r="E171" s="107">
        <f t="shared" si="21"/>
        <v>0</v>
      </c>
      <c r="F171" s="44">
        <f t="shared" si="22"/>
        <v>0</v>
      </c>
      <c r="G171" s="106">
        <f t="shared" si="23"/>
        <v>0</v>
      </c>
      <c r="H171" s="106">
        <f>ROUND(IF(B171&lt;$D$8,MIN(I170,D171-G171),IF(B171=$D$8,$I$15-SUM($H$15:$H170),0)),2)</f>
        <v>0</v>
      </c>
      <c r="I171" s="44">
        <f t="shared" si="28"/>
        <v>0</v>
      </c>
      <c r="J171" s="107"/>
      <c r="L171" s="107">
        <f t="shared" si="24"/>
        <v>0</v>
      </c>
      <c r="M171" s="44"/>
      <c r="N171" s="338">
        <f t="shared" si="25"/>
        <v>0</v>
      </c>
      <c r="O171" s="317"/>
      <c r="P171" s="307" t="str">
        <f>IFERROR(IF(MONTH($C171)=MONTH($J$6),SUMIFS(F$15:F171,$C$15:$C171,"&gt;"&amp;EOMONTH($C171,-12)),""),"")</f>
        <v/>
      </c>
      <c r="Q171" s="307" t="str">
        <f>IFERROR(IF(MONTH($C171)=MONTH($J$6),SUMIFS(G$15:G171,$C$15:$C171,"&gt;"&amp;EOMONTH($C171,-12))+SUMIFS(H$15:H171,$C$15:$C171,"&gt;"&amp;EOMONTH($C171,-12)),""),"")</f>
        <v/>
      </c>
    </row>
    <row r="172" spans="2:17" ht="12.75" customHeight="1" x14ac:dyDescent="0.25">
      <c r="B172">
        <f t="shared" si="20"/>
        <v>157</v>
      </c>
      <c r="C172" s="58" t="str">
        <f t="shared" si="26"/>
        <v/>
      </c>
      <c r="D172" s="44">
        <f t="shared" si="27"/>
        <v>0</v>
      </c>
      <c r="E172" s="107">
        <f t="shared" si="21"/>
        <v>0</v>
      </c>
      <c r="F172" s="44">
        <f t="shared" si="22"/>
        <v>0</v>
      </c>
      <c r="G172" s="106">
        <f t="shared" si="23"/>
        <v>0</v>
      </c>
      <c r="H172" s="106">
        <f>ROUND(IF(B172&lt;$D$8,MIN(I171,D172-G172),IF(B172=$D$8,$I$15-SUM($H$15:$H171),0)),2)</f>
        <v>0</v>
      </c>
      <c r="I172" s="44">
        <f t="shared" si="28"/>
        <v>0</v>
      </c>
      <c r="J172" s="107"/>
      <c r="L172" s="107">
        <f t="shared" si="24"/>
        <v>0</v>
      </c>
      <c r="M172" s="44"/>
      <c r="N172" s="338">
        <f t="shared" si="25"/>
        <v>0</v>
      </c>
      <c r="O172" s="339"/>
      <c r="P172" s="307" t="str">
        <f>IFERROR(IF(MONTH($C172)=MONTH($J$6),SUMIFS(F$15:F172,$C$15:$C172,"&gt;"&amp;EOMONTH($C172,-12)),""),"")</f>
        <v/>
      </c>
      <c r="Q172" s="307" t="str">
        <f>IFERROR(IF(MONTH($C172)=MONTH($J$6),SUMIFS(G$15:G172,$C$15:$C172,"&gt;"&amp;EOMONTH($C172,-12))+SUMIFS(H$15:H172,$C$15:$C172,"&gt;"&amp;EOMONTH($C172,-12)),""),"")</f>
        <v/>
      </c>
    </row>
    <row r="173" spans="2:17" ht="12.75" customHeight="1" x14ac:dyDescent="0.25">
      <c r="B173">
        <f t="shared" si="20"/>
        <v>158</v>
      </c>
      <c r="C173" s="58" t="str">
        <f t="shared" si="26"/>
        <v/>
      </c>
      <c r="D173" s="44">
        <f t="shared" si="27"/>
        <v>0</v>
      </c>
      <c r="E173" s="107">
        <f t="shared" si="21"/>
        <v>0</v>
      </c>
      <c r="F173" s="44">
        <f t="shared" si="22"/>
        <v>0</v>
      </c>
      <c r="G173" s="106">
        <f t="shared" si="23"/>
        <v>0</v>
      </c>
      <c r="H173" s="106">
        <f>ROUND(IF(B173&lt;$D$8,MIN(I172,D173-G173),IF(B173=$D$8,$I$15-SUM($H$15:$H172),0)),2)</f>
        <v>0</v>
      </c>
      <c r="I173" s="44">
        <f t="shared" si="28"/>
        <v>0</v>
      </c>
      <c r="J173" s="107"/>
      <c r="L173" s="107">
        <f t="shared" si="24"/>
        <v>0</v>
      </c>
      <c r="M173" s="44"/>
      <c r="N173" s="338">
        <f t="shared" si="25"/>
        <v>0</v>
      </c>
      <c r="O173" s="339"/>
      <c r="P173" s="307" t="str">
        <f>IFERROR(IF(MONTH($C173)=MONTH($J$6),SUMIFS(F$15:F173,$C$15:$C173,"&gt;"&amp;EOMONTH($C173,-12)),""),"")</f>
        <v/>
      </c>
      <c r="Q173" s="307" t="str">
        <f>IFERROR(IF(MONTH($C173)=MONTH($J$6),SUMIFS(G$15:G173,$C$15:$C173,"&gt;"&amp;EOMONTH($C173,-12))+SUMIFS(H$15:H173,$C$15:$C173,"&gt;"&amp;EOMONTH($C173,-12)),""),"")</f>
        <v/>
      </c>
    </row>
    <row r="174" spans="2:17" ht="12.75" customHeight="1" x14ac:dyDescent="0.25">
      <c r="B174">
        <f t="shared" si="20"/>
        <v>159</v>
      </c>
      <c r="C174" s="58" t="str">
        <f t="shared" si="26"/>
        <v/>
      </c>
      <c r="D174" s="44">
        <f t="shared" si="27"/>
        <v>0</v>
      </c>
      <c r="E174" s="107">
        <f t="shared" si="21"/>
        <v>0</v>
      </c>
      <c r="F174" s="44">
        <f t="shared" si="22"/>
        <v>0</v>
      </c>
      <c r="G174" s="106">
        <f t="shared" si="23"/>
        <v>0</v>
      </c>
      <c r="H174" s="106">
        <f>ROUND(IF(B174&lt;$D$8,MIN(I173,D174-G174),IF(B174=$D$8,$I$15-SUM($H$15:$H173),0)),2)</f>
        <v>0</v>
      </c>
      <c r="I174" s="44">
        <f t="shared" si="28"/>
        <v>0</v>
      </c>
      <c r="J174" s="107"/>
      <c r="L174" s="107">
        <f t="shared" si="24"/>
        <v>0</v>
      </c>
      <c r="M174" s="44"/>
      <c r="N174" s="338">
        <f t="shared" si="25"/>
        <v>0</v>
      </c>
      <c r="O174" s="339"/>
      <c r="P174" s="307" t="str">
        <f>IFERROR(IF(MONTH($C174)=MONTH($J$6),SUMIFS(F$15:F174,$C$15:$C174,"&gt;"&amp;EOMONTH($C174,-12)),""),"")</f>
        <v/>
      </c>
      <c r="Q174" s="307" t="str">
        <f>IFERROR(IF(MONTH($C174)=MONTH($J$6),SUMIFS(G$15:G174,$C$15:$C174,"&gt;"&amp;EOMONTH($C174,-12))+SUMIFS(H$15:H174,$C$15:$C174,"&gt;"&amp;EOMONTH($C174,-12)),""),"")</f>
        <v/>
      </c>
    </row>
    <row r="175" spans="2:17" ht="12.75" customHeight="1" x14ac:dyDescent="0.25">
      <c r="B175">
        <f t="shared" si="20"/>
        <v>160</v>
      </c>
      <c r="C175" s="58" t="str">
        <f t="shared" si="26"/>
        <v/>
      </c>
      <c r="D175" s="44">
        <f t="shared" si="27"/>
        <v>0</v>
      </c>
      <c r="E175" s="107">
        <f t="shared" si="21"/>
        <v>0</v>
      </c>
      <c r="F175" s="44">
        <f t="shared" si="22"/>
        <v>0</v>
      </c>
      <c r="G175" s="106">
        <f t="shared" si="23"/>
        <v>0</v>
      </c>
      <c r="H175" s="106">
        <f>ROUND(IF(B175&lt;$D$8,MIN(I174,D175-G175),IF(B175=$D$8,$I$15-SUM($H$15:$H174),0)),2)</f>
        <v>0</v>
      </c>
      <c r="I175" s="44">
        <f t="shared" si="28"/>
        <v>0</v>
      </c>
      <c r="J175" s="107"/>
      <c r="L175" s="107">
        <f t="shared" si="24"/>
        <v>0</v>
      </c>
      <c r="M175" s="44"/>
      <c r="N175" s="338">
        <f t="shared" si="25"/>
        <v>0</v>
      </c>
      <c r="O175" s="339"/>
      <c r="P175" s="307" t="str">
        <f>IFERROR(IF(MONTH($C175)=MONTH($J$6),SUMIFS(F$15:F175,$C$15:$C175,"&gt;"&amp;EOMONTH($C175,-12)),""),"")</f>
        <v/>
      </c>
      <c r="Q175" s="307" t="str">
        <f>IFERROR(IF(MONTH($C175)=MONTH($J$6),SUMIFS(G$15:G175,$C$15:$C175,"&gt;"&amp;EOMONTH($C175,-12))+SUMIFS(H$15:H175,$C$15:$C175,"&gt;"&amp;EOMONTH($C175,-12)),""),"")</f>
        <v/>
      </c>
    </row>
    <row r="176" spans="2:17" ht="12.75" customHeight="1" x14ac:dyDescent="0.25">
      <c r="B176">
        <f t="shared" si="20"/>
        <v>161</v>
      </c>
      <c r="C176" s="58" t="str">
        <f t="shared" si="26"/>
        <v/>
      </c>
      <c r="D176" s="44">
        <f t="shared" si="27"/>
        <v>0</v>
      </c>
      <c r="E176" s="107">
        <f t="shared" si="21"/>
        <v>0</v>
      </c>
      <c r="F176" s="44">
        <f t="shared" si="22"/>
        <v>0</v>
      </c>
      <c r="G176" s="106">
        <f t="shared" ref="G176:G194" si="29">ROUND(IFERROR((IF(B176&lt;=$D$8,(E176+IF(Loan_Type&lt;&gt;"Tax Loan",I175,0))*$D$6*30/360,0)),0),2)</f>
        <v>0</v>
      </c>
      <c r="H176" s="106">
        <f>ROUND(IF(B176&lt;$D$8,MIN(I175,D176-G176),IF(B176=$D$8,$I$15-SUM($H$15:$H175),0)),2)</f>
        <v>0</v>
      </c>
      <c r="I176" s="44">
        <f t="shared" si="28"/>
        <v>0</v>
      </c>
      <c r="J176" s="107"/>
      <c r="L176" s="107">
        <f t="shared" si="24"/>
        <v>0</v>
      </c>
      <c r="M176" s="44"/>
      <c r="N176" s="338">
        <f t="shared" si="25"/>
        <v>0</v>
      </c>
      <c r="O176" s="339"/>
      <c r="P176" s="307" t="str">
        <f>IFERROR(IF(MONTH($C176)=MONTH($J$6),SUMIFS(F$15:F176,$C$15:$C176,"&gt;"&amp;EOMONTH($C176,-12)),""),"")</f>
        <v/>
      </c>
      <c r="Q176" s="307" t="str">
        <f>IFERROR(IF(MONTH($C176)=MONTH($J$6),SUMIFS(G$15:G176,$C$15:$C176,"&gt;"&amp;EOMONTH($C176,-12))+SUMIFS(H$15:H176,$C$15:$C176,"&gt;"&amp;EOMONTH($C176,-12)),""),"")</f>
        <v/>
      </c>
    </row>
    <row r="177" spans="2:17" ht="12.75" customHeight="1" x14ac:dyDescent="0.25">
      <c r="B177">
        <f t="shared" si="20"/>
        <v>162</v>
      </c>
      <c r="C177" s="58" t="str">
        <f t="shared" si="26"/>
        <v/>
      </c>
      <c r="D177" s="44">
        <f t="shared" si="27"/>
        <v>0</v>
      </c>
      <c r="E177" s="107">
        <f t="shared" si="21"/>
        <v>0</v>
      </c>
      <c r="F177" s="44">
        <f t="shared" si="22"/>
        <v>0</v>
      </c>
      <c r="G177" s="106">
        <f t="shared" si="29"/>
        <v>0</v>
      </c>
      <c r="H177" s="106">
        <f>ROUND(IF(B177&lt;$D$8,MIN(I176,D177-G177),IF(B177=$D$8,$I$15-SUM($H$15:$H176),0)),2)</f>
        <v>0</v>
      </c>
      <c r="I177" s="44">
        <f t="shared" si="28"/>
        <v>0</v>
      </c>
      <c r="J177" s="107"/>
      <c r="L177" s="107">
        <f t="shared" si="24"/>
        <v>0</v>
      </c>
      <c r="M177" s="44"/>
      <c r="N177" s="338">
        <f t="shared" si="25"/>
        <v>0</v>
      </c>
      <c r="O177" s="339"/>
      <c r="P177" s="307" t="str">
        <f>IFERROR(IF(MONTH($C177)=MONTH($J$6),SUMIFS(F$15:F177,$C$15:$C177,"&gt;"&amp;EOMONTH($C177,-12)),""),"")</f>
        <v/>
      </c>
      <c r="Q177" s="307" t="str">
        <f>IFERROR(IF(MONTH($C177)=MONTH($J$6),SUMIFS(G$15:G177,$C$15:$C177,"&gt;"&amp;EOMONTH($C177,-12))+SUMIFS(H$15:H177,$C$15:$C177,"&gt;"&amp;EOMONTH($C177,-12)),""),"")</f>
        <v/>
      </c>
    </row>
    <row r="178" spans="2:17" ht="12.75" customHeight="1" x14ac:dyDescent="0.25">
      <c r="B178">
        <f t="shared" si="20"/>
        <v>163</v>
      </c>
      <c r="C178" s="58" t="str">
        <f t="shared" si="26"/>
        <v/>
      </c>
      <c r="D178" s="44">
        <f t="shared" si="27"/>
        <v>0</v>
      </c>
      <c r="E178" s="107">
        <f t="shared" si="21"/>
        <v>0</v>
      </c>
      <c r="F178" s="44">
        <f t="shared" si="22"/>
        <v>0</v>
      </c>
      <c r="G178" s="106">
        <f t="shared" si="29"/>
        <v>0</v>
      </c>
      <c r="H178" s="106">
        <f>ROUND(IF(B178&lt;$D$8,MIN(I177,D178-G178),IF(B178=$D$8,$I$15-SUM($H$15:$H177),0)),2)</f>
        <v>0</v>
      </c>
      <c r="I178" s="44">
        <f t="shared" si="28"/>
        <v>0</v>
      </c>
      <c r="J178" s="107"/>
      <c r="L178" s="107">
        <f t="shared" si="24"/>
        <v>0</v>
      </c>
      <c r="M178" s="44"/>
      <c r="N178" s="338">
        <f t="shared" si="25"/>
        <v>0</v>
      </c>
      <c r="O178" s="339"/>
      <c r="P178" s="307" t="str">
        <f>IFERROR(IF(MONTH($C178)=MONTH($J$6),SUMIFS(F$15:F178,$C$15:$C178,"&gt;"&amp;EOMONTH($C178,-12)),""),"")</f>
        <v/>
      </c>
      <c r="Q178" s="307" t="str">
        <f>IFERROR(IF(MONTH($C178)=MONTH($J$6),SUMIFS(G$15:G178,$C$15:$C178,"&gt;"&amp;EOMONTH($C178,-12))+SUMIFS(H$15:H178,$C$15:$C178,"&gt;"&amp;EOMONTH($C178,-12)),""),"")</f>
        <v/>
      </c>
    </row>
    <row r="179" spans="2:17" ht="12.75" customHeight="1" x14ac:dyDescent="0.25">
      <c r="B179">
        <f t="shared" si="20"/>
        <v>164</v>
      </c>
      <c r="C179" s="58" t="str">
        <f t="shared" si="26"/>
        <v/>
      </c>
      <c r="D179" s="44">
        <f t="shared" si="27"/>
        <v>0</v>
      </c>
      <c r="E179" s="107">
        <f t="shared" si="21"/>
        <v>0</v>
      </c>
      <c r="F179" s="44">
        <f t="shared" si="22"/>
        <v>0</v>
      </c>
      <c r="G179" s="106">
        <f t="shared" si="29"/>
        <v>0</v>
      </c>
      <c r="H179" s="106">
        <f>ROUND(IF(B179&lt;$D$8,MIN(I178,D179-G179),IF(B179=$D$8,$I$15-SUM($H$15:$H178),0)),2)</f>
        <v>0</v>
      </c>
      <c r="I179" s="44">
        <f t="shared" si="28"/>
        <v>0</v>
      </c>
      <c r="J179" s="107"/>
      <c r="L179" s="107">
        <f t="shared" si="24"/>
        <v>0</v>
      </c>
      <c r="M179" s="44"/>
      <c r="N179" s="338">
        <f t="shared" si="25"/>
        <v>0</v>
      </c>
      <c r="O179" s="339"/>
      <c r="P179" s="307" t="str">
        <f>IFERROR(IF(MONTH($C179)=MONTH($J$6),SUMIFS(F$15:F179,$C$15:$C179,"&gt;"&amp;EOMONTH($C179,-12)),""),"")</f>
        <v/>
      </c>
      <c r="Q179" s="307" t="str">
        <f>IFERROR(IF(MONTH($C179)=MONTH($J$6),SUMIFS(G$15:G179,$C$15:$C179,"&gt;"&amp;EOMONTH($C179,-12))+SUMIFS(H$15:H179,$C$15:$C179,"&gt;"&amp;EOMONTH($C179,-12)),""),"")</f>
        <v/>
      </c>
    </row>
    <row r="180" spans="2:17" ht="12.75" customHeight="1" x14ac:dyDescent="0.25">
      <c r="B180">
        <f t="shared" si="20"/>
        <v>165</v>
      </c>
      <c r="C180" s="58" t="str">
        <f t="shared" si="26"/>
        <v/>
      </c>
      <c r="D180" s="44">
        <f t="shared" si="27"/>
        <v>0</v>
      </c>
      <c r="E180" s="107">
        <f t="shared" si="21"/>
        <v>0</v>
      </c>
      <c r="F180" s="44">
        <f t="shared" si="22"/>
        <v>0</v>
      </c>
      <c r="G180" s="106">
        <f t="shared" si="29"/>
        <v>0</v>
      </c>
      <c r="H180" s="106">
        <f>ROUND(IF(B180&lt;$D$8,MIN(I179,D180-G180),IF(B180=$D$8,$I$15-SUM($H$15:$H179),0)),2)</f>
        <v>0</v>
      </c>
      <c r="I180" s="44">
        <f t="shared" si="28"/>
        <v>0</v>
      </c>
      <c r="J180" s="107"/>
      <c r="L180" s="107">
        <f t="shared" si="24"/>
        <v>0</v>
      </c>
      <c r="M180" s="44"/>
      <c r="N180" s="338">
        <f t="shared" si="25"/>
        <v>0</v>
      </c>
      <c r="O180" s="339"/>
      <c r="P180" s="307" t="str">
        <f>IFERROR(IF(MONTH($C180)=MONTH($J$6),SUMIFS(F$15:F180,$C$15:$C180,"&gt;"&amp;EOMONTH($C180,-12)),""),"")</f>
        <v/>
      </c>
      <c r="Q180" s="307" t="str">
        <f>IFERROR(IF(MONTH($C180)=MONTH($J$6),SUMIFS(G$15:G180,$C$15:$C180,"&gt;"&amp;EOMONTH($C180,-12))+SUMIFS(H$15:H180,$C$15:$C180,"&gt;"&amp;EOMONTH($C180,-12)),""),"")</f>
        <v/>
      </c>
    </row>
    <row r="181" spans="2:17" ht="12.75" customHeight="1" x14ac:dyDescent="0.25">
      <c r="B181">
        <f t="shared" si="20"/>
        <v>166</v>
      </c>
      <c r="C181" s="58" t="str">
        <f t="shared" si="26"/>
        <v/>
      </c>
      <c r="D181" s="44">
        <f t="shared" si="27"/>
        <v>0</v>
      </c>
      <c r="E181" s="107">
        <f t="shared" si="21"/>
        <v>0</v>
      </c>
      <c r="F181" s="44">
        <f t="shared" si="22"/>
        <v>0</v>
      </c>
      <c r="G181" s="106">
        <f t="shared" si="29"/>
        <v>0</v>
      </c>
      <c r="H181" s="106">
        <f>ROUND(IF(B181&lt;$D$8,MIN(I180,D181-G181),IF(B181=$D$8,$I$15-SUM($H$15:$H180),0)),2)</f>
        <v>0</v>
      </c>
      <c r="I181" s="44">
        <f t="shared" si="28"/>
        <v>0</v>
      </c>
      <c r="J181" s="107"/>
      <c r="L181" s="107">
        <f t="shared" si="24"/>
        <v>0</v>
      </c>
      <c r="M181" s="44"/>
      <c r="N181" s="338">
        <f t="shared" si="25"/>
        <v>0</v>
      </c>
      <c r="O181" s="339"/>
      <c r="P181" s="307" t="str">
        <f>IFERROR(IF(MONTH($C181)=MONTH($J$6),SUMIFS(F$15:F181,$C$15:$C181,"&gt;"&amp;EOMONTH($C181,-12)),""),"")</f>
        <v/>
      </c>
      <c r="Q181" s="307" t="str">
        <f>IFERROR(IF(MONTH($C181)=MONTH($J$6),SUMIFS(G$15:G181,$C$15:$C181,"&gt;"&amp;EOMONTH($C181,-12))+SUMIFS(H$15:H181,$C$15:$C181,"&gt;"&amp;EOMONTH($C181,-12)),""),"")</f>
        <v/>
      </c>
    </row>
    <row r="182" spans="2:17" ht="12.75" customHeight="1" x14ac:dyDescent="0.25">
      <c r="B182">
        <f t="shared" si="20"/>
        <v>167</v>
      </c>
      <c r="C182" s="58" t="str">
        <f t="shared" si="26"/>
        <v/>
      </c>
      <c r="D182" s="44">
        <f t="shared" si="27"/>
        <v>0</v>
      </c>
      <c r="E182" s="107">
        <f t="shared" si="21"/>
        <v>0</v>
      </c>
      <c r="F182" s="44">
        <f t="shared" si="22"/>
        <v>0</v>
      </c>
      <c r="G182" s="106">
        <f t="shared" si="29"/>
        <v>0</v>
      </c>
      <c r="H182" s="106">
        <f>ROUND(IF(B182&lt;$D$8,MIN(I181,D182-G182),IF(B182=$D$8,$I$15-SUM($H$15:$H181),0)),2)</f>
        <v>0</v>
      </c>
      <c r="I182" s="44">
        <f t="shared" si="28"/>
        <v>0</v>
      </c>
      <c r="J182" s="107"/>
      <c r="L182" s="107">
        <f t="shared" si="24"/>
        <v>0</v>
      </c>
      <c r="M182" s="44"/>
      <c r="N182" s="338">
        <f t="shared" si="25"/>
        <v>0</v>
      </c>
      <c r="O182" s="339"/>
      <c r="P182" s="307" t="str">
        <f>IFERROR(IF(MONTH($C182)=MONTH($J$6),SUMIFS(F$15:F182,$C$15:$C182,"&gt;"&amp;EOMONTH($C182,-12)),""),"")</f>
        <v/>
      </c>
      <c r="Q182" s="307" t="str">
        <f>IFERROR(IF(MONTH($C182)=MONTH($J$6),SUMIFS(G$15:G182,$C$15:$C182,"&gt;"&amp;EOMONTH($C182,-12))+SUMIFS(H$15:H182,$C$15:$C182,"&gt;"&amp;EOMONTH($C182,-12)),""),"")</f>
        <v/>
      </c>
    </row>
    <row r="183" spans="2:17" ht="12.75" customHeight="1" x14ac:dyDescent="0.25">
      <c r="B183">
        <f t="shared" si="20"/>
        <v>168</v>
      </c>
      <c r="C183" s="58" t="str">
        <f t="shared" si="26"/>
        <v/>
      </c>
      <c r="D183" s="44">
        <f t="shared" si="27"/>
        <v>0</v>
      </c>
      <c r="E183" s="107">
        <f t="shared" si="21"/>
        <v>0</v>
      </c>
      <c r="F183" s="44">
        <f t="shared" si="22"/>
        <v>0</v>
      </c>
      <c r="G183" s="106">
        <f t="shared" si="29"/>
        <v>0</v>
      </c>
      <c r="H183" s="106">
        <f>ROUND(IF(B183&lt;$D$8,MIN(I182,D183-G183),IF(B183=$D$8,$I$15-SUM($H$15:$H182),0)),2)</f>
        <v>0</v>
      </c>
      <c r="I183" s="44">
        <f t="shared" si="28"/>
        <v>0</v>
      </c>
      <c r="J183" s="107"/>
      <c r="L183" s="107">
        <f t="shared" si="24"/>
        <v>0</v>
      </c>
      <c r="M183" s="44"/>
      <c r="N183" s="338">
        <f t="shared" si="25"/>
        <v>0</v>
      </c>
      <c r="O183" s="317"/>
      <c r="P183" s="307" t="str">
        <f>IFERROR(IF(MONTH($C183)=MONTH($J$6),SUMIFS(F$15:F183,$C$15:$C183,"&gt;"&amp;EOMONTH($C183,-12)),""),"")</f>
        <v/>
      </c>
      <c r="Q183" s="307" t="str">
        <f>IFERROR(IF(MONTH($C183)=MONTH($J$6),SUMIFS(G$15:G183,$C$15:$C183,"&gt;"&amp;EOMONTH($C183,-12))+SUMIFS(H$15:H183,$C$15:$C183,"&gt;"&amp;EOMONTH($C183,-12)),""),"")</f>
        <v/>
      </c>
    </row>
    <row r="184" spans="2:17" ht="12.75" customHeight="1" x14ac:dyDescent="0.25">
      <c r="B184">
        <f t="shared" si="20"/>
        <v>169</v>
      </c>
      <c r="C184" s="58" t="str">
        <f t="shared" si="26"/>
        <v/>
      </c>
      <c r="D184" s="44">
        <f t="shared" si="27"/>
        <v>0</v>
      </c>
      <c r="E184" s="107">
        <f t="shared" si="21"/>
        <v>0</v>
      </c>
      <c r="F184" s="44">
        <f t="shared" si="22"/>
        <v>0</v>
      </c>
      <c r="G184" s="106">
        <f t="shared" si="29"/>
        <v>0</v>
      </c>
      <c r="H184" s="106">
        <f>ROUND(IF(B184&lt;$D$8,MIN(I183,D184-G184),IF(B184=$D$8,$I$15-SUM($H$15:$H183),0)),2)</f>
        <v>0</v>
      </c>
      <c r="I184" s="44">
        <f t="shared" si="28"/>
        <v>0</v>
      </c>
      <c r="J184" s="107"/>
      <c r="L184" s="107">
        <f t="shared" si="24"/>
        <v>0</v>
      </c>
      <c r="M184" s="44"/>
      <c r="N184" s="338">
        <f t="shared" si="25"/>
        <v>0</v>
      </c>
      <c r="O184" s="339"/>
      <c r="P184" s="307" t="str">
        <f>IFERROR(IF(MONTH($C184)=MONTH($J$6),SUMIFS(F$15:F184,$C$15:$C184,"&gt;"&amp;EOMONTH($C184,-12)),""),"")</f>
        <v/>
      </c>
      <c r="Q184" s="307" t="str">
        <f>IFERROR(IF(MONTH($C184)=MONTH($J$6),SUMIFS(G$15:G184,$C$15:$C184,"&gt;"&amp;EOMONTH($C184,-12))+SUMIFS(H$15:H184,$C$15:$C184,"&gt;"&amp;EOMONTH($C184,-12)),""),"")</f>
        <v/>
      </c>
    </row>
    <row r="185" spans="2:17" ht="12.75" customHeight="1" x14ac:dyDescent="0.25">
      <c r="B185">
        <f t="shared" si="20"/>
        <v>170</v>
      </c>
      <c r="C185" s="58" t="str">
        <f t="shared" si="26"/>
        <v/>
      </c>
      <c r="D185" s="44">
        <f t="shared" si="27"/>
        <v>0</v>
      </c>
      <c r="E185" s="107">
        <f t="shared" si="21"/>
        <v>0</v>
      </c>
      <c r="F185" s="44">
        <f t="shared" si="22"/>
        <v>0</v>
      </c>
      <c r="G185" s="106">
        <f t="shared" si="29"/>
        <v>0</v>
      </c>
      <c r="H185" s="106">
        <f>ROUND(IF(B185&lt;$D$8,MIN(I184,D185-G185),IF(B185=$D$8,$I$15-SUM($H$15:$H184),0)),2)</f>
        <v>0</v>
      </c>
      <c r="I185" s="44">
        <f t="shared" si="28"/>
        <v>0</v>
      </c>
      <c r="J185" s="107"/>
      <c r="L185" s="107">
        <f t="shared" si="24"/>
        <v>0</v>
      </c>
      <c r="M185" s="44"/>
      <c r="N185" s="338">
        <f t="shared" si="25"/>
        <v>0</v>
      </c>
      <c r="O185" s="339"/>
      <c r="P185" s="307" t="str">
        <f>IFERROR(IF(MONTH($C185)=MONTH($J$6),SUMIFS(F$15:F185,$C$15:$C185,"&gt;"&amp;EOMONTH($C185,-12)),""),"")</f>
        <v/>
      </c>
      <c r="Q185" s="307" t="str">
        <f>IFERROR(IF(MONTH($C185)=MONTH($J$6),SUMIFS(G$15:G185,$C$15:$C185,"&gt;"&amp;EOMONTH($C185,-12))+SUMIFS(H$15:H185,$C$15:$C185,"&gt;"&amp;EOMONTH($C185,-12)),""),"")</f>
        <v/>
      </c>
    </row>
    <row r="186" spans="2:17" ht="12.75" customHeight="1" x14ac:dyDescent="0.25">
      <c r="B186">
        <f t="shared" si="20"/>
        <v>171</v>
      </c>
      <c r="C186" s="58" t="str">
        <f t="shared" si="26"/>
        <v/>
      </c>
      <c r="D186" s="44">
        <f t="shared" si="27"/>
        <v>0</v>
      </c>
      <c r="E186" s="107">
        <f t="shared" si="21"/>
        <v>0</v>
      </c>
      <c r="F186" s="44">
        <f t="shared" si="22"/>
        <v>0</v>
      </c>
      <c r="G186" s="106">
        <f t="shared" si="29"/>
        <v>0</v>
      </c>
      <c r="H186" s="106">
        <f>ROUND(IF(B186&lt;$D$8,MIN(I185,D186-G186),IF(B186=$D$8,$I$15-SUM($H$15:$H185),0)),2)</f>
        <v>0</v>
      </c>
      <c r="I186" s="44">
        <f t="shared" si="28"/>
        <v>0</v>
      </c>
      <c r="J186" s="107"/>
      <c r="L186" s="107">
        <f t="shared" si="24"/>
        <v>0</v>
      </c>
      <c r="M186" s="44"/>
      <c r="N186" s="338">
        <f t="shared" si="25"/>
        <v>0</v>
      </c>
      <c r="O186" s="339"/>
      <c r="P186" s="307" t="str">
        <f>IFERROR(IF(MONTH($C186)=MONTH($J$6),SUMIFS(F$15:F186,$C$15:$C186,"&gt;"&amp;EOMONTH($C186,-12)),""),"")</f>
        <v/>
      </c>
      <c r="Q186" s="307" t="str">
        <f>IFERROR(IF(MONTH($C186)=MONTH($J$6),SUMIFS(G$15:G186,$C$15:$C186,"&gt;"&amp;EOMONTH($C186,-12))+SUMIFS(H$15:H186,$C$15:$C186,"&gt;"&amp;EOMONTH($C186,-12)),""),"")</f>
        <v/>
      </c>
    </row>
    <row r="187" spans="2:17" ht="12.75" customHeight="1" x14ac:dyDescent="0.25">
      <c r="B187">
        <f t="shared" si="20"/>
        <v>172</v>
      </c>
      <c r="C187" s="58" t="str">
        <f t="shared" si="26"/>
        <v/>
      </c>
      <c r="D187" s="44">
        <f t="shared" si="27"/>
        <v>0</v>
      </c>
      <c r="E187" s="107">
        <f t="shared" si="21"/>
        <v>0</v>
      </c>
      <c r="F187" s="44">
        <f t="shared" si="22"/>
        <v>0</v>
      </c>
      <c r="G187" s="106">
        <f t="shared" si="29"/>
        <v>0</v>
      </c>
      <c r="H187" s="106">
        <f>ROUND(IF(B187&lt;$D$8,MIN(I186,D187-G187),IF(B187=$D$8,$I$15-SUM($H$15:$H186),0)),2)</f>
        <v>0</v>
      </c>
      <c r="I187" s="44">
        <f t="shared" si="28"/>
        <v>0</v>
      </c>
      <c r="J187" s="107"/>
      <c r="L187" s="107">
        <f t="shared" si="24"/>
        <v>0</v>
      </c>
      <c r="M187" s="44"/>
      <c r="N187" s="338">
        <f t="shared" si="25"/>
        <v>0</v>
      </c>
      <c r="O187" s="339"/>
      <c r="P187" s="307" t="str">
        <f>IFERROR(IF(MONTH($C187)=MONTH($J$6),SUMIFS(F$15:F187,$C$15:$C187,"&gt;"&amp;EOMONTH($C187,-12)),""),"")</f>
        <v/>
      </c>
      <c r="Q187" s="307" t="str">
        <f>IFERROR(IF(MONTH($C187)=MONTH($J$6),SUMIFS(G$15:G187,$C$15:$C187,"&gt;"&amp;EOMONTH($C187,-12))+SUMIFS(H$15:H187,$C$15:$C187,"&gt;"&amp;EOMONTH($C187,-12)),""),"")</f>
        <v/>
      </c>
    </row>
    <row r="188" spans="2:17" ht="12.75" customHeight="1" x14ac:dyDescent="0.25">
      <c r="B188">
        <f t="shared" si="20"/>
        <v>173</v>
      </c>
      <c r="C188" s="58" t="str">
        <f t="shared" si="26"/>
        <v/>
      </c>
      <c r="D188" s="44">
        <f t="shared" si="27"/>
        <v>0</v>
      </c>
      <c r="E188" s="107">
        <f t="shared" si="21"/>
        <v>0</v>
      </c>
      <c r="F188" s="44">
        <f t="shared" si="22"/>
        <v>0</v>
      </c>
      <c r="G188" s="106">
        <f t="shared" si="29"/>
        <v>0</v>
      </c>
      <c r="H188" s="106">
        <f>ROUND(IF(B188&lt;$D$8,MIN(I187,D188-G188),IF(B188=$D$8,$I$15-SUM($H$15:$H187),0)),2)</f>
        <v>0</v>
      </c>
      <c r="I188" s="44">
        <f t="shared" si="28"/>
        <v>0</v>
      </c>
      <c r="J188" s="107"/>
      <c r="L188" s="107">
        <f t="shared" si="24"/>
        <v>0</v>
      </c>
      <c r="M188" s="44"/>
      <c r="N188" s="338">
        <f t="shared" si="25"/>
        <v>0</v>
      </c>
      <c r="O188" s="339"/>
      <c r="P188" s="307" t="str">
        <f>IFERROR(IF(MONTH($C188)=MONTH($J$6),SUMIFS(F$15:F188,$C$15:$C188,"&gt;"&amp;EOMONTH($C188,-12)),""),"")</f>
        <v/>
      </c>
      <c r="Q188" s="307" t="str">
        <f>IFERROR(IF(MONTH($C188)=MONTH($J$6),SUMIFS(G$15:G188,$C$15:$C188,"&gt;"&amp;EOMONTH($C188,-12))+SUMIFS(H$15:H188,$C$15:$C188,"&gt;"&amp;EOMONTH($C188,-12)),""),"")</f>
        <v/>
      </c>
    </row>
    <row r="189" spans="2:17" ht="12.75" customHeight="1" x14ac:dyDescent="0.25">
      <c r="B189">
        <f t="shared" si="20"/>
        <v>174</v>
      </c>
      <c r="C189" s="58" t="str">
        <f t="shared" si="26"/>
        <v/>
      </c>
      <c r="D189" s="44">
        <f t="shared" si="27"/>
        <v>0</v>
      </c>
      <c r="E189" s="107">
        <f t="shared" si="21"/>
        <v>0</v>
      </c>
      <c r="F189" s="44">
        <f t="shared" si="22"/>
        <v>0</v>
      </c>
      <c r="G189" s="106">
        <f t="shared" si="29"/>
        <v>0</v>
      </c>
      <c r="H189" s="106">
        <f>ROUND(IF(B189&lt;$D$8,MIN(I188,D189-G189),IF(B189=$D$8,$I$15-SUM($H$15:$H188),0)),2)</f>
        <v>0</v>
      </c>
      <c r="I189" s="44">
        <f t="shared" si="28"/>
        <v>0</v>
      </c>
      <c r="J189" s="107"/>
      <c r="L189" s="107">
        <f t="shared" si="24"/>
        <v>0</v>
      </c>
      <c r="M189" s="44"/>
      <c r="N189" s="338">
        <f t="shared" si="25"/>
        <v>0</v>
      </c>
      <c r="O189" s="339"/>
      <c r="P189" s="307" t="str">
        <f>IFERROR(IF(MONTH($C189)=MONTH($J$6),SUMIFS(F$15:F189,$C$15:$C189,"&gt;"&amp;EOMONTH($C189,-12)),""),"")</f>
        <v/>
      </c>
      <c r="Q189" s="307" t="str">
        <f>IFERROR(IF(MONTH($C189)=MONTH($J$6),SUMIFS(G$15:G189,$C$15:$C189,"&gt;"&amp;EOMONTH($C189,-12))+SUMIFS(H$15:H189,$C$15:$C189,"&gt;"&amp;EOMONTH($C189,-12)),""),"")</f>
        <v/>
      </c>
    </row>
    <row r="190" spans="2:17" ht="12.75" customHeight="1" x14ac:dyDescent="0.25">
      <c r="B190">
        <f t="shared" si="20"/>
        <v>175</v>
      </c>
      <c r="C190" s="58" t="str">
        <f t="shared" si="26"/>
        <v/>
      </c>
      <c r="D190" s="44">
        <f t="shared" si="27"/>
        <v>0</v>
      </c>
      <c r="E190" s="107">
        <f t="shared" si="21"/>
        <v>0</v>
      </c>
      <c r="F190" s="44">
        <f t="shared" si="22"/>
        <v>0</v>
      </c>
      <c r="G190" s="106">
        <f t="shared" si="29"/>
        <v>0</v>
      </c>
      <c r="H190" s="106">
        <f>ROUND(IF(B190&lt;$D$8,MIN(I189,D190-G190),IF(B190=$D$8,$I$15-SUM($H$15:$H189),0)),2)</f>
        <v>0</v>
      </c>
      <c r="I190" s="44">
        <f t="shared" si="28"/>
        <v>0</v>
      </c>
      <c r="J190" s="107"/>
      <c r="L190" s="107">
        <f t="shared" si="24"/>
        <v>0</v>
      </c>
      <c r="M190" s="44"/>
      <c r="N190" s="338">
        <f t="shared" si="25"/>
        <v>0</v>
      </c>
      <c r="O190" s="339"/>
      <c r="P190" s="307" t="str">
        <f>IFERROR(IF(MONTH($C190)=MONTH($J$6),SUMIFS(F$15:F190,$C$15:$C190,"&gt;"&amp;EOMONTH($C190,-12)),""),"")</f>
        <v/>
      </c>
      <c r="Q190" s="307" t="str">
        <f>IFERROR(IF(MONTH($C190)=MONTH($J$6),SUMIFS(G$15:G190,$C$15:$C190,"&gt;"&amp;EOMONTH($C190,-12))+SUMIFS(H$15:H190,$C$15:$C190,"&gt;"&amp;EOMONTH($C190,-12)),""),"")</f>
        <v/>
      </c>
    </row>
    <row r="191" spans="2:17" ht="12.75" customHeight="1" x14ac:dyDescent="0.25">
      <c r="B191">
        <f t="shared" si="20"/>
        <v>176</v>
      </c>
      <c r="C191" s="58" t="str">
        <f t="shared" si="26"/>
        <v/>
      </c>
      <c r="D191" s="44">
        <f t="shared" si="27"/>
        <v>0</v>
      </c>
      <c r="E191" s="107">
        <f t="shared" si="21"/>
        <v>0</v>
      </c>
      <c r="F191" s="44">
        <f t="shared" si="22"/>
        <v>0</v>
      </c>
      <c r="G191" s="106">
        <f t="shared" si="29"/>
        <v>0</v>
      </c>
      <c r="H191" s="106">
        <f>ROUND(IF(B191&lt;$D$8,MIN(I190,D191-G191),IF(B191=$D$8,$I$15-SUM($H$15:$H190),0)),2)</f>
        <v>0</v>
      </c>
      <c r="I191" s="44">
        <f t="shared" si="28"/>
        <v>0</v>
      </c>
      <c r="J191" s="107"/>
      <c r="L191" s="107">
        <f t="shared" si="24"/>
        <v>0</v>
      </c>
      <c r="M191" s="44"/>
      <c r="N191" s="338">
        <f t="shared" si="25"/>
        <v>0</v>
      </c>
      <c r="O191" s="339"/>
      <c r="P191" s="307" t="str">
        <f>IFERROR(IF(MONTH($C191)=MONTH($J$6),SUMIFS(F$15:F191,$C$15:$C191,"&gt;"&amp;EOMONTH($C191,-12)),""),"")</f>
        <v/>
      </c>
      <c r="Q191" s="307" t="str">
        <f>IFERROR(IF(MONTH($C191)=MONTH($J$6),SUMIFS(G$15:G191,$C$15:$C191,"&gt;"&amp;EOMONTH($C191,-12))+SUMIFS(H$15:H191,$C$15:$C191,"&gt;"&amp;EOMONTH($C191,-12)),""),"")</f>
        <v/>
      </c>
    </row>
    <row r="192" spans="2:17" ht="12.75" customHeight="1" x14ac:dyDescent="0.25">
      <c r="B192">
        <f t="shared" si="20"/>
        <v>177</v>
      </c>
      <c r="C192" s="58" t="str">
        <f t="shared" si="26"/>
        <v/>
      </c>
      <c r="D192" s="44">
        <f t="shared" si="27"/>
        <v>0</v>
      </c>
      <c r="E192" s="107">
        <f t="shared" si="21"/>
        <v>0</v>
      </c>
      <c r="F192" s="44">
        <f t="shared" si="22"/>
        <v>0</v>
      </c>
      <c r="G192" s="106">
        <f t="shared" si="29"/>
        <v>0</v>
      </c>
      <c r="H192" s="106">
        <f>ROUND(IF(B192&lt;$D$8,MIN(I191,D192-G192),IF(B192=$D$8,$I$15-SUM($H$15:$H191),0)),2)</f>
        <v>0</v>
      </c>
      <c r="I192" s="44">
        <f t="shared" si="28"/>
        <v>0</v>
      </c>
      <c r="J192" s="107"/>
      <c r="L192" s="107">
        <f t="shared" si="24"/>
        <v>0</v>
      </c>
      <c r="M192" s="44"/>
      <c r="N192" s="338">
        <f t="shared" si="25"/>
        <v>0</v>
      </c>
      <c r="O192" s="339"/>
      <c r="P192" s="307" t="str">
        <f>IFERROR(IF(MONTH($C192)=MONTH($J$6),SUMIFS(F$15:F192,$C$15:$C192,"&gt;"&amp;EOMONTH($C192,-12)),""),"")</f>
        <v/>
      </c>
      <c r="Q192" s="307" t="str">
        <f>IFERROR(IF(MONTH($C192)=MONTH($J$6),SUMIFS(G$15:G192,$C$15:$C192,"&gt;"&amp;EOMONTH($C192,-12))+SUMIFS(H$15:H192,$C$15:$C192,"&gt;"&amp;EOMONTH($C192,-12)),""),"")</f>
        <v/>
      </c>
    </row>
    <row r="193" spans="2:17" ht="12.75" customHeight="1" x14ac:dyDescent="0.25">
      <c r="B193">
        <f t="shared" si="20"/>
        <v>178</v>
      </c>
      <c r="C193" s="58" t="str">
        <f t="shared" si="26"/>
        <v/>
      </c>
      <c r="D193" s="44">
        <f t="shared" si="27"/>
        <v>0</v>
      </c>
      <c r="E193" s="107">
        <f t="shared" si="21"/>
        <v>0</v>
      </c>
      <c r="F193" s="44">
        <f t="shared" si="22"/>
        <v>0</v>
      </c>
      <c r="G193" s="106">
        <f t="shared" si="29"/>
        <v>0</v>
      </c>
      <c r="H193" s="106">
        <f>ROUND(IF(B193&lt;$D$8,MIN(I192,D193-G193),IF(B193=$D$8,$I$15-SUM($H$15:$H192),0)),2)</f>
        <v>0</v>
      </c>
      <c r="I193" s="44">
        <f t="shared" si="28"/>
        <v>0</v>
      </c>
      <c r="J193" s="107"/>
      <c r="L193" s="107">
        <f t="shared" si="24"/>
        <v>0</v>
      </c>
      <c r="M193" s="44"/>
      <c r="N193" s="338">
        <f t="shared" si="25"/>
        <v>0</v>
      </c>
      <c r="O193" s="339"/>
      <c r="P193" s="307" t="str">
        <f>IFERROR(IF(MONTH($C193)=MONTH($J$6),SUMIFS(F$15:F193,$C$15:$C193,"&gt;"&amp;EOMONTH($C193,-12)),""),"")</f>
        <v/>
      </c>
      <c r="Q193" s="307" t="str">
        <f>IFERROR(IF(MONTH($C193)=MONTH($J$6),SUMIFS(G$15:G193,$C$15:$C193,"&gt;"&amp;EOMONTH($C193,-12))+SUMIFS(H$15:H193,$C$15:$C193,"&gt;"&amp;EOMONTH($C193,-12)),""),"")</f>
        <v/>
      </c>
    </row>
    <row r="194" spans="2:17" ht="12.75" customHeight="1" x14ac:dyDescent="0.25">
      <c r="B194">
        <f t="shared" si="20"/>
        <v>179</v>
      </c>
      <c r="C194" s="58" t="str">
        <f t="shared" si="26"/>
        <v/>
      </c>
      <c r="D194" s="44">
        <f t="shared" si="27"/>
        <v>0</v>
      </c>
      <c r="E194" s="107">
        <f t="shared" si="21"/>
        <v>0</v>
      </c>
      <c r="F194" s="44">
        <f t="shared" si="22"/>
        <v>0</v>
      </c>
      <c r="G194" s="106">
        <f t="shared" si="29"/>
        <v>0</v>
      </c>
      <c r="H194" s="106">
        <f>ROUND(IF(B194&lt;$D$8,MIN(I193,D194-G194),IF(B194=$D$8,$I$15-SUM($H$15:$H193),0)),2)</f>
        <v>0</v>
      </c>
      <c r="I194" s="44">
        <f t="shared" si="28"/>
        <v>0</v>
      </c>
      <c r="J194" s="107"/>
      <c r="L194" s="107">
        <f t="shared" si="24"/>
        <v>0</v>
      </c>
      <c r="M194" s="44"/>
      <c r="N194" s="338">
        <f t="shared" si="25"/>
        <v>0</v>
      </c>
      <c r="O194" s="339"/>
      <c r="P194" s="307" t="str">
        <f>IFERROR(IF(MONTH($C194)=MONTH($J$6),SUMIFS(F$15:F194,$C$15:$C194,"&gt;"&amp;EOMONTH($C194,-12)),""),"")</f>
        <v/>
      </c>
      <c r="Q194" s="307" t="str">
        <f>IFERROR(IF(MONTH($C194)=MONTH($J$6),SUMIFS(G$15:G194,$C$15:$C194,"&gt;"&amp;EOMONTH($C194,-12))+SUMIFS(H$15:H194,$C$15:$C194,"&gt;"&amp;EOMONTH($C194,-12)),""),"")</f>
        <v/>
      </c>
    </row>
    <row r="195" spans="2:17" ht="12.75" customHeight="1" x14ac:dyDescent="0.25">
      <c r="B195">
        <f t="shared" si="20"/>
        <v>180</v>
      </c>
      <c r="C195" s="58" t="str">
        <f>IF(L194&lt;=0,"",EDATE(C194,1))</f>
        <v/>
      </c>
      <c r="D195" s="44">
        <f>IF(B195=$D$7,L194+G195,IF(B195&gt;$D$7,0,$D$9))</f>
        <v>0</v>
      </c>
      <c r="E195" s="107">
        <f t="shared" si="21"/>
        <v>0</v>
      </c>
      <c r="F195" s="44">
        <f t="shared" si="22"/>
        <v>0</v>
      </c>
      <c r="G195" s="106">
        <f>MIN(IF(B195&lt;=$D$7,E195*$D$6*(C195-C194)/365,0))</f>
        <v>0</v>
      </c>
      <c r="H195" s="106">
        <f>ROUND(IF(B195&lt;$D$8,$I$15/$D$8,IF(B195=$D$8,$I$15-SUM($H$15:$H194),0)),2)</f>
        <v>0</v>
      </c>
      <c r="I195" s="44">
        <f t="shared" si="28"/>
        <v>0</v>
      </c>
      <c r="J195" s="107"/>
      <c r="L195" s="107">
        <f t="shared" si="24"/>
        <v>0</v>
      </c>
      <c r="M195" s="44"/>
      <c r="N195" s="338">
        <f t="shared" si="25"/>
        <v>0</v>
      </c>
      <c r="O195" s="317"/>
      <c r="P195" s="307" t="str">
        <f>IFERROR(IF(MONTH($C195)=MONTH($J$6),SUMIFS(F$15:F195,$C$15:$C195,"&gt;"&amp;EOMONTH($C195,-12)),""),"")</f>
        <v/>
      </c>
      <c r="Q195" s="307" t="str">
        <f>IFERROR(IF(MONTH($C195)=MONTH($J$6),SUMIFS(G$15:G195,$C$15:$C195,"&gt;"&amp;EOMONTH($C195,-12))+SUMIFS(H$15:H195,$C$15:$C195,"&gt;"&amp;EOMONTH($C195,-12)),""),"")</f>
        <v/>
      </c>
    </row>
    <row r="196" spans="2:17" x14ac:dyDescent="0.25">
      <c r="M196" s="44"/>
      <c r="N196" s="333"/>
      <c r="O196" s="317"/>
      <c r="P196" s="318"/>
      <c r="Q196" s="318"/>
    </row>
    <row r="197" spans="2:17" x14ac:dyDescent="0.25">
      <c r="D197" s="108">
        <f>SUM(D16:D196)</f>
        <v>900</v>
      </c>
      <c r="E197" s="312"/>
      <c r="F197" s="312">
        <f>SUM(F16:F195)</f>
        <v>900</v>
      </c>
      <c r="G197" s="312">
        <f>SUM(G16:G195)</f>
        <v>0</v>
      </c>
      <c r="H197" s="312">
        <f>SUM(H16:H195)</f>
        <v>0</v>
      </c>
      <c r="I197" s="312"/>
      <c r="J197" s="312"/>
      <c r="L197" s="312"/>
      <c r="M197" s="44"/>
      <c r="N197" s="354">
        <f>SUM(N16:N135)</f>
        <v>1</v>
      </c>
      <c r="O197" s="311"/>
      <c r="P197" s="312">
        <f>SUM(P16:P195)</f>
        <v>0</v>
      </c>
      <c r="Q197" s="312">
        <f>SUM(Q16:Q195)</f>
        <v>0</v>
      </c>
    </row>
    <row r="198" spans="2:17" x14ac:dyDescent="0.25">
      <c r="L198" s="305"/>
      <c r="M198" s="178"/>
      <c r="N198" s="307"/>
      <c r="O198" s="307"/>
      <c r="P198" s="178"/>
    </row>
    <row r="199" spans="2:17" x14ac:dyDescent="0.25">
      <c r="L199" s="305"/>
      <c r="M199" s="178"/>
      <c r="N199" s="307"/>
      <c r="O199" s="307"/>
      <c r="P199" s="178"/>
    </row>
    <row r="200" spans="2:17" x14ac:dyDescent="0.25">
      <c r="L200" s="305"/>
      <c r="M200" s="178"/>
      <c r="N200" s="307"/>
      <c r="O200" s="307"/>
      <c r="P200" s="178"/>
    </row>
    <row r="201" spans="2:17" x14ac:dyDescent="0.25">
      <c r="L201" s="305"/>
      <c r="M201" s="178"/>
      <c r="N201" s="307"/>
      <c r="O201" s="307"/>
      <c r="P201" s="178"/>
    </row>
    <row r="202" spans="2:17" x14ac:dyDescent="0.25">
      <c r="L202" s="305"/>
      <c r="M202" s="178"/>
      <c r="N202" s="307"/>
      <c r="O202" s="307"/>
      <c r="P202" s="178"/>
    </row>
    <row r="203" spans="2:17" x14ac:dyDescent="0.25">
      <c r="L203" s="305"/>
      <c r="M203" s="178"/>
      <c r="N203" s="307"/>
      <c r="O203" s="307"/>
      <c r="P203" s="178"/>
    </row>
    <row r="204" spans="2:17" x14ac:dyDescent="0.25">
      <c r="L204" s="305"/>
      <c r="M204" s="178"/>
      <c r="N204" s="307"/>
      <c r="O204" s="307"/>
      <c r="P204" s="178"/>
    </row>
    <row r="205" spans="2:17" x14ac:dyDescent="0.25">
      <c r="L205" s="305"/>
      <c r="M205" s="178"/>
      <c r="N205" s="307"/>
      <c r="O205" s="307"/>
      <c r="P205" s="178"/>
    </row>
    <row r="206" spans="2:17" x14ac:dyDescent="0.25">
      <c r="L206" s="305"/>
      <c r="M206" s="178"/>
      <c r="N206" s="307"/>
      <c r="O206" s="307"/>
      <c r="P206" s="178"/>
    </row>
    <row r="207" spans="2:17" x14ac:dyDescent="0.25">
      <c r="L207" s="305"/>
      <c r="M207" s="178"/>
      <c r="N207" s="307"/>
      <c r="O207" s="307"/>
      <c r="P207" s="178"/>
    </row>
    <row r="208" spans="2:17" x14ac:dyDescent="0.25">
      <c r="L208" s="305"/>
      <c r="M208" s="178"/>
      <c r="N208" s="307"/>
      <c r="O208" s="307"/>
      <c r="P208" s="178"/>
    </row>
  </sheetData>
  <mergeCells count="2">
    <mergeCell ref="A2:Q2"/>
    <mergeCell ref="A3:Q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1F0DE-95E9-480E-947A-F3E98D9D011D}">
  <sheetPr codeName="Sheet12"/>
  <dimension ref="A1:S208"/>
  <sheetViews>
    <sheetView topLeftCell="A127" workbookViewId="0">
      <selection activeCell="D135" sqref="D135"/>
    </sheetView>
  </sheetViews>
  <sheetFormatPr defaultRowHeight="15" x14ac:dyDescent="0.25"/>
  <cols>
    <col min="1" max="1" width="1.28515625" customWidth="1"/>
    <col min="2" max="2" width="4.28515625" customWidth="1"/>
    <col min="3" max="3" width="14.140625" customWidth="1"/>
    <col min="4" max="4" width="12.28515625" customWidth="1"/>
    <col min="5" max="5" width="12.42578125" style="44" customWidth="1"/>
    <col min="6" max="6" width="13.28515625" style="44" customWidth="1"/>
    <col min="7" max="7" width="17.140625" style="44" customWidth="1"/>
    <col min="8" max="8" width="20.5703125" style="44" customWidth="1"/>
    <col min="9" max="9" width="16.28515625" style="44" customWidth="1"/>
    <col min="10" max="10" width="11" style="59" customWidth="1"/>
    <col min="11" max="11" width="5.5703125" style="44" customWidth="1"/>
    <col min="12" max="12" width="11.85546875" style="59" customWidth="1"/>
    <col min="13" max="13" width="2.140625" customWidth="1"/>
    <col min="14" max="14" width="10" style="44" customWidth="1"/>
    <col min="15" max="15" width="3.28515625" style="44" customWidth="1"/>
    <col min="16" max="17" width="11.140625" customWidth="1"/>
    <col min="18" max="18" width="9.7109375" customWidth="1"/>
  </cols>
  <sheetData>
    <row r="1" spans="1:19" x14ac:dyDescent="0.25">
      <c r="C1" s="58"/>
      <c r="D1" s="58"/>
      <c r="L1" s="305"/>
      <c r="M1" s="178"/>
      <c r="P1" s="306" t="s">
        <v>372</v>
      </c>
      <c r="Q1" s="182">
        <f ca="1">TODAY()</f>
        <v>43686</v>
      </c>
    </row>
    <row r="2" spans="1:19" ht="23.25" x14ac:dyDescent="0.35">
      <c r="A2" s="658" t="s">
        <v>373</v>
      </c>
      <c r="B2" s="658"/>
      <c r="C2" s="658"/>
      <c r="D2" s="658"/>
      <c r="E2" s="658"/>
      <c r="F2" s="658"/>
      <c r="G2" s="658"/>
      <c r="H2" s="658"/>
      <c r="I2" s="658"/>
      <c r="J2" s="658"/>
      <c r="K2" s="658"/>
      <c r="L2" s="658"/>
      <c r="M2" s="658"/>
      <c r="N2" s="658"/>
      <c r="O2" s="658"/>
      <c r="P2" s="658"/>
      <c r="Q2" s="658"/>
    </row>
    <row r="3" spans="1:19" ht="23.25" x14ac:dyDescent="0.35">
      <c r="A3" s="658" t="s">
        <v>374</v>
      </c>
      <c r="B3" s="658"/>
      <c r="C3" s="658"/>
      <c r="D3" s="658"/>
      <c r="E3" s="658"/>
      <c r="F3" s="658"/>
      <c r="G3" s="658"/>
      <c r="H3" s="658"/>
      <c r="I3" s="658"/>
      <c r="J3" s="658"/>
      <c r="K3" s="658"/>
      <c r="L3" s="658"/>
      <c r="M3" s="658"/>
      <c r="N3" s="658"/>
      <c r="O3" s="658"/>
      <c r="P3" s="658"/>
      <c r="Q3" s="658"/>
    </row>
    <row r="4" spans="1:19" x14ac:dyDescent="0.25">
      <c r="L4" s="305"/>
      <c r="M4" s="178"/>
      <c r="N4" s="307"/>
      <c r="O4" s="307"/>
    </row>
    <row r="5" spans="1:19" x14ac:dyDescent="0.25">
      <c r="C5" s="61" t="s">
        <v>375</v>
      </c>
      <c r="D5" s="308">
        <f>'New Loan'!E10</f>
        <v>900</v>
      </c>
      <c r="F5" s="356"/>
      <c r="G5" s="309"/>
      <c r="H5" s="309"/>
      <c r="I5" s="309"/>
      <c r="K5"/>
      <c r="L5" s="310" t="s">
        <v>376</v>
      </c>
      <c r="M5" s="311"/>
      <c r="N5" s="312" t="s">
        <v>1930</v>
      </c>
      <c r="O5" s="65"/>
      <c r="P5" s="41"/>
    </row>
    <row r="6" spans="1:19" x14ac:dyDescent="0.25">
      <c r="C6" s="5" t="s">
        <v>377</v>
      </c>
      <c r="D6" s="313">
        <f>'New Loan'!H6</f>
        <v>0</v>
      </c>
      <c r="F6" s="314"/>
      <c r="G6" s="67" t="s">
        <v>378</v>
      </c>
      <c r="H6" s="40"/>
      <c r="I6" s="40"/>
      <c r="J6" s="315">
        <f>'New Loan'!K6</f>
        <v>0</v>
      </c>
      <c r="K6"/>
      <c r="L6" s="316" t="s">
        <v>379</v>
      </c>
      <c r="M6" s="317"/>
      <c r="N6" s="318" t="s">
        <v>89</v>
      </c>
      <c r="O6" s="319"/>
      <c r="P6" s="7"/>
    </row>
    <row r="7" spans="1:19" x14ac:dyDescent="0.25">
      <c r="C7" s="71" t="s">
        <v>380</v>
      </c>
      <c r="D7" s="320">
        <f>'New Loan'!H8</f>
        <v>0</v>
      </c>
      <c r="F7" s="321"/>
      <c r="G7" s="322" t="s">
        <v>3124</v>
      </c>
      <c r="H7" s="323"/>
      <c r="I7" s="323"/>
      <c r="J7" s="324">
        <f>ROUNDDOWN(12*YEARFRAC('New Loan'!$K$6,'New Loan'!$K$7),0)</f>
        <v>0</v>
      </c>
      <c r="K7"/>
      <c r="L7" s="316" t="s">
        <v>339</v>
      </c>
      <c r="M7" s="317"/>
      <c r="N7" s="318" t="s">
        <v>340</v>
      </c>
      <c r="O7" s="319"/>
      <c r="P7" s="7"/>
      <c r="R7" s="74"/>
      <c r="S7" s="74"/>
    </row>
    <row r="8" spans="1:19" x14ac:dyDescent="0.25">
      <c r="C8" s="71" t="s">
        <v>382</v>
      </c>
      <c r="D8" s="75">
        <f>D7-J7+1</f>
        <v>1</v>
      </c>
      <c r="F8" s="325"/>
      <c r="G8" s="326" t="s">
        <v>383</v>
      </c>
      <c r="H8" s="327"/>
      <c r="I8" s="327"/>
      <c r="J8" s="76">
        <f>'New Loan'!K7</f>
        <v>0</v>
      </c>
      <c r="K8"/>
      <c r="L8" s="328" t="s">
        <v>336</v>
      </c>
      <c r="M8" s="329"/>
      <c r="N8" s="330" t="s">
        <v>1931</v>
      </c>
      <c r="O8" s="79"/>
      <c r="P8" s="8"/>
      <c r="R8" s="74"/>
      <c r="S8" s="74"/>
    </row>
    <row r="9" spans="1:19" x14ac:dyDescent="0.25">
      <c r="C9" s="80" t="s">
        <v>384</v>
      </c>
      <c r="D9" s="364">
        <f>-ROUND(IF('New Loan'!$H$7="yes",-D5*D6/12,PMT(D6/12,D8,D5)),2)</f>
        <v>900</v>
      </c>
      <c r="E9" s="82"/>
      <c r="F9" s="325"/>
      <c r="G9" s="323"/>
      <c r="H9" s="323"/>
      <c r="I9" s="323"/>
      <c r="J9" s="332"/>
      <c r="K9"/>
      <c r="L9" s="333"/>
      <c r="M9" s="317"/>
      <c r="N9" s="318"/>
      <c r="O9" s="319"/>
      <c r="P9" s="303"/>
      <c r="R9" s="334">
        <f ca="1">OFFSET(F15,D8,)+OFFSET(G15,D8,)+OFFSET(H15,D8,)-D9</f>
        <v>0</v>
      </c>
      <c r="S9" s="74"/>
    </row>
    <row r="10" spans="1:19" x14ac:dyDescent="0.25">
      <c r="C10" s="85" t="s">
        <v>385</v>
      </c>
      <c r="D10" s="335" t="e">
        <f ca="1">(((1+XIRR(OFFSET($D$14,0,0,$D$8+2),OFFSET($C$14,0,0,$D$8+2)))^(1/12))-1)*12</f>
        <v>#NUM!</v>
      </c>
      <c r="F10" s="336"/>
      <c r="J10" s="337"/>
      <c r="K10"/>
      <c r="R10" s="74"/>
      <c r="S10" s="74"/>
    </row>
    <row r="11" spans="1:19" x14ac:dyDescent="0.25">
      <c r="J11"/>
      <c r="K11"/>
      <c r="L11" s="338"/>
      <c r="M11" s="339"/>
      <c r="N11" s="307"/>
      <c r="O11" s="307"/>
      <c r="P11" s="178"/>
    </row>
    <row r="12" spans="1:19" ht="12.75" customHeight="1" x14ac:dyDescent="0.25">
      <c r="B12" s="87" t="s">
        <v>386</v>
      </c>
      <c r="C12" s="124"/>
      <c r="D12" s="124"/>
      <c r="E12" s="87"/>
      <c r="F12" s="88"/>
      <c r="G12" s="88"/>
      <c r="H12" s="88"/>
      <c r="I12" s="88"/>
      <c r="J12" s="89"/>
      <c r="L12" s="87" t="s">
        <v>387</v>
      </c>
      <c r="N12" s="340" t="s">
        <v>388</v>
      </c>
      <c r="O12" s="311"/>
      <c r="P12" s="341" t="s">
        <v>364</v>
      </c>
      <c r="Q12" s="341" t="s">
        <v>364</v>
      </c>
    </row>
    <row r="13" spans="1:19" ht="12.75" customHeight="1" x14ac:dyDescent="0.25">
      <c r="B13" s="92" t="s">
        <v>389</v>
      </c>
      <c r="C13" s="359" t="s">
        <v>372</v>
      </c>
      <c r="D13" s="359" t="s">
        <v>384</v>
      </c>
      <c r="E13" s="93" t="s">
        <v>390</v>
      </c>
      <c r="F13" s="94" t="s">
        <v>391</v>
      </c>
      <c r="G13" s="94" t="s">
        <v>392</v>
      </c>
      <c r="H13" s="94" t="s">
        <v>393</v>
      </c>
      <c r="I13" s="94" t="s">
        <v>394</v>
      </c>
      <c r="J13" s="95"/>
      <c r="L13" s="93" t="s">
        <v>395</v>
      </c>
      <c r="N13" s="342" t="s">
        <v>396</v>
      </c>
      <c r="O13" s="343"/>
      <c r="P13" s="344" t="s">
        <v>391</v>
      </c>
      <c r="Q13" s="344" t="s">
        <v>398</v>
      </c>
    </row>
    <row r="14" spans="1:19" ht="12.75" customHeight="1" x14ac:dyDescent="0.25">
      <c r="B14" s="345"/>
      <c r="C14" s="58">
        <f>J6</f>
        <v>0</v>
      </c>
      <c r="D14" s="346">
        <v>-9084.7000000000007</v>
      </c>
      <c r="E14" s="347"/>
      <c r="F14" s="348"/>
      <c r="G14" s="348"/>
      <c r="H14" s="348"/>
      <c r="I14" s="348"/>
      <c r="J14" s="349"/>
      <c r="L14" s="347"/>
      <c r="N14" s="350"/>
      <c r="O14" s="351"/>
      <c r="P14" s="352"/>
      <c r="Q14" s="352"/>
    </row>
    <row r="15" spans="1:19" ht="12.75" customHeight="1" x14ac:dyDescent="0.25">
      <c r="B15">
        <v>0</v>
      </c>
      <c r="C15" s="58" t="e">
        <f>MAX(EDATE(C16,-1),J6)</f>
        <v>#NUM!</v>
      </c>
      <c r="E15" s="348">
        <f>D5</f>
        <v>900</v>
      </c>
      <c r="F15" s="348"/>
      <c r="G15" s="44">
        <v>0</v>
      </c>
      <c r="I15" s="106">
        <f>ROUND(MIN(IF(B16&lt;=$D$7,E16*$D$6*(C15-J6)/365,0)),2)</f>
        <v>0</v>
      </c>
      <c r="L15" s="107">
        <f>ROUND(E15-F15,2)</f>
        <v>900</v>
      </c>
      <c r="N15" s="350"/>
      <c r="O15" s="351"/>
      <c r="P15" s="352"/>
      <c r="Q15" s="352"/>
    </row>
    <row r="16" spans="1:19" ht="12.75" customHeight="1" x14ac:dyDescent="0.25">
      <c r="B16" s="303">
        <f t="shared" ref="B16:B79" si="0">B15+1</f>
        <v>1</v>
      </c>
      <c r="C16" s="58">
        <f>J8</f>
        <v>0</v>
      </c>
      <c r="D16" s="44">
        <f>IF(B16=$D$8,L15+G16+H16,IF(B16&gt;$D$8,0,ROUNDUP($D$9,2)))</f>
        <v>900</v>
      </c>
      <c r="E16" s="44">
        <f t="shared" ref="E16:E79" si="1">L15</f>
        <v>900</v>
      </c>
      <c r="F16" s="44">
        <f t="shared" ref="F16:F79" si="2">ROUND(IFERROR(MIN(MAX(D16-H16-G16,0),L15),0),2)</f>
        <v>900</v>
      </c>
      <c r="G16" s="106">
        <f t="shared" ref="G16:G47" si="3">ROUND(IFERROR((IF(B16&lt;=$D$8,(E16+IF(Loan_Type&lt;&gt;"Tax Loan",I15,0))*$D$6*30/360,0)),0),2)</f>
        <v>0</v>
      </c>
      <c r="H16" s="106">
        <f t="shared" ref="H16:H79" si="4">IF(B16=$D$8,I15,0)</f>
        <v>0</v>
      </c>
      <c r="I16" s="357">
        <f>I15-H16</f>
        <v>0</v>
      </c>
      <c r="J16" s="107"/>
      <c r="L16" s="107">
        <f t="shared" ref="L16:L79" si="5">ROUND(E16-F16,2)</f>
        <v>0</v>
      </c>
      <c r="N16" s="338">
        <f t="shared" ref="N16:N79" si="6">F16/$D$5</f>
        <v>1</v>
      </c>
      <c r="O16" s="339"/>
      <c r="P16" s="307">
        <f>IFERROR(IF(MONTH($C16)=MONTH($J$6),SUMIFS(F$15:F16,$C$15:$C16,"&gt;"&amp;EOMONTH($C16,-12)),""),"")</f>
        <v>0</v>
      </c>
      <c r="Q16" s="307">
        <f>IFERROR(IF(MONTH($C16)=MONTH($J$6),SUMIFS(G$15:G16,$C$15:$C16,"&gt;"&amp;EOMONTH($C16,-12))+SUMIFS(H$15:H16,$C$15:$C16,"&gt;"&amp;EOMONTH($C16,-12)),""),"")</f>
        <v>0</v>
      </c>
    </row>
    <row r="17" spans="2:17" ht="12.75" customHeight="1" x14ac:dyDescent="0.25">
      <c r="B17">
        <f>B16+1</f>
        <v>2</v>
      </c>
      <c r="C17" s="58" t="str">
        <f t="shared" ref="C17:C80" si="7">IF(L16&lt;=0,"",EDATE($J$8,B17-1))</f>
        <v/>
      </c>
      <c r="D17" s="44">
        <f t="shared" ref="D17:D80" si="8">IF(B17=$D$8,L16+G17+H17,IF(B17&gt;$D$8,0,ROUNDUP($D$9,2)))</f>
        <v>0</v>
      </c>
      <c r="E17" s="107">
        <f t="shared" si="1"/>
        <v>0</v>
      </c>
      <c r="F17" s="44">
        <f t="shared" si="2"/>
        <v>0</v>
      </c>
      <c r="G17" s="106">
        <f t="shared" si="3"/>
        <v>0</v>
      </c>
      <c r="H17" s="106">
        <f t="shared" si="4"/>
        <v>0</v>
      </c>
      <c r="I17" s="44">
        <f t="shared" ref="I17:I80" si="9">I16-H17</f>
        <v>0</v>
      </c>
      <c r="J17" s="107"/>
      <c r="L17" s="107">
        <f t="shared" si="5"/>
        <v>0</v>
      </c>
      <c r="N17" s="338">
        <f t="shared" si="6"/>
        <v>0</v>
      </c>
      <c r="O17" s="339"/>
      <c r="P17" s="307" t="str">
        <f>IFERROR(IF(MONTH($C17)=MONTH($J$6),SUMIFS(F$15:F17,$C$15:$C17,"&gt;"&amp;EOMONTH($C17,-12)),""),"")</f>
        <v/>
      </c>
      <c r="Q17" s="307" t="str">
        <f>IFERROR(IF(MONTH($C17)=MONTH($J$6),SUMIFS(G$15:G17,$C$15:$C17,"&gt;"&amp;EOMONTH($C17,-12))+SUMIFS(H$15:H17,$C$15:$C17,"&gt;"&amp;EOMONTH($C17,-12)),""),"")</f>
        <v/>
      </c>
    </row>
    <row r="18" spans="2:17" ht="12.75" customHeight="1" x14ac:dyDescent="0.25">
      <c r="B18" s="303">
        <f t="shared" si="0"/>
        <v>3</v>
      </c>
      <c r="C18" s="58" t="str">
        <f t="shared" si="7"/>
        <v/>
      </c>
      <c r="D18" s="44">
        <f t="shared" si="8"/>
        <v>0</v>
      </c>
      <c r="E18" s="353">
        <f t="shared" si="1"/>
        <v>0</v>
      </c>
      <c r="F18" s="44">
        <f t="shared" si="2"/>
        <v>0</v>
      </c>
      <c r="G18" s="106">
        <f t="shared" si="3"/>
        <v>0</v>
      </c>
      <c r="H18" s="106">
        <f t="shared" si="4"/>
        <v>0</v>
      </c>
      <c r="I18" s="44">
        <f t="shared" si="9"/>
        <v>0</v>
      </c>
      <c r="J18" s="107"/>
      <c r="L18" s="107">
        <f t="shared" si="5"/>
        <v>0</v>
      </c>
      <c r="N18" s="338">
        <f t="shared" si="6"/>
        <v>0</v>
      </c>
      <c r="O18" s="339"/>
      <c r="P18" s="307" t="str">
        <f>IFERROR(IF(MONTH($C18)=MONTH($J$6),SUMIFS(F$15:F18,$C$15:$C18,"&gt;"&amp;EOMONTH($C18,-12)),""),"")</f>
        <v/>
      </c>
      <c r="Q18" s="307" t="str">
        <f>IFERROR(IF(MONTH($C18)=MONTH($J$6),SUMIFS(G$15:G18,$C$15:$C18,"&gt;"&amp;EOMONTH($C18,-12))+SUMIFS(H$15:H18,$C$15:$C18,"&gt;"&amp;EOMONTH($C18,-12)),""),"")</f>
        <v/>
      </c>
    </row>
    <row r="19" spans="2:17" ht="12.75" customHeight="1" x14ac:dyDescent="0.25">
      <c r="B19">
        <f t="shared" si="0"/>
        <v>4</v>
      </c>
      <c r="C19" s="58" t="str">
        <f t="shared" si="7"/>
        <v/>
      </c>
      <c r="D19" s="44">
        <f t="shared" si="8"/>
        <v>0</v>
      </c>
      <c r="E19" s="107">
        <f t="shared" si="1"/>
        <v>0</v>
      </c>
      <c r="F19" s="44">
        <f t="shared" si="2"/>
        <v>0</v>
      </c>
      <c r="G19" s="106">
        <f t="shared" si="3"/>
        <v>0</v>
      </c>
      <c r="H19" s="106">
        <f t="shared" si="4"/>
        <v>0</v>
      </c>
      <c r="I19" s="44">
        <f t="shared" si="9"/>
        <v>0</v>
      </c>
      <c r="J19" s="107"/>
      <c r="L19" s="107">
        <f t="shared" si="5"/>
        <v>0</v>
      </c>
      <c r="N19" s="338">
        <f t="shared" si="6"/>
        <v>0</v>
      </c>
      <c r="O19" s="339"/>
      <c r="P19" s="307" t="str">
        <f>IFERROR(IF(MONTH($C19)=MONTH($J$6),SUMIFS(F$15:F19,$C$15:$C19,"&gt;"&amp;EOMONTH($C19,-12)),""),"")</f>
        <v/>
      </c>
      <c r="Q19" s="307" t="str">
        <f>IFERROR(IF(MONTH($C19)=MONTH($J$6),SUMIFS(G$15:G19,$C$15:$C19,"&gt;"&amp;EOMONTH($C19,-12))+SUMIFS(H$15:H19,$C$15:$C19,"&gt;"&amp;EOMONTH($C19,-12)),""),"")</f>
        <v/>
      </c>
    </row>
    <row r="20" spans="2:17" ht="12.75" customHeight="1" x14ac:dyDescent="0.25">
      <c r="B20">
        <f t="shared" si="0"/>
        <v>5</v>
      </c>
      <c r="C20" s="58" t="str">
        <f t="shared" si="7"/>
        <v/>
      </c>
      <c r="D20" s="44">
        <f t="shared" si="8"/>
        <v>0</v>
      </c>
      <c r="E20" s="107">
        <f t="shared" si="1"/>
        <v>0</v>
      </c>
      <c r="F20" s="44">
        <f t="shared" si="2"/>
        <v>0</v>
      </c>
      <c r="G20" s="106">
        <f t="shared" si="3"/>
        <v>0</v>
      </c>
      <c r="H20" s="106">
        <f t="shared" si="4"/>
        <v>0</v>
      </c>
      <c r="I20" s="44">
        <f t="shared" si="9"/>
        <v>0</v>
      </c>
      <c r="J20" s="107"/>
      <c r="L20" s="107">
        <f t="shared" si="5"/>
        <v>0</v>
      </c>
      <c r="N20" s="338">
        <f t="shared" si="6"/>
        <v>0</v>
      </c>
      <c r="O20" s="339"/>
      <c r="P20" s="307" t="str">
        <f>IFERROR(IF(MONTH($C20)=MONTH($J$6),SUMIFS(F$15:F20,$C$15:$C20,"&gt;"&amp;EOMONTH($C20,-12)),""),"")</f>
        <v/>
      </c>
      <c r="Q20" s="307" t="str">
        <f>IFERROR(IF(MONTH($C20)=MONTH($J$6),SUMIFS(G$15:G20,$C$15:$C20,"&gt;"&amp;EOMONTH($C20,-12))+SUMIFS(H$15:H20,$C$15:$C20,"&gt;"&amp;EOMONTH($C20,-12)),""),"")</f>
        <v/>
      </c>
    </row>
    <row r="21" spans="2:17" ht="12.75" customHeight="1" x14ac:dyDescent="0.25">
      <c r="B21" s="303">
        <f t="shared" si="0"/>
        <v>6</v>
      </c>
      <c r="C21" s="58" t="str">
        <f t="shared" si="7"/>
        <v/>
      </c>
      <c r="D21" s="44">
        <f t="shared" si="8"/>
        <v>0</v>
      </c>
      <c r="E21" s="353">
        <f t="shared" si="1"/>
        <v>0</v>
      </c>
      <c r="F21" s="44">
        <f t="shared" si="2"/>
        <v>0</v>
      </c>
      <c r="G21" s="106">
        <f t="shared" si="3"/>
        <v>0</v>
      </c>
      <c r="H21" s="106">
        <f t="shared" si="4"/>
        <v>0</v>
      </c>
      <c r="I21" s="44">
        <f t="shared" si="9"/>
        <v>0</v>
      </c>
      <c r="J21" s="107"/>
      <c r="L21" s="107">
        <f t="shared" si="5"/>
        <v>0</v>
      </c>
      <c r="N21" s="338">
        <f t="shared" si="6"/>
        <v>0</v>
      </c>
      <c r="O21" s="339"/>
      <c r="P21" s="307" t="str">
        <f>IFERROR(IF(MONTH($C21)=MONTH($J$6),SUMIFS(F$15:F21,$C$15:$C21,"&gt;"&amp;EOMONTH($C21,-12)),""),"")</f>
        <v/>
      </c>
      <c r="Q21" s="307" t="str">
        <f>IFERROR(IF(MONTH($C21)=MONTH($J$6),SUMIFS(G$15:G21,$C$15:$C21,"&gt;"&amp;EOMONTH($C21,-12))+SUMIFS(H$15:H21,$C$15:$C21,"&gt;"&amp;EOMONTH($C21,-12)),""),"")</f>
        <v/>
      </c>
    </row>
    <row r="22" spans="2:17" ht="12.75" customHeight="1" x14ac:dyDescent="0.25">
      <c r="B22" s="303">
        <f t="shared" si="0"/>
        <v>7</v>
      </c>
      <c r="C22" s="58" t="str">
        <f t="shared" si="7"/>
        <v/>
      </c>
      <c r="D22" s="44">
        <f t="shared" si="8"/>
        <v>0</v>
      </c>
      <c r="E22" s="353">
        <f t="shared" si="1"/>
        <v>0</v>
      </c>
      <c r="F22" s="44">
        <f t="shared" si="2"/>
        <v>0</v>
      </c>
      <c r="G22" s="106">
        <f t="shared" si="3"/>
        <v>0</v>
      </c>
      <c r="H22" s="106">
        <f t="shared" si="4"/>
        <v>0</v>
      </c>
      <c r="I22" s="44">
        <f t="shared" si="9"/>
        <v>0</v>
      </c>
      <c r="J22" s="107"/>
      <c r="L22" s="107">
        <f t="shared" si="5"/>
        <v>0</v>
      </c>
      <c r="N22" s="338">
        <f t="shared" si="6"/>
        <v>0</v>
      </c>
      <c r="O22" s="339"/>
      <c r="P22" s="307" t="str">
        <f>IFERROR(IF(MONTH($C22)=MONTH($J$6),SUMIFS(F$15:F22,$C$15:$C22,"&gt;"&amp;EOMONTH($C22,-12)),""),"")</f>
        <v/>
      </c>
      <c r="Q22" s="307" t="str">
        <f>IFERROR(IF(MONTH($C22)=MONTH($J$6),SUMIFS(G$15:G22,$C$15:$C22,"&gt;"&amp;EOMONTH($C22,-12))+SUMIFS(H$15:H22,$C$15:$C22,"&gt;"&amp;EOMONTH($C22,-12)),""),"")</f>
        <v/>
      </c>
    </row>
    <row r="23" spans="2:17" ht="12.75" customHeight="1" x14ac:dyDescent="0.25">
      <c r="B23">
        <f t="shared" si="0"/>
        <v>8</v>
      </c>
      <c r="C23" s="58" t="str">
        <f t="shared" si="7"/>
        <v/>
      </c>
      <c r="D23" s="44">
        <f t="shared" si="8"/>
        <v>0</v>
      </c>
      <c r="E23" s="107">
        <f t="shared" si="1"/>
        <v>0</v>
      </c>
      <c r="F23" s="44">
        <f t="shared" si="2"/>
        <v>0</v>
      </c>
      <c r="G23" s="106">
        <f t="shared" si="3"/>
        <v>0</v>
      </c>
      <c r="H23" s="106">
        <f t="shared" si="4"/>
        <v>0</v>
      </c>
      <c r="I23" s="44">
        <f t="shared" si="9"/>
        <v>0</v>
      </c>
      <c r="J23" s="107"/>
      <c r="L23" s="107">
        <f t="shared" si="5"/>
        <v>0</v>
      </c>
      <c r="N23" s="338">
        <f t="shared" si="6"/>
        <v>0</v>
      </c>
      <c r="O23" s="339"/>
      <c r="P23" s="307" t="str">
        <f>IFERROR(IF(MONTH($C23)=MONTH($J$6),SUMIFS(F$15:F23,$C$15:$C23,"&gt;"&amp;EOMONTH($C23,-12)),""),"")</f>
        <v/>
      </c>
      <c r="Q23" s="307" t="str">
        <f>IFERROR(IF(MONTH($C23)=MONTH($J$6),SUMIFS(G$15:G23,$C$15:$C23,"&gt;"&amp;EOMONTH($C23,-12))+SUMIFS(H$15:H23,$C$15:$C23,"&gt;"&amp;EOMONTH($C23,-12)),""),"")</f>
        <v/>
      </c>
    </row>
    <row r="24" spans="2:17" ht="12.75" customHeight="1" x14ac:dyDescent="0.25">
      <c r="B24">
        <f t="shared" si="0"/>
        <v>9</v>
      </c>
      <c r="C24" s="58" t="str">
        <f t="shared" si="7"/>
        <v/>
      </c>
      <c r="D24" s="44">
        <f t="shared" si="8"/>
        <v>0</v>
      </c>
      <c r="E24" s="107">
        <f t="shared" si="1"/>
        <v>0</v>
      </c>
      <c r="F24" s="44">
        <f t="shared" si="2"/>
        <v>0</v>
      </c>
      <c r="G24" s="106">
        <f t="shared" si="3"/>
        <v>0</v>
      </c>
      <c r="H24" s="106">
        <f t="shared" si="4"/>
        <v>0</v>
      </c>
      <c r="I24" s="44">
        <f t="shared" si="9"/>
        <v>0</v>
      </c>
      <c r="J24" s="107"/>
      <c r="L24" s="107">
        <f t="shared" si="5"/>
        <v>0</v>
      </c>
      <c r="N24" s="338">
        <f t="shared" si="6"/>
        <v>0</v>
      </c>
      <c r="O24" s="339"/>
      <c r="P24" s="307" t="str">
        <f>IFERROR(IF(MONTH($C24)=MONTH($J$6),SUMIFS(F$15:F24,$C$15:$C24,"&gt;"&amp;EOMONTH($C24,-12)),""),"")</f>
        <v/>
      </c>
      <c r="Q24" s="307" t="str">
        <f>IFERROR(IF(MONTH($C24)=MONTH($J$6),SUMIFS(G$15:G24,$C$15:$C24,"&gt;"&amp;EOMONTH($C24,-12))+SUMIFS(H$15:H24,$C$15:$C24,"&gt;"&amp;EOMONTH($C24,-12)),""),"")</f>
        <v/>
      </c>
    </row>
    <row r="25" spans="2:17" ht="12.75" customHeight="1" x14ac:dyDescent="0.25">
      <c r="B25">
        <f t="shared" si="0"/>
        <v>10</v>
      </c>
      <c r="C25" s="58" t="str">
        <f t="shared" si="7"/>
        <v/>
      </c>
      <c r="D25" s="44">
        <f t="shared" si="8"/>
        <v>0</v>
      </c>
      <c r="E25" s="107">
        <f t="shared" si="1"/>
        <v>0</v>
      </c>
      <c r="F25" s="44">
        <f t="shared" si="2"/>
        <v>0</v>
      </c>
      <c r="G25" s="106">
        <f t="shared" si="3"/>
        <v>0</v>
      </c>
      <c r="H25" s="106">
        <f t="shared" si="4"/>
        <v>0</v>
      </c>
      <c r="I25" s="44">
        <f t="shared" si="9"/>
        <v>0</v>
      </c>
      <c r="J25" s="107"/>
      <c r="L25" s="107">
        <f t="shared" si="5"/>
        <v>0</v>
      </c>
      <c r="N25" s="338">
        <f t="shared" si="6"/>
        <v>0</v>
      </c>
      <c r="O25" s="339"/>
      <c r="P25" s="307" t="str">
        <f>IFERROR(IF(MONTH($C25)=MONTH($J$6),SUMIFS(F$15:F25,$C$15:$C25,"&gt;"&amp;EOMONTH($C25,-12)),""),"")</f>
        <v/>
      </c>
      <c r="Q25" s="307" t="str">
        <f>IFERROR(IF(MONTH($C25)=MONTH($J$6),SUMIFS(G$15:G25,$C$15:$C25,"&gt;"&amp;EOMONTH($C25,-12))+SUMIFS(H$15:H25,$C$15:$C25,"&gt;"&amp;EOMONTH($C25,-12)),""),"")</f>
        <v/>
      </c>
    </row>
    <row r="26" spans="2:17" ht="12.75" customHeight="1" x14ac:dyDescent="0.25">
      <c r="B26">
        <f t="shared" si="0"/>
        <v>11</v>
      </c>
      <c r="C26" s="58" t="str">
        <f t="shared" si="7"/>
        <v/>
      </c>
      <c r="D26" s="44">
        <f t="shared" si="8"/>
        <v>0</v>
      </c>
      <c r="E26" s="107">
        <f t="shared" si="1"/>
        <v>0</v>
      </c>
      <c r="F26" s="44">
        <f t="shared" si="2"/>
        <v>0</v>
      </c>
      <c r="G26" s="106">
        <f t="shared" si="3"/>
        <v>0</v>
      </c>
      <c r="H26" s="106">
        <f t="shared" si="4"/>
        <v>0</v>
      </c>
      <c r="I26" s="44">
        <f t="shared" si="9"/>
        <v>0</v>
      </c>
      <c r="J26" s="107"/>
      <c r="L26" s="107">
        <f t="shared" si="5"/>
        <v>0</v>
      </c>
      <c r="N26" s="338">
        <f t="shared" si="6"/>
        <v>0</v>
      </c>
      <c r="O26" s="339"/>
      <c r="P26" s="307" t="str">
        <f>IFERROR(IF(MONTH($C26)=MONTH($J$6),SUMIFS(F$15:F26,$C$15:$C26,"&gt;"&amp;EOMONTH($C26,-12)),""),"")</f>
        <v/>
      </c>
      <c r="Q26" s="307" t="str">
        <f>IFERROR(IF(MONTH($C26)=MONTH($J$6),SUMIFS(G$15:G26,$C$15:$C26,"&gt;"&amp;EOMONTH($C26,-12))+SUMIFS(H$15:H26,$C$15:$C26,"&gt;"&amp;EOMONTH($C26,-12)),""),"")</f>
        <v/>
      </c>
    </row>
    <row r="27" spans="2:17" ht="12.75" customHeight="1" x14ac:dyDescent="0.25">
      <c r="B27">
        <f t="shared" si="0"/>
        <v>12</v>
      </c>
      <c r="C27" s="58" t="str">
        <f t="shared" si="7"/>
        <v/>
      </c>
      <c r="D27" s="44">
        <f t="shared" si="8"/>
        <v>0</v>
      </c>
      <c r="E27" s="107">
        <f t="shared" si="1"/>
        <v>0</v>
      </c>
      <c r="F27" s="44">
        <f t="shared" si="2"/>
        <v>0</v>
      </c>
      <c r="G27" s="106">
        <f t="shared" si="3"/>
        <v>0</v>
      </c>
      <c r="H27" s="106">
        <f t="shared" si="4"/>
        <v>0</v>
      </c>
      <c r="I27" s="357">
        <f t="shared" si="9"/>
        <v>0</v>
      </c>
      <c r="J27" s="107"/>
      <c r="L27" s="107">
        <f t="shared" si="5"/>
        <v>0</v>
      </c>
      <c r="N27" s="338">
        <f t="shared" si="6"/>
        <v>0</v>
      </c>
      <c r="O27" s="339"/>
      <c r="P27" s="307" t="str">
        <f>IFERROR(IF(MONTH($C27)=MONTH($J$6),SUMIFS(F$15:F27,$C$15:$C27,"&gt;"&amp;EOMONTH($C27,-12)),""),"")</f>
        <v/>
      </c>
      <c r="Q27" s="307" t="str">
        <f>IFERROR(IF(MONTH($C27)=MONTH($J$6),SUMIFS(G$15:G27,$C$15:$C27,"&gt;"&amp;EOMONTH($C27,-12))+SUMIFS(H$15:H27,$C$15:$C27,"&gt;"&amp;EOMONTH($C27,-12)),""),"")</f>
        <v/>
      </c>
    </row>
    <row r="28" spans="2:17" ht="12.75" customHeight="1" x14ac:dyDescent="0.25">
      <c r="B28">
        <f t="shared" si="0"/>
        <v>13</v>
      </c>
      <c r="C28" s="58" t="str">
        <f t="shared" si="7"/>
        <v/>
      </c>
      <c r="D28" s="44">
        <f t="shared" si="8"/>
        <v>0</v>
      </c>
      <c r="E28" s="107">
        <f t="shared" si="1"/>
        <v>0</v>
      </c>
      <c r="F28" s="44">
        <f t="shared" si="2"/>
        <v>0</v>
      </c>
      <c r="G28" s="106">
        <f t="shared" si="3"/>
        <v>0</v>
      </c>
      <c r="H28" s="106">
        <f t="shared" si="4"/>
        <v>0</v>
      </c>
      <c r="I28" s="44">
        <f t="shared" si="9"/>
        <v>0</v>
      </c>
      <c r="J28" s="107"/>
      <c r="L28" s="107">
        <f t="shared" si="5"/>
        <v>0</v>
      </c>
      <c r="N28" s="338">
        <f t="shared" si="6"/>
        <v>0</v>
      </c>
      <c r="O28" s="339"/>
      <c r="P28" s="307" t="str">
        <f>IFERROR(IF(MONTH($C28)=MONTH($J$6),SUMIFS(F$15:F28,$C$15:$C28,"&gt;"&amp;EOMONTH($C28,-12)),""),"")</f>
        <v/>
      </c>
      <c r="Q28" s="307" t="str">
        <f>IFERROR(IF(MONTH($C28)=MONTH($J$6),SUMIFS(G$15:G28,$C$15:$C28,"&gt;"&amp;EOMONTH($C28,-12))+SUMIFS(H$15:H28,$C$15:$C28,"&gt;"&amp;EOMONTH($C28,-12)),""),"")</f>
        <v/>
      </c>
    </row>
    <row r="29" spans="2:17" ht="12.75" customHeight="1" x14ac:dyDescent="0.25">
      <c r="B29">
        <f t="shared" si="0"/>
        <v>14</v>
      </c>
      <c r="C29" s="58" t="str">
        <f t="shared" si="7"/>
        <v/>
      </c>
      <c r="D29" s="44">
        <f t="shared" si="8"/>
        <v>0</v>
      </c>
      <c r="E29" s="107">
        <f t="shared" si="1"/>
        <v>0</v>
      </c>
      <c r="F29" s="44">
        <f t="shared" si="2"/>
        <v>0</v>
      </c>
      <c r="G29" s="106">
        <f t="shared" si="3"/>
        <v>0</v>
      </c>
      <c r="H29" s="106">
        <f t="shared" si="4"/>
        <v>0</v>
      </c>
      <c r="I29" s="44">
        <f t="shared" si="9"/>
        <v>0</v>
      </c>
      <c r="J29" s="107"/>
      <c r="L29" s="107">
        <f t="shared" si="5"/>
        <v>0</v>
      </c>
      <c r="N29" s="338">
        <f t="shared" si="6"/>
        <v>0</v>
      </c>
      <c r="O29" s="339"/>
      <c r="P29" s="307" t="str">
        <f>IFERROR(IF(MONTH($C29)=MONTH($J$6),SUMIFS(F$15:F29,$C$15:$C29,"&gt;"&amp;EOMONTH($C29,-12)),""),"")</f>
        <v/>
      </c>
      <c r="Q29" s="307" t="str">
        <f>IFERROR(IF(MONTH($C29)=MONTH($J$6),SUMIFS(G$15:G29,$C$15:$C29,"&gt;"&amp;EOMONTH($C29,-12))+SUMIFS(H$15:H29,$C$15:$C29,"&gt;"&amp;EOMONTH($C29,-12)),""),"")</f>
        <v/>
      </c>
    </row>
    <row r="30" spans="2:17" ht="12.75" customHeight="1" x14ac:dyDescent="0.25">
      <c r="B30">
        <f t="shared" si="0"/>
        <v>15</v>
      </c>
      <c r="C30" s="58" t="str">
        <f t="shared" si="7"/>
        <v/>
      </c>
      <c r="D30" s="44">
        <f t="shared" si="8"/>
        <v>0</v>
      </c>
      <c r="E30" s="107">
        <f t="shared" si="1"/>
        <v>0</v>
      </c>
      <c r="F30" s="44">
        <f t="shared" si="2"/>
        <v>0</v>
      </c>
      <c r="G30" s="106">
        <f t="shared" si="3"/>
        <v>0</v>
      </c>
      <c r="H30" s="106">
        <f t="shared" si="4"/>
        <v>0</v>
      </c>
      <c r="I30" s="44">
        <f t="shared" si="9"/>
        <v>0</v>
      </c>
      <c r="J30" s="107"/>
      <c r="L30" s="107">
        <f t="shared" si="5"/>
        <v>0</v>
      </c>
      <c r="N30" s="338">
        <f t="shared" si="6"/>
        <v>0</v>
      </c>
      <c r="O30" s="339"/>
      <c r="P30" s="307" t="str">
        <f>IFERROR(IF(MONTH($C30)=MONTH($J$6),SUMIFS(F$15:F30,$C$15:$C30,"&gt;"&amp;EOMONTH($C30,-12)),""),"")</f>
        <v/>
      </c>
      <c r="Q30" s="307" t="str">
        <f>IFERROR(IF(MONTH($C30)=MONTH($J$6),SUMIFS(G$15:G30,$C$15:$C30,"&gt;"&amp;EOMONTH($C30,-12))+SUMIFS(H$15:H30,$C$15:$C30,"&gt;"&amp;EOMONTH($C30,-12)),""),"")</f>
        <v/>
      </c>
    </row>
    <row r="31" spans="2:17" ht="12.75" customHeight="1" x14ac:dyDescent="0.25">
      <c r="B31">
        <f t="shared" si="0"/>
        <v>16</v>
      </c>
      <c r="C31" s="58" t="str">
        <f t="shared" si="7"/>
        <v/>
      </c>
      <c r="D31" s="44">
        <f t="shared" si="8"/>
        <v>0</v>
      </c>
      <c r="E31" s="107">
        <f t="shared" si="1"/>
        <v>0</v>
      </c>
      <c r="F31" s="44">
        <f t="shared" si="2"/>
        <v>0</v>
      </c>
      <c r="G31" s="106">
        <f t="shared" si="3"/>
        <v>0</v>
      </c>
      <c r="H31" s="106">
        <f t="shared" si="4"/>
        <v>0</v>
      </c>
      <c r="I31" s="44">
        <f t="shared" si="9"/>
        <v>0</v>
      </c>
      <c r="J31" s="107"/>
      <c r="L31" s="107">
        <f t="shared" si="5"/>
        <v>0</v>
      </c>
      <c r="N31" s="338">
        <f t="shared" si="6"/>
        <v>0</v>
      </c>
      <c r="O31" s="339"/>
      <c r="P31" s="307" t="str">
        <f>IFERROR(IF(MONTH($C31)=MONTH($J$6),SUMIFS(F$15:F31,$C$15:$C31,"&gt;"&amp;EOMONTH($C31,-12)),""),"")</f>
        <v/>
      </c>
      <c r="Q31" s="307" t="str">
        <f>IFERROR(IF(MONTH($C31)=MONTH($J$6),SUMIFS(G$15:G31,$C$15:$C31,"&gt;"&amp;EOMONTH($C31,-12))+SUMIFS(H$15:H31,$C$15:$C31,"&gt;"&amp;EOMONTH($C31,-12)),""),"")</f>
        <v/>
      </c>
    </row>
    <row r="32" spans="2:17" ht="12.75" customHeight="1" x14ac:dyDescent="0.25">
      <c r="B32">
        <f t="shared" si="0"/>
        <v>17</v>
      </c>
      <c r="C32" s="58" t="str">
        <f t="shared" si="7"/>
        <v/>
      </c>
      <c r="D32" s="44">
        <f t="shared" si="8"/>
        <v>0</v>
      </c>
      <c r="E32" s="107">
        <f t="shared" si="1"/>
        <v>0</v>
      </c>
      <c r="F32" s="44">
        <f t="shared" si="2"/>
        <v>0</v>
      </c>
      <c r="G32" s="106">
        <f t="shared" si="3"/>
        <v>0</v>
      </c>
      <c r="H32" s="106">
        <f t="shared" si="4"/>
        <v>0</v>
      </c>
      <c r="I32" s="357">
        <f t="shared" si="9"/>
        <v>0</v>
      </c>
      <c r="J32" s="107"/>
      <c r="L32" s="107">
        <f t="shared" si="5"/>
        <v>0</v>
      </c>
      <c r="N32" s="338">
        <f t="shared" si="6"/>
        <v>0</v>
      </c>
      <c r="O32" s="339"/>
      <c r="P32" s="307" t="str">
        <f>IFERROR(IF(MONTH($C32)=MONTH($J$6),SUMIFS(F$15:F32,$C$15:$C32,"&gt;"&amp;EOMONTH($C32,-12)),""),"")</f>
        <v/>
      </c>
      <c r="Q32" s="307" t="str">
        <f>IFERROR(IF(MONTH($C32)=MONTH($J$6),SUMIFS(G$15:G32,$C$15:$C32,"&gt;"&amp;EOMONTH($C32,-12))+SUMIFS(H$15:H32,$C$15:$C32,"&gt;"&amp;EOMONTH($C32,-12)),""),"")</f>
        <v/>
      </c>
    </row>
    <row r="33" spans="2:17" ht="12.75" customHeight="1" x14ac:dyDescent="0.25">
      <c r="B33">
        <f t="shared" si="0"/>
        <v>18</v>
      </c>
      <c r="C33" s="58" t="str">
        <f t="shared" si="7"/>
        <v/>
      </c>
      <c r="D33" s="44">
        <f t="shared" si="8"/>
        <v>0</v>
      </c>
      <c r="E33" s="107">
        <f t="shared" si="1"/>
        <v>0</v>
      </c>
      <c r="F33" s="44">
        <f t="shared" si="2"/>
        <v>0</v>
      </c>
      <c r="G33" s="106">
        <f t="shared" si="3"/>
        <v>0</v>
      </c>
      <c r="H33" s="106">
        <f t="shared" si="4"/>
        <v>0</v>
      </c>
      <c r="I33" s="357">
        <f t="shared" si="9"/>
        <v>0</v>
      </c>
      <c r="J33" s="107"/>
      <c r="L33" s="107">
        <f t="shared" si="5"/>
        <v>0</v>
      </c>
      <c r="N33" s="338">
        <f t="shared" si="6"/>
        <v>0</v>
      </c>
      <c r="O33" s="339"/>
      <c r="P33" s="307" t="str">
        <f>IFERROR(IF(MONTH($C33)=MONTH($J$6),SUMIFS(F$15:F33,$C$15:$C33,"&gt;"&amp;EOMONTH($C33,-12)),""),"")</f>
        <v/>
      </c>
      <c r="Q33" s="307" t="str">
        <f>IFERROR(IF(MONTH($C33)=MONTH($J$6),SUMIFS(G$15:G33,$C$15:$C33,"&gt;"&amp;EOMONTH($C33,-12))+SUMIFS(H$15:H33,$C$15:$C33,"&gt;"&amp;EOMONTH($C33,-12)),""),"")</f>
        <v/>
      </c>
    </row>
    <row r="34" spans="2:17" ht="12.75" customHeight="1" x14ac:dyDescent="0.25">
      <c r="B34">
        <f t="shared" si="0"/>
        <v>19</v>
      </c>
      <c r="C34" s="58" t="str">
        <f t="shared" si="7"/>
        <v/>
      </c>
      <c r="D34" s="44">
        <f t="shared" si="8"/>
        <v>0</v>
      </c>
      <c r="E34" s="107">
        <f t="shared" si="1"/>
        <v>0</v>
      </c>
      <c r="F34" s="44">
        <f t="shared" si="2"/>
        <v>0</v>
      </c>
      <c r="G34" s="106">
        <f t="shared" si="3"/>
        <v>0</v>
      </c>
      <c r="H34" s="106">
        <f t="shared" si="4"/>
        <v>0</v>
      </c>
      <c r="I34" s="357">
        <f t="shared" si="9"/>
        <v>0</v>
      </c>
      <c r="J34" s="107"/>
      <c r="L34" s="107">
        <f t="shared" si="5"/>
        <v>0</v>
      </c>
      <c r="N34" s="338">
        <f t="shared" si="6"/>
        <v>0</v>
      </c>
      <c r="O34" s="339"/>
      <c r="P34" s="307" t="str">
        <f>IFERROR(IF(MONTH($C34)=MONTH($J$6),SUMIFS(F$15:F34,$C$15:$C34,"&gt;"&amp;EOMONTH($C34,-12)),""),"")</f>
        <v/>
      </c>
      <c r="Q34" s="307" t="str">
        <f>IFERROR(IF(MONTH($C34)=MONTH($J$6),SUMIFS(G$15:G34,$C$15:$C34,"&gt;"&amp;EOMONTH($C34,-12))+SUMIFS(H$15:H34,$C$15:$C34,"&gt;"&amp;EOMONTH($C34,-12)),""),"")</f>
        <v/>
      </c>
    </row>
    <row r="35" spans="2:17" ht="12.75" customHeight="1" x14ac:dyDescent="0.25">
      <c r="B35">
        <f t="shared" si="0"/>
        <v>20</v>
      </c>
      <c r="C35" s="58" t="str">
        <f t="shared" si="7"/>
        <v/>
      </c>
      <c r="D35" s="44">
        <f t="shared" si="8"/>
        <v>0</v>
      </c>
      <c r="E35" s="107">
        <f t="shared" si="1"/>
        <v>0</v>
      </c>
      <c r="F35" s="44">
        <f t="shared" si="2"/>
        <v>0</v>
      </c>
      <c r="G35" s="106">
        <f t="shared" si="3"/>
        <v>0</v>
      </c>
      <c r="H35" s="106">
        <f t="shared" si="4"/>
        <v>0</v>
      </c>
      <c r="I35" s="44">
        <f t="shared" si="9"/>
        <v>0</v>
      </c>
      <c r="J35" s="107"/>
      <c r="L35" s="107">
        <f t="shared" si="5"/>
        <v>0</v>
      </c>
      <c r="N35" s="338">
        <f t="shared" si="6"/>
        <v>0</v>
      </c>
      <c r="O35" s="339"/>
      <c r="P35" s="307" t="str">
        <f>IFERROR(IF(MONTH($C35)=MONTH($J$6),SUMIFS(F$15:F35,$C$15:$C35,"&gt;"&amp;EOMONTH($C35,-12)),""),"")</f>
        <v/>
      </c>
      <c r="Q35" s="307" t="str">
        <f>IFERROR(IF(MONTH($C35)=MONTH($J$6),SUMIFS(G$15:G35,$C$15:$C35,"&gt;"&amp;EOMONTH($C35,-12))+SUMIFS(H$15:H35,$C$15:$C35,"&gt;"&amp;EOMONTH($C35,-12)),""),"")</f>
        <v/>
      </c>
    </row>
    <row r="36" spans="2:17" ht="12.75" customHeight="1" x14ac:dyDescent="0.25">
      <c r="B36">
        <f t="shared" si="0"/>
        <v>21</v>
      </c>
      <c r="C36" s="58" t="str">
        <f t="shared" si="7"/>
        <v/>
      </c>
      <c r="D36" s="44">
        <f t="shared" si="8"/>
        <v>0</v>
      </c>
      <c r="E36" s="107">
        <f t="shared" si="1"/>
        <v>0</v>
      </c>
      <c r="F36" s="44">
        <f t="shared" si="2"/>
        <v>0</v>
      </c>
      <c r="G36" s="106">
        <f t="shared" si="3"/>
        <v>0</v>
      </c>
      <c r="H36" s="106">
        <f t="shared" si="4"/>
        <v>0</v>
      </c>
      <c r="I36" s="358">
        <f t="shared" si="9"/>
        <v>0</v>
      </c>
      <c r="J36" s="107"/>
      <c r="L36" s="107">
        <f t="shared" si="5"/>
        <v>0</v>
      </c>
      <c r="N36" s="338">
        <f t="shared" si="6"/>
        <v>0</v>
      </c>
      <c r="O36" s="339"/>
      <c r="P36" s="307" t="str">
        <f>IFERROR(IF(MONTH($C36)=MONTH($J$6),SUMIFS(F$15:F36,$C$15:$C36,"&gt;"&amp;EOMONTH($C36,-12)),""),"")</f>
        <v/>
      </c>
      <c r="Q36" s="307" t="str">
        <f>IFERROR(IF(MONTH($C36)=MONTH($J$6),SUMIFS(G$15:G36,$C$15:$C36,"&gt;"&amp;EOMONTH($C36,-12))+SUMIFS(H$15:H36,$C$15:$C36,"&gt;"&amp;EOMONTH($C36,-12)),""),"")</f>
        <v/>
      </c>
    </row>
    <row r="37" spans="2:17" ht="12.75" customHeight="1" x14ac:dyDescent="0.25">
      <c r="B37">
        <f t="shared" si="0"/>
        <v>22</v>
      </c>
      <c r="C37" s="58" t="str">
        <f t="shared" si="7"/>
        <v/>
      </c>
      <c r="D37" s="44">
        <f t="shared" si="8"/>
        <v>0</v>
      </c>
      <c r="E37" s="107">
        <f t="shared" si="1"/>
        <v>0</v>
      </c>
      <c r="F37" s="44">
        <f t="shared" si="2"/>
        <v>0</v>
      </c>
      <c r="G37" s="106">
        <f t="shared" si="3"/>
        <v>0</v>
      </c>
      <c r="H37" s="106">
        <f t="shared" si="4"/>
        <v>0</v>
      </c>
      <c r="I37" s="44">
        <f t="shared" si="9"/>
        <v>0</v>
      </c>
      <c r="J37" s="107"/>
      <c r="L37" s="107">
        <f t="shared" si="5"/>
        <v>0</v>
      </c>
      <c r="N37" s="338">
        <f t="shared" si="6"/>
        <v>0</v>
      </c>
      <c r="O37" s="339"/>
      <c r="P37" s="307" t="str">
        <f>IFERROR(IF(MONTH($C37)=MONTH($J$6),SUMIFS(F$15:F37,$C$15:$C37,"&gt;"&amp;EOMONTH($C37,-12)),""),"")</f>
        <v/>
      </c>
      <c r="Q37" s="307" t="str">
        <f>IFERROR(IF(MONTH($C37)=MONTH($J$6),SUMIFS(G$15:G37,$C$15:$C37,"&gt;"&amp;EOMONTH($C37,-12))+SUMIFS(H$15:H37,$C$15:$C37,"&gt;"&amp;EOMONTH($C37,-12)),""),"")</f>
        <v/>
      </c>
    </row>
    <row r="38" spans="2:17" ht="12.75" customHeight="1" x14ac:dyDescent="0.25">
      <c r="B38">
        <f t="shared" si="0"/>
        <v>23</v>
      </c>
      <c r="C38" s="58" t="str">
        <f t="shared" si="7"/>
        <v/>
      </c>
      <c r="D38" s="44">
        <f t="shared" si="8"/>
        <v>0</v>
      </c>
      <c r="E38" s="107">
        <f t="shared" si="1"/>
        <v>0</v>
      </c>
      <c r="F38" s="44">
        <f t="shared" si="2"/>
        <v>0</v>
      </c>
      <c r="G38" s="106">
        <f t="shared" si="3"/>
        <v>0</v>
      </c>
      <c r="H38" s="106">
        <f t="shared" si="4"/>
        <v>0</v>
      </c>
      <c r="I38" s="44">
        <f t="shared" si="9"/>
        <v>0</v>
      </c>
      <c r="J38" s="107"/>
      <c r="L38" s="107">
        <f t="shared" si="5"/>
        <v>0</v>
      </c>
      <c r="N38" s="338">
        <f t="shared" si="6"/>
        <v>0</v>
      </c>
      <c r="O38" s="339"/>
      <c r="P38" s="307" t="str">
        <f>IFERROR(IF(MONTH($C38)=MONTH($J$6),SUMIFS(F$15:F38,$C$15:$C38,"&gt;"&amp;EOMONTH($C38,-12)),""),"")</f>
        <v/>
      </c>
      <c r="Q38" s="307" t="str">
        <f>IFERROR(IF(MONTH($C38)=MONTH($J$6),SUMIFS(G$15:G38,$C$15:$C38,"&gt;"&amp;EOMONTH($C38,-12))+SUMIFS(H$15:H38,$C$15:$C38,"&gt;"&amp;EOMONTH($C38,-12)),""),"")</f>
        <v/>
      </c>
    </row>
    <row r="39" spans="2:17" ht="12.75" customHeight="1" x14ac:dyDescent="0.25">
      <c r="B39">
        <f t="shared" si="0"/>
        <v>24</v>
      </c>
      <c r="C39" s="58" t="str">
        <f t="shared" si="7"/>
        <v/>
      </c>
      <c r="D39" s="44">
        <f t="shared" si="8"/>
        <v>0</v>
      </c>
      <c r="E39" s="107">
        <f t="shared" si="1"/>
        <v>0</v>
      </c>
      <c r="F39" s="44">
        <f t="shared" si="2"/>
        <v>0</v>
      </c>
      <c r="G39" s="106">
        <f t="shared" si="3"/>
        <v>0</v>
      </c>
      <c r="H39" s="106">
        <f t="shared" si="4"/>
        <v>0</v>
      </c>
      <c r="I39" s="44">
        <f t="shared" si="9"/>
        <v>0</v>
      </c>
      <c r="J39" s="107"/>
      <c r="L39" s="107">
        <f t="shared" si="5"/>
        <v>0</v>
      </c>
      <c r="N39" s="338">
        <f t="shared" si="6"/>
        <v>0</v>
      </c>
      <c r="O39" s="339"/>
      <c r="P39" s="307" t="str">
        <f>IFERROR(IF(MONTH($C39)=MONTH($J$6),SUMIFS(F$15:F39,$C$15:$C39,"&gt;"&amp;EOMONTH($C39,-12)),""),"")</f>
        <v/>
      </c>
      <c r="Q39" s="307" t="str">
        <f>IFERROR(IF(MONTH($C39)=MONTH($J$6),SUMIFS(G$15:G39,$C$15:$C39,"&gt;"&amp;EOMONTH($C39,-12))+SUMIFS(H$15:H39,$C$15:$C39,"&gt;"&amp;EOMONTH($C39,-12)),""),"")</f>
        <v/>
      </c>
    </row>
    <row r="40" spans="2:17" ht="12.75" customHeight="1" x14ac:dyDescent="0.25">
      <c r="B40">
        <f t="shared" si="0"/>
        <v>25</v>
      </c>
      <c r="C40" s="58" t="str">
        <f t="shared" si="7"/>
        <v/>
      </c>
      <c r="D40" s="44">
        <f t="shared" si="8"/>
        <v>0</v>
      </c>
      <c r="E40" s="107">
        <f t="shared" si="1"/>
        <v>0</v>
      </c>
      <c r="F40" s="44">
        <f t="shared" si="2"/>
        <v>0</v>
      </c>
      <c r="G40" s="106">
        <f t="shared" si="3"/>
        <v>0</v>
      </c>
      <c r="H40" s="106">
        <f t="shared" si="4"/>
        <v>0</v>
      </c>
      <c r="I40" s="44">
        <f t="shared" si="9"/>
        <v>0</v>
      </c>
      <c r="J40" s="107"/>
      <c r="L40" s="107">
        <f t="shared" si="5"/>
        <v>0</v>
      </c>
      <c r="N40" s="338">
        <f t="shared" si="6"/>
        <v>0</v>
      </c>
      <c r="O40" s="339"/>
      <c r="P40" s="307" t="str">
        <f>IFERROR(IF(MONTH($C40)=MONTH($J$6),SUMIFS(F$15:F40,$C$15:$C40,"&gt;"&amp;EOMONTH($C40,-12)),""),"")</f>
        <v/>
      </c>
      <c r="Q40" s="307" t="str">
        <f>IFERROR(IF(MONTH($C40)=MONTH($J$6),SUMIFS(G$15:G40,$C$15:$C40,"&gt;"&amp;EOMONTH($C40,-12))+SUMIFS(H$15:H40,$C$15:$C40,"&gt;"&amp;EOMONTH($C40,-12)),""),"")</f>
        <v/>
      </c>
    </row>
    <row r="41" spans="2:17" ht="12.75" customHeight="1" x14ac:dyDescent="0.25">
      <c r="B41">
        <f t="shared" si="0"/>
        <v>26</v>
      </c>
      <c r="C41" s="58" t="str">
        <f t="shared" si="7"/>
        <v/>
      </c>
      <c r="D41" s="44">
        <f t="shared" si="8"/>
        <v>0</v>
      </c>
      <c r="E41" s="107">
        <f t="shared" si="1"/>
        <v>0</v>
      </c>
      <c r="F41" s="44">
        <f t="shared" si="2"/>
        <v>0</v>
      </c>
      <c r="G41" s="106">
        <f t="shared" si="3"/>
        <v>0</v>
      </c>
      <c r="H41" s="106">
        <f t="shared" si="4"/>
        <v>0</v>
      </c>
      <c r="I41" s="44">
        <f t="shared" si="9"/>
        <v>0</v>
      </c>
      <c r="J41" s="107"/>
      <c r="L41" s="107">
        <f t="shared" si="5"/>
        <v>0</v>
      </c>
      <c r="N41" s="338">
        <f t="shared" si="6"/>
        <v>0</v>
      </c>
      <c r="O41" s="339"/>
      <c r="P41" s="307" t="str">
        <f>IFERROR(IF(MONTH($C41)=MONTH($J$6),SUMIFS(F$15:F41,$C$15:$C41,"&gt;"&amp;EOMONTH($C41,-12)),""),"")</f>
        <v/>
      </c>
      <c r="Q41" s="307" t="str">
        <f>IFERROR(IF(MONTH($C41)=MONTH($J$6),SUMIFS(G$15:G41,$C$15:$C41,"&gt;"&amp;EOMONTH($C41,-12))+SUMIFS(H$15:H41,$C$15:$C41,"&gt;"&amp;EOMONTH($C41,-12)),""),"")</f>
        <v/>
      </c>
    </row>
    <row r="42" spans="2:17" ht="12.75" customHeight="1" x14ac:dyDescent="0.25">
      <c r="B42">
        <f t="shared" si="0"/>
        <v>27</v>
      </c>
      <c r="C42" s="58" t="str">
        <f t="shared" si="7"/>
        <v/>
      </c>
      <c r="D42" s="44">
        <f t="shared" si="8"/>
        <v>0</v>
      </c>
      <c r="E42" s="107">
        <f t="shared" si="1"/>
        <v>0</v>
      </c>
      <c r="F42" s="44">
        <f t="shared" si="2"/>
        <v>0</v>
      </c>
      <c r="G42" s="106">
        <f t="shared" si="3"/>
        <v>0</v>
      </c>
      <c r="H42" s="106">
        <f t="shared" si="4"/>
        <v>0</v>
      </c>
      <c r="I42" s="44">
        <f t="shared" si="9"/>
        <v>0</v>
      </c>
      <c r="J42" s="107"/>
      <c r="L42" s="107">
        <f t="shared" si="5"/>
        <v>0</v>
      </c>
      <c r="N42" s="338">
        <f t="shared" si="6"/>
        <v>0</v>
      </c>
      <c r="O42" s="339"/>
      <c r="P42" s="307" t="str">
        <f>IFERROR(IF(MONTH($C42)=MONTH($J$6),SUMIFS(F$15:F42,$C$15:$C42,"&gt;"&amp;EOMONTH($C42,-12)),""),"")</f>
        <v/>
      </c>
      <c r="Q42" s="307" t="str">
        <f>IFERROR(IF(MONTH($C42)=MONTH($J$6),SUMIFS(G$15:G42,$C$15:$C42,"&gt;"&amp;EOMONTH($C42,-12))+SUMIFS(H$15:H42,$C$15:$C42,"&gt;"&amp;EOMONTH($C42,-12)),""),"")</f>
        <v/>
      </c>
    </row>
    <row r="43" spans="2:17" ht="12.75" customHeight="1" x14ac:dyDescent="0.25">
      <c r="B43">
        <f t="shared" si="0"/>
        <v>28</v>
      </c>
      <c r="C43" s="58" t="str">
        <f t="shared" si="7"/>
        <v/>
      </c>
      <c r="D43" s="44">
        <f t="shared" si="8"/>
        <v>0</v>
      </c>
      <c r="E43" s="107">
        <f t="shared" si="1"/>
        <v>0</v>
      </c>
      <c r="F43" s="44">
        <f t="shared" si="2"/>
        <v>0</v>
      </c>
      <c r="G43" s="106">
        <f t="shared" si="3"/>
        <v>0</v>
      </c>
      <c r="H43" s="106">
        <f t="shared" si="4"/>
        <v>0</v>
      </c>
      <c r="I43" s="44">
        <f t="shared" si="9"/>
        <v>0</v>
      </c>
      <c r="J43" s="107"/>
      <c r="L43" s="107">
        <f t="shared" si="5"/>
        <v>0</v>
      </c>
      <c r="N43" s="338">
        <f t="shared" si="6"/>
        <v>0</v>
      </c>
      <c r="O43" s="339"/>
      <c r="P43" s="307" t="str">
        <f>IFERROR(IF(MONTH($C43)=MONTH($J$6),SUMIFS(F$15:F43,$C$15:$C43,"&gt;"&amp;EOMONTH($C43,-12)),""),"")</f>
        <v/>
      </c>
      <c r="Q43" s="307" t="str">
        <f>IFERROR(IF(MONTH($C43)=MONTH($J$6),SUMIFS(G$15:G43,$C$15:$C43,"&gt;"&amp;EOMONTH($C43,-12))+SUMIFS(H$15:H43,$C$15:$C43,"&gt;"&amp;EOMONTH($C43,-12)),""),"")</f>
        <v/>
      </c>
    </row>
    <row r="44" spans="2:17" ht="12.75" customHeight="1" x14ac:dyDescent="0.25">
      <c r="B44">
        <f t="shared" si="0"/>
        <v>29</v>
      </c>
      <c r="C44" s="58" t="str">
        <f t="shared" si="7"/>
        <v/>
      </c>
      <c r="D44" s="44">
        <f t="shared" si="8"/>
        <v>0</v>
      </c>
      <c r="E44" s="107">
        <f t="shared" si="1"/>
        <v>0</v>
      </c>
      <c r="F44" s="44">
        <f t="shared" si="2"/>
        <v>0</v>
      </c>
      <c r="G44" s="106">
        <f t="shared" si="3"/>
        <v>0</v>
      </c>
      <c r="H44" s="106">
        <f t="shared" si="4"/>
        <v>0</v>
      </c>
      <c r="I44" s="44">
        <f t="shared" si="9"/>
        <v>0</v>
      </c>
      <c r="J44" s="107"/>
      <c r="L44" s="107">
        <f t="shared" si="5"/>
        <v>0</v>
      </c>
      <c r="N44" s="338">
        <f t="shared" si="6"/>
        <v>0</v>
      </c>
      <c r="O44" s="339"/>
      <c r="P44" s="307" t="str">
        <f>IFERROR(IF(MONTH($C44)=MONTH($J$6),SUMIFS(F$15:F44,$C$15:$C44,"&gt;"&amp;EOMONTH($C44,-12)),""),"")</f>
        <v/>
      </c>
      <c r="Q44" s="307" t="str">
        <f>IFERROR(IF(MONTH($C44)=MONTH($J$6),SUMIFS(G$15:G44,$C$15:$C44,"&gt;"&amp;EOMONTH($C44,-12))+SUMIFS(H$15:H44,$C$15:$C44,"&gt;"&amp;EOMONTH($C44,-12)),""),"")</f>
        <v/>
      </c>
    </row>
    <row r="45" spans="2:17" ht="12.75" customHeight="1" x14ac:dyDescent="0.25">
      <c r="B45">
        <f t="shared" si="0"/>
        <v>30</v>
      </c>
      <c r="C45" s="58" t="str">
        <f t="shared" si="7"/>
        <v/>
      </c>
      <c r="D45" s="44">
        <f t="shared" si="8"/>
        <v>0</v>
      </c>
      <c r="E45" s="107">
        <f t="shared" si="1"/>
        <v>0</v>
      </c>
      <c r="F45" s="44">
        <f t="shared" si="2"/>
        <v>0</v>
      </c>
      <c r="G45" s="106">
        <f t="shared" si="3"/>
        <v>0</v>
      </c>
      <c r="H45" s="106">
        <f t="shared" si="4"/>
        <v>0</v>
      </c>
      <c r="I45" s="44">
        <f t="shared" si="9"/>
        <v>0</v>
      </c>
      <c r="J45" s="107"/>
      <c r="L45" s="107">
        <f t="shared" si="5"/>
        <v>0</v>
      </c>
      <c r="N45" s="338">
        <f t="shared" si="6"/>
        <v>0</v>
      </c>
      <c r="O45" s="339"/>
      <c r="P45" s="307" t="str">
        <f>IFERROR(IF(MONTH($C45)=MONTH($J$6),SUMIFS(F$15:F45,$C$15:$C45,"&gt;"&amp;EOMONTH($C45,-12)),""),"")</f>
        <v/>
      </c>
      <c r="Q45" s="307" t="str">
        <f>IFERROR(IF(MONTH($C45)=MONTH($J$6),SUMIFS(G$15:G45,$C$15:$C45,"&gt;"&amp;EOMONTH($C45,-12))+SUMIFS(H$15:H45,$C$15:$C45,"&gt;"&amp;EOMONTH($C45,-12)),""),"")</f>
        <v/>
      </c>
    </row>
    <row r="46" spans="2:17" ht="12.75" customHeight="1" x14ac:dyDescent="0.25">
      <c r="B46">
        <f t="shared" si="0"/>
        <v>31</v>
      </c>
      <c r="C46" s="58" t="str">
        <f t="shared" si="7"/>
        <v/>
      </c>
      <c r="D46" s="44">
        <f t="shared" si="8"/>
        <v>0</v>
      </c>
      <c r="E46" s="107">
        <f t="shared" si="1"/>
        <v>0</v>
      </c>
      <c r="F46" s="44">
        <f t="shared" si="2"/>
        <v>0</v>
      </c>
      <c r="G46" s="106">
        <f t="shared" si="3"/>
        <v>0</v>
      </c>
      <c r="H46" s="106">
        <f t="shared" si="4"/>
        <v>0</v>
      </c>
      <c r="I46" s="44">
        <f t="shared" si="9"/>
        <v>0</v>
      </c>
      <c r="J46" s="107"/>
      <c r="L46" s="107">
        <f t="shared" si="5"/>
        <v>0</v>
      </c>
      <c r="N46" s="338">
        <f t="shared" si="6"/>
        <v>0</v>
      </c>
      <c r="O46" s="339"/>
      <c r="P46" s="307" t="str">
        <f>IFERROR(IF(MONTH($C46)=MONTH($J$6),SUMIFS(F$15:F46,$C$15:$C46,"&gt;"&amp;EOMONTH($C46,-12)),""),"")</f>
        <v/>
      </c>
      <c r="Q46" s="307" t="str">
        <f>IFERROR(IF(MONTH($C46)=MONTH($J$6),SUMIFS(G$15:G46,$C$15:$C46,"&gt;"&amp;EOMONTH($C46,-12))+SUMIFS(H$15:H46,$C$15:$C46,"&gt;"&amp;EOMONTH($C46,-12)),""),"")</f>
        <v/>
      </c>
    </row>
    <row r="47" spans="2:17" ht="12.75" customHeight="1" x14ac:dyDescent="0.25">
      <c r="B47">
        <f t="shared" si="0"/>
        <v>32</v>
      </c>
      <c r="C47" s="58" t="str">
        <f t="shared" si="7"/>
        <v/>
      </c>
      <c r="D47" s="44">
        <f t="shared" si="8"/>
        <v>0</v>
      </c>
      <c r="E47" s="107">
        <f t="shared" si="1"/>
        <v>0</v>
      </c>
      <c r="F47" s="44">
        <f t="shared" si="2"/>
        <v>0</v>
      </c>
      <c r="G47" s="106">
        <f t="shared" si="3"/>
        <v>0</v>
      </c>
      <c r="H47" s="106">
        <f t="shared" si="4"/>
        <v>0</v>
      </c>
      <c r="I47" s="44">
        <f t="shared" si="9"/>
        <v>0</v>
      </c>
      <c r="J47" s="107"/>
      <c r="L47" s="107">
        <f t="shared" si="5"/>
        <v>0</v>
      </c>
      <c r="N47" s="338">
        <f t="shared" si="6"/>
        <v>0</v>
      </c>
      <c r="O47" s="339"/>
      <c r="P47" s="307" t="str">
        <f>IFERROR(IF(MONTH($C47)=MONTH($J$6),SUMIFS(F$15:F47,$C$15:$C47,"&gt;"&amp;EOMONTH($C47,-12)),""),"")</f>
        <v/>
      </c>
      <c r="Q47" s="307" t="str">
        <f>IFERROR(IF(MONTH($C47)=MONTH($J$6),SUMIFS(G$15:G47,$C$15:$C47,"&gt;"&amp;EOMONTH($C47,-12))+SUMIFS(H$15:H47,$C$15:$C47,"&gt;"&amp;EOMONTH($C47,-12)),""),"")</f>
        <v/>
      </c>
    </row>
    <row r="48" spans="2:17" ht="12.75" customHeight="1" x14ac:dyDescent="0.25">
      <c r="B48">
        <f t="shared" si="0"/>
        <v>33</v>
      </c>
      <c r="C48" s="58" t="str">
        <f t="shared" si="7"/>
        <v/>
      </c>
      <c r="D48" s="44">
        <f t="shared" si="8"/>
        <v>0</v>
      </c>
      <c r="E48" s="107">
        <f t="shared" si="1"/>
        <v>0</v>
      </c>
      <c r="F48" s="44">
        <f t="shared" si="2"/>
        <v>0</v>
      </c>
      <c r="G48" s="106">
        <f t="shared" ref="G48:G79" si="10">ROUND(IFERROR((IF(B48&lt;=$D$8,(E48+IF(Loan_Type&lt;&gt;"Tax Loan",I47,0))*$D$6*30/360,0)),0),2)</f>
        <v>0</v>
      </c>
      <c r="H48" s="106">
        <f t="shared" si="4"/>
        <v>0</v>
      </c>
      <c r="I48" s="44">
        <f t="shared" si="9"/>
        <v>0</v>
      </c>
      <c r="J48" s="107"/>
      <c r="L48" s="107">
        <f t="shared" si="5"/>
        <v>0</v>
      </c>
      <c r="N48" s="338">
        <f t="shared" si="6"/>
        <v>0</v>
      </c>
      <c r="O48" s="339"/>
      <c r="P48" s="307" t="str">
        <f>IFERROR(IF(MONTH($C48)=MONTH($J$6),SUMIFS(F$15:F48,$C$15:$C48,"&gt;"&amp;EOMONTH($C48,-12)),""),"")</f>
        <v/>
      </c>
      <c r="Q48" s="307" t="str">
        <f>IFERROR(IF(MONTH($C48)=MONTH($J$6),SUMIFS(G$15:G48,$C$15:$C48,"&gt;"&amp;EOMONTH($C48,-12))+SUMIFS(H$15:H48,$C$15:$C48,"&gt;"&amp;EOMONTH($C48,-12)),""),"")</f>
        <v/>
      </c>
    </row>
    <row r="49" spans="2:17" ht="12.75" customHeight="1" x14ac:dyDescent="0.25">
      <c r="B49">
        <f t="shared" si="0"/>
        <v>34</v>
      </c>
      <c r="C49" s="58" t="str">
        <f t="shared" si="7"/>
        <v/>
      </c>
      <c r="D49" s="44">
        <f t="shared" si="8"/>
        <v>0</v>
      </c>
      <c r="E49" s="107">
        <f t="shared" si="1"/>
        <v>0</v>
      </c>
      <c r="F49" s="44">
        <f t="shared" si="2"/>
        <v>0</v>
      </c>
      <c r="G49" s="106">
        <f t="shared" si="10"/>
        <v>0</v>
      </c>
      <c r="H49" s="106">
        <f t="shared" si="4"/>
        <v>0</v>
      </c>
      <c r="I49" s="44">
        <f t="shared" si="9"/>
        <v>0</v>
      </c>
      <c r="J49" s="107"/>
      <c r="L49" s="107">
        <f t="shared" si="5"/>
        <v>0</v>
      </c>
      <c r="N49" s="338">
        <f t="shared" si="6"/>
        <v>0</v>
      </c>
      <c r="O49" s="339"/>
      <c r="P49" s="307" t="str">
        <f>IFERROR(IF(MONTH($C49)=MONTH($J$6),SUMIFS(F$15:F49,$C$15:$C49,"&gt;"&amp;EOMONTH($C49,-12)),""),"")</f>
        <v/>
      </c>
      <c r="Q49" s="307" t="str">
        <f>IFERROR(IF(MONTH($C49)=MONTH($J$6),SUMIFS(G$15:G49,$C$15:$C49,"&gt;"&amp;EOMONTH($C49,-12))+SUMIFS(H$15:H49,$C$15:$C49,"&gt;"&amp;EOMONTH($C49,-12)),""),"")</f>
        <v/>
      </c>
    </row>
    <row r="50" spans="2:17" ht="12.75" customHeight="1" x14ac:dyDescent="0.25">
      <c r="B50">
        <f t="shared" si="0"/>
        <v>35</v>
      </c>
      <c r="C50" s="58" t="str">
        <f t="shared" si="7"/>
        <v/>
      </c>
      <c r="D50" s="44">
        <f t="shared" si="8"/>
        <v>0</v>
      </c>
      <c r="E50" s="107">
        <f t="shared" si="1"/>
        <v>0</v>
      </c>
      <c r="F50" s="44">
        <f t="shared" si="2"/>
        <v>0</v>
      </c>
      <c r="G50" s="106">
        <f t="shared" si="10"/>
        <v>0</v>
      </c>
      <c r="H50" s="106">
        <f t="shared" si="4"/>
        <v>0</v>
      </c>
      <c r="I50" s="44">
        <f t="shared" si="9"/>
        <v>0</v>
      </c>
      <c r="J50" s="107"/>
      <c r="L50" s="107">
        <f t="shared" si="5"/>
        <v>0</v>
      </c>
      <c r="N50" s="338">
        <f t="shared" si="6"/>
        <v>0</v>
      </c>
      <c r="O50" s="339"/>
      <c r="P50" s="307" t="str">
        <f>IFERROR(IF(MONTH($C50)=MONTH($J$6),SUMIFS(F$15:F50,$C$15:$C50,"&gt;"&amp;EOMONTH($C50,-12)),""),"")</f>
        <v/>
      </c>
      <c r="Q50" s="307" t="str">
        <f>IFERROR(IF(MONTH($C50)=MONTH($J$6),SUMIFS(G$15:G50,$C$15:$C50,"&gt;"&amp;EOMONTH($C50,-12))+SUMIFS(H$15:H50,$C$15:$C50,"&gt;"&amp;EOMONTH($C50,-12)),""),"")</f>
        <v/>
      </c>
    </row>
    <row r="51" spans="2:17" ht="12.75" customHeight="1" x14ac:dyDescent="0.25">
      <c r="B51">
        <f t="shared" si="0"/>
        <v>36</v>
      </c>
      <c r="C51" s="58" t="str">
        <f t="shared" si="7"/>
        <v/>
      </c>
      <c r="D51" s="44">
        <f t="shared" si="8"/>
        <v>0</v>
      </c>
      <c r="E51" s="107">
        <f t="shared" si="1"/>
        <v>0</v>
      </c>
      <c r="F51" s="44">
        <f t="shared" si="2"/>
        <v>0</v>
      </c>
      <c r="G51" s="106">
        <f t="shared" si="10"/>
        <v>0</v>
      </c>
      <c r="H51" s="106">
        <f t="shared" si="4"/>
        <v>0</v>
      </c>
      <c r="I51" s="44">
        <f t="shared" si="9"/>
        <v>0</v>
      </c>
      <c r="J51" s="107"/>
      <c r="L51" s="107">
        <f t="shared" si="5"/>
        <v>0</v>
      </c>
      <c r="N51" s="338">
        <f t="shared" si="6"/>
        <v>0</v>
      </c>
      <c r="O51" s="339"/>
      <c r="P51" s="307" t="str">
        <f>IFERROR(IF(MONTH($C51)=MONTH($J$6),SUMIFS(F$15:F51,$C$15:$C51,"&gt;"&amp;EOMONTH($C51,-12)),""),"")</f>
        <v/>
      </c>
      <c r="Q51" s="307" t="str">
        <f>IFERROR(IF(MONTH($C51)=MONTH($J$6),SUMIFS(G$15:G51,$C$15:$C51,"&gt;"&amp;EOMONTH($C51,-12))+SUMIFS(H$15:H51,$C$15:$C51,"&gt;"&amp;EOMONTH($C51,-12)),""),"")</f>
        <v/>
      </c>
    </row>
    <row r="52" spans="2:17" ht="12.75" customHeight="1" x14ac:dyDescent="0.25">
      <c r="B52">
        <f t="shared" si="0"/>
        <v>37</v>
      </c>
      <c r="C52" s="58" t="str">
        <f t="shared" si="7"/>
        <v/>
      </c>
      <c r="D52" s="44">
        <f t="shared" si="8"/>
        <v>0</v>
      </c>
      <c r="E52" s="107">
        <f t="shared" si="1"/>
        <v>0</v>
      </c>
      <c r="F52" s="44">
        <f t="shared" si="2"/>
        <v>0</v>
      </c>
      <c r="G52" s="106">
        <f t="shared" si="10"/>
        <v>0</v>
      </c>
      <c r="H52" s="106">
        <f t="shared" si="4"/>
        <v>0</v>
      </c>
      <c r="I52" s="44">
        <f t="shared" si="9"/>
        <v>0</v>
      </c>
      <c r="J52" s="107"/>
      <c r="L52" s="107">
        <f t="shared" si="5"/>
        <v>0</v>
      </c>
      <c r="N52" s="338">
        <f t="shared" si="6"/>
        <v>0</v>
      </c>
      <c r="O52" s="339"/>
      <c r="P52" s="307" t="str">
        <f>IFERROR(IF(MONTH($C52)=MONTH($J$6),SUMIFS(F$15:F52,$C$15:$C52,"&gt;"&amp;EOMONTH($C52,-12)),""),"")</f>
        <v/>
      </c>
      <c r="Q52" s="307" t="str">
        <f>IFERROR(IF(MONTH($C52)=MONTH($J$6),SUMIFS(G$15:G52,$C$15:$C52,"&gt;"&amp;EOMONTH($C52,-12))+SUMIFS(H$15:H52,$C$15:$C52,"&gt;"&amp;EOMONTH($C52,-12)),""),"")</f>
        <v/>
      </c>
    </row>
    <row r="53" spans="2:17" ht="12.75" customHeight="1" x14ac:dyDescent="0.25">
      <c r="B53">
        <f t="shared" si="0"/>
        <v>38</v>
      </c>
      <c r="C53" s="58" t="str">
        <f t="shared" si="7"/>
        <v/>
      </c>
      <c r="D53" s="44">
        <f t="shared" si="8"/>
        <v>0</v>
      </c>
      <c r="E53" s="107">
        <f t="shared" si="1"/>
        <v>0</v>
      </c>
      <c r="F53" s="44">
        <f t="shared" si="2"/>
        <v>0</v>
      </c>
      <c r="G53" s="106">
        <f t="shared" si="10"/>
        <v>0</v>
      </c>
      <c r="H53" s="106">
        <f t="shared" si="4"/>
        <v>0</v>
      </c>
      <c r="I53" s="44">
        <f t="shared" si="9"/>
        <v>0</v>
      </c>
      <c r="J53" s="107"/>
      <c r="L53" s="107">
        <f t="shared" si="5"/>
        <v>0</v>
      </c>
      <c r="N53" s="338">
        <f t="shared" si="6"/>
        <v>0</v>
      </c>
      <c r="O53" s="339"/>
      <c r="P53" s="307" t="str">
        <f>IFERROR(IF(MONTH($C53)=MONTH($J$6),SUMIFS(F$15:F53,$C$15:$C53,"&gt;"&amp;EOMONTH($C53,-12)),""),"")</f>
        <v/>
      </c>
      <c r="Q53" s="307" t="str">
        <f>IFERROR(IF(MONTH($C53)=MONTH($J$6),SUMIFS(G$15:G53,$C$15:$C53,"&gt;"&amp;EOMONTH($C53,-12))+SUMIFS(H$15:H53,$C$15:$C53,"&gt;"&amp;EOMONTH($C53,-12)),""),"")</f>
        <v/>
      </c>
    </row>
    <row r="54" spans="2:17" ht="12.75" customHeight="1" x14ac:dyDescent="0.25">
      <c r="B54">
        <f t="shared" si="0"/>
        <v>39</v>
      </c>
      <c r="C54" s="58" t="str">
        <f t="shared" si="7"/>
        <v/>
      </c>
      <c r="D54" s="44">
        <f t="shared" si="8"/>
        <v>0</v>
      </c>
      <c r="E54" s="107">
        <f t="shared" si="1"/>
        <v>0</v>
      </c>
      <c r="F54" s="44">
        <f t="shared" si="2"/>
        <v>0</v>
      </c>
      <c r="G54" s="106">
        <f t="shared" si="10"/>
        <v>0</v>
      </c>
      <c r="H54" s="106">
        <f t="shared" si="4"/>
        <v>0</v>
      </c>
      <c r="I54" s="44">
        <f t="shared" si="9"/>
        <v>0</v>
      </c>
      <c r="J54" s="107"/>
      <c r="L54" s="107">
        <f t="shared" si="5"/>
        <v>0</v>
      </c>
      <c r="N54" s="338">
        <f t="shared" si="6"/>
        <v>0</v>
      </c>
      <c r="O54" s="339"/>
      <c r="P54" s="307" t="str">
        <f>IFERROR(IF(MONTH($C54)=MONTH($J$6),SUMIFS(F$15:F54,$C$15:$C54,"&gt;"&amp;EOMONTH($C54,-12)),""),"")</f>
        <v/>
      </c>
      <c r="Q54" s="307" t="str">
        <f>IFERROR(IF(MONTH($C54)=MONTH($J$6),SUMIFS(G$15:G54,$C$15:$C54,"&gt;"&amp;EOMONTH($C54,-12))+SUMIFS(H$15:H54,$C$15:$C54,"&gt;"&amp;EOMONTH($C54,-12)),""),"")</f>
        <v/>
      </c>
    </row>
    <row r="55" spans="2:17" ht="12.75" customHeight="1" x14ac:dyDescent="0.25">
      <c r="B55">
        <f t="shared" si="0"/>
        <v>40</v>
      </c>
      <c r="C55" s="58" t="str">
        <f t="shared" si="7"/>
        <v/>
      </c>
      <c r="D55" s="44">
        <f t="shared" si="8"/>
        <v>0</v>
      </c>
      <c r="E55" s="107">
        <f t="shared" si="1"/>
        <v>0</v>
      </c>
      <c r="F55" s="44">
        <f t="shared" si="2"/>
        <v>0</v>
      </c>
      <c r="G55" s="106">
        <f t="shared" si="10"/>
        <v>0</v>
      </c>
      <c r="H55" s="106">
        <f t="shared" si="4"/>
        <v>0</v>
      </c>
      <c r="I55" s="44">
        <f t="shared" si="9"/>
        <v>0</v>
      </c>
      <c r="J55" s="107"/>
      <c r="L55" s="107">
        <f t="shared" si="5"/>
        <v>0</v>
      </c>
      <c r="N55" s="338">
        <f t="shared" si="6"/>
        <v>0</v>
      </c>
      <c r="O55" s="339"/>
      <c r="P55" s="307" t="str">
        <f>IFERROR(IF(MONTH($C55)=MONTH($J$6),SUMIFS(F$15:F55,$C$15:$C55,"&gt;"&amp;EOMONTH($C55,-12)),""),"")</f>
        <v/>
      </c>
      <c r="Q55" s="307" t="str">
        <f>IFERROR(IF(MONTH($C55)=MONTH($J$6),SUMIFS(G$15:G55,$C$15:$C55,"&gt;"&amp;EOMONTH($C55,-12))+SUMIFS(H$15:H55,$C$15:$C55,"&gt;"&amp;EOMONTH($C55,-12)),""),"")</f>
        <v/>
      </c>
    </row>
    <row r="56" spans="2:17" ht="12.75" customHeight="1" x14ac:dyDescent="0.25">
      <c r="B56">
        <f t="shared" si="0"/>
        <v>41</v>
      </c>
      <c r="C56" s="58" t="str">
        <f t="shared" si="7"/>
        <v/>
      </c>
      <c r="D56" s="44">
        <f t="shared" si="8"/>
        <v>0</v>
      </c>
      <c r="E56" s="107">
        <f t="shared" si="1"/>
        <v>0</v>
      </c>
      <c r="F56" s="44">
        <f t="shared" si="2"/>
        <v>0</v>
      </c>
      <c r="G56" s="106">
        <f t="shared" si="10"/>
        <v>0</v>
      </c>
      <c r="H56" s="106">
        <f t="shared" si="4"/>
        <v>0</v>
      </c>
      <c r="I56" s="44">
        <f t="shared" si="9"/>
        <v>0</v>
      </c>
      <c r="J56" s="107"/>
      <c r="L56" s="107">
        <f t="shared" si="5"/>
        <v>0</v>
      </c>
      <c r="N56" s="338">
        <f t="shared" si="6"/>
        <v>0</v>
      </c>
      <c r="O56" s="339"/>
      <c r="P56" s="307" t="str">
        <f>IFERROR(IF(MONTH($C56)=MONTH($J$6),SUMIFS(F$15:F56,$C$15:$C56,"&gt;"&amp;EOMONTH($C56,-12)),""),"")</f>
        <v/>
      </c>
      <c r="Q56" s="307" t="str">
        <f>IFERROR(IF(MONTH($C56)=MONTH($J$6),SUMIFS(G$15:G56,$C$15:$C56,"&gt;"&amp;EOMONTH($C56,-12))+SUMIFS(H$15:H56,$C$15:$C56,"&gt;"&amp;EOMONTH($C56,-12)),""),"")</f>
        <v/>
      </c>
    </row>
    <row r="57" spans="2:17" ht="12.75" customHeight="1" x14ac:dyDescent="0.25">
      <c r="B57">
        <f t="shared" si="0"/>
        <v>42</v>
      </c>
      <c r="C57" s="58" t="str">
        <f t="shared" si="7"/>
        <v/>
      </c>
      <c r="D57" s="44">
        <f t="shared" si="8"/>
        <v>0</v>
      </c>
      <c r="E57" s="107">
        <f t="shared" si="1"/>
        <v>0</v>
      </c>
      <c r="F57" s="44">
        <f t="shared" si="2"/>
        <v>0</v>
      </c>
      <c r="G57" s="106">
        <f t="shared" si="10"/>
        <v>0</v>
      </c>
      <c r="H57" s="106">
        <f t="shared" si="4"/>
        <v>0</v>
      </c>
      <c r="I57" s="44">
        <f t="shared" si="9"/>
        <v>0</v>
      </c>
      <c r="J57" s="107"/>
      <c r="L57" s="107">
        <f t="shared" si="5"/>
        <v>0</v>
      </c>
      <c r="N57" s="338">
        <f t="shared" si="6"/>
        <v>0</v>
      </c>
      <c r="O57" s="339"/>
      <c r="P57" s="307" t="str">
        <f>IFERROR(IF(MONTH($C57)=MONTH($J$6),SUMIFS(F$15:F57,$C$15:$C57,"&gt;"&amp;EOMONTH($C57,-12)),""),"")</f>
        <v/>
      </c>
      <c r="Q57" s="307" t="str">
        <f>IFERROR(IF(MONTH($C57)=MONTH($J$6),SUMIFS(G$15:G57,$C$15:$C57,"&gt;"&amp;EOMONTH($C57,-12))+SUMIFS(H$15:H57,$C$15:$C57,"&gt;"&amp;EOMONTH($C57,-12)),""),"")</f>
        <v/>
      </c>
    </row>
    <row r="58" spans="2:17" ht="12.75" customHeight="1" x14ac:dyDescent="0.25">
      <c r="B58">
        <f t="shared" si="0"/>
        <v>43</v>
      </c>
      <c r="C58" s="58" t="str">
        <f t="shared" si="7"/>
        <v/>
      </c>
      <c r="D58" s="44">
        <f t="shared" si="8"/>
        <v>0</v>
      </c>
      <c r="E58" s="107">
        <f t="shared" si="1"/>
        <v>0</v>
      </c>
      <c r="F58" s="44">
        <f t="shared" si="2"/>
        <v>0</v>
      </c>
      <c r="G58" s="106">
        <f t="shared" si="10"/>
        <v>0</v>
      </c>
      <c r="H58" s="106">
        <f t="shared" si="4"/>
        <v>0</v>
      </c>
      <c r="I58" s="44">
        <f t="shared" si="9"/>
        <v>0</v>
      </c>
      <c r="J58" s="107"/>
      <c r="L58" s="107">
        <f t="shared" si="5"/>
        <v>0</v>
      </c>
      <c r="N58" s="338">
        <f t="shared" si="6"/>
        <v>0</v>
      </c>
      <c r="O58" s="339"/>
      <c r="P58" s="307" t="str">
        <f>IFERROR(IF(MONTH($C58)=MONTH($J$6),SUMIFS(F$15:F58,$C$15:$C58,"&gt;"&amp;EOMONTH($C58,-12)),""),"")</f>
        <v/>
      </c>
      <c r="Q58" s="307" t="str">
        <f>IFERROR(IF(MONTH($C58)=MONTH($J$6),SUMIFS(G$15:G58,$C$15:$C58,"&gt;"&amp;EOMONTH($C58,-12))+SUMIFS(H$15:H58,$C$15:$C58,"&gt;"&amp;EOMONTH($C58,-12)),""),"")</f>
        <v/>
      </c>
    </row>
    <row r="59" spans="2:17" ht="12.75" customHeight="1" x14ac:dyDescent="0.25">
      <c r="B59">
        <f t="shared" si="0"/>
        <v>44</v>
      </c>
      <c r="C59" s="58" t="str">
        <f t="shared" si="7"/>
        <v/>
      </c>
      <c r="D59" s="44">
        <f t="shared" si="8"/>
        <v>0</v>
      </c>
      <c r="E59" s="107">
        <f t="shared" si="1"/>
        <v>0</v>
      </c>
      <c r="F59" s="44">
        <f t="shared" si="2"/>
        <v>0</v>
      </c>
      <c r="G59" s="106">
        <f t="shared" si="10"/>
        <v>0</v>
      </c>
      <c r="H59" s="106">
        <f t="shared" si="4"/>
        <v>0</v>
      </c>
      <c r="I59" s="44">
        <f t="shared" si="9"/>
        <v>0</v>
      </c>
      <c r="J59" s="107"/>
      <c r="L59" s="107">
        <f t="shared" si="5"/>
        <v>0</v>
      </c>
      <c r="N59" s="338">
        <f t="shared" si="6"/>
        <v>0</v>
      </c>
      <c r="O59" s="339"/>
      <c r="P59" s="307" t="str">
        <f>IFERROR(IF(MONTH($C59)=MONTH($J$6),SUMIFS(F$15:F59,$C$15:$C59,"&gt;"&amp;EOMONTH($C59,-12)),""),"")</f>
        <v/>
      </c>
      <c r="Q59" s="307" t="str">
        <f>IFERROR(IF(MONTH($C59)=MONTH($J$6),SUMIFS(G$15:G59,$C$15:$C59,"&gt;"&amp;EOMONTH($C59,-12))+SUMIFS(H$15:H59,$C$15:$C59,"&gt;"&amp;EOMONTH($C59,-12)),""),"")</f>
        <v/>
      </c>
    </row>
    <row r="60" spans="2:17" ht="12.75" customHeight="1" x14ac:dyDescent="0.25">
      <c r="B60">
        <f t="shared" si="0"/>
        <v>45</v>
      </c>
      <c r="C60" s="58" t="str">
        <f t="shared" si="7"/>
        <v/>
      </c>
      <c r="D60" s="44">
        <f t="shared" si="8"/>
        <v>0</v>
      </c>
      <c r="E60" s="107">
        <f t="shared" si="1"/>
        <v>0</v>
      </c>
      <c r="F60" s="44">
        <f t="shared" si="2"/>
        <v>0</v>
      </c>
      <c r="G60" s="106">
        <f t="shared" si="10"/>
        <v>0</v>
      </c>
      <c r="H60" s="106">
        <f t="shared" si="4"/>
        <v>0</v>
      </c>
      <c r="I60" s="44">
        <f t="shared" si="9"/>
        <v>0</v>
      </c>
      <c r="J60" s="107"/>
      <c r="L60" s="107">
        <f t="shared" si="5"/>
        <v>0</v>
      </c>
      <c r="N60" s="338">
        <f t="shared" si="6"/>
        <v>0</v>
      </c>
      <c r="O60" s="339"/>
      <c r="P60" s="307" t="str">
        <f>IFERROR(IF(MONTH($C60)=MONTH($J$6),SUMIFS(F$15:F60,$C$15:$C60,"&gt;"&amp;EOMONTH($C60,-12)),""),"")</f>
        <v/>
      </c>
      <c r="Q60" s="307" t="str">
        <f>IFERROR(IF(MONTH($C60)=MONTH($J$6),SUMIFS(G$15:G60,$C$15:$C60,"&gt;"&amp;EOMONTH($C60,-12))+SUMIFS(H$15:H60,$C$15:$C60,"&gt;"&amp;EOMONTH($C60,-12)),""),"")</f>
        <v/>
      </c>
    </row>
    <row r="61" spans="2:17" ht="12.75" customHeight="1" x14ac:dyDescent="0.25">
      <c r="B61">
        <f t="shared" si="0"/>
        <v>46</v>
      </c>
      <c r="C61" s="58" t="str">
        <f t="shared" si="7"/>
        <v/>
      </c>
      <c r="D61" s="44">
        <f t="shared" si="8"/>
        <v>0</v>
      </c>
      <c r="E61" s="107">
        <f t="shared" si="1"/>
        <v>0</v>
      </c>
      <c r="F61" s="44">
        <f t="shared" si="2"/>
        <v>0</v>
      </c>
      <c r="G61" s="106">
        <f t="shared" si="10"/>
        <v>0</v>
      </c>
      <c r="H61" s="106">
        <f t="shared" si="4"/>
        <v>0</v>
      </c>
      <c r="I61" s="44">
        <f t="shared" si="9"/>
        <v>0</v>
      </c>
      <c r="J61" s="107"/>
      <c r="L61" s="107">
        <f t="shared" si="5"/>
        <v>0</v>
      </c>
      <c r="N61" s="338">
        <f t="shared" si="6"/>
        <v>0</v>
      </c>
      <c r="O61" s="339"/>
      <c r="P61" s="307" t="str">
        <f>IFERROR(IF(MONTH($C61)=MONTH($J$6),SUMIFS(F$15:F61,$C$15:$C61,"&gt;"&amp;EOMONTH($C61,-12)),""),"")</f>
        <v/>
      </c>
      <c r="Q61" s="307" t="str">
        <f>IFERROR(IF(MONTH($C61)=MONTH($J$6),SUMIFS(G$15:G61,$C$15:$C61,"&gt;"&amp;EOMONTH($C61,-12))+SUMIFS(H$15:H61,$C$15:$C61,"&gt;"&amp;EOMONTH($C61,-12)),""),"")</f>
        <v/>
      </c>
    </row>
    <row r="62" spans="2:17" ht="12.75" customHeight="1" x14ac:dyDescent="0.25">
      <c r="B62">
        <f t="shared" si="0"/>
        <v>47</v>
      </c>
      <c r="C62" s="58" t="str">
        <f t="shared" si="7"/>
        <v/>
      </c>
      <c r="D62" s="44">
        <f t="shared" si="8"/>
        <v>0</v>
      </c>
      <c r="E62" s="107">
        <f t="shared" si="1"/>
        <v>0</v>
      </c>
      <c r="F62" s="44">
        <f t="shared" si="2"/>
        <v>0</v>
      </c>
      <c r="G62" s="106">
        <f t="shared" si="10"/>
        <v>0</v>
      </c>
      <c r="H62" s="106">
        <f t="shared" si="4"/>
        <v>0</v>
      </c>
      <c r="I62" s="44">
        <f t="shared" si="9"/>
        <v>0</v>
      </c>
      <c r="J62" s="107"/>
      <c r="L62" s="107">
        <f t="shared" si="5"/>
        <v>0</v>
      </c>
      <c r="N62" s="338">
        <f t="shared" si="6"/>
        <v>0</v>
      </c>
      <c r="O62" s="339"/>
      <c r="P62" s="307" t="str">
        <f>IFERROR(IF(MONTH($C62)=MONTH($J$6),SUMIFS(F$15:F62,$C$15:$C62,"&gt;"&amp;EOMONTH($C62,-12)),""),"")</f>
        <v/>
      </c>
      <c r="Q62" s="307" t="str">
        <f>IFERROR(IF(MONTH($C62)=MONTH($J$6),SUMIFS(G$15:G62,$C$15:$C62,"&gt;"&amp;EOMONTH($C62,-12))+SUMIFS(H$15:H62,$C$15:$C62,"&gt;"&amp;EOMONTH($C62,-12)),""),"")</f>
        <v/>
      </c>
    </row>
    <row r="63" spans="2:17" ht="12.75" customHeight="1" x14ac:dyDescent="0.25">
      <c r="B63">
        <f t="shared" si="0"/>
        <v>48</v>
      </c>
      <c r="C63" s="58" t="str">
        <f t="shared" si="7"/>
        <v/>
      </c>
      <c r="D63" s="44">
        <f t="shared" si="8"/>
        <v>0</v>
      </c>
      <c r="E63" s="107">
        <f t="shared" si="1"/>
        <v>0</v>
      </c>
      <c r="F63" s="44">
        <f t="shared" si="2"/>
        <v>0</v>
      </c>
      <c r="G63" s="106">
        <f t="shared" si="10"/>
        <v>0</v>
      </c>
      <c r="H63" s="106">
        <f t="shared" si="4"/>
        <v>0</v>
      </c>
      <c r="I63" s="44">
        <f t="shared" si="9"/>
        <v>0</v>
      </c>
      <c r="J63" s="107"/>
      <c r="L63" s="107">
        <f t="shared" si="5"/>
        <v>0</v>
      </c>
      <c r="N63" s="338">
        <f t="shared" si="6"/>
        <v>0</v>
      </c>
      <c r="O63" s="339"/>
      <c r="P63" s="307" t="str">
        <f>IFERROR(IF(MONTH($C63)=MONTH($J$6),SUMIFS(F$15:F63,$C$15:$C63,"&gt;"&amp;EOMONTH($C63,-12)),""),"")</f>
        <v/>
      </c>
      <c r="Q63" s="307" t="str">
        <f>IFERROR(IF(MONTH($C63)=MONTH($J$6),SUMIFS(G$15:G63,$C$15:$C63,"&gt;"&amp;EOMONTH($C63,-12))+SUMIFS(H$15:H63,$C$15:$C63,"&gt;"&amp;EOMONTH($C63,-12)),""),"")</f>
        <v/>
      </c>
    </row>
    <row r="64" spans="2:17" ht="12.75" customHeight="1" x14ac:dyDescent="0.25">
      <c r="B64">
        <f t="shared" si="0"/>
        <v>49</v>
      </c>
      <c r="C64" s="58" t="str">
        <f t="shared" si="7"/>
        <v/>
      </c>
      <c r="D64" s="44">
        <f t="shared" si="8"/>
        <v>0</v>
      </c>
      <c r="E64" s="107">
        <f t="shared" si="1"/>
        <v>0</v>
      </c>
      <c r="F64" s="44">
        <f t="shared" si="2"/>
        <v>0</v>
      </c>
      <c r="G64" s="106">
        <f t="shared" si="10"/>
        <v>0</v>
      </c>
      <c r="H64" s="106">
        <f t="shared" si="4"/>
        <v>0</v>
      </c>
      <c r="I64" s="44">
        <f t="shared" si="9"/>
        <v>0</v>
      </c>
      <c r="J64" s="107"/>
      <c r="L64" s="107">
        <f t="shared" si="5"/>
        <v>0</v>
      </c>
      <c r="N64" s="338">
        <f t="shared" si="6"/>
        <v>0</v>
      </c>
      <c r="O64" s="339"/>
      <c r="P64" s="307" t="str">
        <f>IFERROR(IF(MONTH($C64)=MONTH($J$6),SUMIFS(F$15:F64,$C$15:$C64,"&gt;"&amp;EOMONTH($C64,-12)),""),"")</f>
        <v/>
      </c>
      <c r="Q64" s="307" t="str">
        <f>IFERROR(IF(MONTH($C64)=MONTH($J$6),SUMIFS(G$15:G64,$C$15:$C64,"&gt;"&amp;EOMONTH($C64,-12))+SUMIFS(H$15:H64,$C$15:$C64,"&gt;"&amp;EOMONTH($C64,-12)),""),"")</f>
        <v/>
      </c>
    </row>
    <row r="65" spans="2:17" ht="12.75" customHeight="1" x14ac:dyDescent="0.25">
      <c r="B65">
        <f t="shared" si="0"/>
        <v>50</v>
      </c>
      <c r="C65" s="58" t="str">
        <f t="shared" si="7"/>
        <v/>
      </c>
      <c r="D65" s="44">
        <f t="shared" si="8"/>
        <v>0</v>
      </c>
      <c r="E65" s="107">
        <f t="shared" si="1"/>
        <v>0</v>
      </c>
      <c r="F65" s="44">
        <f t="shared" si="2"/>
        <v>0</v>
      </c>
      <c r="G65" s="106">
        <f t="shared" si="10"/>
        <v>0</v>
      </c>
      <c r="H65" s="106">
        <f t="shared" si="4"/>
        <v>0</v>
      </c>
      <c r="I65" s="44">
        <f t="shared" si="9"/>
        <v>0</v>
      </c>
      <c r="J65" s="107"/>
      <c r="L65" s="107">
        <f t="shared" si="5"/>
        <v>0</v>
      </c>
      <c r="N65" s="338">
        <f t="shared" si="6"/>
        <v>0</v>
      </c>
      <c r="O65" s="339"/>
      <c r="P65" s="307" t="str">
        <f>IFERROR(IF(MONTH($C65)=MONTH($J$6),SUMIFS(F$15:F65,$C$15:$C65,"&gt;"&amp;EOMONTH($C65,-12)),""),"")</f>
        <v/>
      </c>
      <c r="Q65" s="307" t="str">
        <f>IFERROR(IF(MONTH($C65)=MONTH($J$6),SUMIFS(G$15:G65,$C$15:$C65,"&gt;"&amp;EOMONTH($C65,-12))+SUMIFS(H$15:H65,$C$15:$C65,"&gt;"&amp;EOMONTH($C65,-12)),""),"")</f>
        <v/>
      </c>
    </row>
    <row r="66" spans="2:17" ht="12.75" customHeight="1" x14ac:dyDescent="0.25">
      <c r="B66">
        <f t="shared" si="0"/>
        <v>51</v>
      </c>
      <c r="C66" s="58" t="str">
        <f t="shared" si="7"/>
        <v/>
      </c>
      <c r="D66" s="44">
        <f t="shared" si="8"/>
        <v>0</v>
      </c>
      <c r="E66" s="107">
        <f t="shared" si="1"/>
        <v>0</v>
      </c>
      <c r="F66" s="44">
        <f t="shared" si="2"/>
        <v>0</v>
      </c>
      <c r="G66" s="106">
        <f t="shared" si="10"/>
        <v>0</v>
      </c>
      <c r="H66" s="106">
        <f t="shared" si="4"/>
        <v>0</v>
      </c>
      <c r="I66" s="44">
        <f t="shared" si="9"/>
        <v>0</v>
      </c>
      <c r="J66" s="107"/>
      <c r="L66" s="107">
        <f t="shared" si="5"/>
        <v>0</v>
      </c>
      <c r="N66" s="338">
        <f t="shared" si="6"/>
        <v>0</v>
      </c>
      <c r="O66" s="339"/>
      <c r="P66" s="307" t="str">
        <f>IFERROR(IF(MONTH($C66)=MONTH($J$6),SUMIFS(F$15:F66,$C$15:$C66,"&gt;"&amp;EOMONTH($C66,-12)),""),"")</f>
        <v/>
      </c>
      <c r="Q66" s="307" t="str">
        <f>IFERROR(IF(MONTH($C66)=MONTH($J$6),SUMIFS(G$15:G66,$C$15:$C66,"&gt;"&amp;EOMONTH($C66,-12))+SUMIFS(H$15:H66,$C$15:$C66,"&gt;"&amp;EOMONTH($C66,-12)),""),"")</f>
        <v/>
      </c>
    </row>
    <row r="67" spans="2:17" ht="12.75" customHeight="1" x14ac:dyDescent="0.25">
      <c r="B67">
        <f t="shared" si="0"/>
        <v>52</v>
      </c>
      <c r="C67" s="58" t="str">
        <f t="shared" si="7"/>
        <v/>
      </c>
      <c r="D67" s="44">
        <f t="shared" si="8"/>
        <v>0</v>
      </c>
      <c r="E67" s="107">
        <f t="shared" si="1"/>
        <v>0</v>
      </c>
      <c r="F67" s="44">
        <f t="shared" si="2"/>
        <v>0</v>
      </c>
      <c r="G67" s="106">
        <f t="shared" si="10"/>
        <v>0</v>
      </c>
      <c r="H67" s="106">
        <f t="shared" si="4"/>
        <v>0</v>
      </c>
      <c r="I67" s="44">
        <f t="shared" si="9"/>
        <v>0</v>
      </c>
      <c r="J67" s="107"/>
      <c r="L67" s="107">
        <f t="shared" si="5"/>
        <v>0</v>
      </c>
      <c r="N67" s="338">
        <f t="shared" si="6"/>
        <v>0</v>
      </c>
      <c r="O67" s="339"/>
      <c r="P67" s="307" t="str">
        <f>IFERROR(IF(MONTH($C67)=MONTH($J$6),SUMIFS(F$15:F67,$C$15:$C67,"&gt;"&amp;EOMONTH($C67,-12)),""),"")</f>
        <v/>
      </c>
      <c r="Q67" s="307" t="str">
        <f>IFERROR(IF(MONTH($C67)=MONTH($J$6),SUMIFS(G$15:G67,$C$15:$C67,"&gt;"&amp;EOMONTH($C67,-12))+SUMIFS(H$15:H67,$C$15:$C67,"&gt;"&amp;EOMONTH($C67,-12)),""),"")</f>
        <v/>
      </c>
    </row>
    <row r="68" spans="2:17" ht="12.75" customHeight="1" x14ac:dyDescent="0.25">
      <c r="B68">
        <f t="shared" si="0"/>
        <v>53</v>
      </c>
      <c r="C68" s="58" t="str">
        <f t="shared" si="7"/>
        <v/>
      </c>
      <c r="D68" s="44">
        <f t="shared" si="8"/>
        <v>0</v>
      </c>
      <c r="E68" s="107">
        <f t="shared" si="1"/>
        <v>0</v>
      </c>
      <c r="F68" s="44">
        <f t="shared" si="2"/>
        <v>0</v>
      </c>
      <c r="G68" s="106">
        <f t="shared" si="10"/>
        <v>0</v>
      </c>
      <c r="H68" s="106">
        <f t="shared" si="4"/>
        <v>0</v>
      </c>
      <c r="I68" s="44">
        <f t="shared" si="9"/>
        <v>0</v>
      </c>
      <c r="J68" s="107"/>
      <c r="L68" s="107">
        <f t="shared" si="5"/>
        <v>0</v>
      </c>
      <c r="N68" s="338">
        <f t="shared" si="6"/>
        <v>0</v>
      </c>
      <c r="O68" s="339"/>
      <c r="P68" s="307" t="str">
        <f>IFERROR(IF(MONTH($C68)=MONTH($J$6),SUMIFS(F$15:F68,$C$15:$C68,"&gt;"&amp;EOMONTH($C68,-12)),""),"")</f>
        <v/>
      </c>
      <c r="Q68" s="307" t="str">
        <f>IFERROR(IF(MONTH($C68)=MONTH($J$6),SUMIFS(G$15:G68,$C$15:$C68,"&gt;"&amp;EOMONTH($C68,-12))+SUMIFS(H$15:H68,$C$15:$C68,"&gt;"&amp;EOMONTH($C68,-12)),""),"")</f>
        <v/>
      </c>
    </row>
    <row r="69" spans="2:17" ht="12.75" customHeight="1" x14ac:dyDescent="0.25">
      <c r="B69">
        <f t="shared" si="0"/>
        <v>54</v>
      </c>
      <c r="C69" s="58" t="str">
        <f t="shared" si="7"/>
        <v/>
      </c>
      <c r="D69" s="44">
        <f t="shared" si="8"/>
        <v>0</v>
      </c>
      <c r="E69" s="107">
        <f t="shared" si="1"/>
        <v>0</v>
      </c>
      <c r="F69" s="44">
        <f t="shared" si="2"/>
        <v>0</v>
      </c>
      <c r="G69" s="106">
        <f t="shared" si="10"/>
        <v>0</v>
      </c>
      <c r="H69" s="106">
        <f t="shared" si="4"/>
        <v>0</v>
      </c>
      <c r="I69" s="44">
        <f t="shared" si="9"/>
        <v>0</v>
      </c>
      <c r="J69" s="107"/>
      <c r="L69" s="107">
        <f t="shared" si="5"/>
        <v>0</v>
      </c>
      <c r="N69" s="338">
        <f t="shared" si="6"/>
        <v>0</v>
      </c>
      <c r="O69" s="339"/>
      <c r="P69" s="307" t="str">
        <f>IFERROR(IF(MONTH($C69)=MONTH($J$6),SUMIFS(F$15:F69,$C$15:$C69,"&gt;"&amp;EOMONTH($C69,-12)),""),"")</f>
        <v/>
      </c>
      <c r="Q69" s="307" t="str">
        <f>IFERROR(IF(MONTH($C69)=MONTH($J$6),SUMIFS(G$15:G69,$C$15:$C69,"&gt;"&amp;EOMONTH($C69,-12))+SUMIFS(H$15:H69,$C$15:$C69,"&gt;"&amp;EOMONTH($C69,-12)),""),"")</f>
        <v/>
      </c>
    </row>
    <row r="70" spans="2:17" ht="12.75" customHeight="1" x14ac:dyDescent="0.25">
      <c r="B70">
        <f t="shared" si="0"/>
        <v>55</v>
      </c>
      <c r="C70" s="58" t="str">
        <f t="shared" si="7"/>
        <v/>
      </c>
      <c r="D70" s="44">
        <f t="shared" si="8"/>
        <v>0</v>
      </c>
      <c r="E70" s="107">
        <f t="shared" si="1"/>
        <v>0</v>
      </c>
      <c r="F70" s="44">
        <f t="shared" si="2"/>
        <v>0</v>
      </c>
      <c r="G70" s="106">
        <f t="shared" si="10"/>
        <v>0</v>
      </c>
      <c r="H70" s="106">
        <f t="shared" si="4"/>
        <v>0</v>
      </c>
      <c r="I70" s="44">
        <f t="shared" si="9"/>
        <v>0</v>
      </c>
      <c r="J70" s="107"/>
      <c r="L70" s="107">
        <f t="shared" si="5"/>
        <v>0</v>
      </c>
      <c r="N70" s="338">
        <f t="shared" si="6"/>
        <v>0</v>
      </c>
      <c r="O70" s="339"/>
      <c r="P70" s="307" t="str">
        <f>IFERROR(IF(MONTH($C70)=MONTH($J$6),SUMIFS(F$15:F70,$C$15:$C70,"&gt;"&amp;EOMONTH($C70,-12)),""),"")</f>
        <v/>
      </c>
      <c r="Q70" s="307" t="str">
        <f>IFERROR(IF(MONTH($C70)=MONTH($J$6),SUMIFS(G$15:G70,$C$15:$C70,"&gt;"&amp;EOMONTH($C70,-12))+SUMIFS(H$15:H70,$C$15:$C70,"&gt;"&amp;EOMONTH($C70,-12)),""),"")</f>
        <v/>
      </c>
    </row>
    <row r="71" spans="2:17" ht="12.75" customHeight="1" x14ac:dyDescent="0.25">
      <c r="B71">
        <f t="shared" si="0"/>
        <v>56</v>
      </c>
      <c r="C71" s="58" t="str">
        <f t="shared" si="7"/>
        <v/>
      </c>
      <c r="D71" s="44">
        <f t="shared" si="8"/>
        <v>0</v>
      </c>
      <c r="E71" s="107">
        <f t="shared" si="1"/>
        <v>0</v>
      </c>
      <c r="F71" s="44">
        <f t="shared" si="2"/>
        <v>0</v>
      </c>
      <c r="G71" s="106">
        <f t="shared" si="10"/>
        <v>0</v>
      </c>
      <c r="H71" s="106">
        <f t="shared" si="4"/>
        <v>0</v>
      </c>
      <c r="I71" s="44">
        <f t="shared" si="9"/>
        <v>0</v>
      </c>
      <c r="J71" s="107"/>
      <c r="L71" s="107">
        <f t="shared" si="5"/>
        <v>0</v>
      </c>
      <c r="N71" s="338">
        <f t="shared" si="6"/>
        <v>0</v>
      </c>
      <c r="O71" s="339"/>
      <c r="P71" s="307" t="str">
        <f>IFERROR(IF(MONTH($C71)=MONTH($J$6),SUMIFS(F$15:F71,$C$15:$C71,"&gt;"&amp;EOMONTH($C71,-12)),""),"")</f>
        <v/>
      </c>
      <c r="Q71" s="307" t="str">
        <f>IFERROR(IF(MONTH($C71)=MONTH($J$6),SUMIFS(G$15:G71,$C$15:$C71,"&gt;"&amp;EOMONTH($C71,-12))+SUMIFS(H$15:H71,$C$15:$C71,"&gt;"&amp;EOMONTH($C71,-12)),""),"")</f>
        <v/>
      </c>
    </row>
    <row r="72" spans="2:17" ht="12.75" customHeight="1" x14ac:dyDescent="0.25">
      <c r="B72">
        <f t="shared" si="0"/>
        <v>57</v>
      </c>
      <c r="C72" s="58" t="str">
        <f t="shared" si="7"/>
        <v/>
      </c>
      <c r="D72" s="44">
        <f t="shared" si="8"/>
        <v>0</v>
      </c>
      <c r="E72" s="107">
        <f t="shared" si="1"/>
        <v>0</v>
      </c>
      <c r="F72" s="44">
        <f t="shared" si="2"/>
        <v>0</v>
      </c>
      <c r="G72" s="106">
        <f t="shared" si="10"/>
        <v>0</v>
      </c>
      <c r="H72" s="106">
        <f t="shared" si="4"/>
        <v>0</v>
      </c>
      <c r="I72" s="44">
        <f t="shared" si="9"/>
        <v>0</v>
      </c>
      <c r="J72" s="107"/>
      <c r="L72" s="107">
        <f t="shared" si="5"/>
        <v>0</v>
      </c>
      <c r="N72" s="338">
        <f t="shared" si="6"/>
        <v>0</v>
      </c>
      <c r="O72" s="339"/>
      <c r="P72" s="307" t="str">
        <f>IFERROR(IF(MONTH($C72)=MONTH($J$6),SUMIFS(F$15:F72,$C$15:$C72,"&gt;"&amp;EOMONTH($C72,-12)),""),"")</f>
        <v/>
      </c>
      <c r="Q72" s="307" t="str">
        <f>IFERROR(IF(MONTH($C72)=MONTH($J$6),SUMIFS(G$15:G72,$C$15:$C72,"&gt;"&amp;EOMONTH($C72,-12))+SUMIFS(H$15:H72,$C$15:$C72,"&gt;"&amp;EOMONTH($C72,-12)),""),"")</f>
        <v/>
      </c>
    </row>
    <row r="73" spans="2:17" ht="12.75" customHeight="1" x14ac:dyDescent="0.25">
      <c r="B73">
        <f t="shared" si="0"/>
        <v>58</v>
      </c>
      <c r="C73" s="58" t="str">
        <f t="shared" si="7"/>
        <v/>
      </c>
      <c r="D73" s="44">
        <f t="shared" si="8"/>
        <v>0</v>
      </c>
      <c r="E73" s="107">
        <f t="shared" si="1"/>
        <v>0</v>
      </c>
      <c r="F73" s="44">
        <f t="shared" si="2"/>
        <v>0</v>
      </c>
      <c r="G73" s="106">
        <f t="shared" si="10"/>
        <v>0</v>
      </c>
      <c r="H73" s="106">
        <f t="shared" si="4"/>
        <v>0</v>
      </c>
      <c r="I73" s="44">
        <f t="shared" si="9"/>
        <v>0</v>
      </c>
      <c r="J73" s="107"/>
      <c r="L73" s="107">
        <f t="shared" si="5"/>
        <v>0</v>
      </c>
      <c r="N73" s="338">
        <f t="shared" si="6"/>
        <v>0</v>
      </c>
      <c r="O73" s="339"/>
      <c r="P73" s="307" t="str">
        <f>IFERROR(IF(MONTH($C73)=MONTH($J$6),SUMIFS(F$15:F73,$C$15:$C73,"&gt;"&amp;EOMONTH($C73,-12)),""),"")</f>
        <v/>
      </c>
      <c r="Q73" s="307" t="str">
        <f>IFERROR(IF(MONTH($C73)=MONTH($J$6),SUMIFS(G$15:G73,$C$15:$C73,"&gt;"&amp;EOMONTH($C73,-12))+SUMIFS(H$15:H73,$C$15:$C73,"&gt;"&amp;EOMONTH($C73,-12)),""),"")</f>
        <v/>
      </c>
    </row>
    <row r="74" spans="2:17" ht="12.75" customHeight="1" x14ac:dyDescent="0.25">
      <c r="B74">
        <f t="shared" si="0"/>
        <v>59</v>
      </c>
      <c r="C74" s="58" t="str">
        <f t="shared" si="7"/>
        <v/>
      </c>
      <c r="D74" s="44">
        <f t="shared" si="8"/>
        <v>0</v>
      </c>
      <c r="E74" s="107">
        <f t="shared" si="1"/>
        <v>0</v>
      </c>
      <c r="F74" s="44">
        <f t="shared" si="2"/>
        <v>0</v>
      </c>
      <c r="G74" s="106">
        <f t="shared" si="10"/>
        <v>0</v>
      </c>
      <c r="H74" s="106">
        <f t="shared" si="4"/>
        <v>0</v>
      </c>
      <c r="I74" s="44">
        <f t="shared" si="9"/>
        <v>0</v>
      </c>
      <c r="J74" s="107"/>
      <c r="L74" s="107">
        <f t="shared" si="5"/>
        <v>0</v>
      </c>
      <c r="N74" s="338">
        <f t="shared" si="6"/>
        <v>0</v>
      </c>
      <c r="O74" s="339"/>
      <c r="P74" s="307" t="str">
        <f>IFERROR(IF(MONTH($C74)=MONTH($J$6),SUMIFS(F$15:F74,$C$15:$C74,"&gt;"&amp;EOMONTH($C74,-12)),""),"")</f>
        <v/>
      </c>
      <c r="Q74" s="307" t="str">
        <f>IFERROR(IF(MONTH($C74)=MONTH($J$6),SUMIFS(G$15:G74,$C$15:$C74,"&gt;"&amp;EOMONTH($C74,-12))+SUMIFS(H$15:H74,$C$15:$C74,"&gt;"&amp;EOMONTH($C74,-12)),""),"")</f>
        <v/>
      </c>
    </row>
    <row r="75" spans="2:17" ht="12.75" customHeight="1" x14ac:dyDescent="0.25">
      <c r="B75">
        <f t="shared" si="0"/>
        <v>60</v>
      </c>
      <c r="C75" s="58" t="str">
        <f t="shared" si="7"/>
        <v/>
      </c>
      <c r="D75" s="44">
        <f t="shared" si="8"/>
        <v>0</v>
      </c>
      <c r="E75" s="107">
        <f t="shared" si="1"/>
        <v>0</v>
      </c>
      <c r="F75" s="44">
        <f t="shared" si="2"/>
        <v>0</v>
      </c>
      <c r="G75" s="106">
        <f t="shared" si="10"/>
        <v>0</v>
      </c>
      <c r="H75" s="106">
        <f t="shared" si="4"/>
        <v>0</v>
      </c>
      <c r="I75" s="44">
        <f t="shared" si="9"/>
        <v>0</v>
      </c>
      <c r="J75" s="107"/>
      <c r="L75" s="107">
        <f t="shared" si="5"/>
        <v>0</v>
      </c>
      <c r="N75" s="338">
        <f t="shared" si="6"/>
        <v>0</v>
      </c>
      <c r="O75" s="339"/>
      <c r="P75" s="307" t="str">
        <f>IFERROR(IF(MONTH($C75)=MONTH($J$6),SUMIFS(F$15:F75,$C$15:$C75,"&gt;"&amp;EOMONTH($C75,-12)),""),"")</f>
        <v/>
      </c>
      <c r="Q75" s="307" t="str">
        <f>IFERROR(IF(MONTH($C75)=MONTH($J$6),SUMIFS(G$15:G75,$C$15:$C75,"&gt;"&amp;EOMONTH($C75,-12))+SUMIFS(H$15:H75,$C$15:$C75,"&gt;"&amp;EOMONTH($C75,-12)),""),"")</f>
        <v/>
      </c>
    </row>
    <row r="76" spans="2:17" ht="12.75" customHeight="1" x14ac:dyDescent="0.25">
      <c r="B76">
        <f t="shared" si="0"/>
        <v>61</v>
      </c>
      <c r="C76" s="58" t="str">
        <f t="shared" si="7"/>
        <v/>
      </c>
      <c r="D76" s="44">
        <f t="shared" si="8"/>
        <v>0</v>
      </c>
      <c r="E76" s="107">
        <f t="shared" si="1"/>
        <v>0</v>
      </c>
      <c r="F76" s="44">
        <f t="shared" si="2"/>
        <v>0</v>
      </c>
      <c r="G76" s="106">
        <f t="shared" si="10"/>
        <v>0</v>
      </c>
      <c r="H76" s="106">
        <f t="shared" si="4"/>
        <v>0</v>
      </c>
      <c r="I76" s="44">
        <f t="shared" si="9"/>
        <v>0</v>
      </c>
      <c r="J76" s="107"/>
      <c r="L76" s="107">
        <f t="shared" si="5"/>
        <v>0</v>
      </c>
      <c r="N76" s="338">
        <f t="shared" si="6"/>
        <v>0</v>
      </c>
      <c r="O76" s="339"/>
      <c r="P76" s="307" t="str">
        <f>IFERROR(IF(MONTH($C76)=MONTH($J$6),SUMIFS(F$15:F76,$C$15:$C76,"&gt;"&amp;EOMONTH($C76,-12)),""),"")</f>
        <v/>
      </c>
      <c r="Q76" s="307" t="str">
        <f>IFERROR(IF(MONTH($C76)=MONTH($J$6),SUMIFS(G$15:G76,$C$15:$C76,"&gt;"&amp;EOMONTH($C76,-12))+SUMIFS(H$15:H76,$C$15:$C76,"&gt;"&amp;EOMONTH($C76,-12)),""),"")</f>
        <v/>
      </c>
    </row>
    <row r="77" spans="2:17" ht="12.75" customHeight="1" x14ac:dyDescent="0.25">
      <c r="B77">
        <f t="shared" si="0"/>
        <v>62</v>
      </c>
      <c r="C77" s="58" t="str">
        <f t="shared" si="7"/>
        <v/>
      </c>
      <c r="D77" s="44">
        <f t="shared" si="8"/>
        <v>0</v>
      </c>
      <c r="E77" s="107">
        <f t="shared" si="1"/>
        <v>0</v>
      </c>
      <c r="F77" s="44">
        <f t="shared" si="2"/>
        <v>0</v>
      </c>
      <c r="G77" s="106">
        <f t="shared" si="10"/>
        <v>0</v>
      </c>
      <c r="H77" s="106">
        <f t="shared" si="4"/>
        <v>0</v>
      </c>
      <c r="I77" s="44">
        <f t="shared" si="9"/>
        <v>0</v>
      </c>
      <c r="J77" s="107"/>
      <c r="L77" s="107">
        <f t="shared" si="5"/>
        <v>0</v>
      </c>
      <c r="N77" s="338">
        <f t="shared" si="6"/>
        <v>0</v>
      </c>
      <c r="O77" s="339"/>
      <c r="P77" s="307" t="str">
        <f>IFERROR(IF(MONTH($C77)=MONTH($J$6),SUMIFS(F$15:F77,$C$15:$C77,"&gt;"&amp;EOMONTH($C77,-12)),""),"")</f>
        <v/>
      </c>
      <c r="Q77" s="307" t="str">
        <f>IFERROR(IF(MONTH($C77)=MONTH($J$6),SUMIFS(G$15:G77,$C$15:$C77,"&gt;"&amp;EOMONTH($C77,-12))+SUMIFS(H$15:H77,$C$15:$C77,"&gt;"&amp;EOMONTH($C77,-12)),""),"")</f>
        <v/>
      </c>
    </row>
    <row r="78" spans="2:17" ht="12.75" customHeight="1" x14ac:dyDescent="0.25">
      <c r="B78">
        <f t="shared" si="0"/>
        <v>63</v>
      </c>
      <c r="C78" s="58" t="str">
        <f t="shared" si="7"/>
        <v/>
      </c>
      <c r="D78" s="44">
        <f t="shared" si="8"/>
        <v>0</v>
      </c>
      <c r="E78" s="107">
        <f t="shared" si="1"/>
        <v>0</v>
      </c>
      <c r="F78" s="44">
        <f t="shared" si="2"/>
        <v>0</v>
      </c>
      <c r="G78" s="106">
        <f t="shared" si="10"/>
        <v>0</v>
      </c>
      <c r="H78" s="106">
        <f t="shared" si="4"/>
        <v>0</v>
      </c>
      <c r="I78" s="44">
        <f t="shared" si="9"/>
        <v>0</v>
      </c>
      <c r="J78" s="107"/>
      <c r="L78" s="107">
        <f t="shared" si="5"/>
        <v>0</v>
      </c>
      <c r="N78" s="338">
        <f t="shared" si="6"/>
        <v>0</v>
      </c>
      <c r="O78" s="339"/>
      <c r="P78" s="307" t="str">
        <f>IFERROR(IF(MONTH($C78)=MONTH($J$6),SUMIFS(F$15:F78,$C$15:$C78,"&gt;"&amp;EOMONTH($C78,-12)),""),"")</f>
        <v/>
      </c>
      <c r="Q78" s="307" t="str">
        <f>IFERROR(IF(MONTH($C78)=MONTH($J$6),SUMIFS(G$15:G78,$C$15:$C78,"&gt;"&amp;EOMONTH($C78,-12))+SUMIFS(H$15:H78,$C$15:$C78,"&gt;"&amp;EOMONTH($C78,-12)),""),"")</f>
        <v/>
      </c>
    </row>
    <row r="79" spans="2:17" ht="12.75" customHeight="1" x14ac:dyDescent="0.25">
      <c r="B79">
        <f t="shared" si="0"/>
        <v>64</v>
      </c>
      <c r="C79" s="58" t="str">
        <f t="shared" si="7"/>
        <v/>
      </c>
      <c r="D79" s="44">
        <f t="shared" si="8"/>
        <v>0</v>
      </c>
      <c r="E79" s="107">
        <f t="shared" si="1"/>
        <v>0</v>
      </c>
      <c r="F79" s="44">
        <f t="shared" si="2"/>
        <v>0</v>
      </c>
      <c r="G79" s="106">
        <f t="shared" si="10"/>
        <v>0</v>
      </c>
      <c r="H79" s="106">
        <f t="shared" si="4"/>
        <v>0</v>
      </c>
      <c r="I79" s="44">
        <f t="shared" si="9"/>
        <v>0</v>
      </c>
      <c r="J79" s="107"/>
      <c r="L79" s="107">
        <f t="shared" si="5"/>
        <v>0</v>
      </c>
      <c r="N79" s="338">
        <f t="shared" si="6"/>
        <v>0</v>
      </c>
      <c r="O79" s="339"/>
      <c r="P79" s="307" t="str">
        <f>IFERROR(IF(MONTH($C79)=MONTH($J$6),SUMIFS(F$15:F79,$C$15:$C79,"&gt;"&amp;EOMONTH($C79,-12)),""),"")</f>
        <v/>
      </c>
      <c r="Q79" s="307" t="str">
        <f>IFERROR(IF(MONTH($C79)=MONTH($J$6),SUMIFS(G$15:G79,$C$15:$C79,"&gt;"&amp;EOMONTH($C79,-12))+SUMIFS(H$15:H79,$C$15:$C79,"&gt;"&amp;EOMONTH($C79,-12)),""),"")</f>
        <v/>
      </c>
    </row>
    <row r="80" spans="2:17" ht="12.75" customHeight="1" x14ac:dyDescent="0.25">
      <c r="B80">
        <f t="shared" ref="B80:B143" si="11">B79+1</f>
        <v>65</v>
      </c>
      <c r="C80" s="58" t="str">
        <f t="shared" si="7"/>
        <v/>
      </c>
      <c r="D80" s="44">
        <f t="shared" si="8"/>
        <v>0</v>
      </c>
      <c r="E80" s="107">
        <f t="shared" ref="E80:E143" si="12">L79</f>
        <v>0</v>
      </c>
      <c r="F80" s="44">
        <f t="shared" ref="F80:F143" si="13">ROUND(IFERROR(MIN(MAX(D80-H80-G80,0),L79),0),2)</f>
        <v>0</v>
      </c>
      <c r="G80" s="106">
        <f t="shared" ref="G80:G111" si="14">ROUND(IFERROR((IF(B80&lt;=$D$8,(E80+IF(Loan_Type&lt;&gt;"Tax Loan",I79,0))*$D$6*30/360,0)),0),2)</f>
        <v>0</v>
      </c>
      <c r="H80" s="106">
        <f t="shared" ref="H80:H133" si="15">IF(B80=$D$8,I79,0)</f>
        <v>0</v>
      </c>
      <c r="I80" s="44">
        <f t="shared" si="9"/>
        <v>0</v>
      </c>
      <c r="J80" s="107"/>
      <c r="L80" s="107">
        <f t="shared" ref="L80:L143" si="16">ROUND(E80-F80,2)</f>
        <v>0</v>
      </c>
      <c r="N80" s="338">
        <f t="shared" ref="N80:N143" si="17">F80/$D$5</f>
        <v>0</v>
      </c>
      <c r="O80" s="339"/>
      <c r="P80" s="307" t="str">
        <f>IFERROR(IF(MONTH($C80)=MONTH($J$6),SUMIFS(F$15:F80,$C$15:$C80,"&gt;"&amp;EOMONTH($C80,-12)),""),"")</f>
        <v/>
      </c>
      <c r="Q80" s="307" t="str">
        <f>IFERROR(IF(MONTH($C80)=MONTH($J$6),SUMIFS(G$15:G80,$C$15:$C80,"&gt;"&amp;EOMONTH($C80,-12))+SUMIFS(H$15:H80,$C$15:$C80,"&gt;"&amp;EOMONTH($C80,-12)),""),"")</f>
        <v/>
      </c>
    </row>
    <row r="81" spans="2:17" ht="12.75" customHeight="1" x14ac:dyDescent="0.25">
      <c r="B81">
        <f t="shared" si="11"/>
        <v>66</v>
      </c>
      <c r="C81" s="58" t="str">
        <f t="shared" ref="C81:C144" si="18">IF(L80&lt;=0,"",EDATE($J$8,B81-1))</f>
        <v/>
      </c>
      <c r="D81" s="44">
        <f t="shared" ref="D81:D144" si="19">IF(B81=$D$8,L80+G81+H81,IF(B81&gt;$D$8,0,ROUNDUP($D$9,2)))</f>
        <v>0</v>
      </c>
      <c r="E81" s="107">
        <f t="shared" si="12"/>
        <v>0</v>
      </c>
      <c r="F81" s="44">
        <f t="shared" si="13"/>
        <v>0</v>
      </c>
      <c r="G81" s="106">
        <f t="shared" si="14"/>
        <v>0</v>
      </c>
      <c r="H81" s="106">
        <f t="shared" si="15"/>
        <v>0</v>
      </c>
      <c r="I81" s="44">
        <f t="shared" ref="I81:I144" si="20">I80-H81</f>
        <v>0</v>
      </c>
      <c r="J81" s="107"/>
      <c r="L81" s="107">
        <f t="shared" si="16"/>
        <v>0</v>
      </c>
      <c r="N81" s="338">
        <f t="shared" si="17"/>
        <v>0</v>
      </c>
      <c r="O81" s="339"/>
      <c r="P81" s="307" t="str">
        <f>IFERROR(IF(MONTH($C81)=MONTH($J$6),SUMIFS(F$15:F81,$C$15:$C81,"&gt;"&amp;EOMONTH($C81,-12)),""),"")</f>
        <v/>
      </c>
      <c r="Q81" s="307" t="str">
        <f>IFERROR(IF(MONTH($C81)=MONTH($J$6),SUMIFS(G$15:G81,$C$15:$C81,"&gt;"&amp;EOMONTH($C81,-12))+SUMIFS(H$15:H81,$C$15:$C81,"&gt;"&amp;EOMONTH($C81,-12)),""),"")</f>
        <v/>
      </c>
    </row>
    <row r="82" spans="2:17" ht="12.75" customHeight="1" x14ac:dyDescent="0.25">
      <c r="B82">
        <f t="shared" si="11"/>
        <v>67</v>
      </c>
      <c r="C82" s="58" t="str">
        <f t="shared" si="18"/>
        <v/>
      </c>
      <c r="D82" s="44">
        <f t="shared" si="19"/>
        <v>0</v>
      </c>
      <c r="E82" s="107">
        <f t="shared" si="12"/>
        <v>0</v>
      </c>
      <c r="F82" s="44">
        <f t="shared" si="13"/>
        <v>0</v>
      </c>
      <c r="G82" s="106">
        <f t="shared" si="14"/>
        <v>0</v>
      </c>
      <c r="H82" s="106">
        <f t="shared" si="15"/>
        <v>0</v>
      </c>
      <c r="I82" s="44">
        <f t="shared" si="20"/>
        <v>0</v>
      </c>
      <c r="J82" s="107"/>
      <c r="L82" s="107">
        <f t="shared" si="16"/>
        <v>0</v>
      </c>
      <c r="N82" s="338">
        <f t="shared" si="17"/>
        <v>0</v>
      </c>
      <c r="O82" s="339"/>
      <c r="P82" s="307" t="str">
        <f>IFERROR(IF(MONTH($C82)=MONTH($J$6),SUMIFS(F$15:F82,$C$15:$C82,"&gt;"&amp;EOMONTH($C82,-12)),""),"")</f>
        <v/>
      </c>
      <c r="Q82" s="307" t="str">
        <f>IFERROR(IF(MONTH($C82)=MONTH($J$6),SUMIFS(G$15:G82,$C$15:$C82,"&gt;"&amp;EOMONTH($C82,-12))+SUMIFS(H$15:H82,$C$15:$C82,"&gt;"&amp;EOMONTH($C82,-12)),""),"")</f>
        <v/>
      </c>
    </row>
    <row r="83" spans="2:17" ht="12.75" customHeight="1" x14ac:dyDescent="0.25">
      <c r="B83">
        <f t="shared" si="11"/>
        <v>68</v>
      </c>
      <c r="C83" s="58" t="str">
        <f t="shared" si="18"/>
        <v/>
      </c>
      <c r="D83" s="44">
        <f t="shared" si="19"/>
        <v>0</v>
      </c>
      <c r="E83" s="107">
        <f t="shared" si="12"/>
        <v>0</v>
      </c>
      <c r="F83" s="44">
        <f t="shared" si="13"/>
        <v>0</v>
      </c>
      <c r="G83" s="106">
        <f t="shared" si="14"/>
        <v>0</v>
      </c>
      <c r="H83" s="106">
        <f t="shared" si="15"/>
        <v>0</v>
      </c>
      <c r="I83" s="44">
        <f t="shared" si="20"/>
        <v>0</v>
      </c>
      <c r="J83" s="107"/>
      <c r="L83" s="107">
        <f t="shared" si="16"/>
        <v>0</v>
      </c>
      <c r="N83" s="338">
        <f t="shared" si="17"/>
        <v>0</v>
      </c>
      <c r="O83" s="339"/>
      <c r="P83" s="307" t="str">
        <f>IFERROR(IF(MONTH($C83)=MONTH($J$6),SUMIFS(F$15:F83,$C$15:$C83,"&gt;"&amp;EOMONTH($C83,-12)),""),"")</f>
        <v/>
      </c>
      <c r="Q83" s="307" t="str">
        <f>IFERROR(IF(MONTH($C83)=MONTH($J$6),SUMIFS(G$15:G83,$C$15:$C83,"&gt;"&amp;EOMONTH($C83,-12))+SUMIFS(H$15:H83,$C$15:$C83,"&gt;"&amp;EOMONTH($C83,-12)),""),"")</f>
        <v/>
      </c>
    </row>
    <row r="84" spans="2:17" ht="12.75" customHeight="1" x14ac:dyDescent="0.25">
      <c r="B84">
        <f t="shared" si="11"/>
        <v>69</v>
      </c>
      <c r="C84" s="58" t="str">
        <f t="shared" si="18"/>
        <v/>
      </c>
      <c r="D84" s="44">
        <f t="shared" si="19"/>
        <v>0</v>
      </c>
      <c r="E84" s="107">
        <f t="shared" si="12"/>
        <v>0</v>
      </c>
      <c r="F84" s="44">
        <f t="shared" si="13"/>
        <v>0</v>
      </c>
      <c r="G84" s="106">
        <f t="shared" si="14"/>
        <v>0</v>
      </c>
      <c r="H84" s="106">
        <f t="shared" si="15"/>
        <v>0</v>
      </c>
      <c r="I84" s="44">
        <f t="shared" si="20"/>
        <v>0</v>
      </c>
      <c r="J84" s="107"/>
      <c r="L84" s="107">
        <f t="shared" si="16"/>
        <v>0</v>
      </c>
      <c r="N84" s="338">
        <f t="shared" si="17"/>
        <v>0</v>
      </c>
      <c r="O84" s="339"/>
      <c r="P84" s="307" t="str">
        <f>IFERROR(IF(MONTH($C84)=MONTH($J$6),SUMIFS(F$15:F84,$C$15:$C84,"&gt;"&amp;EOMONTH($C84,-12)),""),"")</f>
        <v/>
      </c>
      <c r="Q84" s="307" t="str">
        <f>IFERROR(IF(MONTH($C84)=MONTH($J$6),SUMIFS(G$15:G84,$C$15:$C84,"&gt;"&amp;EOMONTH($C84,-12))+SUMIFS(H$15:H84,$C$15:$C84,"&gt;"&amp;EOMONTH($C84,-12)),""),"")</f>
        <v/>
      </c>
    </row>
    <row r="85" spans="2:17" ht="12.75" customHeight="1" x14ac:dyDescent="0.25">
      <c r="B85">
        <f t="shared" si="11"/>
        <v>70</v>
      </c>
      <c r="C85" s="58" t="str">
        <f t="shared" si="18"/>
        <v/>
      </c>
      <c r="D85" s="44">
        <f t="shared" si="19"/>
        <v>0</v>
      </c>
      <c r="E85" s="107">
        <f t="shared" si="12"/>
        <v>0</v>
      </c>
      <c r="F85" s="44">
        <f t="shared" si="13"/>
        <v>0</v>
      </c>
      <c r="G85" s="106">
        <f t="shared" si="14"/>
        <v>0</v>
      </c>
      <c r="H85" s="106">
        <f t="shared" si="15"/>
        <v>0</v>
      </c>
      <c r="I85" s="44">
        <f t="shared" si="20"/>
        <v>0</v>
      </c>
      <c r="J85" s="107"/>
      <c r="L85" s="107">
        <f t="shared" si="16"/>
        <v>0</v>
      </c>
      <c r="N85" s="338">
        <f t="shared" si="17"/>
        <v>0</v>
      </c>
      <c r="O85" s="339"/>
      <c r="P85" s="307" t="str">
        <f>IFERROR(IF(MONTH($C85)=MONTH($J$6),SUMIFS(F$15:F85,$C$15:$C85,"&gt;"&amp;EOMONTH($C85,-12)),""),"")</f>
        <v/>
      </c>
      <c r="Q85" s="307" t="str">
        <f>IFERROR(IF(MONTH($C85)=MONTH($J$6),SUMIFS(G$15:G85,$C$15:$C85,"&gt;"&amp;EOMONTH($C85,-12))+SUMIFS(H$15:H85,$C$15:$C85,"&gt;"&amp;EOMONTH($C85,-12)),""),"")</f>
        <v/>
      </c>
    </row>
    <row r="86" spans="2:17" ht="12.75" customHeight="1" x14ac:dyDescent="0.25">
      <c r="B86">
        <f t="shared" si="11"/>
        <v>71</v>
      </c>
      <c r="C86" s="58" t="str">
        <f t="shared" si="18"/>
        <v/>
      </c>
      <c r="D86" s="44">
        <f t="shared" si="19"/>
        <v>0</v>
      </c>
      <c r="E86" s="107">
        <f t="shared" si="12"/>
        <v>0</v>
      </c>
      <c r="F86" s="44">
        <f t="shared" si="13"/>
        <v>0</v>
      </c>
      <c r="G86" s="106">
        <f t="shared" si="14"/>
        <v>0</v>
      </c>
      <c r="H86" s="106">
        <f t="shared" si="15"/>
        <v>0</v>
      </c>
      <c r="I86" s="44">
        <f t="shared" si="20"/>
        <v>0</v>
      </c>
      <c r="J86" s="107"/>
      <c r="L86" s="107">
        <f t="shared" si="16"/>
        <v>0</v>
      </c>
      <c r="N86" s="338">
        <f t="shared" si="17"/>
        <v>0</v>
      </c>
      <c r="O86" s="339"/>
      <c r="P86" s="307" t="str">
        <f>IFERROR(IF(MONTH($C86)=MONTH($J$6),SUMIFS(F$15:F86,$C$15:$C86,"&gt;"&amp;EOMONTH($C86,-12)),""),"")</f>
        <v/>
      </c>
      <c r="Q86" s="307" t="str">
        <f>IFERROR(IF(MONTH($C86)=MONTH($J$6),SUMIFS(G$15:G86,$C$15:$C86,"&gt;"&amp;EOMONTH($C86,-12))+SUMIFS(H$15:H86,$C$15:$C86,"&gt;"&amp;EOMONTH($C86,-12)),""),"")</f>
        <v/>
      </c>
    </row>
    <row r="87" spans="2:17" ht="12.75" customHeight="1" x14ac:dyDescent="0.25">
      <c r="B87">
        <f t="shared" si="11"/>
        <v>72</v>
      </c>
      <c r="C87" s="58" t="str">
        <f t="shared" si="18"/>
        <v/>
      </c>
      <c r="D87" s="44">
        <f t="shared" si="19"/>
        <v>0</v>
      </c>
      <c r="E87" s="107">
        <f t="shared" si="12"/>
        <v>0</v>
      </c>
      <c r="F87" s="44">
        <f t="shared" si="13"/>
        <v>0</v>
      </c>
      <c r="G87" s="106">
        <f t="shared" si="14"/>
        <v>0</v>
      </c>
      <c r="H87" s="106">
        <f t="shared" si="15"/>
        <v>0</v>
      </c>
      <c r="I87" s="44">
        <f t="shared" si="20"/>
        <v>0</v>
      </c>
      <c r="J87" s="107"/>
      <c r="L87" s="107">
        <f t="shared" si="16"/>
        <v>0</v>
      </c>
      <c r="N87" s="338">
        <f t="shared" si="17"/>
        <v>0</v>
      </c>
      <c r="O87" s="339"/>
      <c r="P87" s="307" t="str">
        <f>IFERROR(IF(MONTH($C87)=MONTH($J$6),SUMIFS(F$15:F87,$C$15:$C87,"&gt;"&amp;EOMONTH($C87,-12)),""),"")</f>
        <v/>
      </c>
      <c r="Q87" s="307" t="str">
        <f>IFERROR(IF(MONTH($C87)=MONTH($J$6),SUMIFS(G$15:G87,$C$15:$C87,"&gt;"&amp;EOMONTH($C87,-12))+SUMIFS(H$15:H87,$C$15:$C87,"&gt;"&amp;EOMONTH($C87,-12)),""),"")</f>
        <v/>
      </c>
    </row>
    <row r="88" spans="2:17" ht="12.75" customHeight="1" x14ac:dyDescent="0.25">
      <c r="B88">
        <f t="shared" si="11"/>
        <v>73</v>
      </c>
      <c r="C88" s="58" t="str">
        <f t="shared" si="18"/>
        <v/>
      </c>
      <c r="D88" s="44">
        <f t="shared" si="19"/>
        <v>0</v>
      </c>
      <c r="E88" s="107">
        <f t="shared" si="12"/>
        <v>0</v>
      </c>
      <c r="F88" s="44">
        <f t="shared" si="13"/>
        <v>0</v>
      </c>
      <c r="G88" s="106">
        <f t="shared" si="14"/>
        <v>0</v>
      </c>
      <c r="H88" s="106">
        <f t="shared" si="15"/>
        <v>0</v>
      </c>
      <c r="I88" s="44">
        <f t="shared" si="20"/>
        <v>0</v>
      </c>
      <c r="J88" s="107"/>
      <c r="L88" s="107">
        <f t="shared" si="16"/>
        <v>0</v>
      </c>
      <c r="N88" s="338">
        <f t="shared" si="17"/>
        <v>0</v>
      </c>
      <c r="O88" s="339"/>
      <c r="P88" s="307" t="str">
        <f>IFERROR(IF(MONTH($C88)=MONTH($J$6),SUMIFS(F$15:F88,$C$15:$C88,"&gt;"&amp;EOMONTH($C88,-12)),""),"")</f>
        <v/>
      </c>
      <c r="Q88" s="307" t="str">
        <f>IFERROR(IF(MONTH($C88)=MONTH($J$6),SUMIFS(G$15:G88,$C$15:$C88,"&gt;"&amp;EOMONTH($C88,-12))+SUMIFS(H$15:H88,$C$15:$C88,"&gt;"&amp;EOMONTH($C88,-12)),""),"")</f>
        <v/>
      </c>
    </row>
    <row r="89" spans="2:17" ht="12.75" customHeight="1" x14ac:dyDescent="0.25">
      <c r="B89">
        <f t="shared" si="11"/>
        <v>74</v>
      </c>
      <c r="C89" s="58" t="str">
        <f t="shared" si="18"/>
        <v/>
      </c>
      <c r="D89" s="44">
        <f t="shared" si="19"/>
        <v>0</v>
      </c>
      <c r="E89" s="107">
        <f t="shared" si="12"/>
        <v>0</v>
      </c>
      <c r="F89" s="44">
        <f t="shared" si="13"/>
        <v>0</v>
      </c>
      <c r="G89" s="106">
        <f t="shared" si="14"/>
        <v>0</v>
      </c>
      <c r="H89" s="106">
        <f t="shared" si="15"/>
        <v>0</v>
      </c>
      <c r="I89" s="44">
        <f t="shared" si="20"/>
        <v>0</v>
      </c>
      <c r="J89" s="107"/>
      <c r="L89" s="107">
        <f t="shared" si="16"/>
        <v>0</v>
      </c>
      <c r="N89" s="338">
        <f t="shared" si="17"/>
        <v>0</v>
      </c>
      <c r="O89" s="339"/>
      <c r="P89" s="307" t="str">
        <f>IFERROR(IF(MONTH($C89)=MONTH($J$6),SUMIFS(F$15:F89,$C$15:$C89,"&gt;"&amp;EOMONTH($C89,-12)),""),"")</f>
        <v/>
      </c>
      <c r="Q89" s="307" t="str">
        <f>IFERROR(IF(MONTH($C89)=MONTH($J$6),SUMIFS(G$15:G89,$C$15:$C89,"&gt;"&amp;EOMONTH($C89,-12))+SUMIFS(H$15:H89,$C$15:$C89,"&gt;"&amp;EOMONTH($C89,-12)),""),"")</f>
        <v/>
      </c>
    </row>
    <row r="90" spans="2:17" ht="12.75" customHeight="1" x14ac:dyDescent="0.25">
      <c r="B90">
        <f t="shared" si="11"/>
        <v>75</v>
      </c>
      <c r="C90" s="58" t="str">
        <f t="shared" si="18"/>
        <v/>
      </c>
      <c r="D90" s="44">
        <f t="shared" si="19"/>
        <v>0</v>
      </c>
      <c r="E90" s="107">
        <f t="shared" si="12"/>
        <v>0</v>
      </c>
      <c r="F90" s="44">
        <f t="shared" si="13"/>
        <v>0</v>
      </c>
      <c r="G90" s="106">
        <f t="shared" si="14"/>
        <v>0</v>
      </c>
      <c r="H90" s="106">
        <f t="shared" si="15"/>
        <v>0</v>
      </c>
      <c r="I90" s="44">
        <f t="shared" si="20"/>
        <v>0</v>
      </c>
      <c r="J90" s="107"/>
      <c r="L90" s="107">
        <f t="shared" si="16"/>
        <v>0</v>
      </c>
      <c r="N90" s="338">
        <f t="shared" si="17"/>
        <v>0</v>
      </c>
      <c r="O90" s="339"/>
      <c r="P90" s="307" t="str">
        <f>IFERROR(IF(MONTH($C90)=MONTH($J$6),SUMIFS(F$15:F90,$C$15:$C90,"&gt;"&amp;EOMONTH($C90,-12)),""),"")</f>
        <v/>
      </c>
      <c r="Q90" s="307" t="str">
        <f>IFERROR(IF(MONTH($C90)=MONTH($J$6),SUMIFS(G$15:G90,$C$15:$C90,"&gt;"&amp;EOMONTH($C90,-12))+SUMIFS(H$15:H90,$C$15:$C90,"&gt;"&amp;EOMONTH($C90,-12)),""),"")</f>
        <v/>
      </c>
    </row>
    <row r="91" spans="2:17" ht="12.75" customHeight="1" x14ac:dyDescent="0.25">
      <c r="B91">
        <f t="shared" si="11"/>
        <v>76</v>
      </c>
      <c r="C91" s="58" t="str">
        <f t="shared" si="18"/>
        <v/>
      </c>
      <c r="D91" s="44">
        <f t="shared" si="19"/>
        <v>0</v>
      </c>
      <c r="E91" s="107">
        <f t="shared" si="12"/>
        <v>0</v>
      </c>
      <c r="F91" s="44">
        <f t="shared" si="13"/>
        <v>0</v>
      </c>
      <c r="G91" s="106">
        <f t="shared" si="14"/>
        <v>0</v>
      </c>
      <c r="H91" s="106">
        <f t="shared" si="15"/>
        <v>0</v>
      </c>
      <c r="I91" s="44">
        <f t="shared" si="20"/>
        <v>0</v>
      </c>
      <c r="J91" s="107"/>
      <c r="L91" s="107">
        <f t="shared" si="16"/>
        <v>0</v>
      </c>
      <c r="N91" s="338">
        <f t="shared" si="17"/>
        <v>0</v>
      </c>
      <c r="O91" s="339"/>
      <c r="P91" s="307" t="str">
        <f>IFERROR(IF(MONTH($C91)=MONTH($J$6),SUMIFS(F$15:F91,$C$15:$C91,"&gt;"&amp;EOMONTH($C91,-12)),""),"")</f>
        <v/>
      </c>
      <c r="Q91" s="307" t="str">
        <f>IFERROR(IF(MONTH($C91)=MONTH($J$6),SUMIFS(G$15:G91,$C$15:$C91,"&gt;"&amp;EOMONTH($C91,-12))+SUMIFS(H$15:H91,$C$15:$C91,"&gt;"&amp;EOMONTH($C91,-12)),""),"")</f>
        <v/>
      </c>
    </row>
    <row r="92" spans="2:17" ht="12.75" customHeight="1" x14ac:dyDescent="0.25">
      <c r="B92">
        <f t="shared" si="11"/>
        <v>77</v>
      </c>
      <c r="C92" s="58" t="str">
        <f t="shared" si="18"/>
        <v/>
      </c>
      <c r="D92" s="44">
        <f t="shared" si="19"/>
        <v>0</v>
      </c>
      <c r="E92" s="107">
        <f t="shared" si="12"/>
        <v>0</v>
      </c>
      <c r="F92" s="44">
        <f t="shared" si="13"/>
        <v>0</v>
      </c>
      <c r="G92" s="106">
        <f t="shared" si="14"/>
        <v>0</v>
      </c>
      <c r="H92" s="106">
        <f t="shared" si="15"/>
        <v>0</v>
      </c>
      <c r="I92" s="44">
        <f t="shared" si="20"/>
        <v>0</v>
      </c>
      <c r="J92" s="107"/>
      <c r="L92" s="107">
        <f t="shared" si="16"/>
        <v>0</v>
      </c>
      <c r="N92" s="338">
        <f t="shared" si="17"/>
        <v>0</v>
      </c>
      <c r="O92" s="339"/>
      <c r="P92" s="307" t="str">
        <f>IFERROR(IF(MONTH($C92)=MONTH($J$6),SUMIFS(F$15:F92,$C$15:$C92,"&gt;"&amp;EOMONTH($C92,-12)),""),"")</f>
        <v/>
      </c>
      <c r="Q92" s="307" t="str">
        <f>IFERROR(IF(MONTH($C92)=MONTH($J$6),SUMIFS(G$15:G92,$C$15:$C92,"&gt;"&amp;EOMONTH($C92,-12))+SUMIFS(H$15:H92,$C$15:$C92,"&gt;"&amp;EOMONTH($C92,-12)),""),"")</f>
        <v/>
      </c>
    </row>
    <row r="93" spans="2:17" ht="12.75" customHeight="1" x14ac:dyDescent="0.25">
      <c r="B93">
        <f t="shared" si="11"/>
        <v>78</v>
      </c>
      <c r="C93" s="58" t="str">
        <f t="shared" si="18"/>
        <v/>
      </c>
      <c r="D93" s="44">
        <f t="shared" si="19"/>
        <v>0</v>
      </c>
      <c r="E93" s="107">
        <f t="shared" si="12"/>
        <v>0</v>
      </c>
      <c r="F93" s="44">
        <f t="shared" si="13"/>
        <v>0</v>
      </c>
      <c r="G93" s="106">
        <f t="shared" si="14"/>
        <v>0</v>
      </c>
      <c r="H93" s="106">
        <f t="shared" si="15"/>
        <v>0</v>
      </c>
      <c r="I93" s="44">
        <f t="shared" si="20"/>
        <v>0</v>
      </c>
      <c r="J93" s="107"/>
      <c r="L93" s="107">
        <f t="shared" si="16"/>
        <v>0</v>
      </c>
      <c r="N93" s="338">
        <f t="shared" si="17"/>
        <v>0</v>
      </c>
      <c r="O93" s="339"/>
      <c r="P93" s="307" t="str">
        <f>IFERROR(IF(MONTH($C93)=MONTH($J$6),SUMIFS(F$15:F93,$C$15:$C93,"&gt;"&amp;EOMONTH($C93,-12)),""),"")</f>
        <v/>
      </c>
      <c r="Q93" s="307" t="str">
        <f>IFERROR(IF(MONTH($C93)=MONTH($J$6),SUMIFS(G$15:G93,$C$15:$C93,"&gt;"&amp;EOMONTH($C93,-12))+SUMIFS(H$15:H93,$C$15:$C93,"&gt;"&amp;EOMONTH($C93,-12)),""),"")</f>
        <v/>
      </c>
    </row>
    <row r="94" spans="2:17" ht="12.75" customHeight="1" x14ac:dyDescent="0.25">
      <c r="B94">
        <f t="shared" si="11"/>
        <v>79</v>
      </c>
      <c r="C94" s="58" t="str">
        <f t="shared" si="18"/>
        <v/>
      </c>
      <c r="D94" s="44">
        <f t="shared" si="19"/>
        <v>0</v>
      </c>
      <c r="E94" s="107">
        <f t="shared" si="12"/>
        <v>0</v>
      </c>
      <c r="F94" s="44">
        <f t="shared" si="13"/>
        <v>0</v>
      </c>
      <c r="G94" s="106">
        <f t="shared" si="14"/>
        <v>0</v>
      </c>
      <c r="H94" s="106">
        <f t="shared" si="15"/>
        <v>0</v>
      </c>
      <c r="I94" s="44">
        <f t="shared" si="20"/>
        <v>0</v>
      </c>
      <c r="J94" s="107"/>
      <c r="L94" s="107">
        <f t="shared" si="16"/>
        <v>0</v>
      </c>
      <c r="N94" s="338">
        <f t="shared" si="17"/>
        <v>0</v>
      </c>
      <c r="O94" s="339"/>
      <c r="P94" s="307" t="str">
        <f>IFERROR(IF(MONTH($C94)=MONTH($J$6),SUMIFS(F$15:F94,$C$15:$C94,"&gt;"&amp;EOMONTH($C94,-12)),""),"")</f>
        <v/>
      </c>
      <c r="Q94" s="307" t="str">
        <f>IFERROR(IF(MONTH($C94)=MONTH($J$6),SUMIFS(G$15:G94,$C$15:$C94,"&gt;"&amp;EOMONTH($C94,-12))+SUMIFS(H$15:H94,$C$15:$C94,"&gt;"&amp;EOMONTH($C94,-12)),""),"")</f>
        <v/>
      </c>
    </row>
    <row r="95" spans="2:17" ht="12.75" customHeight="1" x14ac:dyDescent="0.25">
      <c r="B95">
        <f t="shared" si="11"/>
        <v>80</v>
      </c>
      <c r="C95" s="58" t="str">
        <f t="shared" si="18"/>
        <v/>
      </c>
      <c r="D95" s="44">
        <f t="shared" si="19"/>
        <v>0</v>
      </c>
      <c r="E95" s="107">
        <f t="shared" si="12"/>
        <v>0</v>
      </c>
      <c r="F95" s="44">
        <f t="shared" si="13"/>
        <v>0</v>
      </c>
      <c r="G95" s="106">
        <f t="shared" si="14"/>
        <v>0</v>
      </c>
      <c r="H95" s="106">
        <f t="shared" si="15"/>
        <v>0</v>
      </c>
      <c r="I95" s="44">
        <f t="shared" si="20"/>
        <v>0</v>
      </c>
      <c r="J95" s="107"/>
      <c r="L95" s="107">
        <f t="shared" si="16"/>
        <v>0</v>
      </c>
      <c r="N95" s="338">
        <f t="shared" si="17"/>
        <v>0</v>
      </c>
      <c r="O95" s="339"/>
      <c r="P95" s="307" t="str">
        <f>IFERROR(IF(MONTH($C95)=MONTH($J$6),SUMIFS(F$15:F95,$C$15:$C95,"&gt;"&amp;EOMONTH($C95,-12)),""),"")</f>
        <v/>
      </c>
      <c r="Q95" s="307" t="str">
        <f>IFERROR(IF(MONTH($C95)=MONTH($J$6),SUMIFS(G$15:G95,$C$15:$C95,"&gt;"&amp;EOMONTH($C95,-12))+SUMIFS(H$15:H95,$C$15:$C95,"&gt;"&amp;EOMONTH($C95,-12)),""),"")</f>
        <v/>
      </c>
    </row>
    <row r="96" spans="2:17" ht="12.75" customHeight="1" x14ac:dyDescent="0.25">
      <c r="B96">
        <f t="shared" si="11"/>
        <v>81</v>
      </c>
      <c r="C96" s="58" t="str">
        <f t="shared" si="18"/>
        <v/>
      </c>
      <c r="D96" s="44">
        <f t="shared" si="19"/>
        <v>0</v>
      </c>
      <c r="E96" s="107">
        <f t="shared" si="12"/>
        <v>0</v>
      </c>
      <c r="F96" s="44">
        <f t="shared" si="13"/>
        <v>0</v>
      </c>
      <c r="G96" s="106">
        <f t="shared" si="14"/>
        <v>0</v>
      </c>
      <c r="H96" s="106">
        <f t="shared" si="15"/>
        <v>0</v>
      </c>
      <c r="I96" s="44">
        <f t="shared" si="20"/>
        <v>0</v>
      </c>
      <c r="J96" s="107"/>
      <c r="L96" s="107">
        <f t="shared" si="16"/>
        <v>0</v>
      </c>
      <c r="N96" s="338">
        <f t="shared" si="17"/>
        <v>0</v>
      </c>
      <c r="O96" s="339"/>
      <c r="P96" s="307" t="str">
        <f>IFERROR(IF(MONTH($C96)=MONTH($J$6),SUMIFS(F$15:F96,$C$15:$C96,"&gt;"&amp;EOMONTH($C96,-12)),""),"")</f>
        <v/>
      </c>
      <c r="Q96" s="307" t="str">
        <f>IFERROR(IF(MONTH($C96)=MONTH($J$6),SUMIFS(G$15:G96,$C$15:$C96,"&gt;"&amp;EOMONTH($C96,-12))+SUMIFS(H$15:H96,$C$15:$C96,"&gt;"&amp;EOMONTH($C96,-12)),""),"")</f>
        <v/>
      </c>
    </row>
    <row r="97" spans="2:17" ht="12.75" customHeight="1" x14ac:dyDescent="0.25">
      <c r="B97">
        <f t="shared" si="11"/>
        <v>82</v>
      </c>
      <c r="C97" s="58" t="str">
        <f t="shared" si="18"/>
        <v/>
      </c>
      <c r="D97" s="44">
        <f t="shared" si="19"/>
        <v>0</v>
      </c>
      <c r="E97" s="107">
        <f t="shared" si="12"/>
        <v>0</v>
      </c>
      <c r="F97" s="44">
        <f t="shared" si="13"/>
        <v>0</v>
      </c>
      <c r="G97" s="106">
        <f t="shared" si="14"/>
        <v>0</v>
      </c>
      <c r="H97" s="106">
        <f t="shared" si="15"/>
        <v>0</v>
      </c>
      <c r="I97" s="44">
        <f t="shared" si="20"/>
        <v>0</v>
      </c>
      <c r="J97" s="107"/>
      <c r="L97" s="107">
        <f t="shared" si="16"/>
        <v>0</v>
      </c>
      <c r="N97" s="338">
        <f t="shared" si="17"/>
        <v>0</v>
      </c>
      <c r="O97" s="339"/>
      <c r="P97" s="307" t="str">
        <f>IFERROR(IF(MONTH($C97)=MONTH($J$6),SUMIFS(F$15:F97,$C$15:$C97,"&gt;"&amp;EOMONTH($C97,-12)),""),"")</f>
        <v/>
      </c>
      <c r="Q97" s="307" t="str">
        <f>IFERROR(IF(MONTH($C97)=MONTH($J$6),SUMIFS(G$15:G97,$C$15:$C97,"&gt;"&amp;EOMONTH($C97,-12))+SUMIFS(H$15:H97,$C$15:$C97,"&gt;"&amp;EOMONTH($C97,-12)),""),"")</f>
        <v/>
      </c>
    </row>
    <row r="98" spans="2:17" ht="12.75" customHeight="1" x14ac:dyDescent="0.25">
      <c r="B98">
        <f t="shared" si="11"/>
        <v>83</v>
      </c>
      <c r="C98" s="58" t="str">
        <f t="shared" si="18"/>
        <v/>
      </c>
      <c r="D98" s="44">
        <f t="shared" si="19"/>
        <v>0</v>
      </c>
      <c r="E98" s="107">
        <f t="shared" si="12"/>
        <v>0</v>
      </c>
      <c r="F98" s="44">
        <f t="shared" si="13"/>
        <v>0</v>
      </c>
      <c r="G98" s="106">
        <f t="shared" si="14"/>
        <v>0</v>
      </c>
      <c r="H98" s="106">
        <f t="shared" si="15"/>
        <v>0</v>
      </c>
      <c r="I98" s="44">
        <f t="shared" si="20"/>
        <v>0</v>
      </c>
      <c r="J98" s="107"/>
      <c r="L98" s="107">
        <f t="shared" si="16"/>
        <v>0</v>
      </c>
      <c r="N98" s="338">
        <f t="shared" si="17"/>
        <v>0</v>
      </c>
      <c r="O98" s="339"/>
      <c r="P98" s="307" t="str">
        <f>IFERROR(IF(MONTH($C98)=MONTH($J$6),SUMIFS(F$15:F98,$C$15:$C98,"&gt;"&amp;EOMONTH($C98,-12)),""),"")</f>
        <v/>
      </c>
      <c r="Q98" s="307" t="str">
        <f>IFERROR(IF(MONTH($C98)=MONTH($J$6),SUMIFS(G$15:G98,$C$15:$C98,"&gt;"&amp;EOMONTH($C98,-12))+SUMIFS(H$15:H98,$C$15:$C98,"&gt;"&amp;EOMONTH($C98,-12)),""),"")</f>
        <v/>
      </c>
    </row>
    <row r="99" spans="2:17" ht="12.75" customHeight="1" x14ac:dyDescent="0.25">
      <c r="B99">
        <f t="shared" si="11"/>
        <v>84</v>
      </c>
      <c r="C99" s="58" t="str">
        <f t="shared" si="18"/>
        <v/>
      </c>
      <c r="D99" s="44">
        <f t="shared" si="19"/>
        <v>0</v>
      </c>
      <c r="E99" s="107">
        <f t="shared" si="12"/>
        <v>0</v>
      </c>
      <c r="F99" s="44">
        <f t="shared" si="13"/>
        <v>0</v>
      </c>
      <c r="G99" s="106">
        <f t="shared" si="14"/>
        <v>0</v>
      </c>
      <c r="H99" s="106">
        <f t="shared" si="15"/>
        <v>0</v>
      </c>
      <c r="I99" s="44">
        <f t="shared" si="20"/>
        <v>0</v>
      </c>
      <c r="J99" s="107"/>
      <c r="L99" s="107">
        <f t="shared" si="16"/>
        <v>0</v>
      </c>
      <c r="N99" s="338">
        <f t="shared" si="17"/>
        <v>0</v>
      </c>
      <c r="O99" s="339"/>
      <c r="P99" s="307" t="str">
        <f>IFERROR(IF(MONTH($C99)=MONTH($J$6),SUMIFS(F$15:F99,$C$15:$C99,"&gt;"&amp;EOMONTH($C99,-12)),""),"")</f>
        <v/>
      </c>
      <c r="Q99" s="307" t="str">
        <f>IFERROR(IF(MONTH($C99)=MONTH($J$6),SUMIFS(G$15:G99,$C$15:$C99,"&gt;"&amp;EOMONTH($C99,-12))+SUMIFS(H$15:H99,$C$15:$C99,"&gt;"&amp;EOMONTH($C99,-12)),""),"")</f>
        <v/>
      </c>
    </row>
    <row r="100" spans="2:17" ht="12.75" customHeight="1" x14ac:dyDescent="0.25">
      <c r="B100">
        <f t="shared" si="11"/>
        <v>85</v>
      </c>
      <c r="C100" s="58" t="str">
        <f t="shared" si="18"/>
        <v/>
      </c>
      <c r="D100" s="44">
        <f t="shared" si="19"/>
        <v>0</v>
      </c>
      <c r="E100" s="107">
        <f t="shared" si="12"/>
        <v>0</v>
      </c>
      <c r="F100" s="44">
        <f t="shared" si="13"/>
        <v>0</v>
      </c>
      <c r="G100" s="106">
        <f t="shared" si="14"/>
        <v>0</v>
      </c>
      <c r="H100" s="106">
        <f t="shared" si="15"/>
        <v>0</v>
      </c>
      <c r="I100" s="44">
        <f t="shared" si="20"/>
        <v>0</v>
      </c>
      <c r="J100" s="107"/>
      <c r="L100" s="107">
        <f t="shared" si="16"/>
        <v>0</v>
      </c>
      <c r="N100" s="338">
        <f t="shared" si="17"/>
        <v>0</v>
      </c>
      <c r="O100" s="339"/>
      <c r="P100" s="307" t="str">
        <f>IFERROR(IF(MONTH($C100)=MONTH($J$6),SUMIFS(F$15:F100,$C$15:$C100,"&gt;"&amp;EOMONTH($C100,-12)),""),"")</f>
        <v/>
      </c>
      <c r="Q100" s="307" t="str">
        <f>IFERROR(IF(MONTH($C100)=MONTH($J$6),SUMIFS(G$15:G100,$C$15:$C100,"&gt;"&amp;EOMONTH($C100,-12))+SUMIFS(H$15:H100,$C$15:$C100,"&gt;"&amp;EOMONTH($C100,-12)),""),"")</f>
        <v/>
      </c>
    </row>
    <row r="101" spans="2:17" ht="12.75" customHeight="1" x14ac:dyDescent="0.25">
      <c r="B101">
        <f t="shared" si="11"/>
        <v>86</v>
      </c>
      <c r="C101" s="58" t="str">
        <f t="shared" si="18"/>
        <v/>
      </c>
      <c r="D101" s="44">
        <f t="shared" si="19"/>
        <v>0</v>
      </c>
      <c r="E101" s="107">
        <f t="shared" si="12"/>
        <v>0</v>
      </c>
      <c r="F101" s="44">
        <f t="shared" si="13"/>
        <v>0</v>
      </c>
      <c r="G101" s="106">
        <f t="shared" si="14"/>
        <v>0</v>
      </c>
      <c r="H101" s="106">
        <f t="shared" si="15"/>
        <v>0</v>
      </c>
      <c r="I101" s="44">
        <f t="shared" si="20"/>
        <v>0</v>
      </c>
      <c r="J101" s="107"/>
      <c r="L101" s="107">
        <f t="shared" si="16"/>
        <v>0</v>
      </c>
      <c r="N101" s="338">
        <f t="shared" si="17"/>
        <v>0</v>
      </c>
      <c r="O101" s="339"/>
      <c r="P101" s="307" t="str">
        <f>IFERROR(IF(MONTH($C101)=MONTH($J$6),SUMIFS(F$15:F101,$C$15:$C101,"&gt;"&amp;EOMONTH($C101,-12)),""),"")</f>
        <v/>
      </c>
      <c r="Q101" s="307" t="str">
        <f>IFERROR(IF(MONTH($C101)=MONTH($J$6),SUMIFS(G$15:G101,$C$15:$C101,"&gt;"&amp;EOMONTH($C101,-12))+SUMIFS(H$15:H101,$C$15:$C101,"&gt;"&amp;EOMONTH($C101,-12)),""),"")</f>
        <v/>
      </c>
    </row>
    <row r="102" spans="2:17" ht="12.75" customHeight="1" x14ac:dyDescent="0.25">
      <c r="B102">
        <f t="shared" si="11"/>
        <v>87</v>
      </c>
      <c r="C102" s="58" t="str">
        <f t="shared" si="18"/>
        <v/>
      </c>
      <c r="D102" s="44">
        <f t="shared" si="19"/>
        <v>0</v>
      </c>
      <c r="E102" s="107">
        <f t="shared" si="12"/>
        <v>0</v>
      </c>
      <c r="F102" s="44">
        <f t="shared" si="13"/>
        <v>0</v>
      </c>
      <c r="G102" s="106">
        <f t="shared" si="14"/>
        <v>0</v>
      </c>
      <c r="H102" s="106">
        <f t="shared" si="15"/>
        <v>0</v>
      </c>
      <c r="I102" s="44">
        <f t="shared" si="20"/>
        <v>0</v>
      </c>
      <c r="J102" s="107"/>
      <c r="L102" s="107">
        <f t="shared" si="16"/>
        <v>0</v>
      </c>
      <c r="N102" s="338">
        <f t="shared" si="17"/>
        <v>0</v>
      </c>
      <c r="O102" s="339"/>
      <c r="P102" s="307" t="str">
        <f>IFERROR(IF(MONTH($C102)=MONTH($J$6),SUMIFS(F$15:F102,$C$15:$C102,"&gt;"&amp;EOMONTH($C102,-12)),""),"")</f>
        <v/>
      </c>
      <c r="Q102" s="307" t="str">
        <f>IFERROR(IF(MONTH($C102)=MONTH($J$6),SUMIFS(G$15:G102,$C$15:$C102,"&gt;"&amp;EOMONTH($C102,-12))+SUMIFS(H$15:H102,$C$15:$C102,"&gt;"&amp;EOMONTH($C102,-12)),""),"")</f>
        <v/>
      </c>
    </row>
    <row r="103" spans="2:17" ht="12.75" customHeight="1" x14ac:dyDescent="0.25">
      <c r="B103">
        <f t="shared" si="11"/>
        <v>88</v>
      </c>
      <c r="C103" s="58" t="str">
        <f t="shared" si="18"/>
        <v/>
      </c>
      <c r="D103" s="44">
        <f t="shared" si="19"/>
        <v>0</v>
      </c>
      <c r="E103" s="107">
        <f t="shared" si="12"/>
        <v>0</v>
      </c>
      <c r="F103" s="44">
        <f t="shared" si="13"/>
        <v>0</v>
      </c>
      <c r="G103" s="106">
        <f t="shared" si="14"/>
        <v>0</v>
      </c>
      <c r="H103" s="106">
        <f t="shared" si="15"/>
        <v>0</v>
      </c>
      <c r="I103" s="44">
        <f t="shared" si="20"/>
        <v>0</v>
      </c>
      <c r="J103" s="107"/>
      <c r="L103" s="107">
        <f t="shared" si="16"/>
        <v>0</v>
      </c>
      <c r="N103" s="338">
        <f t="shared" si="17"/>
        <v>0</v>
      </c>
      <c r="O103" s="339"/>
      <c r="P103" s="307" t="str">
        <f>IFERROR(IF(MONTH($C103)=MONTH($J$6),SUMIFS(F$15:F103,$C$15:$C103,"&gt;"&amp;EOMONTH($C103,-12)),""),"")</f>
        <v/>
      </c>
      <c r="Q103" s="307" t="str">
        <f>IFERROR(IF(MONTH($C103)=MONTH($J$6),SUMIFS(G$15:G103,$C$15:$C103,"&gt;"&amp;EOMONTH($C103,-12))+SUMIFS(H$15:H103,$C$15:$C103,"&gt;"&amp;EOMONTH($C103,-12)),""),"")</f>
        <v/>
      </c>
    </row>
    <row r="104" spans="2:17" ht="12.75" customHeight="1" x14ac:dyDescent="0.25">
      <c r="B104">
        <f t="shared" si="11"/>
        <v>89</v>
      </c>
      <c r="C104" s="58" t="str">
        <f t="shared" si="18"/>
        <v/>
      </c>
      <c r="D104" s="44">
        <f t="shared" si="19"/>
        <v>0</v>
      </c>
      <c r="E104" s="107">
        <f t="shared" si="12"/>
        <v>0</v>
      </c>
      <c r="F104" s="44">
        <f t="shared" si="13"/>
        <v>0</v>
      </c>
      <c r="G104" s="106">
        <f t="shared" si="14"/>
        <v>0</v>
      </c>
      <c r="H104" s="106">
        <f t="shared" si="15"/>
        <v>0</v>
      </c>
      <c r="I104" s="44">
        <f t="shared" si="20"/>
        <v>0</v>
      </c>
      <c r="J104" s="107"/>
      <c r="L104" s="107">
        <f t="shared" si="16"/>
        <v>0</v>
      </c>
      <c r="N104" s="338">
        <f t="shared" si="17"/>
        <v>0</v>
      </c>
      <c r="O104" s="339"/>
      <c r="P104" s="307" t="str">
        <f>IFERROR(IF(MONTH($C104)=MONTH($J$6),SUMIFS(F$15:F104,$C$15:$C104,"&gt;"&amp;EOMONTH($C104,-12)),""),"")</f>
        <v/>
      </c>
      <c r="Q104" s="307" t="str">
        <f>IFERROR(IF(MONTH($C104)=MONTH($J$6),SUMIFS(G$15:G104,$C$15:$C104,"&gt;"&amp;EOMONTH($C104,-12))+SUMIFS(H$15:H104,$C$15:$C104,"&gt;"&amp;EOMONTH($C104,-12)),""),"")</f>
        <v/>
      </c>
    </row>
    <row r="105" spans="2:17" ht="12.75" customHeight="1" x14ac:dyDescent="0.25">
      <c r="B105">
        <f t="shared" si="11"/>
        <v>90</v>
      </c>
      <c r="C105" s="58" t="str">
        <f t="shared" si="18"/>
        <v/>
      </c>
      <c r="D105" s="44">
        <f t="shared" si="19"/>
        <v>0</v>
      </c>
      <c r="E105" s="107">
        <f t="shared" si="12"/>
        <v>0</v>
      </c>
      <c r="F105" s="44">
        <f t="shared" si="13"/>
        <v>0</v>
      </c>
      <c r="G105" s="106">
        <f t="shared" si="14"/>
        <v>0</v>
      </c>
      <c r="H105" s="106">
        <f t="shared" si="15"/>
        <v>0</v>
      </c>
      <c r="I105" s="44">
        <f t="shared" si="20"/>
        <v>0</v>
      </c>
      <c r="J105" s="107"/>
      <c r="L105" s="107">
        <f t="shared" si="16"/>
        <v>0</v>
      </c>
      <c r="N105" s="338">
        <f t="shared" si="17"/>
        <v>0</v>
      </c>
      <c r="O105" s="339"/>
      <c r="P105" s="307" t="str">
        <f>IFERROR(IF(MONTH($C105)=MONTH($J$6),SUMIFS(F$15:F105,$C$15:$C105,"&gt;"&amp;EOMONTH($C105,-12)),""),"")</f>
        <v/>
      </c>
      <c r="Q105" s="307" t="str">
        <f>IFERROR(IF(MONTH($C105)=MONTH($J$6),SUMIFS(G$15:G105,$C$15:$C105,"&gt;"&amp;EOMONTH($C105,-12))+SUMIFS(H$15:H105,$C$15:$C105,"&gt;"&amp;EOMONTH($C105,-12)),""),"")</f>
        <v/>
      </c>
    </row>
    <row r="106" spans="2:17" ht="12.75" customHeight="1" x14ac:dyDescent="0.25">
      <c r="B106">
        <f t="shared" si="11"/>
        <v>91</v>
      </c>
      <c r="C106" s="58" t="str">
        <f t="shared" si="18"/>
        <v/>
      </c>
      <c r="D106" s="44">
        <f t="shared" si="19"/>
        <v>0</v>
      </c>
      <c r="E106" s="107">
        <f t="shared" si="12"/>
        <v>0</v>
      </c>
      <c r="F106" s="44">
        <f t="shared" si="13"/>
        <v>0</v>
      </c>
      <c r="G106" s="106">
        <f t="shared" si="14"/>
        <v>0</v>
      </c>
      <c r="H106" s="106">
        <f t="shared" si="15"/>
        <v>0</v>
      </c>
      <c r="I106" s="44">
        <f t="shared" si="20"/>
        <v>0</v>
      </c>
      <c r="J106" s="107"/>
      <c r="L106" s="107">
        <f t="shared" si="16"/>
        <v>0</v>
      </c>
      <c r="N106" s="338">
        <f t="shared" si="17"/>
        <v>0</v>
      </c>
      <c r="O106" s="339"/>
      <c r="P106" s="307" t="str">
        <f>IFERROR(IF(MONTH($C106)=MONTH($J$6),SUMIFS(F$15:F106,$C$15:$C106,"&gt;"&amp;EOMONTH($C106,-12)),""),"")</f>
        <v/>
      </c>
      <c r="Q106" s="307" t="str">
        <f>IFERROR(IF(MONTH($C106)=MONTH($J$6),SUMIFS(G$15:G106,$C$15:$C106,"&gt;"&amp;EOMONTH($C106,-12))+SUMIFS(H$15:H106,$C$15:$C106,"&gt;"&amp;EOMONTH($C106,-12)),""),"")</f>
        <v/>
      </c>
    </row>
    <row r="107" spans="2:17" ht="12.75" customHeight="1" x14ac:dyDescent="0.25">
      <c r="B107">
        <f t="shared" si="11"/>
        <v>92</v>
      </c>
      <c r="C107" s="58" t="str">
        <f t="shared" si="18"/>
        <v/>
      </c>
      <c r="D107" s="44">
        <f t="shared" si="19"/>
        <v>0</v>
      </c>
      <c r="E107" s="107">
        <f t="shared" si="12"/>
        <v>0</v>
      </c>
      <c r="F107" s="44">
        <f t="shared" si="13"/>
        <v>0</v>
      </c>
      <c r="G107" s="106">
        <f t="shared" si="14"/>
        <v>0</v>
      </c>
      <c r="H107" s="106">
        <f t="shared" si="15"/>
        <v>0</v>
      </c>
      <c r="I107" s="44">
        <f t="shared" si="20"/>
        <v>0</v>
      </c>
      <c r="J107" s="107"/>
      <c r="L107" s="107">
        <f t="shared" si="16"/>
        <v>0</v>
      </c>
      <c r="N107" s="338">
        <f t="shared" si="17"/>
        <v>0</v>
      </c>
      <c r="O107" s="339"/>
      <c r="P107" s="307" t="str">
        <f>IFERROR(IF(MONTH($C107)=MONTH($J$6),SUMIFS(F$15:F107,$C$15:$C107,"&gt;"&amp;EOMONTH($C107,-12)),""),"")</f>
        <v/>
      </c>
      <c r="Q107" s="307" t="str">
        <f>IFERROR(IF(MONTH($C107)=MONTH($J$6),SUMIFS(G$15:G107,$C$15:$C107,"&gt;"&amp;EOMONTH($C107,-12))+SUMIFS(H$15:H107,$C$15:$C107,"&gt;"&amp;EOMONTH($C107,-12)),""),"")</f>
        <v/>
      </c>
    </row>
    <row r="108" spans="2:17" ht="12.75" customHeight="1" x14ac:dyDescent="0.25">
      <c r="B108">
        <f t="shared" si="11"/>
        <v>93</v>
      </c>
      <c r="C108" s="58" t="str">
        <f t="shared" si="18"/>
        <v/>
      </c>
      <c r="D108" s="44">
        <f t="shared" si="19"/>
        <v>0</v>
      </c>
      <c r="E108" s="107">
        <f t="shared" si="12"/>
        <v>0</v>
      </c>
      <c r="F108" s="44">
        <f t="shared" si="13"/>
        <v>0</v>
      </c>
      <c r="G108" s="106">
        <f t="shared" si="14"/>
        <v>0</v>
      </c>
      <c r="H108" s="106">
        <f t="shared" si="15"/>
        <v>0</v>
      </c>
      <c r="I108" s="44">
        <f t="shared" si="20"/>
        <v>0</v>
      </c>
      <c r="J108" s="107"/>
      <c r="L108" s="107">
        <f t="shared" si="16"/>
        <v>0</v>
      </c>
      <c r="N108" s="338">
        <f t="shared" si="17"/>
        <v>0</v>
      </c>
      <c r="O108" s="339"/>
      <c r="P108" s="307" t="str">
        <f>IFERROR(IF(MONTH($C108)=MONTH($J$6),SUMIFS(F$15:F108,$C$15:$C108,"&gt;"&amp;EOMONTH($C108,-12)),""),"")</f>
        <v/>
      </c>
      <c r="Q108" s="307" t="str">
        <f>IFERROR(IF(MONTH($C108)=MONTH($J$6),SUMIFS(G$15:G108,$C$15:$C108,"&gt;"&amp;EOMONTH($C108,-12))+SUMIFS(H$15:H108,$C$15:$C108,"&gt;"&amp;EOMONTH($C108,-12)),""),"")</f>
        <v/>
      </c>
    </row>
    <row r="109" spans="2:17" ht="12.75" customHeight="1" x14ac:dyDescent="0.25">
      <c r="B109">
        <f t="shared" si="11"/>
        <v>94</v>
      </c>
      <c r="C109" s="58" t="str">
        <f t="shared" si="18"/>
        <v/>
      </c>
      <c r="D109" s="44">
        <f t="shared" si="19"/>
        <v>0</v>
      </c>
      <c r="E109" s="107">
        <f t="shared" si="12"/>
        <v>0</v>
      </c>
      <c r="F109" s="44">
        <f t="shared" si="13"/>
        <v>0</v>
      </c>
      <c r="G109" s="106">
        <f t="shared" si="14"/>
        <v>0</v>
      </c>
      <c r="H109" s="106">
        <f t="shared" si="15"/>
        <v>0</v>
      </c>
      <c r="I109" s="44">
        <f t="shared" si="20"/>
        <v>0</v>
      </c>
      <c r="J109" s="107"/>
      <c r="L109" s="107">
        <f t="shared" si="16"/>
        <v>0</v>
      </c>
      <c r="N109" s="338">
        <f t="shared" si="17"/>
        <v>0</v>
      </c>
      <c r="O109" s="339"/>
      <c r="P109" s="307" t="str">
        <f>IFERROR(IF(MONTH($C109)=MONTH($J$6),SUMIFS(F$15:F109,$C$15:$C109,"&gt;"&amp;EOMONTH($C109,-12)),""),"")</f>
        <v/>
      </c>
      <c r="Q109" s="307" t="str">
        <f>IFERROR(IF(MONTH($C109)=MONTH($J$6),SUMIFS(G$15:G109,$C$15:$C109,"&gt;"&amp;EOMONTH($C109,-12))+SUMIFS(H$15:H109,$C$15:$C109,"&gt;"&amp;EOMONTH($C109,-12)),""),"")</f>
        <v/>
      </c>
    </row>
    <row r="110" spans="2:17" ht="12.75" customHeight="1" x14ac:dyDescent="0.25">
      <c r="B110">
        <f t="shared" si="11"/>
        <v>95</v>
      </c>
      <c r="C110" s="58" t="str">
        <f t="shared" si="18"/>
        <v/>
      </c>
      <c r="D110" s="44">
        <f t="shared" si="19"/>
        <v>0</v>
      </c>
      <c r="E110" s="107">
        <f t="shared" si="12"/>
        <v>0</v>
      </c>
      <c r="F110" s="44">
        <f t="shared" si="13"/>
        <v>0</v>
      </c>
      <c r="G110" s="106">
        <f t="shared" si="14"/>
        <v>0</v>
      </c>
      <c r="H110" s="106">
        <f t="shared" si="15"/>
        <v>0</v>
      </c>
      <c r="I110" s="44">
        <f t="shared" si="20"/>
        <v>0</v>
      </c>
      <c r="J110" s="107"/>
      <c r="L110" s="107">
        <f t="shared" si="16"/>
        <v>0</v>
      </c>
      <c r="N110" s="338">
        <f t="shared" si="17"/>
        <v>0</v>
      </c>
      <c r="O110" s="339"/>
      <c r="P110" s="307" t="str">
        <f>IFERROR(IF(MONTH($C110)=MONTH($J$6),SUMIFS(F$15:F110,$C$15:$C110,"&gt;"&amp;EOMONTH($C110,-12)),""),"")</f>
        <v/>
      </c>
      <c r="Q110" s="307" t="str">
        <f>IFERROR(IF(MONTH($C110)=MONTH($J$6),SUMIFS(G$15:G110,$C$15:$C110,"&gt;"&amp;EOMONTH($C110,-12))+SUMIFS(H$15:H110,$C$15:$C110,"&gt;"&amp;EOMONTH($C110,-12)),""),"")</f>
        <v/>
      </c>
    </row>
    <row r="111" spans="2:17" ht="12.75" customHeight="1" x14ac:dyDescent="0.25">
      <c r="B111">
        <f t="shared" si="11"/>
        <v>96</v>
      </c>
      <c r="C111" s="58" t="str">
        <f t="shared" si="18"/>
        <v/>
      </c>
      <c r="D111" s="44">
        <f t="shared" si="19"/>
        <v>0</v>
      </c>
      <c r="E111" s="107">
        <f t="shared" si="12"/>
        <v>0</v>
      </c>
      <c r="F111" s="44">
        <f t="shared" si="13"/>
        <v>0</v>
      </c>
      <c r="G111" s="106">
        <f t="shared" si="14"/>
        <v>0</v>
      </c>
      <c r="H111" s="106">
        <f t="shared" si="15"/>
        <v>0</v>
      </c>
      <c r="I111" s="44">
        <f t="shared" si="20"/>
        <v>0</v>
      </c>
      <c r="J111" s="107"/>
      <c r="L111" s="107">
        <f t="shared" si="16"/>
        <v>0</v>
      </c>
      <c r="N111" s="338">
        <f t="shared" si="17"/>
        <v>0</v>
      </c>
      <c r="O111" s="339"/>
      <c r="P111" s="307" t="str">
        <f>IFERROR(IF(MONTH($C111)=MONTH($J$6),SUMIFS(F$15:F111,$C$15:$C111,"&gt;"&amp;EOMONTH($C111,-12)),""),"")</f>
        <v/>
      </c>
      <c r="Q111" s="307" t="str">
        <f>IFERROR(IF(MONTH($C111)=MONTH($J$6),SUMIFS(G$15:G111,$C$15:$C111,"&gt;"&amp;EOMONTH($C111,-12))+SUMIFS(H$15:H111,$C$15:$C111,"&gt;"&amp;EOMONTH($C111,-12)),""),"")</f>
        <v/>
      </c>
    </row>
    <row r="112" spans="2:17" ht="12.75" customHeight="1" x14ac:dyDescent="0.25">
      <c r="B112">
        <f t="shared" si="11"/>
        <v>97</v>
      </c>
      <c r="C112" s="58" t="str">
        <f t="shared" si="18"/>
        <v/>
      </c>
      <c r="D112" s="44">
        <f t="shared" si="19"/>
        <v>0</v>
      </c>
      <c r="E112" s="107">
        <f t="shared" si="12"/>
        <v>0</v>
      </c>
      <c r="F112" s="44">
        <f t="shared" si="13"/>
        <v>0</v>
      </c>
      <c r="G112" s="106">
        <f t="shared" ref="G112:G143" si="21">ROUND(IFERROR((IF(B112&lt;=$D$8,(E112+IF(Loan_Type&lt;&gt;"Tax Loan",I111,0))*$D$6*30/360,0)),0),2)</f>
        <v>0</v>
      </c>
      <c r="H112" s="106">
        <f t="shared" si="15"/>
        <v>0</v>
      </c>
      <c r="I112" s="44">
        <f t="shared" si="20"/>
        <v>0</v>
      </c>
      <c r="J112" s="107"/>
      <c r="L112" s="107">
        <f t="shared" si="16"/>
        <v>0</v>
      </c>
      <c r="N112" s="338">
        <f t="shared" si="17"/>
        <v>0</v>
      </c>
      <c r="O112" s="339"/>
      <c r="P112" s="307" t="str">
        <f>IFERROR(IF(MONTH($C112)=MONTH($J$6),SUMIFS(F$15:F112,$C$15:$C112,"&gt;"&amp;EOMONTH($C112,-12)),""),"")</f>
        <v/>
      </c>
      <c r="Q112" s="307" t="str">
        <f>IFERROR(IF(MONTH($C112)=MONTH($J$6),SUMIFS(G$15:G112,$C$15:$C112,"&gt;"&amp;EOMONTH($C112,-12))+SUMIFS(H$15:H112,$C$15:$C112,"&gt;"&amp;EOMONTH($C112,-12)),""),"")</f>
        <v/>
      </c>
    </row>
    <row r="113" spans="2:17" ht="12.75" customHeight="1" x14ac:dyDescent="0.25">
      <c r="B113">
        <f t="shared" si="11"/>
        <v>98</v>
      </c>
      <c r="C113" s="58" t="str">
        <f t="shared" si="18"/>
        <v/>
      </c>
      <c r="D113" s="44">
        <f t="shared" si="19"/>
        <v>0</v>
      </c>
      <c r="E113" s="107">
        <f t="shared" si="12"/>
        <v>0</v>
      </c>
      <c r="F113" s="44">
        <f t="shared" si="13"/>
        <v>0</v>
      </c>
      <c r="G113" s="106">
        <f t="shared" si="21"/>
        <v>0</v>
      </c>
      <c r="H113" s="106">
        <f t="shared" si="15"/>
        <v>0</v>
      </c>
      <c r="I113" s="44">
        <f t="shared" si="20"/>
        <v>0</v>
      </c>
      <c r="J113" s="107"/>
      <c r="L113" s="107">
        <f t="shared" si="16"/>
        <v>0</v>
      </c>
      <c r="N113" s="338">
        <f t="shared" si="17"/>
        <v>0</v>
      </c>
      <c r="O113" s="339"/>
      <c r="P113" s="307" t="str">
        <f>IFERROR(IF(MONTH($C113)=MONTH($J$6),SUMIFS(F$15:F113,$C$15:$C113,"&gt;"&amp;EOMONTH($C113,-12)),""),"")</f>
        <v/>
      </c>
      <c r="Q113" s="307" t="str">
        <f>IFERROR(IF(MONTH($C113)=MONTH($J$6),SUMIFS(G$15:G113,$C$15:$C113,"&gt;"&amp;EOMONTH($C113,-12))+SUMIFS(H$15:H113,$C$15:$C113,"&gt;"&amp;EOMONTH($C113,-12)),""),"")</f>
        <v/>
      </c>
    </row>
    <row r="114" spans="2:17" ht="12.75" customHeight="1" x14ac:dyDescent="0.25">
      <c r="B114">
        <f t="shared" si="11"/>
        <v>99</v>
      </c>
      <c r="C114" s="58" t="str">
        <f t="shared" si="18"/>
        <v/>
      </c>
      <c r="D114" s="44">
        <f t="shared" si="19"/>
        <v>0</v>
      </c>
      <c r="E114" s="107">
        <f t="shared" si="12"/>
        <v>0</v>
      </c>
      <c r="F114" s="44">
        <f t="shared" si="13"/>
        <v>0</v>
      </c>
      <c r="G114" s="106">
        <f t="shared" si="21"/>
        <v>0</v>
      </c>
      <c r="H114" s="106">
        <f t="shared" si="15"/>
        <v>0</v>
      </c>
      <c r="I114" s="44">
        <f t="shared" si="20"/>
        <v>0</v>
      </c>
      <c r="J114" s="107"/>
      <c r="L114" s="107">
        <f t="shared" si="16"/>
        <v>0</v>
      </c>
      <c r="N114" s="338">
        <f t="shared" si="17"/>
        <v>0</v>
      </c>
      <c r="O114" s="339"/>
      <c r="P114" s="307" t="str">
        <f>IFERROR(IF(MONTH($C114)=MONTH($J$6),SUMIFS(F$15:F114,$C$15:$C114,"&gt;"&amp;EOMONTH($C114,-12)),""),"")</f>
        <v/>
      </c>
      <c r="Q114" s="307" t="str">
        <f>IFERROR(IF(MONTH($C114)=MONTH($J$6),SUMIFS(G$15:G114,$C$15:$C114,"&gt;"&amp;EOMONTH($C114,-12))+SUMIFS(H$15:H114,$C$15:$C114,"&gt;"&amp;EOMONTH($C114,-12)),""),"")</f>
        <v/>
      </c>
    </row>
    <row r="115" spans="2:17" ht="12.75" customHeight="1" x14ac:dyDescent="0.25">
      <c r="B115">
        <f t="shared" si="11"/>
        <v>100</v>
      </c>
      <c r="C115" s="58" t="str">
        <f t="shared" si="18"/>
        <v/>
      </c>
      <c r="D115" s="44">
        <f t="shared" si="19"/>
        <v>0</v>
      </c>
      <c r="E115" s="107">
        <f t="shared" si="12"/>
        <v>0</v>
      </c>
      <c r="F115" s="44">
        <f t="shared" si="13"/>
        <v>0</v>
      </c>
      <c r="G115" s="106">
        <f t="shared" si="21"/>
        <v>0</v>
      </c>
      <c r="H115" s="106">
        <f t="shared" si="15"/>
        <v>0</v>
      </c>
      <c r="I115" s="44">
        <f t="shared" si="20"/>
        <v>0</v>
      </c>
      <c r="J115" s="107"/>
      <c r="L115" s="107">
        <f t="shared" si="16"/>
        <v>0</v>
      </c>
      <c r="N115" s="338">
        <f t="shared" si="17"/>
        <v>0</v>
      </c>
      <c r="O115" s="339"/>
      <c r="P115" s="307" t="str">
        <f>IFERROR(IF(MONTH($C115)=MONTH($J$6),SUMIFS(F$15:F115,$C$15:$C115,"&gt;"&amp;EOMONTH($C115,-12)),""),"")</f>
        <v/>
      </c>
      <c r="Q115" s="307" t="str">
        <f>IFERROR(IF(MONTH($C115)=MONTH($J$6),SUMIFS(G$15:G115,$C$15:$C115,"&gt;"&amp;EOMONTH($C115,-12))+SUMIFS(H$15:H115,$C$15:$C115,"&gt;"&amp;EOMONTH($C115,-12)),""),"")</f>
        <v/>
      </c>
    </row>
    <row r="116" spans="2:17" ht="12.75" customHeight="1" x14ac:dyDescent="0.25">
      <c r="B116">
        <f t="shared" si="11"/>
        <v>101</v>
      </c>
      <c r="C116" s="58" t="str">
        <f t="shared" si="18"/>
        <v/>
      </c>
      <c r="D116" s="44">
        <f t="shared" si="19"/>
        <v>0</v>
      </c>
      <c r="E116" s="107">
        <f t="shared" si="12"/>
        <v>0</v>
      </c>
      <c r="F116" s="44">
        <f t="shared" si="13"/>
        <v>0</v>
      </c>
      <c r="G116" s="106">
        <f t="shared" si="21"/>
        <v>0</v>
      </c>
      <c r="H116" s="106">
        <f t="shared" si="15"/>
        <v>0</v>
      </c>
      <c r="I116" s="44">
        <f t="shared" si="20"/>
        <v>0</v>
      </c>
      <c r="J116" s="107"/>
      <c r="L116" s="107">
        <f t="shared" si="16"/>
        <v>0</v>
      </c>
      <c r="N116" s="338">
        <f t="shared" si="17"/>
        <v>0</v>
      </c>
      <c r="O116" s="339"/>
      <c r="P116" s="307" t="str">
        <f>IFERROR(IF(MONTH($C116)=MONTH($J$6),SUMIFS(F$15:F116,$C$15:$C116,"&gt;"&amp;EOMONTH($C116,-12)),""),"")</f>
        <v/>
      </c>
      <c r="Q116" s="307" t="str">
        <f>IFERROR(IF(MONTH($C116)=MONTH($J$6),SUMIFS(G$15:G116,$C$15:$C116,"&gt;"&amp;EOMONTH($C116,-12))+SUMIFS(H$15:H116,$C$15:$C116,"&gt;"&amp;EOMONTH($C116,-12)),""),"")</f>
        <v/>
      </c>
    </row>
    <row r="117" spans="2:17" ht="12.75" customHeight="1" x14ac:dyDescent="0.25">
      <c r="B117">
        <f t="shared" si="11"/>
        <v>102</v>
      </c>
      <c r="C117" s="58" t="str">
        <f t="shared" si="18"/>
        <v/>
      </c>
      <c r="D117" s="44">
        <f t="shared" si="19"/>
        <v>0</v>
      </c>
      <c r="E117" s="107">
        <f t="shared" si="12"/>
        <v>0</v>
      </c>
      <c r="F117" s="44">
        <f t="shared" si="13"/>
        <v>0</v>
      </c>
      <c r="G117" s="106">
        <f t="shared" si="21"/>
        <v>0</v>
      </c>
      <c r="H117" s="106">
        <f t="shared" si="15"/>
        <v>0</v>
      </c>
      <c r="I117" s="44">
        <f t="shared" si="20"/>
        <v>0</v>
      </c>
      <c r="J117" s="107"/>
      <c r="L117" s="107">
        <f t="shared" si="16"/>
        <v>0</v>
      </c>
      <c r="N117" s="338">
        <f t="shared" si="17"/>
        <v>0</v>
      </c>
      <c r="O117" s="339"/>
      <c r="P117" s="307" t="str">
        <f>IFERROR(IF(MONTH($C117)=MONTH($J$6),SUMIFS(F$15:F117,$C$15:$C117,"&gt;"&amp;EOMONTH($C117,-12)),""),"")</f>
        <v/>
      </c>
      <c r="Q117" s="307" t="str">
        <f>IFERROR(IF(MONTH($C117)=MONTH($J$6),SUMIFS(G$15:G117,$C$15:$C117,"&gt;"&amp;EOMONTH($C117,-12))+SUMIFS(H$15:H117,$C$15:$C117,"&gt;"&amp;EOMONTH($C117,-12)),""),"")</f>
        <v/>
      </c>
    </row>
    <row r="118" spans="2:17" ht="12.75" customHeight="1" x14ac:dyDescent="0.25">
      <c r="B118">
        <f t="shared" si="11"/>
        <v>103</v>
      </c>
      <c r="C118" s="58" t="str">
        <f t="shared" si="18"/>
        <v/>
      </c>
      <c r="D118" s="44">
        <f t="shared" si="19"/>
        <v>0</v>
      </c>
      <c r="E118" s="107">
        <f t="shared" si="12"/>
        <v>0</v>
      </c>
      <c r="F118" s="44">
        <f t="shared" si="13"/>
        <v>0</v>
      </c>
      <c r="G118" s="106">
        <f t="shared" si="21"/>
        <v>0</v>
      </c>
      <c r="H118" s="106">
        <f t="shared" si="15"/>
        <v>0</v>
      </c>
      <c r="I118" s="44">
        <f t="shared" si="20"/>
        <v>0</v>
      </c>
      <c r="J118" s="107"/>
      <c r="L118" s="107">
        <f t="shared" si="16"/>
        <v>0</v>
      </c>
      <c r="N118" s="338">
        <f t="shared" si="17"/>
        <v>0</v>
      </c>
      <c r="O118" s="339"/>
      <c r="P118" s="307" t="str">
        <f>IFERROR(IF(MONTH($C118)=MONTH($J$6),SUMIFS(F$15:F118,$C$15:$C118,"&gt;"&amp;EOMONTH($C118,-12)),""),"")</f>
        <v/>
      </c>
      <c r="Q118" s="307" t="str">
        <f>IFERROR(IF(MONTH($C118)=MONTH($J$6),SUMIFS(G$15:G118,$C$15:$C118,"&gt;"&amp;EOMONTH($C118,-12))+SUMIFS(H$15:H118,$C$15:$C118,"&gt;"&amp;EOMONTH($C118,-12)),""),"")</f>
        <v/>
      </c>
    </row>
    <row r="119" spans="2:17" ht="12.75" customHeight="1" x14ac:dyDescent="0.25">
      <c r="B119">
        <f t="shared" si="11"/>
        <v>104</v>
      </c>
      <c r="C119" s="58" t="str">
        <f t="shared" si="18"/>
        <v/>
      </c>
      <c r="D119" s="44">
        <f t="shared" si="19"/>
        <v>0</v>
      </c>
      <c r="E119" s="107">
        <f t="shared" si="12"/>
        <v>0</v>
      </c>
      <c r="F119" s="44">
        <f t="shared" si="13"/>
        <v>0</v>
      </c>
      <c r="G119" s="106">
        <f t="shared" si="21"/>
        <v>0</v>
      </c>
      <c r="H119" s="106">
        <f t="shared" si="15"/>
        <v>0</v>
      </c>
      <c r="I119" s="44">
        <f t="shared" si="20"/>
        <v>0</v>
      </c>
      <c r="J119" s="107"/>
      <c r="L119" s="107">
        <f t="shared" si="16"/>
        <v>0</v>
      </c>
      <c r="N119" s="338">
        <f t="shared" si="17"/>
        <v>0</v>
      </c>
      <c r="O119" s="339"/>
      <c r="P119" s="307" t="str">
        <f>IFERROR(IF(MONTH($C119)=MONTH($J$6),SUMIFS(F$15:F119,$C$15:$C119,"&gt;"&amp;EOMONTH($C119,-12)),""),"")</f>
        <v/>
      </c>
      <c r="Q119" s="307" t="str">
        <f>IFERROR(IF(MONTH($C119)=MONTH($J$6),SUMIFS(G$15:G119,$C$15:$C119,"&gt;"&amp;EOMONTH($C119,-12))+SUMIFS(H$15:H119,$C$15:$C119,"&gt;"&amp;EOMONTH($C119,-12)),""),"")</f>
        <v/>
      </c>
    </row>
    <row r="120" spans="2:17" ht="12.75" customHeight="1" x14ac:dyDescent="0.25">
      <c r="B120">
        <f t="shared" si="11"/>
        <v>105</v>
      </c>
      <c r="C120" s="58" t="str">
        <f t="shared" si="18"/>
        <v/>
      </c>
      <c r="D120" s="44">
        <f t="shared" si="19"/>
        <v>0</v>
      </c>
      <c r="E120" s="107">
        <f t="shared" si="12"/>
        <v>0</v>
      </c>
      <c r="F120" s="44">
        <f t="shared" si="13"/>
        <v>0</v>
      </c>
      <c r="G120" s="106">
        <f t="shared" si="21"/>
        <v>0</v>
      </c>
      <c r="H120" s="106">
        <f t="shared" si="15"/>
        <v>0</v>
      </c>
      <c r="I120" s="44">
        <f t="shared" si="20"/>
        <v>0</v>
      </c>
      <c r="J120" s="107"/>
      <c r="L120" s="107">
        <f t="shared" si="16"/>
        <v>0</v>
      </c>
      <c r="N120" s="338">
        <f t="shared" si="17"/>
        <v>0</v>
      </c>
      <c r="O120" s="339"/>
      <c r="P120" s="307" t="str">
        <f>IFERROR(IF(MONTH($C120)=MONTH($J$6),SUMIFS(F$15:F120,$C$15:$C120,"&gt;"&amp;EOMONTH($C120,-12)),""),"")</f>
        <v/>
      </c>
      <c r="Q120" s="307" t="str">
        <f>IFERROR(IF(MONTH($C120)=MONTH($J$6),SUMIFS(G$15:G120,$C$15:$C120,"&gt;"&amp;EOMONTH($C120,-12))+SUMIFS(H$15:H120,$C$15:$C120,"&gt;"&amp;EOMONTH($C120,-12)),""),"")</f>
        <v/>
      </c>
    </row>
    <row r="121" spans="2:17" ht="12.75" customHeight="1" x14ac:dyDescent="0.25">
      <c r="B121">
        <f t="shared" si="11"/>
        <v>106</v>
      </c>
      <c r="C121" s="58" t="str">
        <f t="shared" si="18"/>
        <v/>
      </c>
      <c r="D121" s="44">
        <f t="shared" si="19"/>
        <v>0</v>
      </c>
      <c r="E121" s="107">
        <f t="shared" si="12"/>
        <v>0</v>
      </c>
      <c r="F121" s="44">
        <f t="shared" si="13"/>
        <v>0</v>
      </c>
      <c r="G121" s="106">
        <f t="shared" si="21"/>
        <v>0</v>
      </c>
      <c r="H121" s="106">
        <f t="shared" si="15"/>
        <v>0</v>
      </c>
      <c r="I121" s="44">
        <f t="shared" si="20"/>
        <v>0</v>
      </c>
      <c r="J121" s="107"/>
      <c r="L121" s="107">
        <f t="shared" si="16"/>
        <v>0</v>
      </c>
      <c r="N121" s="338">
        <f t="shared" si="17"/>
        <v>0</v>
      </c>
      <c r="O121" s="339"/>
      <c r="P121" s="307" t="str">
        <f>IFERROR(IF(MONTH($C121)=MONTH($J$6),SUMIFS(F$15:F121,$C$15:$C121,"&gt;"&amp;EOMONTH($C121,-12)),""),"")</f>
        <v/>
      </c>
      <c r="Q121" s="307" t="str">
        <f>IFERROR(IF(MONTH($C121)=MONTH($J$6),SUMIFS(G$15:G121,$C$15:$C121,"&gt;"&amp;EOMONTH($C121,-12))+SUMIFS(H$15:H121,$C$15:$C121,"&gt;"&amp;EOMONTH($C121,-12)),""),"")</f>
        <v/>
      </c>
    </row>
    <row r="122" spans="2:17" ht="12.75" customHeight="1" x14ac:dyDescent="0.25">
      <c r="B122">
        <f t="shared" si="11"/>
        <v>107</v>
      </c>
      <c r="C122" s="58" t="str">
        <f t="shared" si="18"/>
        <v/>
      </c>
      <c r="D122" s="44">
        <f t="shared" si="19"/>
        <v>0</v>
      </c>
      <c r="E122" s="107">
        <f t="shared" si="12"/>
        <v>0</v>
      </c>
      <c r="F122" s="44">
        <f t="shared" si="13"/>
        <v>0</v>
      </c>
      <c r="G122" s="106">
        <f t="shared" si="21"/>
        <v>0</v>
      </c>
      <c r="H122" s="106">
        <f t="shared" si="15"/>
        <v>0</v>
      </c>
      <c r="I122" s="44">
        <f t="shared" si="20"/>
        <v>0</v>
      </c>
      <c r="J122" s="107"/>
      <c r="L122" s="107">
        <f t="shared" si="16"/>
        <v>0</v>
      </c>
      <c r="N122" s="338">
        <f t="shared" si="17"/>
        <v>0</v>
      </c>
      <c r="O122" s="339"/>
      <c r="P122" s="307" t="str">
        <f>IFERROR(IF(MONTH($C122)=MONTH($J$6),SUMIFS(F$15:F122,$C$15:$C122,"&gt;"&amp;EOMONTH($C122,-12)),""),"")</f>
        <v/>
      </c>
      <c r="Q122" s="307" t="str">
        <f>IFERROR(IF(MONTH($C122)=MONTH($J$6),SUMIFS(G$15:G122,$C$15:$C122,"&gt;"&amp;EOMONTH($C122,-12))+SUMIFS(H$15:H122,$C$15:$C122,"&gt;"&amp;EOMONTH($C122,-12)),""),"")</f>
        <v/>
      </c>
    </row>
    <row r="123" spans="2:17" ht="12.75" customHeight="1" x14ac:dyDescent="0.25">
      <c r="B123">
        <f t="shared" si="11"/>
        <v>108</v>
      </c>
      <c r="C123" s="58" t="str">
        <f t="shared" si="18"/>
        <v/>
      </c>
      <c r="D123" s="44">
        <f t="shared" si="19"/>
        <v>0</v>
      </c>
      <c r="E123" s="107">
        <f t="shared" si="12"/>
        <v>0</v>
      </c>
      <c r="F123" s="44">
        <f t="shared" si="13"/>
        <v>0</v>
      </c>
      <c r="G123" s="106">
        <f t="shared" si="21"/>
        <v>0</v>
      </c>
      <c r="H123" s="106">
        <f t="shared" si="15"/>
        <v>0</v>
      </c>
      <c r="I123" s="44">
        <f t="shared" si="20"/>
        <v>0</v>
      </c>
      <c r="J123" s="107"/>
      <c r="L123" s="107">
        <f t="shared" si="16"/>
        <v>0</v>
      </c>
      <c r="N123" s="338">
        <f t="shared" si="17"/>
        <v>0</v>
      </c>
      <c r="O123" s="339"/>
      <c r="P123" s="307" t="str">
        <f>IFERROR(IF(MONTH($C123)=MONTH($J$6),SUMIFS(F$15:F123,$C$15:$C123,"&gt;"&amp;EOMONTH($C123,-12)),""),"")</f>
        <v/>
      </c>
      <c r="Q123" s="307" t="str">
        <f>IFERROR(IF(MONTH($C123)=MONTH($J$6),SUMIFS(G$15:G123,$C$15:$C123,"&gt;"&amp;EOMONTH($C123,-12))+SUMIFS(H$15:H123,$C$15:$C123,"&gt;"&amp;EOMONTH($C123,-12)),""),"")</f>
        <v/>
      </c>
    </row>
    <row r="124" spans="2:17" ht="12.75" customHeight="1" x14ac:dyDescent="0.25">
      <c r="B124">
        <f t="shared" si="11"/>
        <v>109</v>
      </c>
      <c r="C124" s="58" t="str">
        <f t="shared" si="18"/>
        <v/>
      </c>
      <c r="D124" s="44">
        <f t="shared" si="19"/>
        <v>0</v>
      </c>
      <c r="E124" s="107">
        <f t="shared" si="12"/>
        <v>0</v>
      </c>
      <c r="F124" s="44">
        <f t="shared" si="13"/>
        <v>0</v>
      </c>
      <c r="G124" s="106">
        <f t="shared" si="21"/>
        <v>0</v>
      </c>
      <c r="H124" s="106">
        <f t="shared" si="15"/>
        <v>0</v>
      </c>
      <c r="I124" s="44">
        <f t="shared" si="20"/>
        <v>0</v>
      </c>
      <c r="J124" s="107"/>
      <c r="L124" s="107">
        <f t="shared" si="16"/>
        <v>0</v>
      </c>
      <c r="N124" s="338">
        <f t="shared" si="17"/>
        <v>0</v>
      </c>
      <c r="O124" s="339"/>
      <c r="P124" s="307" t="str">
        <f>IFERROR(IF(MONTH($C124)=MONTH($J$6),SUMIFS(F$15:F124,$C$15:$C124,"&gt;"&amp;EOMONTH($C124,-12)),""),"")</f>
        <v/>
      </c>
      <c r="Q124" s="307" t="str">
        <f>IFERROR(IF(MONTH($C124)=MONTH($J$6),SUMIFS(G$15:G124,$C$15:$C124,"&gt;"&amp;EOMONTH($C124,-12))+SUMIFS(H$15:H124,$C$15:$C124,"&gt;"&amp;EOMONTH($C124,-12)),""),"")</f>
        <v/>
      </c>
    </row>
    <row r="125" spans="2:17" ht="12.75" customHeight="1" x14ac:dyDescent="0.25">
      <c r="B125">
        <f t="shared" si="11"/>
        <v>110</v>
      </c>
      <c r="C125" s="58" t="str">
        <f t="shared" si="18"/>
        <v/>
      </c>
      <c r="D125" s="44">
        <f t="shared" si="19"/>
        <v>0</v>
      </c>
      <c r="E125" s="107">
        <f t="shared" si="12"/>
        <v>0</v>
      </c>
      <c r="F125" s="44">
        <f t="shared" si="13"/>
        <v>0</v>
      </c>
      <c r="G125" s="106">
        <f t="shared" si="21"/>
        <v>0</v>
      </c>
      <c r="H125" s="106">
        <f t="shared" si="15"/>
        <v>0</v>
      </c>
      <c r="I125" s="44">
        <f t="shared" si="20"/>
        <v>0</v>
      </c>
      <c r="J125" s="107"/>
      <c r="L125" s="107">
        <f t="shared" si="16"/>
        <v>0</v>
      </c>
      <c r="N125" s="338">
        <f t="shared" si="17"/>
        <v>0</v>
      </c>
      <c r="O125" s="339"/>
      <c r="P125" s="307" t="str">
        <f>IFERROR(IF(MONTH($C125)=MONTH($J$6),SUMIFS(F$15:F125,$C$15:$C125,"&gt;"&amp;EOMONTH($C125,-12)),""),"")</f>
        <v/>
      </c>
      <c r="Q125" s="307" t="str">
        <f>IFERROR(IF(MONTH($C125)=MONTH($J$6),SUMIFS(G$15:G125,$C$15:$C125,"&gt;"&amp;EOMONTH($C125,-12))+SUMIFS(H$15:H125,$C$15:$C125,"&gt;"&amp;EOMONTH($C125,-12)),""),"")</f>
        <v/>
      </c>
    </row>
    <row r="126" spans="2:17" ht="12.75" customHeight="1" x14ac:dyDescent="0.25">
      <c r="B126">
        <f t="shared" si="11"/>
        <v>111</v>
      </c>
      <c r="C126" s="58" t="str">
        <f t="shared" si="18"/>
        <v/>
      </c>
      <c r="D126" s="44">
        <f t="shared" si="19"/>
        <v>0</v>
      </c>
      <c r="E126" s="107">
        <f t="shared" si="12"/>
        <v>0</v>
      </c>
      <c r="F126" s="44">
        <f t="shared" si="13"/>
        <v>0</v>
      </c>
      <c r="G126" s="106">
        <f t="shared" si="21"/>
        <v>0</v>
      </c>
      <c r="H126" s="106">
        <f t="shared" si="15"/>
        <v>0</v>
      </c>
      <c r="I126" s="44">
        <f t="shared" si="20"/>
        <v>0</v>
      </c>
      <c r="J126" s="107"/>
      <c r="L126" s="107">
        <f t="shared" si="16"/>
        <v>0</v>
      </c>
      <c r="N126" s="338">
        <f t="shared" si="17"/>
        <v>0</v>
      </c>
      <c r="O126" s="339"/>
      <c r="P126" s="307" t="str">
        <f>IFERROR(IF(MONTH($C126)=MONTH($J$6),SUMIFS(F$15:F126,$C$15:$C126,"&gt;"&amp;EOMONTH($C126,-12)),""),"")</f>
        <v/>
      </c>
      <c r="Q126" s="307" t="str">
        <f>IFERROR(IF(MONTH($C126)=MONTH($J$6),SUMIFS(G$15:G126,$C$15:$C126,"&gt;"&amp;EOMONTH($C126,-12))+SUMIFS(H$15:H126,$C$15:$C126,"&gt;"&amp;EOMONTH($C126,-12)),""),"")</f>
        <v/>
      </c>
    </row>
    <row r="127" spans="2:17" ht="12.75" customHeight="1" x14ac:dyDescent="0.25">
      <c r="B127">
        <f t="shared" si="11"/>
        <v>112</v>
      </c>
      <c r="C127" s="58" t="str">
        <f t="shared" si="18"/>
        <v/>
      </c>
      <c r="D127" s="44">
        <f t="shared" si="19"/>
        <v>0</v>
      </c>
      <c r="E127" s="107">
        <f t="shared" si="12"/>
        <v>0</v>
      </c>
      <c r="F127" s="44">
        <f t="shared" si="13"/>
        <v>0</v>
      </c>
      <c r="G127" s="106">
        <f t="shared" si="21"/>
        <v>0</v>
      </c>
      <c r="H127" s="106">
        <f t="shared" si="15"/>
        <v>0</v>
      </c>
      <c r="I127" s="44">
        <f t="shared" si="20"/>
        <v>0</v>
      </c>
      <c r="J127" s="107"/>
      <c r="L127" s="107">
        <f t="shared" si="16"/>
        <v>0</v>
      </c>
      <c r="N127" s="338">
        <f t="shared" si="17"/>
        <v>0</v>
      </c>
      <c r="O127" s="339"/>
      <c r="P127" s="307" t="str">
        <f>IFERROR(IF(MONTH($C127)=MONTH($J$6),SUMIFS(F$15:F127,$C$15:$C127,"&gt;"&amp;EOMONTH($C127,-12)),""),"")</f>
        <v/>
      </c>
      <c r="Q127" s="307" t="str">
        <f>IFERROR(IF(MONTH($C127)=MONTH($J$6),SUMIFS(G$15:G127,$C$15:$C127,"&gt;"&amp;EOMONTH($C127,-12))+SUMIFS(H$15:H127,$C$15:$C127,"&gt;"&amp;EOMONTH($C127,-12)),""),"")</f>
        <v/>
      </c>
    </row>
    <row r="128" spans="2:17" ht="12.75" customHeight="1" x14ac:dyDescent="0.25">
      <c r="B128">
        <f t="shared" si="11"/>
        <v>113</v>
      </c>
      <c r="C128" s="58" t="str">
        <f t="shared" si="18"/>
        <v/>
      </c>
      <c r="D128" s="44">
        <f t="shared" si="19"/>
        <v>0</v>
      </c>
      <c r="E128" s="107">
        <f t="shared" si="12"/>
        <v>0</v>
      </c>
      <c r="F128" s="44">
        <f t="shared" si="13"/>
        <v>0</v>
      </c>
      <c r="G128" s="106">
        <f t="shared" si="21"/>
        <v>0</v>
      </c>
      <c r="H128" s="106">
        <f t="shared" si="15"/>
        <v>0</v>
      </c>
      <c r="I128" s="44">
        <f t="shared" si="20"/>
        <v>0</v>
      </c>
      <c r="J128" s="107"/>
      <c r="L128" s="107">
        <f t="shared" si="16"/>
        <v>0</v>
      </c>
      <c r="N128" s="338">
        <f t="shared" si="17"/>
        <v>0</v>
      </c>
      <c r="O128" s="339"/>
      <c r="P128" s="307" t="str">
        <f>IFERROR(IF(MONTH($C128)=MONTH($J$6),SUMIFS(F$15:F128,$C$15:$C128,"&gt;"&amp;EOMONTH($C128,-12)),""),"")</f>
        <v/>
      </c>
      <c r="Q128" s="307" t="str">
        <f>IFERROR(IF(MONTH($C128)=MONTH($J$6),SUMIFS(G$15:G128,$C$15:$C128,"&gt;"&amp;EOMONTH($C128,-12))+SUMIFS(H$15:H128,$C$15:$C128,"&gt;"&amp;EOMONTH($C128,-12)),""),"")</f>
        <v/>
      </c>
    </row>
    <row r="129" spans="2:17" ht="12.75" customHeight="1" x14ac:dyDescent="0.25">
      <c r="B129">
        <f t="shared" si="11"/>
        <v>114</v>
      </c>
      <c r="C129" s="58" t="str">
        <f t="shared" si="18"/>
        <v/>
      </c>
      <c r="D129" s="44">
        <f t="shared" si="19"/>
        <v>0</v>
      </c>
      <c r="E129" s="107">
        <f t="shared" si="12"/>
        <v>0</v>
      </c>
      <c r="F129" s="44">
        <f t="shared" si="13"/>
        <v>0</v>
      </c>
      <c r="G129" s="106">
        <f t="shared" si="21"/>
        <v>0</v>
      </c>
      <c r="H129" s="106">
        <f t="shared" si="15"/>
        <v>0</v>
      </c>
      <c r="I129" s="44">
        <f t="shared" si="20"/>
        <v>0</v>
      </c>
      <c r="J129" s="107"/>
      <c r="L129" s="107">
        <f t="shared" si="16"/>
        <v>0</v>
      </c>
      <c r="N129" s="338">
        <f t="shared" si="17"/>
        <v>0</v>
      </c>
      <c r="O129" s="339"/>
      <c r="P129" s="307" t="str">
        <f>IFERROR(IF(MONTH($C129)=MONTH($J$6),SUMIFS(F$15:F129,$C$15:$C129,"&gt;"&amp;EOMONTH($C129,-12)),""),"")</f>
        <v/>
      </c>
      <c r="Q129" s="307" t="str">
        <f>IFERROR(IF(MONTH($C129)=MONTH($J$6),SUMIFS(G$15:G129,$C$15:$C129,"&gt;"&amp;EOMONTH($C129,-12))+SUMIFS(H$15:H129,$C$15:$C129,"&gt;"&amp;EOMONTH($C129,-12)),""),"")</f>
        <v/>
      </c>
    </row>
    <row r="130" spans="2:17" ht="12.75" customHeight="1" x14ac:dyDescent="0.25">
      <c r="B130">
        <f t="shared" si="11"/>
        <v>115</v>
      </c>
      <c r="C130" s="58" t="str">
        <f t="shared" si="18"/>
        <v/>
      </c>
      <c r="D130" s="44">
        <f t="shared" si="19"/>
        <v>0</v>
      </c>
      <c r="E130" s="107">
        <f t="shared" si="12"/>
        <v>0</v>
      </c>
      <c r="F130" s="44">
        <f t="shared" si="13"/>
        <v>0</v>
      </c>
      <c r="G130" s="106">
        <f t="shared" si="21"/>
        <v>0</v>
      </c>
      <c r="H130" s="106">
        <f t="shared" si="15"/>
        <v>0</v>
      </c>
      <c r="I130" s="44">
        <f t="shared" si="20"/>
        <v>0</v>
      </c>
      <c r="J130" s="107"/>
      <c r="L130" s="107">
        <f t="shared" si="16"/>
        <v>0</v>
      </c>
      <c r="N130" s="338">
        <f t="shared" si="17"/>
        <v>0</v>
      </c>
      <c r="O130" s="339"/>
      <c r="P130" s="307" t="str">
        <f>IFERROR(IF(MONTH($C130)=MONTH($J$6),SUMIFS(F$15:F130,$C$15:$C130,"&gt;"&amp;EOMONTH($C130,-12)),""),"")</f>
        <v/>
      </c>
      <c r="Q130" s="307" t="str">
        <f>IFERROR(IF(MONTH($C130)=MONTH($J$6),SUMIFS(G$15:G130,$C$15:$C130,"&gt;"&amp;EOMONTH($C130,-12))+SUMIFS(H$15:H130,$C$15:$C130,"&gt;"&amp;EOMONTH($C130,-12)),""),"")</f>
        <v/>
      </c>
    </row>
    <row r="131" spans="2:17" ht="12.75" customHeight="1" x14ac:dyDescent="0.25">
      <c r="B131">
        <f t="shared" si="11"/>
        <v>116</v>
      </c>
      <c r="C131" s="58" t="str">
        <f t="shared" si="18"/>
        <v/>
      </c>
      <c r="D131" s="44">
        <f t="shared" si="19"/>
        <v>0</v>
      </c>
      <c r="E131" s="107">
        <f t="shared" si="12"/>
        <v>0</v>
      </c>
      <c r="F131" s="44">
        <f t="shared" si="13"/>
        <v>0</v>
      </c>
      <c r="G131" s="106">
        <f t="shared" si="21"/>
        <v>0</v>
      </c>
      <c r="H131" s="106">
        <f t="shared" si="15"/>
        <v>0</v>
      </c>
      <c r="I131" s="44">
        <f t="shared" si="20"/>
        <v>0</v>
      </c>
      <c r="J131" s="107"/>
      <c r="L131" s="107">
        <f t="shared" si="16"/>
        <v>0</v>
      </c>
      <c r="N131" s="338">
        <f t="shared" si="17"/>
        <v>0</v>
      </c>
      <c r="O131" s="339"/>
      <c r="P131" s="307" t="str">
        <f>IFERROR(IF(MONTH($C131)=MONTH($J$6),SUMIFS(F$15:F131,$C$15:$C131,"&gt;"&amp;EOMONTH($C131,-12)),""),"")</f>
        <v/>
      </c>
      <c r="Q131" s="307" t="str">
        <f>IFERROR(IF(MONTH($C131)=MONTH($J$6),SUMIFS(G$15:G131,$C$15:$C131,"&gt;"&amp;EOMONTH($C131,-12))+SUMIFS(H$15:H131,$C$15:$C131,"&gt;"&amp;EOMONTH($C131,-12)),""),"")</f>
        <v/>
      </c>
    </row>
    <row r="132" spans="2:17" ht="12.75" customHeight="1" x14ac:dyDescent="0.25">
      <c r="B132">
        <f t="shared" si="11"/>
        <v>117</v>
      </c>
      <c r="C132" s="58" t="str">
        <f t="shared" si="18"/>
        <v/>
      </c>
      <c r="D132" s="44">
        <f t="shared" si="19"/>
        <v>0</v>
      </c>
      <c r="E132" s="107">
        <f t="shared" si="12"/>
        <v>0</v>
      </c>
      <c r="F132" s="44">
        <f t="shared" si="13"/>
        <v>0</v>
      </c>
      <c r="G132" s="106">
        <f t="shared" si="21"/>
        <v>0</v>
      </c>
      <c r="H132" s="106">
        <f t="shared" si="15"/>
        <v>0</v>
      </c>
      <c r="I132" s="44">
        <f t="shared" si="20"/>
        <v>0</v>
      </c>
      <c r="J132" s="107"/>
      <c r="L132" s="107">
        <f t="shared" si="16"/>
        <v>0</v>
      </c>
      <c r="N132" s="338">
        <f t="shared" si="17"/>
        <v>0</v>
      </c>
      <c r="O132" s="339"/>
      <c r="P132" s="307" t="str">
        <f>IFERROR(IF(MONTH($C132)=MONTH($J$6),SUMIFS(F$15:F132,$C$15:$C132,"&gt;"&amp;EOMONTH($C132,-12)),""),"")</f>
        <v/>
      </c>
      <c r="Q132" s="307" t="str">
        <f>IFERROR(IF(MONTH($C132)=MONTH($J$6),SUMIFS(G$15:G132,$C$15:$C132,"&gt;"&amp;EOMONTH($C132,-12))+SUMIFS(H$15:H132,$C$15:$C132,"&gt;"&amp;EOMONTH($C132,-12)),""),"")</f>
        <v/>
      </c>
    </row>
    <row r="133" spans="2:17" ht="12.75" customHeight="1" x14ac:dyDescent="0.25">
      <c r="B133">
        <f t="shared" si="11"/>
        <v>118</v>
      </c>
      <c r="C133" s="58" t="str">
        <f t="shared" si="18"/>
        <v/>
      </c>
      <c r="D133" s="44">
        <f t="shared" si="19"/>
        <v>0</v>
      </c>
      <c r="E133" s="107">
        <f t="shared" si="12"/>
        <v>0</v>
      </c>
      <c r="F133" s="44">
        <f t="shared" si="13"/>
        <v>0</v>
      </c>
      <c r="G133" s="106">
        <f t="shared" si="21"/>
        <v>0</v>
      </c>
      <c r="H133" s="106">
        <f t="shared" si="15"/>
        <v>0</v>
      </c>
      <c r="I133" s="44">
        <f t="shared" si="20"/>
        <v>0</v>
      </c>
      <c r="J133" s="107"/>
      <c r="L133" s="107">
        <f t="shared" si="16"/>
        <v>0</v>
      </c>
      <c r="N133" s="338">
        <f t="shared" si="17"/>
        <v>0</v>
      </c>
      <c r="O133" s="339"/>
      <c r="P133" s="307" t="str">
        <f>IFERROR(IF(MONTH($C133)=MONTH($J$6),SUMIFS(F$15:F133,$C$15:$C133,"&gt;"&amp;EOMONTH($C133,-12)),""),"")</f>
        <v/>
      </c>
      <c r="Q133" s="307" t="str">
        <f>IFERROR(IF(MONTH($C133)=MONTH($J$6),SUMIFS(G$15:G133,$C$15:$C133,"&gt;"&amp;EOMONTH($C133,-12))+SUMIFS(H$15:H133,$C$15:$C133,"&gt;"&amp;EOMONTH($C133,-12)),""),"")</f>
        <v/>
      </c>
    </row>
    <row r="134" spans="2:17" ht="12.75" customHeight="1" x14ac:dyDescent="0.25">
      <c r="B134">
        <f t="shared" si="11"/>
        <v>119</v>
      </c>
      <c r="C134" s="58" t="str">
        <f t="shared" si="18"/>
        <v/>
      </c>
      <c r="D134" s="44">
        <f t="shared" si="19"/>
        <v>0</v>
      </c>
      <c r="E134" s="107">
        <f t="shared" si="12"/>
        <v>0</v>
      </c>
      <c r="F134" s="44">
        <f t="shared" si="13"/>
        <v>0</v>
      </c>
      <c r="G134" s="106">
        <f t="shared" si="21"/>
        <v>0</v>
      </c>
      <c r="H134" s="106">
        <f>IF(B134=$D$8,I133,0)</f>
        <v>0</v>
      </c>
      <c r="I134" s="44">
        <f t="shared" si="20"/>
        <v>0</v>
      </c>
      <c r="J134" s="107"/>
      <c r="L134" s="107">
        <f t="shared" si="16"/>
        <v>0</v>
      </c>
      <c r="N134" s="338">
        <f t="shared" si="17"/>
        <v>0</v>
      </c>
      <c r="O134" s="339"/>
      <c r="P134" s="307" t="str">
        <f>IFERROR(IF(MONTH($C134)=MONTH($J$6),SUMIFS(F$15:F134,$C$15:$C134,"&gt;"&amp;EOMONTH($C134,-12)),""),"")</f>
        <v/>
      </c>
      <c r="Q134" s="307" t="str">
        <f>IFERROR(IF(MONTH($C134)=MONTH($J$6),SUMIFS(G$15:G134,$C$15:$C134,"&gt;"&amp;EOMONTH($C134,-12))+SUMIFS(H$15:H134,$C$15:$C134,"&gt;"&amp;EOMONTH($C134,-12)),""),"")</f>
        <v/>
      </c>
    </row>
    <row r="135" spans="2:17" ht="12.75" customHeight="1" x14ac:dyDescent="0.25">
      <c r="B135">
        <f t="shared" si="11"/>
        <v>120</v>
      </c>
      <c r="C135" s="58" t="str">
        <f t="shared" si="18"/>
        <v/>
      </c>
      <c r="D135" s="44">
        <f t="shared" si="19"/>
        <v>0</v>
      </c>
      <c r="E135" s="107">
        <f t="shared" si="12"/>
        <v>0</v>
      </c>
      <c r="F135" s="44">
        <f t="shared" si="13"/>
        <v>0</v>
      </c>
      <c r="G135" s="106">
        <f t="shared" si="21"/>
        <v>0</v>
      </c>
      <c r="H135" s="106">
        <v>0</v>
      </c>
      <c r="I135" s="44">
        <f t="shared" si="20"/>
        <v>0</v>
      </c>
      <c r="J135" s="107"/>
      <c r="L135" s="107">
        <f t="shared" si="16"/>
        <v>0</v>
      </c>
      <c r="N135" s="338">
        <f t="shared" si="17"/>
        <v>0</v>
      </c>
      <c r="O135" s="317"/>
      <c r="P135" s="307" t="str">
        <f>IFERROR(IF(MONTH($C135)=MONTH($J$6),SUMIFS(F$15:F135,$C$15:$C135,"&gt;"&amp;EOMONTH($C135,-12)),""),"")</f>
        <v/>
      </c>
      <c r="Q135" s="307" t="str">
        <f>IFERROR(IF(MONTH($C135)=MONTH($J$6),SUMIFS(G$15:G135,$C$15:$C135,"&gt;"&amp;EOMONTH($C135,-12))+SUMIFS(H$15:H135,$C$15:$C135,"&gt;"&amp;EOMONTH($C135,-12)),""),"")</f>
        <v/>
      </c>
    </row>
    <row r="136" spans="2:17" ht="12.75" customHeight="1" x14ac:dyDescent="0.25">
      <c r="B136">
        <f t="shared" si="11"/>
        <v>121</v>
      </c>
      <c r="C136" s="58" t="str">
        <f t="shared" si="18"/>
        <v/>
      </c>
      <c r="D136" s="44">
        <f t="shared" si="19"/>
        <v>0</v>
      </c>
      <c r="E136" s="107">
        <f t="shared" si="12"/>
        <v>0</v>
      </c>
      <c r="F136" s="44">
        <f t="shared" si="13"/>
        <v>0</v>
      </c>
      <c r="G136" s="106">
        <f t="shared" si="21"/>
        <v>0</v>
      </c>
      <c r="H136" s="106">
        <v>0</v>
      </c>
      <c r="I136" s="44">
        <f t="shared" si="20"/>
        <v>0</v>
      </c>
      <c r="J136" s="107"/>
      <c r="L136" s="107">
        <f t="shared" si="16"/>
        <v>0</v>
      </c>
      <c r="N136" s="338">
        <f t="shared" si="17"/>
        <v>0</v>
      </c>
      <c r="O136" s="339"/>
      <c r="P136" s="307" t="str">
        <f>IFERROR(IF(MONTH($C136)=MONTH($J$6),SUMIFS(F$15:F136,$C$15:$C136,"&gt;"&amp;EOMONTH($C136,-12)),""),"")</f>
        <v/>
      </c>
      <c r="Q136" s="307" t="str">
        <f>IFERROR(IF(MONTH($C136)=MONTH($J$6),SUMIFS(G$15:G136,$C$15:$C136,"&gt;"&amp;EOMONTH($C136,-12))+SUMIFS(H$15:H136,$C$15:$C136,"&gt;"&amp;EOMONTH($C136,-12)),""),"")</f>
        <v/>
      </c>
    </row>
    <row r="137" spans="2:17" ht="12.75" customHeight="1" x14ac:dyDescent="0.25">
      <c r="B137">
        <f t="shared" si="11"/>
        <v>122</v>
      </c>
      <c r="C137" s="58" t="str">
        <f t="shared" si="18"/>
        <v/>
      </c>
      <c r="D137" s="44">
        <f t="shared" si="19"/>
        <v>0</v>
      </c>
      <c r="E137" s="107">
        <f t="shared" si="12"/>
        <v>0</v>
      </c>
      <c r="F137" s="44">
        <f t="shared" si="13"/>
        <v>0</v>
      </c>
      <c r="G137" s="106">
        <f t="shared" si="21"/>
        <v>0</v>
      </c>
      <c r="H137" s="106">
        <v>0</v>
      </c>
      <c r="I137" s="44">
        <f t="shared" si="20"/>
        <v>0</v>
      </c>
      <c r="J137" s="107"/>
      <c r="L137" s="107">
        <f t="shared" si="16"/>
        <v>0</v>
      </c>
      <c r="M137" s="44"/>
      <c r="N137" s="338">
        <f t="shared" si="17"/>
        <v>0</v>
      </c>
      <c r="O137" s="339"/>
      <c r="P137" s="307" t="str">
        <f>IFERROR(IF(MONTH($C137)=MONTH($J$6),SUMIFS(F$15:F137,$C$15:$C137,"&gt;"&amp;EOMONTH($C137,-12)),""),"")</f>
        <v/>
      </c>
      <c r="Q137" s="307" t="str">
        <f>IFERROR(IF(MONTH($C137)=MONTH($J$6),SUMIFS(G$15:G137,$C$15:$C137,"&gt;"&amp;EOMONTH($C137,-12))+SUMIFS(H$15:H137,$C$15:$C137,"&gt;"&amp;EOMONTH($C137,-12)),""),"")</f>
        <v/>
      </c>
    </row>
    <row r="138" spans="2:17" ht="12.75" customHeight="1" x14ac:dyDescent="0.25">
      <c r="B138">
        <f t="shared" si="11"/>
        <v>123</v>
      </c>
      <c r="C138" s="58" t="str">
        <f t="shared" si="18"/>
        <v/>
      </c>
      <c r="D138" s="44">
        <f t="shared" si="19"/>
        <v>0</v>
      </c>
      <c r="E138" s="107">
        <f t="shared" si="12"/>
        <v>0</v>
      </c>
      <c r="F138" s="44">
        <f t="shared" si="13"/>
        <v>0</v>
      </c>
      <c r="G138" s="106">
        <f t="shared" si="21"/>
        <v>0</v>
      </c>
      <c r="H138" s="106">
        <v>0</v>
      </c>
      <c r="I138" s="44">
        <f t="shared" si="20"/>
        <v>0</v>
      </c>
      <c r="J138" s="107"/>
      <c r="L138" s="107">
        <f t="shared" si="16"/>
        <v>0</v>
      </c>
      <c r="M138" s="44"/>
      <c r="N138" s="338">
        <f t="shared" si="17"/>
        <v>0</v>
      </c>
      <c r="O138" s="339"/>
      <c r="P138" s="307" t="str">
        <f>IFERROR(IF(MONTH($C138)=MONTH($J$6),SUMIFS(F$15:F138,$C$15:$C138,"&gt;"&amp;EOMONTH($C138,-12)),""),"")</f>
        <v/>
      </c>
      <c r="Q138" s="307" t="str">
        <f>IFERROR(IF(MONTH($C138)=MONTH($J$6),SUMIFS(G$15:G138,$C$15:$C138,"&gt;"&amp;EOMONTH($C138,-12))+SUMIFS(H$15:H138,$C$15:$C138,"&gt;"&amp;EOMONTH($C138,-12)),""),"")</f>
        <v/>
      </c>
    </row>
    <row r="139" spans="2:17" ht="12.75" customHeight="1" x14ac:dyDescent="0.25">
      <c r="B139">
        <f t="shared" si="11"/>
        <v>124</v>
      </c>
      <c r="C139" s="58" t="str">
        <f t="shared" si="18"/>
        <v/>
      </c>
      <c r="D139" s="44">
        <f t="shared" si="19"/>
        <v>0</v>
      </c>
      <c r="E139" s="107">
        <f t="shared" si="12"/>
        <v>0</v>
      </c>
      <c r="F139" s="44">
        <f t="shared" si="13"/>
        <v>0</v>
      </c>
      <c r="G139" s="106">
        <f t="shared" si="21"/>
        <v>0</v>
      </c>
      <c r="H139" s="106">
        <v>0</v>
      </c>
      <c r="I139" s="44">
        <f t="shared" si="20"/>
        <v>0</v>
      </c>
      <c r="J139" s="107"/>
      <c r="L139" s="107">
        <f t="shared" si="16"/>
        <v>0</v>
      </c>
      <c r="M139" s="44"/>
      <c r="N139" s="338">
        <f t="shared" si="17"/>
        <v>0</v>
      </c>
      <c r="O139" s="339"/>
      <c r="P139" s="307" t="str">
        <f>IFERROR(IF(MONTH($C139)=MONTH($J$6),SUMIFS(F$15:F139,$C$15:$C139,"&gt;"&amp;EOMONTH($C139,-12)),""),"")</f>
        <v/>
      </c>
      <c r="Q139" s="307" t="str">
        <f>IFERROR(IF(MONTH($C139)=MONTH($J$6),SUMIFS(G$15:G139,$C$15:$C139,"&gt;"&amp;EOMONTH($C139,-12))+SUMIFS(H$15:H139,$C$15:$C139,"&gt;"&amp;EOMONTH($C139,-12)),""),"")</f>
        <v/>
      </c>
    </row>
    <row r="140" spans="2:17" ht="12.75" customHeight="1" x14ac:dyDescent="0.25">
      <c r="B140">
        <f t="shared" si="11"/>
        <v>125</v>
      </c>
      <c r="C140" s="58" t="str">
        <f t="shared" si="18"/>
        <v/>
      </c>
      <c r="D140" s="44">
        <f t="shared" si="19"/>
        <v>0</v>
      </c>
      <c r="E140" s="107">
        <f t="shared" si="12"/>
        <v>0</v>
      </c>
      <c r="F140" s="44">
        <f t="shared" si="13"/>
        <v>0</v>
      </c>
      <c r="G140" s="106">
        <f t="shared" si="21"/>
        <v>0</v>
      </c>
      <c r="H140" s="106">
        <v>0</v>
      </c>
      <c r="I140" s="44">
        <f t="shared" si="20"/>
        <v>0</v>
      </c>
      <c r="J140" s="107"/>
      <c r="L140" s="107">
        <f t="shared" si="16"/>
        <v>0</v>
      </c>
      <c r="M140" s="44"/>
      <c r="N140" s="338">
        <f t="shared" si="17"/>
        <v>0</v>
      </c>
      <c r="O140" s="339"/>
      <c r="P140" s="307" t="str">
        <f>IFERROR(IF(MONTH($C140)=MONTH($J$6),SUMIFS(F$15:F140,$C$15:$C140,"&gt;"&amp;EOMONTH($C140,-12)),""),"")</f>
        <v/>
      </c>
      <c r="Q140" s="307" t="str">
        <f>IFERROR(IF(MONTH($C140)=MONTH($J$6),SUMIFS(G$15:G140,$C$15:$C140,"&gt;"&amp;EOMONTH($C140,-12))+SUMIFS(H$15:H140,$C$15:$C140,"&gt;"&amp;EOMONTH($C140,-12)),""),"")</f>
        <v/>
      </c>
    </row>
    <row r="141" spans="2:17" ht="12.75" customHeight="1" x14ac:dyDescent="0.25">
      <c r="B141">
        <f t="shared" si="11"/>
        <v>126</v>
      </c>
      <c r="C141" s="58" t="str">
        <f t="shared" si="18"/>
        <v/>
      </c>
      <c r="D141" s="44">
        <f t="shared" si="19"/>
        <v>0</v>
      </c>
      <c r="E141" s="107">
        <f t="shared" si="12"/>
        <v>0</v>
      </c>
      <c r="F141" s="44">
        <f t="shared" si="13"/>
        <v>0</v>
      </c>
      <c r="G141" s="106">
        <f t="shared" si="21"/>
        <v>0</v>
      </c>
      <c r="H141" s="106">
        <v>0</v>
      </c>
      <c r="I141" s="44">
        <f t="shared" si="20"/>
        <v>0</v>
      </c>
      <c r="J141" s="107"/>
      <c r="L141" s="107">
        <f t="shared" si="16"/>
        <v>0</v>
      </c>
      <c r="M141" s="44"/>
      <c r="N141" s="338">
        <f t="shared" si="17"/>
        <v>0</v>
      </c>
      <c r="O141" s="339"/>
      <c r="P141" s="307" t="str">
        <f>IFERROR(IF(MONTH($C141)=MONTH($J$6),SUMIFS(F$15:F141,$C$15:$C141,"&gt;"&amp;EOMONTH($C141,-12)),""),"")</f>
        <v/>
      </c>
      <c r="Q141" s="307" t="str">
        <f>IFERROR(IF(MONTH($C141)=MONTH($J$6),SUMIFS(G$15:G141,$C$15:$C141,"&gt;"&amp;EOMONTH($C141,-12))+SUMIFS(H$15:H141,$C$15:$C141,"&gt;"&amp;EOMONTH($C141,-12)),""),"")</f>
        <v/>
      </c>
    </row>
    <row r="142" spans="2:17" ht="12.75" customHeight="1" x14ac:dyDescent="0.25">
      <c r="B142">
        <f t="shared" si="11"/>
        <v>127</v>
      </c>
      <c r="C142" s="58" t="str">
        <f t="shared" si="18"/>
        <v/>
      </c>
      <c r="D142" s="44">
        <f t="shared" si="19"/>
        <v>0</v>
      </c>
      <c r="E142" s="107">
        <f t="shared" si="12"/>
        <v>0</v>
      </c>
      <c r="F142" s="44">
        <f t="shared" si="13"/>
        <v>0</v>
      </c>
      <c r="G142" s="106">
        <f t="shared" si="21"/>
        <v>0</v>
      </c>
      <c r="H142" s="106">
        <v>0</v>
      </c>
      <c r="I142" s="44">
        <f t="shared" si="20"/>
        <v>0</v>
      </c>
      <c r="J142" s="107"/>
      <c r="L142" s="107">
        <f t="shared" si="16"/>
        <v>0</v>
      </c>
      <c r="M142" s="44"/>
      <c r="N142" s="338">
        <f t="shared" si="17"/>
        <v>0</v>
      </c>
      <c r="O142" s="339"/>
      <c r="P142" s="307" t="str">
        <f>IFERROR(IF(MONTH($C142)=MONTH($J$6),SUMIFS(F$15:F142,$C$15:$C142,"&gt;"&amp;EOMONTH($C142,-12)),""),"")</f>
        <v/>
      </c>
      <c r="Q142" s="307" t="str">
        <f>IFERROR(IF(MONTH($C142)=MONTH($J$6),SUMIFS(G$15:G142,$C$15:$C142,"&gt;"&amp;EOMONTH($C142,-12))+SUMIFS(H$15:H142,$C$15:$C142,"&gt;"&amp;EOMONTH($C142,-12)),""),"")</f>
        <v/>
      </c>
    </row>
    <row r="143" spans="2:17" ht="12.75" customHeight="1" x14ac:dyDescent="0.25">
      <c r="B143">
        <f t="shared" si="11"/>
        <v>128</v>
      </c>
      <c r="C143" s="58" t="str">
        <f t="shared" si="18"/>
        <v/>
      </c>
      <c r="D143" s="44">
        <f t="shared" si="19"/>
        <v>0</v>
      </c>
      <c r="E143" s="107">
        <f t="shared" si="12"/>
        <v>0</v>
      </c>
      <c r="F143" s="44">
        <f t="shared" si="13"/>
        <v>0</v>
      </c>
      <c r="G143" s="106">
        <f t="shared" si="21"/>
        <v>0</v>
      </c>
      <c r="H143" s="106">
        <v>0</v>
      </c>
      <c r="I143" s="44">
        <f t="shared" si="20"/>
        <v>0</v>
      </c>
      <c r="J143" s="107"/>
      <c r="L143" s="107">
        <f t="shared" si="16"/>
        <v>0</v>
      </c>
      <c r="M143" s="44"/>
      <c r="N143" s="338">
        <f t="shared" si="17"/>
        <v>0</v>
      </c>
      <c r="O143" s="339"/>
      <c r="P143" s="307" t="str">
        <f>IFERROR(IF(MONTH($C143)=MONTH($J$6),SUMIFS(F$15:F143,$C$15:$C143,"&gt;"&amp;EOMONTH($C143,-12)),""),"")</f>
        <v/>
      </c>
      <c r="Q143" s="307" t="str">
        <f>IFERROR(IF(MONTH($C143)=MONTH($J$6),SUMIFS(G$15:G143,$C$15:$C143,"&gt;"&amp;EOMONTH($C143,-12))+SUMIFS(H$15:H143,$C$15:$C143,"&gt;"&amp;EOMONTH($C143,-12)),""),"")</f>
        <v/>
      </c>
    </row>
    <row r="144" spans="2:17" ht="12.75" customHeight="1" x14ac:dyDescent="0.25">
      <c r="B144">
        <f t="shared" ref="B144:B195" si="22">B143+1</f>
        <v>129</v>
      </c>
      <c r="C144" s="58" t="str">
        <f t="shared" si="18"/>
        <v/>
      </c>
      <c r="D144" s="44">
        <f t="shared" si="19"/>
        <v>0</v>
      </c>
      <c r="E144" s="107">
        <f t="shared" ref="E144:E195" si="23">L143</f>
        <v>0</v>
      </c>
      <c r="F144" s="44">
        <f t="shared" ref="F144:F195" si="24">ROUND(IFERROR(MIN(MAX(D144-H144-G144,0),L143),0),2)</f>
        <v>0</v>
      </c>
      <c r="G144" s="106">
        <f t="shared" ref="G144:G175" si="25">ROUND(IFERROR((IF(B144&lt;=$D$8,(E144+IF(Loan_Type&lt;&gt;"Tax Loan",I143,0))*$D$6*30/360,0)),0),2)</f>
        <v>0</v>
      </c>
      <c r="H144" s="106">
        <v>0</v>
      </c>
      <c r="I144" s="44">
        <f t="shared" si="20"/>
        <v>0</v>
      </c>
      <c r="J144" s="107"/>
      <c r="L144" s="107">
        <f t="shared" ref="L144:L195" si="26">ROUND(E144-F144,2)</f>
        <v>0</v>
      </c>
      <c r="M144" s="44"/>
      <c r="N144" s="338">
        <f t="shared" ref="N144:N195" si="27">F144/$D$5</f>
        <v>0</v>
      </c>
      <c r="O144" s="339"/>
      <c r="P144" s="307" t="str">
        <f>IFERROR(IF(MONTH($C144)=MONTH($J$6),SUMIFS(F$15:F144,$C$15:$C144,"&gt;"&amp;EOMONTH($C144,-12)),""),"")</f>
        <v/>
      </c>
      <c r="Q144" s="307" t="str">
        <f>IFERROR(IF(MONTH($C144)=MONTH($J$6),SUMIFS(G$15:G144,$C$15:$C144,"&gt;"&amp;EOMONTH($C144,-12))+SUMIFS(H$15:H144,$C$15:$C144,"&gt;"&amp;EOMONTH($C144,-12)),""),"")</f>
        <v/>
      </c>
    </row>
    <row r="145" spans="2:17" ht="12.75" customHeight="1" x14ac:dyDescent="0.25">
      <c r="B145">
        <f t="shared" si="22"/>
        <v>130</v>
      </c>
      <c r="C145" s="58" t="str">
        <f t="shared" ref="C145:C194" si="28">IF(L144&lt;=0,"",EDATE($J$8,B145-1))</f>
        <v/>
      </c>
      <c r="D145" s="44">
        <f t="shared" ref="D145:D194" si="29">IF(B145=$D$8,L144+G145+H145,IF(B145&gt;$D$8,0,ROUNDUP($D$9,2)))</f>
        <v>0</v>
      </c>
      <c r="E145" s="107">
        <f t="shared" si="23"/>
        <v>0</v>
      </c>
      <c r="F145" s="44">
        <f t="shared" si="24"/>
        <v>0</v>
      </c>
      <c r="G145" s="106">
        <f t="shared" si="25"/>
        <v>0</v>
      </c>
      <c r="H145" s="106">
        <v>0</v>
      </c>
      <c r="I145" s="44">
        <f t="shared" ref="I145:I195" si="30">I144-H145</f>
        <v>0</v>
      </c>
      <c r="J145" s="107"/>
      <c r="L145" s="107">
        <f t="shared" si="26"/>
        <v>0</v>
      </c>
      <c r="M145" s="44"/>
      <c r="N145" s="338">
        <f t="shared" si="27"/>
        <v>0</v>
      </c>
      <c r="O145" s="339"/>
      <c r="P145" s="307" t="str">
        <f>IFERROR(IF(MONTH($C145)=MONTH($J$6),SUMIFS(F$15:F145,$C$15:$C145,"&gt;"&amp;EOMONTH($C145,-12)),""),"")</f>
        <v/>
      </c>
      <c r="Q145" s="307" t="str">
        <f>IFERROR(IF(MONTH($C145)=MONTH($J$6),SUMIFS(G$15:G145,$C$15:$C145,"&gt;"&amp;EOMONTH($C145,-12))+SUMIFS(H$15:H145,$C$15:$C145,"&gt;"&amp;EOMONTH($C145,-12)),""),"")</f>
        <v/>
      </c>
    </row>
    <row r="146" spans="2:17" ht="12.75" customHeight="1" x14ac:dyDescent="0.25">
      <c r="B146">
        <f t="shared" si="22"/>
        <v>131</v>
      </c>
      <c r="C146" s="58" t="str">
        <f t="shared" si="28"/>
        <v/>
      </c>
      <c r="D146" s="44">
        <f t="shared" si="29"/>
        <v>0</v>
      </c>
      <c r="E146" s="107">
        <f t="shared" si="23"/>
        <v>0</v>
      </c>
      <c r="F146" s="44">
        <f t="shared" si="24"/>
        <v>0</v>
      </c>
      <c r="G146" s="106">
        <f t="shared" si="25"/>
        <v>0</v>
      </c>
      <c r="H146" s="106">
        <v>0</v>
      </c>
      <c r="I146" s="44">
        <f t="shared" si="30"/>
        <v>0</v>
      </c>
      <c r="J146" s="107"/>
      <c r="L146" s="107">
        <f t="shared" si="26"/>
        <v>0</v>
      </c>
      <c r="M146" s="44"/>
      <c r="N146" s="338">
        <f t="shared" si="27"/>
        <v>0</v>
      </c>
      <c r="O146" s="339"/>
      <c r="P146" s="307" t="str">
        <f>IFERROR(IF(MONTH($C146)=MONTH($J$6),SUMIFS(F$15:F146,$C$15:$C146,"&gt;"&amp;EOMONTH($C146,-12)),""),"")</f>
        <v/>
      </c>
      <c r="Q146" s="307" t="str">
        <f>IFERROR(IF(MONTH($C146)=MONTH($J$6),SUMIFS(G$15:G146,$C$15:$C146,"&gt;"&amp;EOMONTH($C146,-12))+SUMIFS(H$15:H146,$C$15:$C146,"&gt;"&amp;EOMONTH($C146,-12)),""),"")</f>
        <v/>
      </c>
    </row>
    <row r="147" spans="2:17" ht="12.75" customHeight="1" x14ac:dyDescent="0.25">
      <c r="B147">
        <f t="shared" si="22"/>
        <v>132</v>
      </c>
      <c r="C147" s="58" t="str">
        <f t="shared" si="28"/>
        <v/>
      </c>
      <c r="D147" s="44">
        <f t="shared" si="29"/>
        <v>0</v>
      </c>
      <c r="E147" s="107">
        <f t="shared" si="23"/>
        <v>0</v>
      </c>
      <c r="F147" s="44">
        <f t="shared" si="24"/>
        <v>0</v>
      </c>
      <c r="G147" s="106">
        <f t="shared" si="25"/>
        <v>0</v>
      </c>
      <c r="H147" s="106">
        <v>0</v>
      </c>
      <c r="I147" s="44">
        <f t="shared" si="30"/>
        <v>0</v>
      </c>
      <c r="J147" s="107"/>
      <c r="L147" s="107">
        <f t="shared" si="26"/>
        <v>0</v>
      </c>
      <c r="M147" s="44"/>
      <c r="N147" s="338">
        <f t="shared" si="27"/>
        <v>0</v>
      </c>
      <c r="O147" s="317"/>
      <c r="P147" s="307" t="str">
        <f>IFERROR(IF(MONTH($C147)=MONTH($J$6),SUMIFS(F$15:F147,$C$15:$C147,"&gt;"&amp;EOMONTH($C147,-12)),""),"")</f>
        <v/>
      </c>
      <c r="Q147" s="307" t="str">
        <f>IFERROR(IF(MONTH($C147)=MONTH($J$6),SUMIFS(G$15:G147,$C$15:$C147,"&gt;"&amp;EOMONTH($C147,-12))+SUMIFS(H$15:H147,$C$15:$C147,"&gt;"&amp;EOMONTH($C147,-12)),""),"")</f>
        <v/>
      </c>
    </row>
    <row r="148" spans="2:17" ht="12.75" customHeight="1" x14ac:dyDescent="0.25">
      <c r="B148">
        <f t="shared" si="22"/>
        <v>133</v>
      </c>
      <c r="C148" s="58" t="str">
        <f t="shared" si="28"/>
        <v/>
      </c>
      <c r="D148" s="44">
        <f t="shared" si="29"/>
        <v>0</v>
      </c>
      <c r="E148" s="107">
        <f t="shared" si="23"/>
        <v>0</v>
      </c>
      <c r="F148" s="44">
        <f t="shared" si="24"/>
        <v>0</v>
      </c>
      <c r="G148" s="106">
        <f t="shared" si="25"/>
        <v>0</v>
      </c>
      <c r="H148" s="106">
        <v>0</v>
      </c>
      <c r="I148" s="44">
        <f t="shared" si="30"/>
        <v>0</v>
      </c>
      <c r="J148" s="107"/>
      <c r="L148" s="107">
        <f t="shared" si="26"/>
        <v>0</v>
      </c>
      <c r="M148" s="44"/>
      <c r="N148" s="338">
        <f t="shared" si="27"/>
        <v>0</v>
      </c>
      <c r="O148" s="339"/>
      <c r="P148" s="307" t="str">
        <f>IFERROR(IF(MONTH($C148)=MONTH($J$6),SUMIFS(F$15:F148,$C$15:$C148,"&gt;"&amp;EOMONTH($C148,-12)),""),"")</f>
        <v/>
      </c>
      <c r="Q148" s="307" t="str">
        <f>IFERROR(IF(MONTH($C148)=MONTH($J$6),SUMIFS(G$15:G148,$C$15:$C148,"&gt;"&amp;EOMONTH($C148,-12))+SUMIFS(H$15:H148,$C$15:$C148,"&gt;"&amp;EOMONTH($C148,-12)),""),"")</f>
        <v/>
      </c>
    </row>
    <row r="149" spans="2:17" ht="12.75" customHeight="1" x14ac:dyDescent="0.25">
      <c r="B149">
        <f t="shared" si="22"/>
        <v>134</v>
      </c>
      <c r="C149" s="58" t="str">
        <f t="shared" si="28"/>
        <v/>
      </c>
      <c r="D149" s="44">
        <f t="shared" si="29"/>
        <v>0</v>
      </c>
      <c r="E149" s="107">
        <f t="shared" si="23"/>
        <v>0</v>
      </c>
      <c r="F149" s="44">
        <f t="shared" si="24"/>
        <v>0</v>
      </c>
      <c r="G149" s="106">
        <f t="shared" si="25"/>
        <v>0</v>
      </c>
      <c r="H149" s="106">
        <v>0</v>
      </c>
      <c r="I149" s="44">
        <f t="shared" si="30"/>
        <v>0</v>
      </c>
      <c r="J149" s="107"/>
      <c r="L149" s="107">
        <f t="shared" si="26"/>
        <v>0</v>
      </c>
      <c r="M149" s="44"/>
      <c r="N149" s="338">
        <f t="shared" si="27"/>
        <v>0</v>
      </c>
      <c r="O149" s="339"/>
      <c r="P149" s="307" t="str">
        <f>IFERROR(IF(MONTH($C149)=MONTH($J$6),SUMIFS(F$15:F149,$C$15:$C149,"&gt;"&amp;EOMONTH($C149,-12)),""),"")</f>
        <v/>
      </c>
      <c r="Q149" s="307" t="str">
        <f>IFERROR(IF(MONTH($C149)=MONTH($J$6),SUMIFS(G$15:G149,$C$15:$C149,"&gt;"&amp;EOMONTH($C149,-12))+SUMIFS(H$15:H149,$C$15:$C149,"&gt;"&amp;EOMONTH($C149,-12)),""),"")</f>
        <v/>
      </c>
    </row>
    <row r="150" spans="2:17" ht="12.75" customHeight="1" x14ac:dyDescent="0.25">
      <c r="B150">
        <f t="shared" si="22"/>
        <v>135</v>
      </c>
      <c r="C150" s="58" t="str">
        <f t="shared" si="28"/>
        <v/>
      </c>
      <c r="D150" s="44">
        <f t="shared" si="29"/>
        <v>0</v>
      </c>
      <c r="E150" s="107">
        <f t="shared" si="23"/>
        <v>0</v>
      </c>
      <c r="F150" s="44">
        <f t="shared" si="24"/>
        <v>0</v>
      </c>
      <c r="G150" s="106">
        <f t="shared" si="25"/>
        <v>0</v>
      </c>
      <c r="H150" s="106">
        <v>0</v>
      </c>
      <c r="I150" s="44">
        <f t="shared" si="30"/>
        <v>0</v>
      </c>
      <c r="J150" s="107"/>
      <c r="L150" s="107">
        <f t="shared" si="26"/>
        <v>0</v>
      </c>
      <c r="M150" s="44"/>
      <c r="N150" s="338">
        <f t="shared" si="27"/>
        <v>0</v>
      </c>
      <c r="O150" s="339"/>
      <c r="P150" s="307" t="str">
        <f>IFERROR(IF(MONTH($C150)=MONTH($J$6),SUMIFS(F$15:F150,$C$15:$C150,"&gt;"&amp;EOMONTH($C150,-12)),""),"")</f>
        <v/>
      </c>
      <c r="Q150" s="307" t="str">
        <f>IFERROR(IF(MONTH($C150)=MONTH($J$6),SUMIFS(G$15:G150,$C$15:$C150,"&gt;"&amp;EOMONTH($C150,-12))+SUMIFS(H$15:H150,$C$15:$C150,"&gt;"&amp;EOMONTH($C150,-12)),""),"")</f>
        <v/>
      </c>
    </row>
    <row r="151" spans="2:17" ht="12.75" customHeight="1" x14ac:dyDescent="0.25">
      <c r="B151">
        <f t="shared" si="22"/>
        <v>136</v>
      </c>
      <c r="C151" s="58" t="str">
        <f t="shared" si="28"/>
        <v/>
      </c>
      <c r="D151" s="44">
        <f t="shared" si="29"/>
        <v>0</v>
      </c>
      <c r="E151" s="107">
        <f t="shared" si="23"/>
        <v>0</v>
      </c>
      <c r="F151" s="44">
        <f t="shared" si="24"/>
        <v>0</v>
      </c>
      <c r="G151" s="106">
        <f t="shared" si="25"/>
        <v>0</v>
      </c>
      <c r="H151" s="106">
        <v>0</v>
      </c>
      <c r="I151" s="44">
        <f t="shared" si="30"/>
        <v>0</v>
      </c>
      <c r="J151" s="107"/>
      <c r="L151" s="107">
        <f t="shared" si="26"/>
        <v>0</v>
      </c>
      <c r="M151" s="44"/>
      <c r="N151" s="338">
        <f t="shared" si="27"/>
        <v>0</v>
      </c>
      <c r="O151" s="339"/>
      <c r="P151" s="307" t="str">
        <f>IFERROR(IF(MONTH($C151)=MONTH($J$6),SUMIFS(F$15:F151,$C$15:$C151,"&gt;"&amp;EOMONTH($C151,-12)),""),"")</f>
        <v/>
      </c>
      <c r="Q151" s="307" t="str">
        <f>IFERROR(IF(MONTH($C151)=MONTH($J$6),SUMIFS(G$15:G151,$C$15:$C151,"&gt;"&amp;EOMONTH($C151,-12))+SUMIFS(H$15:H151,$C$15:$C151,"&gt;"&amp;EOMONTH($C151,-12)),""),"")</f>
        <v/>
      </c>
    </row>
    <row r="152" spans="2:17" ht="12.75" customHeight="1" x14ac:dyDescent="0.25">
      <c r="B152">
        <f t="shared" si="22"/>
        <v>137</v>
      </c>
      <c r="C152" s="58" t="str">
        <f t="shared" si="28"/>
        <v/>
      </c>
      <c r="D152" s="44">
        <f t="shared" si="29"/>
        <v>0</v>
      </c>
      <c r="E152" s="107">
        <f t="shared" si="23"/>
        <v>0</v>
      </c>
      <c r="F152" s="44">
        <f t="shared" si="24"/>
        <v>0</v>
      </c>
      <c r="G152" s="106">
        <f t="shared" si="25"/>
        <v>0</v>
      </c>
      <c r="H152" s="106">
        <v>0</v>
      </c>
      <c r="I152" s="44">
        <f t="shared" si="30"/>
        <v>0</v>
      </c>
      <c r="J152" s="107"/>
      <c r="L152" s="107">
        <f t="shared" si="26"/>
        <v>0</v>
      </c>
      <c r="M152" s="44"/>
      <c r="N152" s="338">
        <f t="shared" si="27"/>
        <v>0</v>
      </c>
      <c r="O152" s="339"/>
      <c r="P152" s="307" t="str">
        <f>IFERROR(IF(MONTH($C152)=MONTH($J$6),SUMIFS(F$15:F152,$C$15:$C152,"&gt;"&amp;EOMONTH($C152,-12)),""),"")</f>
        <v/>
      </c>
      <c r="Q152" s="307" t="str">
        <f>IFERROR(IF(MONTH($C152)=MONTH($J$6),SUMIFS(G$15:G152,$C$15:$C152,"&gt;"&amp;EOMONTH($C152,-12))+SUMIFS(H$15:H152,$C$15:$C152,"&gt;"&amp;EOMONTH($C152,-12)),""),"")</f>
        <v/>
      </c>
    </row>
    <row r="153" spans="2:17" ht="12.75" customHeight="1" x14ac:dyDescent="0.25">
      <c r="B153">
        <f t="shared" si="22"/>
        <v>138</v>
      </c>
      <c r="C153" s="58" t="str">
        <f t="shared" si="28"/>
        <v/>
      </c>
      <c r="D153" s="44">
        <f t="shared" si="29"/>
        <v>0</v>
      </c>
      <c r="E153" s="107">
        <f t="shared" si="23"/>
        <v>0</v>
      </c>
      <c r="F153" s="44">
        <f t="shared" si="24"/>
        <v>0</v>
      </c>
      <c r="G153" s="106">
        <f t="shared" si="25"/>
        <v>0</v>
      </c>
      <c r="H153" s="106">
        <v>0</v>
      </c>
      <c r="I153" s="44">
        <f t="shared" si="30"/>
        <v>0</v>
      </c>
      <c r="J153" s="107"/>
      <c r="L153" s="107">
        <f t="shared" si="26"/>
        <v>0</v>
      </c>
      <c r="M153" s="44"/>
      <c r="N153" s="338">
        <f t="shared" si="27"/>
        <v>0</v>
      </c>
      <c r="O153" s="339"/>
      <c r="P153" s="307" t="str">
        <f>IFERROR(IF(MONTH($C153)=MONTH($J$6),SUMIFS(F$15:F153,$C$15:$C153,"&gt;"&amp;EOMONTH($C153,-12)),""),"")</f>
        <v/>
      </c>
      <c r="Q153" s="307" t="str">
        <f>IFERROR(IF(MONTH($C153)=MONTH($J$6),SUMIFS(G$15:G153,$C$15:$C153,"&gt;"&amp;EOMONTH($C153,-12))+SUMIFS(H$15:H153,$C$15:$C153,"&gt;"&amp;EOMONTH($C153,-12)),""),"")</f>
        <v/>
      </c>
    </row>
    <row r="154" spans="2:17" ht="12.75" customHeight="1" x14ac:dyDescent="0.25">
      <c r="B154">
        <f t="shared" si="22"/>
        <v>139</v>
      </c>
      <c r="C154" s="58" t="str">
        <f t="shared" si="28"/>
        <v/>
      </c>
      <c r="D154" s="44">
        <f t="shared" si="29"/>
        <v>0</v>
      </c>
      <c r="E154" s="107">
        <f t="shared" si="23"/>
        <v>0</v>
      </c>
      <c r="F154" s="44">
        <f t="shared" si="24"/>
        <v>0</v>
      </c>
      <c r="G154" s="106">
        <f t="shared" si="25"/>
        <v>0</v>
      </c>
      <c r="H154" s="106">
        <v>0</v>
      </c>
      <c r="I154" s="44">
        <f t="shared" si="30"/>
        <v>0</v>
      </c>
      <c r="J154" s="107"/>
      <c r="L154" s="107">
        <f t="shared" si="26"/>
        <v>0</v>
      </c>
      <c r="M154" s="44"/>
      <c r="N154" s="338">
        <f t="shared" si="27"/>
        <v>0</v>
      </c>
      <c r="O154" s="339"/>
      <c r="P154" s="307" t="str">
        <f>IFERROR(IF(MONTH($C154)=MONTH($J$6),SUMIFS(F$15:F154,$C$15:$C154,"&gt;"&amp;EOMONTH($C154,-12)),""),"")</f>
        <v/>
      </c>
      <c r="Q154" s="307" t="str">
        <f>IFERROR(IF(MONTH($C154)=MONTH($J$6),SUMIFS(G$15:G154,$C$15:$C154,"&gt;"&amp;EOMONTH($C154,-12))+SUMIFS(H$15:H154,$C$15:$C154,"&gt;"&amp;EOMONTH($C154,-12)),""),"")</f>
        <v/>
      </c>
    </row>
    <row r="155" spans="2:17" ht="12.75" customHeight="1" x14ac:dyDescent="0.25">
      <c r="B155">
        <f t="shared" si="22"/>
        <v>140</v>
      </c>
      <c r="C155" s="58" t="str">
        <f t="shared" si="28"/>
        <v/>
      </c>
      <c r="D155" s="44">
        <f t="shared" si="29"/>
        <v>0</v>
      </c>
      <c r="E155" s="107">
        <f t="shared" si="23"/>
        <v>0</v>
      </c>
      <c r="F155" s="44">
        <f t="shared" si="24"/>
        <v>0</v>
      </c>
      <c r="G155" s="106">
        <f t="shared" si="25"/>
        <v>0</v>
      </c>
      <c r="H155" s="106">
        <v>0</v>
      </c>
      <c r="I155" s="44">
        <f t="shared" si="30"/>
        <v>0</v>
      </c>
      <c r="J155" s="107"/>
      <c r="L155" s="107">
        <f t="shared" si="26"/>
        <v>0</v>
      </c>
      <c r="M155" s="44"/>
      <c r="N155" s="338">
        <f t="shared" si="27"/>
        <v>0</v>
      </c>
      <c r="O155" s="339"/>
      <c r="P155" s="307" t="str">
        <f>IFERROR(IF(MONTH($C155)=MONTH($J$6),SUMIFS(F$15:F155,$C$15:$C155,"&gt;"&amp;EOMONTH($C155,-12)),""),"")</f>
        <v/>
      </c>
      <c r="Q155" s="307" t="str">
        <f>IFERROR(IF(MONTH($C155)=MONTH($J$6),SUMIFS(G$15:G155,$C$15:$C155,"&gt;"&amp;EOMONTH($C155,-12))+SUMIFS(H$15:H155,$C$15:$C155,"&gt;"&amp;EOMONTH($C155,-12)),""),"")</f>
        <v/>
      </c>
    </row>
    <row r="156" spans="2:17" ht="12.75" customHeight="1" x14ac:dyDescent="0.25">
      <c r="B156">
        <f t="shared" si="22"/>
        <v>141</v>
      </c>
      <c r="C156" s="58" t="str">
        <f t="shared" si="28"/>
        <v/>
      </c>
      <c r="D156" s="44">
        <f t="shared" si="29"/>
        <v>0</v>
      </c>
      <c r="E156" s="107">
        <f t="shared" si="23"/>
        <v>0</v>
      </c>
      <c r="F156" s="44">
        <f t="shared" si="24"/>
        <v>0</v>
      </c>
      <c r="G156" s="106">
        <f t="shared" si="25"/>
        <v>0</v>
      </c>
      <c r="H156" s="106">
        <v>0</v>
      </c>
      <c r="I156" s="44">
        <f t="shared" si="30"/>
        <v>0</v>
      </c>
      <c r="J156" s="107"/>
      <c r="L156" s="107">
        <f t="shared" si="26"/>
        <v>0</v>
      </c>
      <c r="M156" s="44"/>
      <c r="N156" s="338">
        <f t="shared" si="27"/>
        <v>0</v>
      </c>
      <c r="O156" s="339"/>
      <c r="P156" s="307" t="str">
        <f>IFERROR(IF(MONTH($C156)=MONTH($J$6),SUMIFS(F$15:F156,$C$15:$C156,"&gt;"&amp;EOMONTH($C156,-12)),""),"")</f>
        <v/>
      </c>
      <c r="Q156" s="307" t="str">
        <f>IFERROR(IF(MONTH($C156)=MONTH($J$6),SUMIFS(G$15:G156,$C$15:$C156,"&gt;"&amp;EOMONTH($C156,-12))+SUMIFS(H$15:H156,$C$15:$C156,"&gt;"&amp;EOMONTH($C156,-12)),""),"")</f>
        <v/>
      </c>
    </row>
    <row r="157" spans="2:17" ht="12.75" customHeight="1" x14ac:dyDescent="0.25">
      <c r="B157">
        <f t="shared" si="22"/>
        <v>142</v>
      </c>
      <c r="C157" s="58" t="str">
        <f t="shared" si="28"/>
        <v/>
      </c>
      <c r="D157" s="44">
        <f t="shared" si="29"/>
        <v>0</v>
      </c>
      <c r="E157" s="107">
        <f t="shared" si="23"/>
        <v>0</v>
      </c>
      <c r="F157" s="44">
        <f t="shared" si="24"/>
        <v>0</v>
      </c>
      <c r="G157" s="106">
        <f t="shared" si="25"/>
        <v>0</v>
      </c>
      <c r="H157" s="106">
        <v>0</v>
      </c>
      <c r="I157" s="44">
        <f t="shared" si="30"/>
        <v>0</v>
      </c>
      <c r="J157" s="107"/>
      <c r="L157" s="107">
        <f t="shared" si="26"/>
        <v>0</v>
      </c>
      <c r="M157" s="44"/>
      <c r="N157" s="338">
        <f t="shared" si="27"/>
        <v>0</v>
      </c>
      <c r="O157" s="339"/>
      <c r="P157" s="307" t="str">
        <f>IFERROR(IF(MONTH($C157)=MONTH($J$6),SUMIFS(F$15:F157,$C$15:$C157,"&gt;"&amp;EOMONTH($C157,-12)),""),"")</f>
        <v/>
      </c>
      <c r="Q157" s="307" t="str">
        <f>IFERROR(IF(MONTH($C157)=MONTH($J$6),SUMIFS(G$15:G157,$C$15:$C157,"&gt;"&amp;EOMONTH($C157,-12))+SUMIFS(H$15:H157,$C$15:$C157,"&gt;"&amp;EOMONTH($C157,-12)),""),"")</f>
        <v/>
      </c>
    </row>
    <row r="158" spans="2:17" ht="12.75" customHeight="1" x14ac:dyDescent="0.25">
      <c r="B158">
        <f t="shared" si="22"/>
        <v>143</v>
      </c>
      <c r="C158" s="58" t="str">
        <f t="shared" si="28"/>
        <v/>
      </c>
      <c r="D158" s="44">
        <f t="shared" si="29"/>
        <v>0</v>
      </c>
      <c r="E158" s="107">
        <f t="shared" si="23"/>
        <v>0</v>
      </c>
      <c r="F158" s="44">
        <f t="shared" si="24"/>
        <v>0</v>
      </c>
      <c r="G158" s="106">
        <f t="shared" si="25"/>
        <v>0</v>
      </c>
      <c r="H158" s="106">
        <v>0</v>
      </c>
      <c r="I158" s="44">
        <f t="shared" si="30"/>
        <v>0</v>
      </c>
      <c r="J158" s="107"/>
      <c r="L158" s="107">
        <f t="shared" si="26"/>
        <v>0</v>
      </c>
      <c r="M158" s="44"/>
      <c r="N158" s="338">
        <f t="shared" si="27"/>
        <v>0</v>
      </c>
      <c r="O158" s="339"/>
      <c r="P158" s="307" t="str">
        <f>IFERROR(IF(MONTH($C158)=MONTH($J$6),SUMIFS(F$15:F158,$C$15:$C158,"&gt;"&amp;EOMONTH($C158,-12)),""),"")</f>
        <v/>
      </c>
      <c r="Q158" s="307" t="str">
        <f>IFERROR(IF(MONTH($C158)=MONTH($J$6),SUMIFS(G$15:G158,$C$15:$C158,"&gt;"&amp;EOMONTH($C158,-12))+SUMIFS(H$15:H158,$C$15:$C158,"&gt;"&amp;EOMONTH($C158,-12)),""),"")</f>
        <v/>
      </c>
    </row>
    <row r="159" spans="2:17" ht="12.75" customHeight="1" x14ac:dyDescent="0.25">
      <c r="B159">
        <f t="shared" si="22"/>
        <v>144</v>
      </c>
      <c r="C159" s="58" t="str">
        <f t="shared" si="28"/>
        <v/>
      </c>
      <c r="D159" s="44">
        <f t="shared" si="29"/>
        <v>0</v>
      </c>
      <c r="E159" s="107">
        <f t="shared" si="23"/>
        <v>0</v>
      </c>
      <c r="F159" s="44">
        <f t="shared" si="24"/>
        <v>0</v>
      </c>
      <c r="G159" s="106">
        <f t="shared" si="25"/>
        <v>0</v>
      </c>
      <c r="H159" s="106">
        <v>0</v>
      </c>
      <c r="I159" s="44">
        <f t="shared" si="30"/>
        <v>0</v>
      </c>
      <c r="J159" s="107"/>
      <c r="L159" s="107">
        <f t="shared" si="26"/>
        <v>0</v>
      </c>
      <c r="M159" s="44"/>
      <c r="N159" s="338">
        <f t="shared" si="27"/>
        <v>0</v>
      </c>
      <c r="O159" s="317"/>
      <c r="P159" s="307" t="str">
        <f>IFERROR(IF(MONTH($C159)=MONTH($J$6),SUMIFS(F$15:F159,$C$15:$C159,"&gt;"&amp;EOMONTH($C159,-12)),""),"")</f>
        <v/>
      </c>
      <c r="Q159" s="307" t="str">
        <f>IFERROR(IF(MONTH($C159)=MONTH($J$6),SUMIFS(G$15:G159,$C$15:$C159,"&gt;"&amp;EOMONTH($C159,-12))+SUMIFS(H$15:H159,$C$15:$C159,"&gt;"&amp;EOMONTH($C159,-12)),""),"")</f>
        <v/>
      </c>
    </row>
    <row r="160" spans="2:17" ht="12.75" customHeight="1" x14ac:dyDescent="0.25">
      <c r="B160">
        <f t="shared" si="22"/>
        <v>145</v>
      </c>
      <c r="C160" s="58" t="str">
        <f t="shared" si="28"/>
        <v/>
      </c>
      <c r="D160" s="44">
        <f t="shared" si="29"/>
        <v>0</v>
      </c>
      <c r="E160" s="107">
        <f t="shared" si="23"/>
        <v>0</v>
      </c>
      <c r="F160" s="44">
        <f t="shared" si="24"/>
        <v>0</v>
      </c>
      <c r="G160" s="106">
        <f t="shared" si="25"/>
        <v>0</v>
      </c>
      <c r="H160" s="106">
        <v>0</v>
      </c>
      <c r="I160" s="44">
        <f t="shared" si="30"/>
        <v>0</v>
      </c>
      <c r="J160" s="107"/>
      <c r="L160" s="107">
        <f t="shared" si="26"/>
        <v>0</v>
      </c>
      <c r="M160" s="44"/>
      <c r="N160" s="338">
        <f t="shared" si="27"/>
        <v>0</v>
      </c>
      <c r="O160" s="339"/>
      <c r="P160" s="307" t="str">
        <f>IFERROR(IF(MONTH($C160)=MONTH($J$6),SUMIFS(F$15:F160,$C$15:$C160,"&gt;"&amp;EOMONTH($C160,-12)),""),"")</f>
        <v/>
      </c>
      <c r="Q160" s="307" t="str">
        <f>IFERROR(IF(MONTH($C160)=MONTH($J$6),SUMIFS(G$15:G160,$C$15:$C160,"&gt;"&amp;EOMONTH($C160,-12))+SUMIFS(H$15:H160,$C$15:$C160,"&gt;"&amp;EOMONTH($C160,-12)),""),"")</f>
        <v/>
      </c>
    </row>
    <row r="161" spans="2:17" ht="12.75" customHeight="1" x14ac:dyDescent="0.25">
      <c r="B161">
        <f t="shared" si="22"/>
        <v>146</v>
      </c>
      <c r="C161" s="58" t="str">
        <f t="shared" si="28"/>
        <v/>
      </c>
      <c r="D161" s="44">
        <f t="shared" si="29"/>
        <v>0</v>
      </c>
      <c r="E161" s="107">
        <f t="shared" si="23"/>
        <v>0</v>
      </c>
      <c r="F161" s="44">
        <f t="shared" si="24"/>
        <v>0</v>
      </c>
      <c r="G161" s="106">
        <f t="shared" si="25"/>
        <v>0</v>
      </c>
      <c r="H161" s="106">
        <v>0</v>
      </c>
      <c r="I161" s="44">
        <f t="shared" si="30"/>
        <v>0</v>
      </c>
      <c r="J161" s="107"/>
      <c r="L161" s="107">
        <f t="shared" si="26"/>
        <v>0</v>
      </c>
      <c r="M161" s="44"/>
      <c r="N161" s="338">
        <f t="shared" si="27"/>
        <v>0</v>
      </c>
      <c r="O161" s="339"/>
      <c r="P161" s="307" t="str">
        <f>IFERROR(IF(MONTH($C161)=MONTH($J$6),SUMIFS(F$15:F161,$C$15:$C161,"&gt;"&amp;EOMONTH($C161,-12)),""),"")</f>
        <v/>
      </c>
      <c r="Q161" s="307" t="str">
        <f>IFERROR(IF(MONTH($C161)=MONTH($J$6),SUMIFS(G$15:G161,$C$15:$C161,"&gt;"&amp;EOMONTH($C161,-12))+SUMIFS(H$15:H161,$C$15:$C161,"&gt;"&amp;EOMONTH($C161,-12)),""),"")</f>
        <v/>
      </c>
    </row>
    <row r="162" spans="2:17" ht="12.75" customHeight="1" x14ac:dyDescent="0.25">
      <c r="B162">
        <f t="shared" si="22"/>
        <v>147</v>
      </c>
      <c r="C162" s="58" t="str">
        <f t="shared" si="28"/>
        <v/>
      </c>
      <c r="D162" s="44">
        <f t="shared" si="29"/>
        <v>0</v>
      </c>
      <c r="E162" s="107">
        <f t="shared" si="23"/>
        <v>0</v>
      </c>
      <c r="F162" s="44">
        <f t="shared" si="24"/>
        <v>0</v>
      </c>
      <c r="G162" s="106">
        <f t="shared" si="25"/>
        <v>0</v>
      </c>
      <c r="H162" s="106">
        <v>0</v>
      </c>
      <c r="I162" s="44">
        <f t="shared" si="30"/>
        <v>0</v>
      </c>
      <c r="J162" s="107"/>
      <c r="L162" s="107">
        <f t="shared" si="26"/>
        <v>0</v>
      </c>
      <c r="M162" s="44"/>
      <c r="N162" s="338">
        <f t="shared" si="27"/>
        <v>0</v>
      </c>
      <c r="O162" s="339"/>
      <c r="P162" s="307" t="str">
        <f>IFERROR(IF(MONTH($C162)=MONTH($J$6),SUMIFS(F$15:F162,$C$15:$C162,"&gt;"&amp;EOMONTH($C162,-12)),""),"")</f>
        <v/>
      </c>
      <c r="Q162" s="307" t="str">
        <f>IFERROR(IF(MONTH($C162)=MONTH($J$6),SUMIFS(G$15:G162,$C$15:$C162,"&gt;"&amp;EOMONTH($C162,-12))+SUMIFS(H$15:H162,$C$15:$C162,"&gt;"&amp;EOMONTH($C162,-12)),""),"")</f>
        <v/>
      </c>
    </row>
    <row r="163" spans="2:17" ht="12.75" customHeight="1" x14ac:dyDescent="0.25">
      <c r="B163">
        <f t="shared" si="22"/>
        <v>148</v>
      </c>
      <c r="C163" s="58" t="str">
        <f t="shared" si="28"/>
        <v/>
      </c>
      <c r="D163" s="44">
        <f t="shared" si="29"/>
        <v>0</v>
      </c>
      <c r="E163" s="107">
        <f t="shared" si="23"/>
        <v>0</v>
      </c>
      <c r="F163" s="44">
        <f t="shared" si="24"/>
        <v>0</v>
      </c>
      <c r="G163" s="106">
        <f t="shared" si="25"/>
        <v>0</v>
      </c>
      <c r="H163" s="106">
        <v>0</v>
      </c>
      <c r="I163" s="44">
        <f t="shared" si="30"/>
        <v>0</v>
      </c>
      <c r="J163" s="107"/>
      <c r="L163" s="107">
        <f t="shared" si="26"/>
        <v>0</v>
      </c>
      <c r="M163" s="44"/>
      <c r="N163" s="338">
        <f t="shared" si="27"/>
        <v>0</v>
      </c>
      <c r="O163" s="339"/>
      <c r="P163" s="307" t="str">
        <f>IFERROR(IF(MONTH($C163)=MONTH($J$6),SUMIFS(F$15:F163,$C$15:$C163,"&gt;"&amp;EOMONTH($C163,-12)),""),"")</f>
        <v/>
      </c>
      <c r="Q163" s="307" t="str">
        <f>IFERROR(IF(MONTH($C163)=MONTH($J$6),SUMIFS(G$15:G163,$C$15:$C163,"&gt;"&amp;EOMONTH($C163,-12))+SUMIFS(H$15:H163,$C$15:$C163,"&gt;"&amp;EOMONTH($C163,-12)),""),"")</f>
        <v/>
      </c>
    </row>
    <row r="164" spans="2:17" ht="12.75" customHeight="1" x14ac:dyDescent="0.25">
      <c r="B164">
        <f t="shared" si="22"/>
        <v>149</v>
      </c>
      <c r="C164" s="58" t="str">
        <f t="shared" si="28"/>
        <v/>
      </c>
      <c r="D164" s="44">
        <f t="shared" si="29"/>
        <v>0</v>
      </c>
      <c r="E164" s="107">
        <f t="shared" si="23"/>
        <v>0</v>
      </c>
      <c r="F164" s="44">
        <f t="shared" si="24"/>
        <v>0</v>
      </c>
      <c r="G164" s="106">
        <f t="shared" si="25"/>
        <v>0</v>
      </c>
      <c r="H164" s="106">
        <v>0</v>
      </c>
      <c r="I164" s="44">
        <f t="shared" si="30"/>
        <v>0</v>
      </c>
      <c r="J164" s="107"/>
      <c r="L164" s="107">
        <f t="shared" si="26"/>
        <v>0</v>
      </c>
      <c r="M164" s="44"/>
      <c r="N164" s="338">
        <f t="shared" si="27"/>
        <v>0</v>
      </c>
      <c r="O164" s="339"/>
      <c r="P164" s="307" t="str">
        <f>IFERROR(IF(MONTH($C164)=MONTH($J$6),SUMIFS(F$15:F164,$C$15:$C164,"&gt;"&amp;EOMONTH($C164,-12)),""),"")</f>
        <v/>
      </c>
      <c r="Q164" s="307" t="str">
        <f>IFERROR(IF(MONTH($C164)=MONTH($J$6),SUMIFS(G$15:G164,$C$15:$C164,"&gt;"&amp;EOMONTH($C164,-12))+SUMIFS(H$15:H164,$C$15:$C164,"&gt;"&amp;EOMONTH($C164,-12)),""),"")</f>
        <v/>
      </c>
    </row>
    <row r="165" spans="2:17" ht="12.75" customHeight="1" x14ac:dyDescent="0.25">
      <c r="B165">
        <f t="shared" si="22"/>
        <v>150</v>
      </c>
      <c r="C165" s="58" t="str">
        <f t="shared" si="28"/>
        <v/>
      </c>
      <c r="D165" s="44">
        <f t="shared" si="29"/>
        <v>0</v>
      </c>
      <c r="E165" s="107">
        <f t="shared" si="23"/>
        <v>0</v>
      </c>
      <c r="F165" s="44">
        <f t="shared" si="24"/>
        <v>0</v>
      </c>
      <c r="G165" s="106">
        <f t="shared" si="25"/>
        <v>0</v>
      </c>
      <c r="H165" s="106">
        <v>0</v>
      </c>
      <c r="I165" s="44">
        <f t="shared" si="30"/>
        <v>0</v>
      </c>
      <c r="J165" s="107"/>
      <c r="L165" s="107">
        <f t="shared" si="26"/>
        <v>0</v>
      </c>
      <c r="M165" s="44"/>
      <c r="N165" s="338">
        <f t="shared" si="27"/>
        <v>0</v>
      </c>
      <c r="O165" s="339"/>
      <c r="P165" s="307" t="str">
        <f>IFERROR(IF(MONTH($C165)=MONTH($J$6),SUMIFS(F$15:F165,$C$15:$C165,"&gt;"&amp;EOMONTH($C165,-12)),""),"")</f>
        <v/>
      </c>
      <c r="Q165" s="307" t="str">
        <f>IFERROR(IF(MONTH($C165)=MONTH($J$6),SUMIFS(G$15:G165,$C$15:$C165,"&gt;"&amp;EOMONTH($C165,-12))+SUMIFS(H$15:H165,$C$15:$C165,"&gt;"&amp;EOMONTH($C165,-12)),""),"")</f>
        <v/>
      </c>
    </row>
    <row r="166" spans="2:17" ht="12.75" customHeight="1" x14ac:dyDescent="0.25">
      <c r="B166">
        <f t="shared" si="22"/>
        <v>151</v>
      </c>
      <c r="C166" s="58" t="str">
        <f t="shared" si="28"/>
        <v/>
      </c>
      <c r="D166" s="44">
        <f t="shared" si="29"/>
        <v>0</v>
      </c>
      <c r="E166" s="107">
        <f t="shared" si="23"/>
        <v>0</v>
      </c>
      <c r="F166" s="44">
        <f t="shared" si="24"/>
        <v>0</v>
      </c>
      <c r="G166" s="106">
        <f t="shared" si="25"/>
        <v>0</v>
      </c>
      <c r="H166" s="106">
        <v>0</v>
      </c>
      <c r="I166" s="44">
        <f t="shared" si="30"/>
        <v>0</v>
      </c>
      <c r="J166" s="107"/>
      <c r="L166" s="107">
        <f t="shared" si="26"/>
        <v>0</v>
      </c>
      <c r="M166" s="44"/>
      <c r="N166" s="338">
        <f t="shared" si="27"/>
        <v>0</v>
      </c>
      <c r="O166" s="339"/>
      <c r="P166" s="307" t="str">
        <f>IFERROR(IF(MONTH($C166)=MONTH($J$6),SUMIFS(F$15:F166,$C$15:$C166,"&gt;"&amp;EOMONTH($C166,-12)),""),"")</f>
        <v/>
      </c>
      <c r="Q166" s="307" t="str">
        <f>IFERROR(IF(MONTH($C166)=MONTH($J$6),SUMIFS(G$15:G166,$C$15:$C166,"&gt;"&amp;EOMONTH($C166,-12))+SUMIFS(H$15:H166,$C$15:$C166,"&gt;"&amp;EOMONTH($C166,-12)),""),"")</f>
        <v/>
      </c>
    </row>
    <row r="167" spans="2:17" ht="12.75" customHeight="1" x14ac:dyDescent="0.25">
      <c r="B167">
        <f t="shared" si="22"/>
        <v>152</v>
      </c>
      <c r="C167" s="58" t="str">
        <f t="shared" si="28"/>
        <v/>
      </c>
      <c r="D167" s="44">
        <f t="shared" si="29"/>
        <v>0</v>
      </c>
      <c r="E167" s="107">
        <f t="shared" si="23"/>
        <v>0</v>
      </c>
      <c r="F167" s="44">
        <f t="shared" si="24"/>
        <v>0</v>
      </c>
      <c r="G167" s="106">
        <f t="shared" si="25"/>
        <v>0</v>
      </c>
      <c r="H167" s="106">
        <v>0</v>
      </c>
      <c r="I167" s="44">
        <f t="shared" si="30"/>
        <v>0</v>
      </c>
      <c r="J167" s="107"/>
      <c r="L167" s="107">
        <f t="shared" si="26"/>
        <v>0</v>
      </c>
      <c r="M167" s="44"/>
      <c r="N167" s="338">
        <f t="shared" si="27"/>
        <v>0</v>
      </c>
      <c r="O167" s="339"/>
      <c r="P167" s="307" t="str">
        <f>IFERROR(IF(MONTH($C167)=MONTH($J$6),SUMIFS(F$15:F167,$C$15:$C167,"&gt;"&amp;EOMONTH($C167,-12)),""),"")</f>
        <v/>
      </c>
      <c r="Q167" s="307" t="str">
        <f>IFERROR(IF(MONTH($C167)=MONTH($J$6),SUMIFS(G$15:G167,$C$15:$C167,"&gt;"&amp;EOMONTH($C167,-12))+SUMIFS(H$15:H167,$C$15:$C167,"&gt;"&amp;EOMONTH($C167,-12)),""),"")</f>
        <v/>
      </c>
    </row>
    <row r="168" spans="2:17" ht="12.75" customHeight="1" x14ac:dyDescent="0.25">
      <c r="B168">
        <f t="shared" si="22"/>
        <v>153</v>
      </c>
      <c r="C168" s="58" t="str">
        <f t="shared" si="28"/>
        <v/>
      </c>
      <c r="D168" s="44">
        <f t="shared" si="29"/>
        <v>0</v>
      </c>
      <c r="E168" s="107">
        <f t="shared" si="23"/>
        <v>0</v>
      </c>
      <c r="F168" s="44">
        <f t="shared" si="24"/>
        <v>0</v>
      </c>
      <c r="G168" s="106">
        <f t="shared" si="25"/>
        <v>0</v>
      </c>
      <c r="H168" s="106">
        <v>0</v>
      </c>
      <c r="I168" s="44">
        <f t="shared" si="30"/>
        <v>0</v>
      </c>
      <c r="J168" s="107"/>
      <c r="L168" s="107">
        <f t="shared" si="26"/>
        <v>0</v>
      </c>
      <c r="M168" s="44"/>
      <c r="N168" s="338">
        <f t="shared" si="27"/>
        <v>0</v>
      </c>
      <c r="O168" s="339"/>
      <c r="P168" s="307" t="str">
        <f>IFERROR(IF(MONTH($C168)=MONTH($J$6),SUMIFS(F$15:F168,$C$15:$C168,"&gt;"&amp;EOMONTH($C168,-12)),""),"")</f>
        <v/>
      </c>
      <c r="Q168" s="307" t="str">
        <f>IFERROR(IF(MONTH($C168)=MONTH($J$6),SUMIFS(G$15:G168,$C$15:$C168,"&gt;"&amp;EOMONTH($C168,-12))+SUMIFS(H$15:H168,$C$15:$C168,"&gt;"&amp;EOMONTH($C168,-12)),""),"")</f>
        <v/>
      </c>
    </row>
    <row r="169" spans="2:17" ht="12.75" customHeight="1" x14ac:dyDescent="0.25">
      <c r="B169">
        <f t="shared" si="22"/>
        <v>154</v>
      </c>
      <c r="C169" s="58" t="str">
        <f t="shared" si="28"/>
        <v/>
      </c>
      <c r="D169" s="44">
        <f t="shared" si="29"/>
        <v>0</v>
      </c>
      <c r="E169" s="107">
        <f t="shared" si="23"/>
        <v>0</v>
      </c>
      <c r="F169" s="44">
        <f t="shared" si="24"/>
        <v>0</v>
      </c>
      <c r="G169" s="106">
        <f t="shared" si="25"/>
        <v>0</v>
      </c>
      <c r="H169" s="106">
        <v>0</v>
      </c>
      <c r="I169" s="44">
        <f t="shared" si="30"/>
        <v>0</v>
      </c>
      <c r="J169" s="107"/>
      <c r="L169" s="107">
        <f t="shared" si="26"/>
        <v>0</v>
      </c>
      <c r="M169" s="44"/>
      <c r="N169" s="338">
        <f t="shared" si="27"/>
        <v>0</v>
      </c>
      <c r="O169" s="339"/>
      <c r="P169" s="307" t="str">
        <f>IFERROR(IF(MONTH($C169)=MONTH($J$6),SUMIFS(F$15:F169,$C$15:$C169,"&gt;"&amp;EOMONTH($C169,-12)),""),"")</f>
        <v/>
      </c>
      <c r="Q169" s="307" t="str">
        <f>IFERROR(IF(MONTH($C169)=MONTH($J$6),SUMIFS(G$15:G169,$C$15:$C169,"&gt;"&amp;EOMONTH($C169,-12))+SUMIFS(H$15:H169,$C$15:$C169,"&gt;"&amp;EOMONTH($C169,-12)),""),"")</f>
        <v/>
      </c>
    </row>
    <row r="170" spans="2:17" ht="12.75" customHeight="1" x14ac:dyDescent="0.25">
      <c r="B170">
        <f t="shared" si="22"/>
        <v>155</v>
      </c>
      <c r="C170" s="58" t="str">
        <f t="shared" si="28"/>
        <v/>
      </c>
      <c r="D170" s="44">
        <f t="shared" si="29"/>
        <v>0</v>
      </c>
      <c r="E170" s="107">
        <f t="shared" si="23"/>
        <v>0</v>
      </c>
      <c r="F170" s="44">
        <f t="shared" si="24"/>
        <v>0</v>
      </c>
      <c r="G170" s="106">
        <f t="shared" si="25"/>
        <v>0</v>
      </c>
      <c r="H170" s="106">
        <v>0</v>
      </c>
      <c r="I170" s="44">
        <f t="shared" si="30"/>
        <v>0</v>
      </c>
      <c r="J170" s="107"/>
      <c r="L170" s="107">
        <f t="shared" si="26"/>
        <v>0</v>
      </c>
      <c r="M170" s="44"/>
      <c r="N170" s="338">
        <f t="shared" si="27"/>
        <v>0</v>
      </c>
      <c r="O170" s="339"/>
      <c r="P170" s="307" t="str">
        <f>IFERROR(IF(MONTH($C170)=MONTH($J$6),SUMIFS(F$15:F170,$C$15:$C170,"&gt;"&amp;EOMONTH($C170,-12)),""),"")</f>
        <v/>
      </c>
      <c r="Q170" s="307" t="str">
        <f>IFERROR(IF(MONTH($C170)=MONTH($J$6),SUMIFS(G$15:G170,$C$15:$C170,"&gt;"&amp;EOMONTH($C170,-12))+SUMIFS(H$15:H170,$C$15:$C170,"&gt;"&amp;EOMONTH($C170,-12)),""),"")</f>
        <v/>
      </c>
    </row>
    <row r="171" spans="2:17" ht="12.75" customHeight="1" x14ac:dyDescent="0.25">
      <c r="B171">
        <f t="shared" si="22"/>
        <v>156</v>
      </c>
      <c r="C171" s="58" t="str">
        <f t="shared" si="28"/>
        <v/>
      </c>
      <c r="D171" s="44">
        <f t="shared" si="29"/>
        <v>0</v>
      </c>
      <c r="E171" s="107">
        <f t="shared" si="23"/>
        <v>0</v>
      </c>
      <c r="F171" s="44">
        <f t="shared" si="24"/>
        <v>0</v>
      </c>
      <c r="G171" s="106">
        <f t="shared" si="25"/>
        <v>0</v>
      </c>
      <c r="H171" s="106">
        <v>0</v>
      </c>
      <c r="I171" s="44">
        <f t="shared" si="30"/>
        <v>0</v>
      </c>
      <c r="J171" s="107"/>
      <c r="L171" s="107">
        <f t="shared" si="26"/>
        <v>0</v>
      </c>
      <c r="M171" s="44"/>
      <c r="N171" s="338">
        <f t="shared" si="27"/>
        <v>0</v>
      </c>
      <c r="O171" s="317"/>
      <c r="P171" s="307" t="str">
        <f>IFERROR(IF(MONTH($C171)=MONTH($J$6),SUMIFS(F$15:F171,$C$15:$C171,"&gt;"&amp;EOMONTH($C171,-12)),""),"")</f>
        <v/>
      </c>
      <c r="Q171" s="307" t="str">
        <f>IFERROR(IF(MONTH($C171)=MONTH($J$6),SUMIFS(G$15:G171,$C$15:$C171,"&gt;"&amp;EOMONTH($C171,-12))+SUMIFS(H$15:H171,$C$15:$C171,"&gt;"&amp;EOMONTH($C171,-12)),""),"")</f>
        <v/>
      </c>
    </row>
    <row r="172" spans="2:17" ht="12.75" customHeight="1" x14ac:dyDescent="0.25">
      <c r="B172">
        <f t="shared" si="22"/>
        <v>157</v>
      </c>
      <c r="C172" s="58" t="str">
        <f t="shared" si="28"/>
        <v/>
      </c>
      <c r="D172" s="44">
        <f t="shared" si="29"/>
        <v>0</v>
      </c>
      <c r="E172" s="107">
        <f t="shared" si="23"/>
        <v>0</v>
      </c>
      <c r="F172" s="44">
        <f t="shared" si="24"/>
        <v>0</v>
      </c>
      <c r="G172" s="106">
        <f t="shared" si="25"/>
        <v>0</v>
      </c>
      <c r="H172" s="106">
        <v>0</v>
      </c>
      <c r="I172" s="44">
        <f t="shared" si="30"/>
        <v>0</v>
      </c>
      <c r="J172" s="107"/>
      <c r="L172" s="107">
        <f t="shared" si="26"/>
        <v>0</v>
      </c>
      <c r="M172" s="44"/>
      <c r="N172" s="338">
        <f t="shared" si="27"/>
        <v>0</v>
      </c>
      <c r="O172" s="339"/>
      <c r="P172" s="307" t="str">
        <f>IFERROR(IF(MONTH($C172)=MONTH($J$6),SUMIFS(F$15:F172,$C$15:$C172,"&gt;"&amp;EOMONTH($C172,-12)),""),"")</f>
        <v/>
      </c>
      <c r="Q172" s="307" t="str">
        <f>IFERROR(IF(MONTH($C172)=MONTH($J$6),SUMIFS(G$15:G172,$C$15:$C172,"&gt;"&amp;EOMONTH($C172,-12))+SUMIFS(H$15:H172,$C$15:$C172,"&gt;"&amp;EOMONTH($C172,-12)),""),"")</f>
        <v/>
      </c>
    </row>
    <row r="173" spans="2:17" ht="12.75" customHeight="1" x14ac:dyDescent="0.25">
      <c r="B173">
        <f t="shared" si="22"/>
        <v>158</v>
      </c>
      <c r="C173" s="58" t="str">
        <f t="shared" si="28"/>
        <v/>
      </c>
      <c r="D173" s="44">
        <f t="shared" si="29"/>
        <v>0</v>
      </c>
      <c r="E173" s="107">
        <f t="shared" si="23"/>
        <v>0</v>
      </c>
      <c r="F173" s="44">
        <f t="shared" si="24"/>
        <v>0</v>
      </c>
      <c r="G173" s="106">
        <f t="shared" si="25"/>
        <v>0</v>
      </c>
      <c r="H173" s="106">
        <v>0</v>
      </c>
      <c r="I173" s="44">
        <f t="shared" si="30"/>
        <v>0</v>
      </c>
      <c r="J173" s="107"/>
      <c r="L173" s="107">
        <f t="shared" si="26"/>
        <v>0</v>
      </c>
      <c r="M173" s="44"/>
      <c r="N173" s="338">
        <f t="shared" si="27"/>
        <v>0</v>
      </c>
      <c r="O173" s="339"/>
      <c r="P173" s="307" t="str">
        <f>IFERROR(IF(MONTH($C173)=MONTH($J$6),SUMIFS(F$15:F173,$C$15:$C173,"&gt;"&amp;EOMONTH($C173,-12)),""),"")</f>
        <v/>
      </c>
      <c r="Q173" s="307" t="str">
        <f>IFERROR(IF(MONTH($C173)=MONTH($J$6),SUMIFS(G$15:G173,$C$15:$C173,"&gt;"&amp;EOMONTH($C173,-12))+SUMIFS(H$15:H173,$C$15:$C173,"&gt;"&amp;EOMONTH($C173,-12)),""),"")</f>
        <v/>
      </c>
    </row>
    <row r="174" spans="2:17" ht="12.75" customHeight="1" x14ac:dyDescent="0.25">
      <c r="B174">
        <f t="shared" si="22"/>
        <v>159</v>
      </c>
      <c r="C174" s="58" t="str">
        <f t="shared" si="28"/>
        <v/>
      </c>
      <c r="D174" s="44">
        <f t="shared" si="29"/>
        <v>0</v>
      </c>
      <c r="E174" s="107">
        <f t="shared" si="23"/>
        <v>0</v>
      </c>
      <c r="F174" s="44">
        <f t="shared" si="24"/>
        <v>0</v>
      </c>
      <c r="G174" s="106">
        <f t="shared" si="25"/>
        <v>0</v>
      </c>
      <c r="H174" s="106">
        <v>0</v>
      </c>
      <c r="I174" s="44">
        <f t="shared" si="30"/>
        <v>0</v>
      </c>
      <c r="J174" s="107"/>
      <c r="L174" s="107">
        <f t="shared" si="26"/>
        <v>0</v>
      </c>
      <c r="M174" s="44"/>
      <c r="N174" s="338">
        <f t="shared" si="27"/>
        <v>0</v>
      </c>
      <c r="O174" s="339"/>
      <c r="P174" s="307" t="str">
        <f>IFERROR(IF(MONTH($C174)=MONTH($J$6),SUMIFS(F$15:F174,$C$15:$C174,"&gt;"&amp;EOMONTH($C174,-12)),""),"")</f>
        <v/>
      </c>
      <c r="Q174" s="307" t="str">
        <f>IFERROR(IF(MONTH($C174)=MONTH($J$6),SUMIFS(G$15:G174,$C$15:$C174,"&gt;"&amp;EOMONTH($C174,-12))+SUMIFS(H$15:H174,$C$15:$C174,"&gt;"&amp;EOMONTH($C174,-12)),""),"")</f>
        <v/>
      </c>
    </row>
    <row r="175" spans="2:17" ht="12.75" customHeight="1" x14ac:dyDescent="0.25">
      <c r="B175">
        <f t="shared" si="22"/>
        <v>160</v>
      </c>
      <c r="C175" s="58" t="str">
        <f t="shared" si="28"/>
        <v/>
      </c>
      <c r="D175" s="44">
        <f t="shared" si="29"/>
        <v>0</v>
      </c>
      <c r="E175" s="107">
        <f t="shared" si="23"/>
        <v>0</v>
      </c>
      <c r="F175" s="44">
        <f t="shared" si="24"/>
        <v>0</v>
      </c>
      <c r="G175" s="106">
        <f t="shared" si="25"/>
        <v>0</v>
      </c>
      <c r="H175" s="106">
        <v>0</v>
      </c>
      <c r="I175" s="44">
        <f t="shared" si="30"/>
        <v>0</v>
      </c>
      <c r="J175" s="107"/>
      <c r="L175" s="107">
        <f t="shared" si="26"/>
        <v>0</v>
      </c>
      <c r="M175" s="44"/>
      <c r="N175" s="338">
        <f t="shared" si="27"/>
        <v>0</v>
      </c>
      <c r="O175" s="339"/>
      <c r="P175" s="307" t="str">
        <f>IFERROR(IF(MONTH($C175)=MONTH($J$6),SUMIFS(F$15:F175,$C$15:$C175,"&gt;"&amp;EOMONTH($C175,-12)),""),"")</f>
        <v/>
      </c>
      <c r="Q175" s="307" t="str">
        <f>IFERROR(IF(MONTH($C175)=MONTH($J$6),SUMIFS(G$15:G175,$C$15:$C175,"&gt;"&amp;EOMONTH($C175,-12))+SUMIFS(H$15:H175,$C$15:$C175,"&gt;"&amp;EOMONTH($C175,-12)),""),"")</f>
        <v/>
      </c>
    </row>
    <row r="176" spans="2:17" ht="12.75" customHeight="1" x14ac:dyDescent="0.25">
      <c r="B176">
        <f t="shared" si="22"/>
        <v>161</v>
      </c>
      <c r="C176" s="58" t="str">
        <f t="shared" si="28"/>
        <v/>
      </c>
      <c r="D176" s="44">
        <f t="shared" si="29"/>
        <v>0</v>
      </c>
      <c r="E176" s="107">
        <f t="shared" si="23"/>
        <v>0</v>
      </c>
      <c r="F176" s="44">
        <f t="shared" si="24"/>
        <v>0</v>
      </c>
      <c r="G176" s="106">
        <f t="shared" ref="G176:G194" si="31">ROUND(IFERROR((IF(B176&lt;=$D$8,(E176+IF(Loan_Type&lt;&gt;"Tax Loan",I175,0))*$D$6*30/360,0)),0),2)</f>
        <v>0</v>
      </c>
      <c r="H176" s="106">
        <v>0</v>
      </c>
      <c r="I176" s="44">
        <f t="shared" si="30"/>
        <v>0</v>
      </c>
      <c r="J176" s="107"/>
      <c r="L176" s="107">
        <f t="shared" si="26"/>
        <v>0</v>
      </c>
      <c r="M176" s="44"/>
      <c r="N176" s="338">
        <f t="shared" si="27"/>
        <v>0</v>
      </c>
      <c r="O176" s="339"/>
      <c r="P176" s="307" t="str">
        <f>IFERROR(IF(MONTH($C176)=MONTH($J$6),SUMIFS(F$15:F176,$C$15:$C176,"&gt;"&amp;EOMONTH($C176,-12)),""),"")</f>
        <v/>
      </c>
      <c r="Q176" s="307" t="str">
        <f>IFERROR(IF(MONTH($C176)=MONTH($J$6),SUMIFS(G$15:G176,$C$15:$C176,"&gt;"&amp;EOMONTH($C176,-12))+SUMIFS(H$15:H176,$C$15:$C176,"&gt;"&amp;EOMONTH($C176,-12)),""),"")</f>
        <v/>
      </c>
    </row>
    <row r="177" spans="2:17" ht="12.75" customHeight="1" x14ac:dyDescent="0.25">
      <c r="B177">
        <f t="shared" si="22"/>
        <v>162</v>
      </c>
      <c r="C177" s="58" t="str">
        <f t="shared" si="28"/>
        <v/>
      </c>
      <c r="D177" s="44">
        <f t="shared" si="29"/>
        <v>0</v>
      </c>
      <c r="E177" s="107">
        <f t="shared" si="23"/>
        <v>0</v>
      </c>
      <c r="F177" s="44">
        <f t="shared" si="24"/>
        <v>0</v>
      </c>
      <c r="G177" s="106">
        <f t="shared" si="31"/>
        <v>0</v>
      </c>
      <c r="H177" s="106">
        <v>0</v>
      </c>
      <c r="I177" s="44">
        <f t="shared" si="30"/>
        <v>0</v>
      </c>
      <c r="J177" s="107"/>
      <c r="L177" s="107">
        <f t="shared" si="26"/>
        <v>0</v>
      </c>
      <c r="M177" s="44"/>
      <c r="N177" s="338">
        <f t="shared" si="27"/>
        <v>0</v>
      </c>
      <c r="O177" s="339"/>
      <c r="P177" s="307" t="str">
        <f>IFERROR(IF(MONTH($C177)=MONTH($J$6),SUMIFS(F$15:F177,$C$15:$C177,"&gt;"&amp;EOMONTH($C177,-12)),""),"")</f>
        <v/>
      </c>
      <c r="Q177" s="307" t="str">
        <f>IFERROR(IF(MONTH($C177)=MONTH($J$6),SUMIFS(G$15:G177,$C$15:$C177,"&gt;"&amp;EOMONTH($C177,-12))+SUMIFS(H$15:H177,$C$15:$C177,"&gt;"&amp;EOMONTH($C177,-12)),""),"")</f>
        <v/>
      </c>
    </row>
    <row r="178" spans="2:17" ht="12.75" customHeight="1" x14ac:dyDescent="0.25">
      <c r="B178">
        <f t="shared" si="22"/>
        <v>163</v>
      </c>
      <c r="C178" s="58" t="str">
        <f t="shared" si="28"/>
        <v/>
      </c>
      <c r="D178" s="44">
        <f t="shared" si="29"/>
        <v>0</v>
      </c>
      <c r="E178" s="107">
        <f t="shared" si="23"/>
        <v>0</v>
      </c>
      <c r="F178" s="44">
        <f t="shared" si="24"/>
        <v>0</v>
      </c>
      <c r="G178" s="106">
        <f t="shared" si="31"/>
        <v>0</v>
      </c>
      <c r="H178" s="106">
        <v>0</v>
      </c>
      <c r="I178" s="44">
        <f t="shared" si="30"/>
        <v>0</v>
      </c>
      <c r="J178" s="107"/>
      <c r="L178" s="107">
        <f t="shared" si="26"/>
        <v>0</v>
      </c>
      <c r="M178" s="44"/>
      <c r="N178" s="338">
        <f t="shared" si="27"/>
        <v>0</v>
      </c>
      <c r="O178" s="339"/>
      <c r="P178" s="307" t="str">
        <f>IFERROR(IF(MONTH($C178)=MONTH($J$6),SUMIFS(F$15:F178,$C$15:$C178,"&gt;"&amp;EOMONTH($C178,-12)),""),"")</f>
        <v/>
      </c>
      <c r="Q178" s="307" t="str">
        <f>IFERROR(IF(MONTH($C178)=MONTH($J$6),SUMIFS(G$15:G178,$C$15:$C178,"&gt;"&amp;EOMONTH($C178,-12))+SUMIFS(H$15:H178,$C$15:$C178,"&gt;"&amp;EOMONTH($C178,-12)),""),"")</f>
        <v/>
      </c>
    </row>
    <row r="179" spans="2:17" ht="12.75" customHeight="1" x14ac:dyDescent="0.25">
      <c r="B179">
        <f t="shared" si="22"/>
        <v>164</v>
      </c>
      <c r="C179" s="58" t="str">
        <f t="shared" si="28"/>
        <v/>
      </c>
      <c r="D179" s="44">
        <f t="shared" si="29"/>
        <v>0</v>
      </c>
      <c r="E179" s="107">
        <f t="shared" si="23"/>
        <v>0</v>
      </c>
      <c r="F179" s="44">
        <f t="shared" si="24"/>
        <v>0</v>
      </c>
      <c r="G179" s="106">
        <f t="shared" si="31"/>
        <v>0</v>
      </c>
      <c r="H179" s="106">
        <v>0</v>
      </c>
      <c r="I179" s="44">
        <f t="shared" si="30"/>
        <v>0</v>
      </c>
      <c r="J179" s="107"/>
      <c r="L179" s="107">
        <f t="shared" si="26"/>
        <v>0</v>
      </c>
      <c r="M179" s="44"/>
      <c r="N179" s="338">
        <f t="shared" si="27"/>
        <v>0</v>
      </c>
      <c r="O179" s="339"/>
      <c r="P179" s="307" t="str">
        <f>IFERROR(IF(MONTH($C179)=MONTH($J$6),SUMIFS(F$15:F179,$C$15:$C179,"&gt;"&amp;EOMONTH($C179,-12)),""),"")</f>
        <v/>
      </c>
      <c r="Q179" s="307" t="str">
        <f>IFERROR(IF(MONTH($C179)=MONTH($J$6),SUMIFS(G$15:G179,$C$15:$C179,"&gt;"&amp;EOMONTH($C179,-12))+SUMIFS(H$15:H179,$C$15:$C179,"&gt;"&amp;EOMONTH($C179,-12)),""),"")</f>
        <v/>
      </c>
    </row>
    <row r="180" spans="2:17" ht="12.75" customHeight="1" x14ac:dyDescent="0.25">
      <c r="B180">
        <f t="shared" si="22"/>
        <v>165</v>
      </c>
      <c r="C180" s="58" t="str">
        <f t="shared" si="28"/>
        <v/>
      </c>
      <c r="D180" s="44">
        <f t="shared" si="29"/>
        <v>0</v>
      </c>
      <c r="E180" s="107">
        <f t="shared" si="23"/>
        <v>0</v>
      </c>
      <c r="F180" s="44">
        <f t="shared" si="24"/>
        <v>0</v>
      </c>
      <c r="G180" s="106">
        <f t="shared" si="31"/>
        <v>0</v>
      </c>
      <c r="H180" s="106">
        <v>0</v>
      </c>
      <c r="I180" s="44">
        <f t="shared" si="30"/>
        <v>0</v>
      </c>
      <c r="J180" s="107"/>
      <c r="L180" s="107">
        <f t="shared" si="26"/>
        <v>0</v>
      </c>
      <c r="M180" s="44"/>
      <c r="N180" s="338">
        <f t="shared" si="27"/>
        <v>0</v>
      </c>
      <c r="O180" s="339"/>
      <c r="P180" s="307" t="str">
        <f>IFERROR(IF(MONTH($C180)=MONTH($J$6),SUMIFS(F$15:F180,$C$15:$C180,"&gt;"&amp;EOMONTH($C180,-12)),""),"")</f>
        <v/>
      </c>
      <c r="Q180" s="307" t="str">
        <f>IFERROR(IF(MONTH($C180)=MONTH($J$6),SUMIFS(G$15:G180,$C$15:$C180,"&gt;"&amp;EOMONTH($C180,-12))+SUMIFS(H$15:H180,$C$15:$C180,"&gt;"&amp;EOMONTH($C180,-12)),""),"")</f>
        <v/>
      </c>
    </row>
    <row r="181" spans="2:17" ht="12.75" customHeight="1" x14ac:dyDescent="0.25">
      <c r="B181">
        <f t="shared" si="22"/>
        <v>166</v>
      </c>
      <c r="C181" s="58" t="str">
        <f t="shared" si="28"/>
        <v/>
      </c>
      <c r="D181" s="44">
        <f t="shared" si="29"/>
        <v>0</v>
      </c>
      <c r="E181" s="107">
        <f t="shared" si="23"/>
        <v>0</v>
      </c>
      <c r="F181" s="44">
        <f t="shared" si="24"/>
        <v>0</v>
      </c>
      <c r="G181" s="106">
        <f t="shared" si="31"/>
        <v>0</v>
      </c>
      <c r="H181" s="106">
        <v>0</v>
      </c>
      <c r="I181" s="44">
        <f t="shared" si="30"/>
        <v>0</v>
      </c>
      <c r="J181" s="107"/>
      <c r="L181" s="107">
        <f t="shared" si="26"/>
        <v>0</v>
      </c>
      <c r="M181" s="44"/>
      <c r="N181" s="338">
        <f t="shared" si="27"/>
        <v>0</v>
      </c>
      <c r="O181" s="339"/>
      <c r="P181" s="307" t="str">
        <f>IFERROR(IF(MONTH($C181)=MONTH($J$6),SUMIFS(F$15:F181,$C$15:$C181,"&gt;"&amp;EOMONTH($C181,-12)),""),"")</f>
        <v/>
      </c>
      <c r="Q181" s="307" t="str">
        <f>IFERROR(IF(MONTH($C181)=MONTH($J$6),SUMIFS(G$15:G181,$C$15:$C181,"&gt;"&amp;EOMONTH($C181,-12))+SUMIFS(H$15:H181,$C$15:$C181,"&gt;"&amp;EOMONTH($C181,-12)),""),"")</f>
        <v/>
      </c>
    </row>
    <row r="182" spans="2:17" ht="12.75" customHeight="1" x14ac:dyDescent="0.25">
      <c r="B182">
        <f t="shared" si="22"/>
        <v>167</v>
      </c>
      <c r="C182" s="58" t="str">
        <f t="shared" si="28"/>
        <v/>
      </c>
      <c r="D182" s="44">
        <f t="shared" si="29"/>
        <v>0</v>
      </c>
      <c r="E182" s="107">
        <f t="shared" si="23"/>
        <v>0</v>
      </c>
      <c r="F182" s="44">
        <f t="shared" si="24"/>
        <v>0</v>
      </c>
      <c r="G182" s="106">
        <f t="shared" si="31"/>
        <v>0</v>
      </c>
      <c r="H182" s="106">
        <v>0</v>
      </c>
      <c r="I182" s="44">
        <f t="shared" si="30"/>
        <v>0</v>
      </c>
      <c r="J182" s="107"/>
      <c r="L182" s="107">
        <f t="shared" si="26"/>
        <v>0</v>
      </c>
      <c r="M182" s="44"/>
      <c r="N182" s="338">
        <f t="shared" si="27"/>
        <v>0</v>
      </c>
      <c r="O182" s="339"/>
      <c r="P182" s="307" t="str">
        <f>IFERROR(IF(MONTH($C182)=MONTH($J$6),SUMIFS(F$15:F182,$C$15:$C182,"&gt;"&amp;EOMONTH($C182,-12)),""),"")</f>
        <v/>
      </c>
      <c r="Q182" s="307" t="str">
        <f>IFERROR(IF(MONTH($C182)=MONTH($J$6),SUMIFS(G$15:G182,$C$15:$C182,"&gt;"&amp;EOMONTH($C182,-12))+SUMIFS(H$15:H182,$C$15:$C182,"&gt;"&amp;EOMONTH($C182,-12)),""),"")</f>
        <v/>
      </c>
    </row>
    <row r="183" spans="2:17" ht="12.75" customHeight="1" x14ac:dyDescent="0.25">
      <c r="B183">
        <f t="shared" si="22"/>
        <v>168</v>
      </c>
      <c r="C183" s="58" t="str">
        <f t="shared" si="28"/>
        <v/>
      </c>
      <c r="D183" s="44">
        <f t="shared" si="29"/>
        <v>0</v>
      </c>
      <c r="E183" s="107">
        <f t="shared" si="23"/>
        <v>0</v>
      </c>
      <c r="F183" s="44">
        <f t="shared" si="24"/>
        <v>0</v>
      </c>
      <c r="G183" s="106">
        <f t="shared" si="31"/>
        <v>0</v>
      </c>
      <c r="H183" s="106">
        <v>0</v>
      </c>
      <c r="I183" s="44">
        <f t="shared" si="30"/>
        <v>0</v>
      </c>
      <c r="J183" s="107"/>
      <c r="L183" s="107">
        <f t="shared" si="26"/>
        <v>0</v>
      </c>
      <c r="M183" s="44"/>
      <c r="N183" s="338">
        <f t="shared" si="27"/>
        <v>0</v>
      </c>
      <c r="O183" s="317"/>
      <c r="P183" s="307" t="str">
        <f>IFERROR(IF(MONTH($C183)=MONTH($J$6),SUMIFS(F$15:F183,$C$15:$C183,"&gt;"&amp;EOMONTH($C183,-12)),""),"")</f>
        <v/>
      </c>
      <c r="Q183" s="307" t="str">
        <f>IFERROR(IF(MONTH($C183)=MONTH($J$6),SUMIFS(G$15:G183,$C$15:$C183,"&gt;"&amp;EOMONTH($C183,-12))+SUMIFS(H$15:H183,$C$15:$C183,"&gt;"&amp;EOMONTH($C183,-12)),""),"")</f>
        <v/>
      </c>
    </row>
    <row r="184" spans="2:17" ht="12.75" customHeight="1" x14ac:dyDescent="0.25">
      <c r="B184">
        <f t="shared" si="22"/>
        <v>169</v>
      </c>
      <c r="C184" s="58" t="str">
        <f t="shared" si="28"/>
        <v/>
      </c>
      <c r="D184" s="44">
        <f t="shared" si="29"/>
        <v>0</v>
      </c>
      <c r="E184" s="107">
        <f t="shared" si="23"/>
        <v>0</v>
      </c>
      <c r="F184" s="44">
        <f t="shared" si="24"/>
        <v>0</v>
      </c>
      <c r="G184" s="106">
        <f t="shared" si="31"/>
        <v>0</v>
      </c>
      <c r="H184" s="106">
        <v>0</v>
      </c>
      <c r="I184" s="44">
        <f t="shared" si="30"/>
        <v>0</v>
      </c>
      <c r="J184" s="107"/>
      <c r="L184" s="107">
        <f t="shared" si="26"/>
        <v>0</v>
      </c>
      <c r="M184" s="44"/>
      <c r="N184" s="338">
        <f t="shared" si="27"/>
        <v>0</v>
      </c>
      <c r="O184" s="339"/>
      <c r="P184" s="307" t="str">
        <f>IFERROR(IF(MONTH($C184)=MONTH($J$6),SUMIFS(F$15:F184,$C$15:$C184,"&gt;"&amp;EOMONTH($C184,-12)),""),"")</f>
        <v/>
      </c>
      <c r="Q184" s="307" t="str">
        <f>IFERROR(IF(MONTH($C184)=MONTH($J$6),SUMIFS(G$15:G184,$C$15:$C184,"&gt;"&amp;EOMONTH($C184,-12))+SUMIFS(H$15:H184,$C$15:$C184,"&gt;"&amp;EOMONTH($C184,-12)),""),"")</f>
        <v/>
      </c>
    </row>
    <row r="185" spans="2:17" ht="12.75" customHeight="1" x14ac:dyDescent="0.25">
      <c r="B185">
        <f t="shared" si="22"/>
        <v>170</v>
      </c>
      <c r="C185" s="58" t="str">
        <f t="shared" si="28"/>
        <v/>
      </c>
      <c r="D185" s="44">
        <f t="shared" si="29"/>
        <v>0</v>
      </c>
      <c r="E185" s="107">
        <f t="shared" si="23"/>
        <v>0</v>
      </c>
      <c r="F185" s="44">
        <f t="shared" si="24"/>
        <v>0</v>
      </c>
      <c r="G185" s="106">
        <f t="shared" si="31"/>
        <v>0</v>
      </c>
      <c r="H185" s="106">
        <v>0</v>
      </c>
      <c r="I185" s="44">
        <f t="shared" si="30"/>
        <v>0</v>
      </c>
      <c r="J185" s="107"/>
      <c r="L185" s="107">
        <f t="shared" si="26"/>
        <v>0</v>
      </c>
      <c r="M185" s="44"/>
      <c r="N185" s="338">
        <f t="shared" si="27"/>
        <v>0</v>
      </c>
      <c r="O185" s="339"/>
      <c r="P185" s="307" t="str">
        <f>IFERROR(IF(MONTH($C185)=MONTH($J$6),SUMIFS(F$15:F185,$C$15:$C185,"&gt;"&amp;EOMONTH($C185,-12)),""),"")</f>
        <v/>
      </c>
      <c r="Q185" s="307" t="str">
        <f>IFERROR(IF(MONTH($C185)=MONTH($J$6),SUMIFS(G$15:G185,$C$15:$C185,"&gt;"&amp;EOMONTH($C185,-12))+SUMIFS(H$15:H185,$C$15:$C185,"&gt;"&amp;EOMONTH($C185,-12)),""),"")</f>
        <v/>
      </c>
    </row>
    <row r="186" spans="2:17" ht="12.75" customHeight="1" x14ac:dyDescent="0.25">
      <c r="B186">
        <f t="shared" si="22"/>
        <v>171</v>
      </c>
      <c r="C186" s="58" t="str">
        <f t="shared" si="28"/>
        <v/>
      </c>
      <c r="D186" s="44">
        <f t="shared" si="29"/>
        <v>0</v>
      </c>
      <c r="E186" s="107">
        <f t="shared" si="23"/>
        <v>0</v>
      </c>
      <c r="F186" s="44">
        <f t="shared" si="24"/>
        <v>0</v>
      </c>
      <c r="G186" s="106">
        <f t="shared" si="31"/>
        <v>0</v>
      </c>
      <c r="H186" s="106">
        <v>0</v>
      </c>
      <c r="I186" s="44">
        <f t="shared" si="30"/>
        <v>0</v>
      </c>
      <c r="J186" s="107"/>
      <c r="L186" s="107">
        <f t="shared" si="26"/>
        <v>0</v>
      </c>
      <c r="M186" s="44"/>
      <c r="N186" s="338">
        <f t="shared" si="27"/>
        <v>0</v>
      </c>
      <c r="O186" s="339"/>
      <c r="P186" s="307" t="str">
        <f>IFERROR(IF(MONTH($C186)=MONTH($J$6),SUMIFS(F$15:F186,$C$15:$C186,"&gt;"&amp;EOMONTH($C186,-12)),""),"")</f>
        <v/>
      </c>
      <c r="Q186" s="307" t="str">
        <f>IFERROR(IF(MONTH($C186)=MONTH($J$6),SUMIFS(G$15:G186,$C$15:$C186,"&gt;"&amp;EOMONTH($C186,-12))+SUMIFS(H$15:H186,$C$15:$C186,"&gt;"&amp;EOMONTH($C186,-12)),""),"")</f>
        <v/>
      </c>
    </row>
    <row r="187" spans="2:17" ht="12.75" customHeight="1" x14ac:dyDescent="0.25">
      <c r="B187">
        <f t="shared" si="22"/>
        <v>172</v>
      </c>
      <c r="C187" s="58" t="str">
        <f t="shared" si="28"/>
        <v/>
      </c>
      <c r="D187" s="44">
        <f t="shared" si="29"/>
        <v>0</v>
      </c>
      <c r="E187" s="107">
        <f t="shared" si="23"/>
        <v>0</v>
      </c>
      <c r="F187" s="44">
        <f t="shared" si="24"/>
        <v>0</v>
      </c>
      <c r="G187" s="106">
        <f t="shared" si="31"/>
        <v>0</v>
      </c>
      <c r="H187" s="106">
        <v>0</v>
      </c>
      <c r="I187" s="44">
        <f t="shared" si="30"/>
        <v>0</v>
      </c>
      <c r="J187" s="107"/>
      <c r="L187" s="107">
        <f t="shared" si="26"/>
        <v>0</v>
      </c>
      <c r="M187" s="44"/>
      <c r="N187" s="338">
        <f t="shared" si="27"/>
        <v>0</v>
      </c>
      <c r="O187" s="339"/>
      <c r="P187" s="307" t="str">
        <f>IFERROR(IF(MONTH($C187)=MONTH($J$6),SUMIFS(F$15:F187,$C$15:$C187,"&gt;"&amp;EOMONTH($C187,-12)),""),"")</f>
        <v/>
      </c>
      <c r="Q187" s="307" t="str">
        <f>IFERROR(IF(MONTH($C187)=MONTH($J$6),SUMIFS(G$15:G187,$C$15:$C187,"&gt;"&amp;EOMONTH($C187,-12))+SUMIFS(H$15:H187,$C$15:$C187,"&gt;"&amp;EOMONTH($C187,-12)),""),"")</f>
        <v/>
      </c>
    </row>
    <row r="188" spans="2:17" ht="12.75" customHeight="1" x14ac:dyDescent="0.25">
      <c r="B188">
        <f t="shared" si="22"/>
        <v>173</v>
      </c>
      <c r="C188" s="58" t="str">
        <f t="shared" si="28"/>
        <v/>
      </c>
      <c r="D188" s="44">
        <f t="shared" si="29"/>
        <v>0</v>
      </c>
      <c r="E188" s="107">
        <f t="shared" si="23"/>
        <v>0</v>
      </c>
      <c r="F188" s="44">
        <f t="shared" si="24"/>
        <v>0</v>
      </c>
      <c r="G188" s="106">
        <f t="shared" si="31"/>
        <v>0</v>
      </c>
      <c r="H188" s="106">
        <v>0</v>
      </c>
      <c r="I188" s="44">
        <f t="shared" si="30"/>
        <v>0</v>
      </c>
      <c r="J188" s="107"/>
      <c r="L188" s="107">
        <f t="shared" si="26"/>
        <v>0</v>
      </c>
      <c r="M188" s="44"/>
      <c r="N188" s="338">
        <f t="shared" si="27"/>
        <v>0</v>
      </c>
      <c r="O188" s="339"/>
      <c r="P188" s="307" t="str">
        <f>IFERROR(IF(MONTH($C188)=MONTH($J$6),SUMIFS(F$15:F188,$C$15:$C188,"&gt;"&amp;EOMONTH($C188,-12)),""),"")</f>
        <v/>
      </c>
      <c r="Q188" s="307" t="str">
        <f>IFERROR(IF(MONTH($C188)=MONTH($J$6),SUMIFS(G$15:G188,$C$15:$C188,"&gt;"&amp;EOMONTH($C188,-12))+SUMIFS(H$15:H188,$C$15:$C188,"&gt;"&amp;EOMONTH($C188,-12)),""),"")</f>
        <v/>
      </c>
    </row>
    <row r="189" spans="2:17" ht="12.75" customHeight="1" x14ac:dyDescent="0.25">
      <c r="B189">
        <f t="shared" si="22"/>
        <v>174</v>
      </c>
      <c r="C189" s="58" t="str">
        <f t="shared" si="28"/>
        <v/>
      </c>
      <c r="D189" s="44">
        <f t="shared" si="29"/>
        <v>0</v>
      </c>
      <c r="E189" s="107">
        <f t="shared" si="23"/>
        <v>0</v>
      </c>
      <c r="F189" s="44">
        <f t="shared" si="24"/>
        <v>0</v>
      </c>
      <c r="G189" s="106">
        <f t="shared" si="31"/>
        <v>0</v>
      </c>
      <c r="H189" s="106">
        <v>0</v>
      </c>
      <c r="I189" s="44">
        <f t="shared" si="30"/>
        <v>0</v>
      </c>
      <c r="J189" s="107"/>
      <c r="L189" s="107">
        <f t="shared" si="26"/>
        <v>0</v>
      </c>
      <c r="M189" s="44"/>
      <c r="N189" s="338">
        <f t="shared" si="27"/>
        <v>0</v>
      </c>
      <c r="O189" s="339"/>
      <c r="P189" s="307" t="str">
        <f>IFERROR(IF(MONTH($C189)=MONTH($J$6),SUMIFS(F$15:F189,$C$15:$C189,"&gt;"&amp;EOMONTH($C189,-12)),""),"")</f>
        <v/>
      </c>
      <c r="Q189" s="307" t="str">
        <f>IFERROR(IF(MONTH($C189)=MONTH($J$6),SUMIFS(G$15:G189,$C$15:$C189,"&gt;"&amp;EOMONTH($C189,-12))+SUMIFS(H$15:H189,$C$15:$C189,"&gt;"&amp;EOMONTH($C189,-12)),""),"")</f>
        <v/>
      </c>
    </row>
    <row r="190" spans="2:17" ht="12.75" customHeight="1" x14ac:dyDescent="0.25">
      <c r="B190">
        <f t="shared" si="22"/>
        <v>175</v>
      </c>
      <c r="C190" s="58" t="str">
        <f t="shared" si="28"/>
        <v/>
      </c>
      <c r="D190" s="44">
        <f t="shared" si="29"/>
        <v>0</v>
      </c>
      <c r="E190" s="107">
        <f t="shared" si="23"/>
        <v>0</v>
      </c>
      <c r="F190" s="44">
        <f t="shared" si="24"/>
        <v>0</v>
      </c>
      <c r="G190" s="106">
        <f t="shared" si="31"/>
        <v>0</v>
      </c>
      <c r="H190" s="106">
        <v>0</v>
      </c>
      <c r="I190" s="44">
        <f t="shared" si="30"/>
        <v>0</v>
      </c>
      <c r="J190" s="107"/>
      <c r="L190" s="107">
        <f t="shared" si="26"/>
        <v>0</v>
      </c>
      <c r="M190" s="44"/>
      <c r="N190" s="338">
        <f t="shared" si="27"/>
        <v>0</v>
      </c>
      <c r="O190" s="339"/>
      <c r="P190" s="307" t="str">
        <f>IFERROR(IF(MONTH($C190)=MONTH($J$6),SUMIFS(F$15:F190,$C$15:$C190,"&gt;"&amp;EOMONTH($C190,-12)),""),"")</f>
        <v/>
      </c>
      <c r="Q190" s="307" t="str">
        <f>IFERROR(IF(MONTH($C190)=MONTH($J$6),SUMIFS(G$15:G190,$C$15:$C190,"&gt;"&amp;EOMONTH($C190,-12))+SUMIFS(H$15:H190,$C$15:$C190,"&gt;"&amp;EOMONTH($C190,-12)),""),"")</f>
        <v/>
      </c>
    </row>
    <row r="191" spans="2:17" ht="12.75" customHeight="1" x14ac:dyDescent="0.25">
      <c r="B191">
        <f t="shared" si="22"/>
        <v>176</v>
      </c>
      <c r="C191" s="58" t="str">
        <f t="shared" si="28"/>
        <v/>
      </c>
      <c r="D191" s="44">
        <f t="shared" si="29"/>
        <v>0</v>
      </c>
      <c r="E191" s="107">
        <f t="shared" si="23"/>
        <v>0</v>
      </c>
      <c r="F191" s="44">
        <f t="shared" si="24"/>
        <v>0</v>
      </c>
      <c r="G191" s="106">
        <f t="shared" si="31"/>
        <v>0</v>
      </c>
      <c r="H191" s="106">
        <v>0</v>
      </c>
      <c r="I191" s="44">
        <f t="shared" si="30"/>
        <v>0</v>
      </c>
      <c r="J191" s="107"/>
      <c r="L191" s="107">
        <f t="shared" si="26"/>
        <v>0</v>
      </c>
      <c r="M191" s="44"/>
      <c r="N191" s="338">
        <f t="shared" si="27"/>
        <v>0</v>
      </c>
      <c r="O191" s="339"/>
      <c r="P191" s="307" t="str">
        <f>IFERROR(IF(MONTH($C191)=MONTH($J$6),SUMIFS(F$15:F191,$C$15:$C191,"&gt;"&amp;EOMONTH($C191,-12)),""),"")</f>
        <v/>
      </c>
      <c r="Q191" s="307" t="str">
        <f>IFERROR(IF(MONTH($C191)=MONTH($J$6),SUMIFS(G$15:G191,$C$15:$C191,"&gt;"&amp;EOMONTH($C191,-12))+SUMIFS(H$15:H191,$C$15:$C191,"&gt;"&amp;EOMONTH($C191,-12)),""),"")</f>
        <v/>
      </c>
    </row>
    <row r="192" spans="2:17" ht="12.75" customHeight="1" x14ac:dyDescent="0.25">
      <c r="B192">
        <f t="shared" si="22"/>
        <v>177</v>
      </c>
      <c r="C192" s="58" t="str">
        <f t="shared" si="28"/>
        <v/>
      </c>
      <c r="D192" s="44">
        <f t="shared" si="29"/>
        <v>0</v>
      </c>
      <c r="E192" s="107">
        <f t="shared" si="23"/>
        <v>0</v>
      </c>
      <c r="F192" s="44">
        <f t="shared" si="24"/>
        <v>0</v>
      </c>
      <c r="G192" s="106">
        <f t="shared" si="31"/>
        <v>0</v>
      </c>
      <c r="H192" s="106">
        <v>0</v>
      </c>
      <c r="I192" s="44">
        <f t="shared" si="30"/>
        <v>0</v>
      </c>
      <c r="J192" s="107"/>
      <c r="L192" s="107">
        <f t="shared" si="26"/>
        <v>0</v>
      </c>
      <c r="M192" s="44"/>
      <c r="N192" s="338">
        <f t="shared" si="27"/>
        <v>0</v>
      </c>
      <c r="O192" s="339"/>
      <c r="P192" s="307" t="str">
        <f>IFERROR(IF(MONTH($C192)=MONTH($J$6),SUMIFS(F$15:F192,$C$15:$C192,"&gt;"&amp;EOMONTH($C192,-12)),""),"")</f>
        <v/>
      </c>
      <c r="Q192" s="307" t="str">
        <f>IFERROR(IF(MONTH($C192)=MONTH($J$6),SUMIFS(G$15:G192,$C$15:$C192,"&gt;"&amp;EOMONTH($C192,-12))+SUMIFS(H$15:H192,$C$15:$C192,"&gt;"&amp;EOMONTH($C192,-12)),""),"")</f>
        <v/>
      </c>
    </row>
    <row r="193" spans="2:17" ht="12.75" customHeight="1" x14ac:dyDescent="0.25">
      <c r="B193">
        <f t="shared" si="22"/>
        <v>178</v>
      </c>
      <c r="C193" s="58" t="str">
        <f t="shared" si="28"/>
        <v/>
      </c>
      <c r="D193" s="44">
        <f t="shared" si="29"/>
        <v>0</v>
      </c>
      <c r="E193" s="107">
        <f t="shared" si="23"/>
        <v>0</v>
      </c>
      <c r="F193" s="44">
        <f t="shared" si="24"/>
        <v>0</v>
      </c>
      <c r="G193" s="106">
        <f t="shared" si="31"/>
        <v>0</v>
      </c>
      <c r="H193" s="106">
        <v>0</v>
      </c>
      <c r="I193" s="44">
        <f t="shared" si="30"/>
        <v>0</v>
      </c>
      <c r="J193" s="107"/>
      <c r="L193" s="107">
        <f t="shared" si="26"/>
        <v>0</v>
      </c>
      <c r="M193" s="44"/>
      <c r="N193" s="338">
        <f t="shared" si="27"/>
        <v>0</v>
      </c>
      <c r="O193" s="339"/>
      <c r="P193" s="307" t="str">
        <f>IFERROR(IF(MONTH($C193)=MONTH($J$6),SUMIFS(F$15:F193,$C$15:$C193,"&gt;"&amp;EOMONTH($C193,-12)),""),"")</f>
        <v/>
      </c>
      <c r="Q193" s="307" t="str">
        <f>IFERROR(IF(MONTH($C193)=MONTH($J$6),SUMIFS(G$15:G193,$C$15:$C193,"&gt;"&amp;EOMONTH($C193,-12))+SUMIFS(H$15:H193,$C$15:$C193,"&gt;"&amp;EOMONTH($C193,-12)),""),"")</f>
        <v/>
      </c>
    </row>
    <row r="194" spans="2:17" ht="12.75" customHeight="1" x14ac:dyDescent="0.25">
      <c r="B194">
        <f t="shared" si="22"/>
        <v>179</v>
      </c>
      <c r="C194" s="58" t="str">
        <f t="shared" si="28"/>
        <v/>
      </c>
      <c r="D194" s="44">
        <f t="shared" si="29"/>
        <v>0</v>
      </c>
      <c r="E194" s="107">
        <f t="shared" si="23"/>
        <v>0</v>
      </c>
      <c r="F194" s="44">
        <f t="shared" si="24"/>
        <v>0</v>
      </c>
      <c r="G194" s="106">
        <f t="shared" si="31"/>
        <v>0</v>
      </c>
      <c r="H194" s="106">
        <v>0</v>
      </c>
      <c r="I194" s="44">
        <f t="shared" si="30"/>
        <v>0</v>
      </c>
      <c r="J194" s="107"/>
      <c r="L194" s="107">
        <f t="shared" si="26"/>
        <v>0</v>
      </c>
      <c r="M194" s="44"/>
      <c r="N194" s="338">
        <f t="shared" si="27"/>
        <v>0</v>
      </c>
      <c r="O194" s="339"/>
      <c r="P194" s="307" t="str">
        <f>IFERROR(IF(MONTH($C194)=MONTH($J$6),SUMIFS(F$15:F194,$C$15:$C194,"&gt;"&amp;EOMONTH($C194,-12)),""),"")</f>
        <v/>
      </c>
      <c r="Q194" s="307" t="str">
        <f>IFERROR(IF(MONTH($C194)=MONTH($J$6),SUMIFS(G$15:G194,$C$15:$C194,"&gt;"&amp;EOMONTH($C194,-12))+SUMIFS(H$15:H194,$C$15:$C194,"&gt;"&amp;EOMONTH($C194,-12)),""),"")</f>
        <v/>
      </c>
    </row>
    <row r="195" spans="2:17" ht="12.75" customHeight="1" x14ac:dyDescent="0.25">
      <c r="B195">
        <f t="shared" si="22"/>
        <v>180</v>
      </c>
      <c r="C195" s="58" t="str">
        <f>IF(L194&lt;=0,"",EDATE(C194,1))</f>
        <v/>
      </c>
      <c r="D195" s="44">
        <f>IF(B195=$D$7,L194+G195,IF(B195&gt;$D$7,0,$D$9))</f>
        <v>0</v>
      </c>
      <c r="E195" s="107">
        <f t="shared" si="23"/>
        <v>0</v>
      </c>
      <c r="F195" s="44">
        <f t="shared" si="24"/>
        <v>0</v>
      </c>
      <c r="G195" s="106">
        <f>MIN(IF(B195&lt;=$D$7,E195*$D$6*(C195-C194)/365,0))</f>
        <v>0</v>
      </c>
      <c r="H195" s="106">
        <f>ROUND(IF(B195&lt;$D$8,$I$15/$D$8,IF(B195=$D$8,$I$15-SUM($H$15:$H194),0)),2)</f>
        <v>0</v>
      </c>
      <c r="I195" s="44">
        <f t="shared" si="30"/>
        <v>0</v>
      </c>
      <c r="J195" s="107"/>
      <c r="L195" s="107">
        <f t="shared" si="26"/>
        <v>0</v>
      </c>
      <c r="M195" s="44"/>
      <c r="N195" s="338">
        <f t="shared" si="27"/>
        <v>0</v>
      </c>
      <c r="O195" s="317"/>
      <c r="P195" s="307" t="str">
        <f>IFERROR(IF(MONTH($C195)=MONTH($J$6),SUMIFS(F$15:F195,$C$15:$C195,"&gt;"&amp;EOMONTH($C195,-12)),""),"")</f>
        <v/>
      </c>
      <c r="Q195" s="307" t="str">
        <f>IFERROR(IF(MONTH($C195)=MONTH($J$6),SUMIFS(G$15:G195,$C$15:$C195,"&gt;"&amp;EOMONTH($C195,-12))+SUMIFS(H$15:H195,$C$15:$C195,"&gt;"&amp;EOMONTH($C195,-12)),""),"")</f>
        <v/>
      </c>
    </row>
    <row r="196" spans="2:17" x14ac:dyDescent="0.25">
      <c r="M196" s="44"/>
      <c r="N196" s="333"/>
      <c r="O196" s="317"/>
      <c r="P196" s="318"/>
      <c r="Q196" s="318"/>
    </row>
    <row r="197" spans="2:17" x14ac:dyDescent="0.25">
      <c r="D197" s="108">
        <f>SUM(D16:D196)</f>
        <v>900</v>
      </c>
      <c r="E197" s="312"/>
      <c r="F197" s="312">
        <f>SUM(F16:F195)</f>
        <v>900</v>
      </c>
      <c r="G197" s="312">
        <f>SUM(G16:G195)</f>
        <v>0</v>
      </c>
      <c r="H197" s="312">
        <f>SUM(H16:H195)</f>
        <v>0</v>
      </c>
      <c r="I197" s="312"/>
      <c r="J197" s="312"/>
      <c r="L197" s="312"/>
      <c r="M197" s="44"/>
      <c r="N197" s="354">
        <f>SUM(N16:N135)</f>
        <v>1</v>
      </c>
      <c r="O197" s="311"/>
      <c r="P197" s="312">
        <f>SUM(P16:P195)</f>
        <v>0</v>
      </c>
      <c r="Q197" s="312">
        <f>SUM(Q16:Q195)</f>
        <v>0</v>
      </c>
    </row>
    <row r="198" spans="2:17" x14ac:dyDescent="0.25">
      <c r="L198" s="305"/>
      <c r="M198" s="178"/>
      <c r="N198" s="307"/>
      <c r="O198" s="307"/>
      <c r="P198" s="178"/>
    </row>
    <row r="199" spans="2:17" x14ac:dyDescent="0.25">
      <c r="L199" s="305"/>
      <c r="M199" s="178"/>
      <c r="N199" s="307"/>
      <c r="O199" s="307"/>
      <c r="P199" s="178"/>
    </row>
    <row r="200" spans="2:17" x14ac:dyDescent="0.25">
      <c r="L200" s="305"/>
      <c r="M200" s="178"/>
      <c r="N200" s="307"/>
      <c r="O200" s="307"/>
      <c r="P200" s="178"/>
    </row>
    <row r="201" spans="2:17" x14ac:dyDescent="0.25">
      <c r="L201" s="305"/>
      <c r="M201" s="178"/>
      <c r="N201" s="307"/>
      <c r="O201" s="307"/>
      <c r="P201" s="178"/>
    </row>
    <row r="202" spans="2:17" x14ac:dyDescent="0.25">
      <c r="L202" s="305"/>
      <c r="M202" s="178"/>
      <c r="N202" s="307"/>
      <c r="O202" s="307"/>
      <c r="P202" s="178"/>
    </row>
    <row r="203" spans="2:17" x14ac:dyDescent="0.25">
      <c r="L203" s="305"/>
      <c r="M203" s="178"/>
      <c r="N203" s="307"/>
      <c r="O203" s="307"/>
      <c r="P203" s="178"/>
    </row>
    <row r="204" spans="2:17" x14ac:dyDescent="0.25">
      <c r="L204" s="305"/>
      <c r="M204" s="178"/>
      <c r="N204" s="307"/>
      <c r="O204" s="307"/>
      <c r="P204" s="178"/>
    </row>
    <row r="205" spans="2:17" x14ac:dyDescent="0.25">
      <c r="L205" s="305"/>
      <c r="M205" s="178"/>
      <c r="N205" s="307"/>
      <c r="O205" s="307"/>
      <c r="P205" s="178"/>
    </row>
    <row r="206" spans="2:17" x14ac:dyDescent="0.25">
      <c r="L206" s="305"/>
      <c r="M206" s="178"/>
      <c r="N206" s="307"/>
      <c r="O206" s="307"/>
      <c r="P206" s="178"/>
    </row>
    <row r="207" spans="2:17" x14ac:dyDescent="0.25">
      <c r="L207" s="305"/>
      <c r="M207" s="178"/>
      <c r="N207" s="307"/>
      <c r="O207" s="307"/>
      <c r="P207" s="178"/>
    </row>
    <row r="208" spans="2:17" x14ac:dyDescent="0.25">
      <c r="L208" s="305"/>
      <c r="M208" s="178"/>
      <c r="N208" s="307"/>
      <c r="O208" s="307"/>
      <c r="P208" s="178"/>
    </row>
  </sheetData>
  <mergeCells count="2">
    <mergeCell ref="A2:Q2"/>
    <mergeCell ref="A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1767</vt:i4>
      </vt:variant>
    </vt:vector>
  </HeadingPairs>
  <TitlesOfParts>
    <vt:vector size="1781" baseType="lpstr">
      <vt:lpstr>Sheet1</vt:lpstr>
      <vt:lpstr>LOS</vt:lpstr>
      <vt:lpstr>RecordingCosts</vt:lpstr>
      <vt:lpstr>Database</vt:lpstr>
      <vt:lpstr>ApplicationImport</vt:lpstr>
      <vt:lpstr>NewDatabase</vt:lpstr>
      <vt:lpstr>TempDatabase</vt:lpstr>
      <vt:lpstr>DropdownInfo</vt:lpstr>
      <vt:lpstr>Driver</vt:lpstr>
      <vt:lpstr>StuffToAdd</vt:lpstr>
      <vt:lpstr>New Loan</vt:lpstr>
      <vt:lpstr>New Amort</vt:lpstr>
      <vt:lpstr>Regular 30-360 Amortization</vt:lpstr>
      <vt:lpstr>Deferred to Maturity 30-360</vt:lpstr>
      <vt:lpstr>AbstractFees</vt:lpstr>
      <vt:lpstr>AgeDeferral</vt:lpstr>
      <vt:lpstr>AmountFinanced</vt:lpstr>
      <vt:lpstr>AmountTotalsInfo</vt:lpstr>
      <vt:lpstr>AmountToTaxCollector</vt:lpstr>
      <vt:lpstr>AppDate</vt:lpstr>
      <vt:lpstr>AppInfo</vt:lpstr>
      <vt:lpstr>AppliedDisability</vt:lpstr>
      <vt:lpstr>APR</vt:lpstr>
      <vt:lpstr>AssessmentOfValue</vt:lpstr>
      <vt:lpstr>B1Bankrupt</vt:lpstr>
      <vt:lpstr>B1Disabled</vt:lpstr>
      <vt:lpstr>B1Info</vt:lpstr>
      <vt:lpstr>B1Over65</vt:lpstr>
      <vt:lpstr>B1SSN01</vt:lpstr>
      <vt:lpstr>B1SSN02</vt:lpstr>
      <vt:lpstr>B1SSN03</vt:lpstr>
      <vt:lpstr>B1SSN04</vt:lpstr>
      <vt:lpstr>B1SSN05</vt:lpstr>
      <vt:lpstr>B1SSN06</vt:lpstr>
      <vt:lpstr>B1SSN07</vt:lpstr>
      <vt:lpstr>B1SSN08</vt:lpstr>
      <vt:lpstr>B1SSN09</vt:lpstr>
      <vt:lpstr>B2Bankrupt</vt:lpstr>
      <vt:lpstr>B2Disabled</vt:lpstr>
      <vt:lpstr>B2Info</vt:lpstr>
      <vt:lpstr>B2MAddress</vt:lpstr>
      <vt:lpstr>B2MCity</vt:lpstr>
      <vt:lpstr>B2MState</vt:lpstr>
      <vt:lpstr>B2MZip</vt:lpstr>
      <vt:lpstr>B2Over65</vt:lpstr>
      <vt:lpstr>B2SSN01</vt:lpstr>
      <vt:lpstr>B2SSN02</vt:lpstr>
      <vt:lpstr>B2SSN03</vt:lpstr>
      <vt:lpstr>B2SSN04</vt:lpstr>
      <vt:lpstr>B2SSN05</vt:lpstr>
      <vt:lpstr>B2SSN06</vt:lpstr>
      <vt:lpstr>B2SSN07</vt:lpstr>
      <vt:lpstr>B2SSN08</vt:lpstr>
      <vt:lpstr>B2SSN09</vt:lpstr>
      <vt:lpstr>B3Bankrupt</vt:lpstr>
      <vt:lpstr>B3Disabled</vt:lpstr>
      <vt:lpstr>B3Info</vt:lpstr>
      <vt:lpstr>B3MAddress</vt:lpstr>
      <vt:lpstr>B3MCity</vt:lpstr>
      <vt:lpstr>B3MState</vt:lpstr>
      <vt:lpstr>B3MZIP</vt:lpstr>
      <vt:lpstr>B3Over65</vt:lpstr>
      <vt:lpstr>B3SSN01</vt:lpstr>
      <vt:lpstr>B3SSN02</vt:lpstr>
      <vt:lpstr>B3SSN03</vt:lpstr>
      <vt:lpstr>B3SSN04</vt:lpstr>
      <vt:lpstr>B3SSN05</vt:lpstr>
      <vt:lpstr>B3SSN06</vt:lpstr>
      <vt:lpstr>B3SSN07</vt:lpstr>
      <vt:lpstr>B3SSN08</vt:lpstr>
      <vt:lpstr>B3SSN09</vt:lpstr>
      <vt:lpstr>BankAccountNumber</vt:lpstr>
      <vt:lpstr>BankName</vt:lpstr>
      <vt:lpstr>BankRoutingNumber</vt:lpstr>
      <vt:lpstr>Bankruptcy</vt:lpstr>
      <vt:lpstr>BankruptcyCounty</vt:lpstr>
      <vt:lpstr>BankruptcySearch</vt:lpstr>
      <vt:lpstr>Borrower1AddressCity</vt:lpstr>
      <vt:lpstr>Borrower1AddressState</vt:lpstr>
      <vt:lpstr>Borrower1AddressZIP</vt:lpstr>
      <vt:lpstr>Borrower1AKA1</vt:lpstr>
      <vt:lpstr>Borrower1AKA2</vt:lpstr>
      <vt:lpstr>Borrower1AKA3</vt:lpstr>
      <vt:lpstr>Borrower1AKA4</vt:lpstr>
      <vt:lpstr>Borrower1AKA5</vt:lpstr>
      <vt:lpstr>Borrower1AKA6</vt:lpstr>
      <vt:lpstr>Borrower1CellPhone</vt:lpstr>
      <vt:lpstr>Borrower1DOB</vt:lpstr>
      <vt:lpstr>Borrower1Email</vt:lpstr>
      <vt:lpstr>Borrower1FKA</vt:lpstr>
      <vt:lpstr>Borrower1HomePhone</vt:lpstr>
      <vt:lpstr>Borrower1Marital</vt:lpstr>
      <vt:lpstr>Borrower1Name</vt:lpstr>
      <vt:lpstr>Borrower1NameStorage</vt:lpstr>
      <vt:lpstr>Borrower1PAddress</vt:lpstr>
      <vt:lpstr>Borrower1SSN</vt:lpstr>
      <vt:lpstr>Borrower1WorkPhone</vt:lpstr>
      <vt:lpstr>Borrower2AddressCity</vt:lpstr>
      <vt:lpstr>Borrower2AddressState</vt:lpstr>
      <vt:lpstr>Borrower2AddressStreet</vt:lpstr>
      <vt:lpstr>Borrower2AddressZIP</vt:lpstr>
      <vt:lpstr>Borrower2AKA1</vt:lpstr>
      <vt:lpstr>Borrower2AKA2</vt:lpstr>
      <vt:lpstr>Borrower2AKA3</vt:lpstr>
      <vt:lpstr>Borrower2AKA4</vt:lpstr>
      <vt:lpstr>Borrower2AKA5</vt:lpstr>
      <vt:lpstr>Borrower2AKA6</vt:lpstr>
      <vt:lpstr>Borrower2CellPhone</vt:lpstr>
      <vt:lpstr>Borrower2DOB</vt:lpstr>
      <vt:lpstr>Borrower2Email</vt:lpstr>
      <vt:lpstr>Borrower2FKA</vt:lpstr>
      <vt:lpstr>Borrower2HomePhone</vt:lpstr>
      <vt:lpstr>Borrower2Marital</vt:lpstr>
      <vt:lpstr>Borrower2Name</vt:lpstr>
      <vt:lpstr>Borrower2NameStorage</vt:lpstr>
      <vt:lpstr>Borrower2SSN</vt:lpstr>
      <vt:lpstr>Borrower2WorkPhone</vt:lpstr>
      <vt:lpstr>Borrower3AddressCity</vt:lpstr>
      <vt:lpstr>Borrower3AddressState</vt:lpstr>
      <vt:lpstr>Borrower3AddressStreet</vt:lpstr>
      <vt:lpstr>Borrower3AddressZIP</vt:lpstr>
      <vt:lpstr>Borrower3AKA1</vt:lpstr>
      <vt:lpstr>Borrower3AKA2</vt:lpstr>
      <vt:lpstr>Borrower3AKA3</vt:lpstr>
      <vt:lpstr>Borrower3AKA4</vt:lpstr>
      <vt:lpstr>Borrower3AKA5</vt:lpstr>
      <vt:lpstr>Borrower3AKA6</vt:lpstr>
      <vt:lpstr>Borrower3CellPhone</vt:lpstr>
      <vt:lpstr>Borrower3DOB</vt:lpstr>
      <vt:lpstr>Borrower3Email</vt:lpstr>
      <vt:lpstr>Borrower3FKA</vt:lpstr>
      <vt:lpstr>Borrower3HomePhone</vt:lpstr>
      <vt:lpstr>Borrower3Marital</vt:lpstr>
      <vt:lpstr>Borrower3Name</vt:lpstr>
      <vt:lpstr>Borrower3NameStorage</vt:lpstr>
      <vt:lpstr>Borrower3SSN</vt:lpstr>
      <vt:lpstr>Borrower3WorkPhone</vt:lpstr>
      <vt:lpstr>BorrowerType</vt:lpstr>
      <vt:lpstr>BQ_1</vt:lpstr>
      <vt:lpstr>BQ_10</vt:lpstr>
      <vt:lpstr>BQ_11</vt:lpstr>
      <vt:lpstr>BQ_12</vt:lpstr>
      <vt:lpstr>BQ_13</vt:lpstr>
      <vt:lpstr>BQ_14</vt:lpstr>
      <vt:lpstr>BQ_15</vt:lpstr>
      <vt:lpstr>BQ_16</vt:lpstr>
      <vt:lpstr>BQ_2</vt:lpstr>
      <vt:lpstr>BQ_3</vt:lpstr>
      <vt:lpstr>BQ_4</vt:lpstr>
      <vt:lpstr>BQ_5</vt:lpstr>
      <vt:lpstr>BQ_6</vt:lpstr>
      <vt:lpstr>BQ_7</vt:lpstr>
      <vt:lpstr>BQ_8</vt:lpstr>
      <vt:lpstr>BQ_9</vt:lpstr>
      <vt:lpstr>CheckBox01</vt:lpstr>
      <vt:lpstr>CheckBox02</vt:lpstr>
      <vt:lpstr>CheckBox03</vt:lpstr>
      <vt:lpstr>CheckBox04</vt:lpstr>
      <vt:lpstr>ClosingCosts</vt:lpstr>
      <vt:lpstr>CLTV</vt:lpstr>
      <vt:lpstr>CombinedB1FKA</vt:lpstr>
      <vt:lpstr>CombinedB2FKA</vt:lpstr>
      <vt:lpstr>CombinedB3FKA</vt:lpstr>
      <vt:lpstr>CompanyHolidays</vt:lpstr>
      <vt:lpstr>CourtCost</vt:lpstr>
      <vt:lpstr>CreditAmount</vt:lpstr>
      <vt:lpstr>DisabilityDeferral</vt:lpstr>
      <vt:lpstr>DocumentPreparationFee</vt:lpstr>
      <vt:lpstr>Entity</vt:lpstr>
      <vt:lpstr>ExpectedIncome</vt:lpstr>
      <vt:lpstr>ExternalTitleReview</vt:lpstr>
      <vt:lpstr>ExternalTitleSearch</vt:lpstr>
      <vt:lpstr>FileName</vt:lpstr>
      <vt:lpstr>FinalPayment</vt:lpstr>
      <vt:lpstr>FinalPayment30360</vt:lpstr>
      <vt:lpstr>FinanceCharge</vt:lpstr>
      <vt:lpstr>FinanceCharge30360</vt:lpstr>
      <vt:lpstr>firstMonthlyPayment</vt:lpstr>
      <vt:lpstr>FirstPayment30360</vt:lpstr>
      <vt:lpstr>FirstPaymentDate</vt:lpstr>
      <vt:lpstr>FloodFee</vt:lpstr>
      <vt:lpstr>HeightOfDatabase</vt:lpstr>
      <vt:lpstr>HomeSteadExemption</vt:lpstr>
      <vt:lpstr>HouseholdIncome</vt:lpstr>
      <vt:lpstr>Insurance</vt:lpstr>
      <vt:lpstr>InsuranceNeeded</vt:lpstr>
      <vt:lpstr>IntentForPayments</vt:lpstr>
      <vt:lpstr>InterestRate</vt:lpstr>
      <vt:lpstr>InternalTitleReview</vt:lpstr>
      <vt:lpstr>InternalTitleSearch</vt:lpstr>
      <vt:lpstr>LastPaymentDate</vt:lpstr>
      <vt:lpstr>LegalCriteria</vt:lpstr>
      <vt:lpstr>LegalsABArea</vt:lpstr>
      <vt:lpstr>LendingEntitywithNumbers</vt:lpstr>
      <vt:lpstr>LendingInfo</vt:lpstr>
      <vt:lpstr>LengthOfArray</vt:lpstr>
      <vt:lpstr>ListofLendingEntitesNumbers</vt:lpstr>
      <vt:lpstr>ListofLendingEntities</vt:lpstr>
      <vt:lpstr>LNPlusName</vt:lpstr>
      <vt:lpstr>LNToLoad</vt:lpstr>
      <vt:lpstr>Loan_Type</vt:lpstr>
      <vt:lpstr>LoanInfo</vt:lpstr>
      <vt:lpstr>LoanNumber</vt:lpstr>
      <vt:lpstr>LoanOfficer</vt:lpstr>
      <vt:lpstr>LoanReady</vt:lpstr>
      <vt:lpstr>LoanType</vt:lpstr>
      <vt:lpstr>LoanTypeChoice</vt:lpstr>
      <vt:lpstr>LOSMonthlyPayment</vt:lpstr>
      <vt:lpstr>MailingCIty</vt:lpstr>
      <vt:lpstr>MailingFee</vt:lpstr>
      <vt:lpstr>MailingState</vt:lpstr>
      <vt:lpstr>MailingStreet</vt:lpstr>
      <vt:lpstr>MailingZIP</vt:lpstr>
      <vt:lpstr>MakePayments</vt:lpstr>
      <vt:lpstr>MarketingInfo</vt:lpstr>
      <vt:lpstr>MI_1</vt:lpstr>
      <vt:lpstr>MI_10</vt:lpstr>
      <vt:lpstr>MI_11</vt:lpstr>
      <vt:lpstr>MI_12</vt:lpstr>
      <vt:lpstr>MI_13</vt:lpstr>
      <vt:lpstr>MI_14</vt:lpstr>
      <vt:lpstr>MI_15</vt:lpstr>
      <vt:lpstr>MI_16</vt:lpstr>
      <vt:lpstr>MI_17</vt:lpstr>
      <vt:lpstr>MI_18</vt:lpstr>
      <vt:lpstr>MI_2</vt:lpstr>
      <vt:lpstr>MI_3</vt:lpstr>
      <vt:lpstr>MI_4</vt:lpstr>
      <vt:lpstr>MI_5</vt:lpstr>
      <vt:lpstr>MI_6</vt:lpstr>
      <vt:lpstr>MI_7</vt:lpstr>
      <vt:lpstr>MI_8</vt:lpstr>
      <vt:lpstr>MI_9</vt:lpstr>
      <vt:lpstr>MiscInfo</vt:lpstr>
      <vt:lpstr>MonthlyPayment</vt:lpstr>
      <vt:lpstr>MortgageCompany</vt:lpstr>
      <vt:lpstr>MortgageLoan</vt:lpstr>
      <vt:lpstr>NMLS</vt:lpstr>
      <vt:lpstr>NotaryFee</vt:lpstr>
      <vt:lpstr>Notes</vt:lpstr>
      <vt:lpstr>NumberOfBorrowers</vt:lpstr>
      <vt:lpstr>NumberOfProperties</vt:lpstr>
      <vt:lpstr>NumberOfSworns</vt:lpstr>
      <vt:lpstr>NumberOfUniqueEntities</vt:lpstr>
      <vt:lpstr>OCCCNumber</vt:lpstr>
      <vt:lpstr>OtherFees</vt:lpstr>
      <vt:lpstr>OtherFeesCharged</vt:lpstr>
      <vt:lpstr>PathToAppTemplate</vt:lpstr>
      <vt:lpstr>PathToCert</vt:lpstr>
      <vt:lpstr>PathToCorporateMailMerge</vt:lpstr>
      <vt:lpstr>PathToDatabase</vt:lpstr>
      <vt:lpstr>PathToGFE</vt:lpstr>
      <vt:lpstr>PathToIndividualMailMerge</vt:lpstr>
      <vt:lpstr>PathToLoanDoc</vt:lpstr>
      <vt:lpstr>PathToMergeFields</vt:lpstr>
      <vt:lpstr>PathToSaveLocation</vt:lpstr>
      <vt:lpstr>PendingCauseNumber</vt:lpstr>
      <vt:lpstr>PendingLawsuits</vt:lpstr>
      <vt:lpstr>PI_1</vt:lpstr>
      <vt:lpstr>PI_10</vt:lpstr>
      <vt:lpstr>PI_11</vt:lpstr>
      <vt:lpstr>PI_12</vt:lpstr>
      <vt:lpstr>PI_13</vt:lpstr>
      <vt:lpstr>PI_14</vt:lpstr>
      <vt:lpstr>PI_15</vt:lpstr>
      <vt:lpstr>PI_16</vt:lpstr>
      <vt:lpstr>PI_17</vt:lpstr>
      <vt:lpstr>PI_18</vt:lpstr>
      <vt:lpstr>PI_19</vt:lpstr>
      <vt:lpstr>PI_2</vt:lpstr>
      <vt:lpstr>PI_20</vt:lpstr>
      <vt:lpstr>PI_21</vt:lpstr>
      <vt:lpstr>PI_22</vt:lpstr>
      <vt:lpstr>PI_3</vt:lpstr>
      <vt:lpstr>PI_4</vt:lpstr>
      <vt:lpstr>PI_5</vt:lpstr>
      <vt:lpstr>PI_6</vt:lpstr>
      <vt:lpstr>PI_7</vt:lpstr>
      <vt:lpstr>PI_8</vt:lpstr>
      <vt:lpstr>PI_9</vt:lpstr>
      <vt:lpstr>PrincipalPaymentAmount</vt:lpstr>
      <vt:lpstr>ProcessingFee</vt:lpstr>
      <vt:lpstr>Processor</vt:lpstr>
      <vt:lpstr>Prop10AccountNumber1</vt:lpstr>
      <vt:lpstr>Prop10AccountNumber2</vt:lpstr>
      <vt:lpstr>Prop10AccountNumber3</vt:lpstr>
      <vt:lpstr>Prop10AccountNumber4</vt:lpstr>
      <vt:lpstr>Prop10Address</vt:lpstr>
      <vt:lpstr>Prop10AmountDue1</vt:lpstr>
      <vt:lpstr>Prop10AmountDue2</vt:lpstr>
      <vt:lpstr>Prop10AmountDue3</vt:lpstr>
      <vt:lpstr>Prop10AmountDue4</vt:lpstr>
      <vt:lpstr>Prop10Attached</vt:lpstr>
      <vt:lpstr>Prop10CADImprovementValue</vt:lpstr>
      <vt:lpstr>Prop10CADLandValue</vt:lpstr>
      <vt:lpstr>Prop10Cause</vt:lpstr>
      <vt:lpstr>Prop10City</vt:lpstr>
      <vt:lpstr>Prop10County</vt:lpstr>
      <vt:lpstr>Prop10FDate</vt:lpstr>
      <vt:lpstr>Prop10Foreclosure</vt:lpstr>
      <vt:lpstr>Prop10HKValue</vt:lpstr>
      <vt:lpstr>Prop10Info</vt:lpstr>
      <vt:lpstr>Prop10Lawsuit</vt:lpstr>
      <vt:lpstr>Prop10Legal</vt:lpstr>
      <vt:lpstr>Prop10LegalA</vt:lpstr>
      <vt:lpstr>Prop10LegalB</vt:lpstr>
      <vt:lpstr>Prop10LoanBalance</vt:lpstr>
      <vt:lpstr>Prop10LoanDate</vt:lpstr>
      <vt:lpstr>Prop10MobileHome</vt:lpstr>
      <vt:lpstr>Prop10MortgageHolder</vt:lpstr>
      <vt:lpstr>Prop10MortgageWith</vt:lpstr>
      <vt:lpstr>Prop10Name1</vt:lpstr>
      <vt:lpstr>Prop10Name2</vt:lpstr>
      <vt:lpstr>Prop10Name3</vt:lpstr>
      <vt:lpstr>Prop10Name4</vt:lpstr>
      <vt:lpstr>Prop10State</vt:lpstr>
      <vt:lpstr>Prop10TaxingEntity1</vt:lpstr>
      <vt:lpstr>Prop10TaxingEntity2</vt:lpstr>
      <vt:lpstr>Prop10TaxingEntity3</vt:lpstr>
      <vt:lpstr>Prop10TaxingEntity4</vt:lpstr>
      <vt:lpstr>Prop10TaxLiens</vt:lpstr>
      <vt:lpstr>Prop10TaxLoan</vt:lpstr>
      <vt:lpstr>Prop10TaxLoanWith</vt:lpstr>
      <vt:lpstr>Prop10TDHCA</vt:lpstr>
      <vt:lpstr>Prop10Title1</vt:lpstr>
      <vt:lpstr>Prop10Title2</vt:lpstr>
      <vt:lpstr>Prop10Title3</vt:lpstr>
      <vt:lpstr>Prop10Title4</vt:lpstr>
      <vt:lpstr>Prop10TotalAmountDue</vt:lpstr>
      <vt:lpstr>Prop10Years1</vt:lpstr>
      <vt:lpstr>Prop10Years2</vt:lpstr>
      <vt:lpstr>Prop10Years3</vt:lpstr>
      <vt:lpstr>Prop10Years4</vt:lpstr>
      <vt:lpstr>Prop10ZIP</vt:lpstr>
      <vt:lpstr>Prop11AccountNumber1</vt:lpstr>
      <vt:lpstr>Prop11AccountNumber2</vt:lpstr>
      <vt:lpstr>Prop11AccountNumber3</vt:lpstr>
      <vt:lpstr>Prop11AccountNumber4</vt:lpstr>
      <vt:lpstr>Prop11Address</vt:lpstr>
      <vt:lpstr>Prop11AmountDue1</vt:lpstr>
      <vt:lpstr>Prop11AmountDue2</vt:lpstr>
      <vt:lpstr>Prop11AmountDue3</vt:lpstr>
      <vt:lpstr>Prop11AmountDue4</vt:lpstr>
      <vt:lpstr>Prop11Attached</vt:lpstr>
      <vt:lpstr>Prop11CADImprovementValue</vt:lpstr>
      <vt:lpstr>Prop11CADLandValue</vt:lpstr>
      <vt:lpstr>Prop11Cause</vt:lpstr>
      <vt:lpstr>Prop11City</vt:lpstr>
      <vt:lpstr>Prop11County</vt:lpstr>
      <vt:lpstr>Prop11FDate</vt:lpstr>
      <vt:lpstr>Prop11Foreclosure</vt:lpstr>
      <vt:lpstr>Prop11HKValue</vt:lpstr>
      <vt:lpstr>Prop11Info</vt:lpstr>
      <vt:lpstr>Prop11Lawsuit</vt:lpstr>
      <vt:lpstr>Prop11Legal</vt:lpstr>
      <vt:lpstr>Prop11LegalA</vt:lpstr>
      <vt:lpstr>Prop11LegalB</vt:lpstr>
      <vt:lpstr>Prop11LoanBalance</vt:lpstr>
      <vt:lpstr>Prop11LoanDate</vt:lpstr>
      <vt:lpstr>Prop11MobileHome</vt:lpstr>
      <vt:lpstr>Prop11MortgageHolder</vt:lpstr>
      <vt:lpstr>Prop11MortgageWith</vt:lpstr>
      <vt:lpstr>Prop11Name1</vt:lpstr>
      <vt:lpstr>Prop11Name2</vt:lpstr>
      <vt:lpstr>Prop11Name3</vt:lpstr>
      <vt:lpstr>Prop11Name4</vt:lpstr>
      <vt:lpstr>Prop11State</vt:lpstr>
      <vt:lpstr>Prop11TaxingEntity1</vt:lpstr>
      <vt:lpstr>Prop11TaxingEntity2</vt:lpstr>
      <vt:lpstr>Prop11TaxingEntity3</vt:lpstr>
      <vt:lpstr>Prop11TaxingEntity4</vt:lpstr>
      <vt:lpstr>Prop11TaxLiens</vt:lpstr>
      <vt:lpstr>Prop11TaxLoan</vt:lpstr>
      <vt:lpstr>Prop11TaxLoanWith</vt:lpstr>
      <vt:lpstr>Prop11TDHCA</vt:lpstr>
      <vt:lpstr>Prop11Title1</vt:lpstr>
      <vt:lpstr>Prop11Title2</vt:lpstr>
      <vt:lpstr>Prop11Title3</vt:lpstr>
      <vt:lpstr>Prop11Title4</vt:lpstr>
      <vt:lpstr>Prop11TotalAmountDue</vt:lpstr>
      <vt:lpstr>Prop11Years1</vt:lpstr>
      <vt:lpstr>Prop11Years2</vt:lpstr>
      <vt:lpstr>Prop11Years3</vt:lpstr>
      <vt:lpstr>Prop11Years4</vt:lpstr>
      <vt:lpstr>Prop11ZIP</vt:lpstr>
      <vt:lpstr>Prop12AccountNumber1</vt:lpstr>
      <vt:lpstr>Prop12AccountNumber2</vt:lpstr>
      <vt:lpstr>Prop12AccountNumber3</vt:lpstr>
      <vt:lpstr>Prop12AccountNumber4</vt:lpstr>
      <vt:lpstr>Prop12Address</vt:lpstr>
      <vt:lpstr>Prop12AmountDue1</vt:lpstr>
      <vt:lpstr>Prop12AmountDue2</vt:lpstr>
      <vt:lpstr>Prop12AmountDue3</vt:lpstr>
      <vt:lpstr>Prop12AmountDue4</vt:lpstr>
      <vt:lpstr>Prop12Attached</vt:lpstr>
      <vt:lpstr>Prop12CADImprovementValue</vt:lpstr>
      <vt:lpstr>Prop12CADLandValue</vt:lpstr>
      <vt:lpstr>Prop12Cause</vt:lpstr>
      <vt:lpstr>Prop12City</vt:lpstr>
      <vt:lpstr>Prop12County</vt:lpstr>
      <vt:lpstr>Prop12FDate</vt:lpstr>
      <vt:lpstr>Prop12Foreclosure</vt:lpstr>
      <vt:lpstr>Prop12HKValue</vt:lpstr>
      <vt:lpstr>Prop12Info</vt:lpstr>
      <vt:lpstr>Prop12Lawsuit</vt:lpstr>
      <vt:lpstr>Prop12Legal</vt:lpstr>
      <vt:lpstr>Prop12LegalA</vt:lpstr>
      <vt:lpstr>Prop12LegalB</vt:lpstr>
      <vt:lpstr>Prop12LoanBalance</vt:lpstr>
      <vt:lpstr>Prop12LoanDate</vt:lpstr>
      <vt:lpstr>Prop12MobileHome</vt:lpstr>
      <vt:lpstr>Prop12MortgageHolder</vt:lpstr>
      <vt:lpstr>Prop12MortgageWith</vt:lpstr>
      <vt:lpstr>Prop12Name1</vt:lpstr>
      <vt:lpstr>Prop12Name2</vt:lpstr>
      <vt:lpstr>Prop12Name3</vt:lpstr>
      <vt:lpstr>Prop12Name4</vt:lpstr>
      <vt:lpstr>Prop12State</vt:lpstr>
      <vt:lpstr>Prop12TaxingEntity1</vt:lpstr>
      <vt:lpstr>Prop12TaxingEntity2</vt:lpstr>
      <vt:lpstr>Prop12TaxingEntity3</vt:lpstr>
      <vt:lpstr>Prop12TaxingEntity4</vt:lpstr>
      <vt:lpstr>Prop12TaxLiens</vt:lpstr>
      <vt:lpstr>Prop12TaxLoan</vt:lpstr>
      <vt:lpstr>Prop12TaxLoanWith</vt:lpstr>
      <vt:lpstr>Prop12TDHCA</vt:lpstr>
      <vt:lpstr>Prop12Title1</vt:lpstr>
      <vt:lpstr>Prop12Title2</vt:lpstr>
      <vt:lpstr>Prop12Title3</vt:lpstr>
      <vt:lpstr>Prop12Title4</vt:lpstr>
      <vt:lpstr>Prop12TotalAmountDue</vt:lpstr>
      <vt:lpstr>Prop12Years1</vt:lpstr>
      <vt:lpstr>Prop12Years2</vt:lpstr>
      <vt:lpstr>Prop12Years3</vt:lpstr>
      <vt:lpstr>Prop12Years4</vt:lpstr>
      <vt:lpstr>Prop12ZIP</vt:lpstr>
      <vt:lpstr>Prop13AccountNumber1</vt:lpstr>
      <vt:lpstr>Prop13AccountNumber2</vt:lpstr>
      <vt:lpstr>Prop13AccountNumber3</vt:lpstr>
      <vt:lpstr>Prop13AccountNumber4</vt:lpstr>
      <vt:lpstr>Prop13Address</vt:lpstr>
      <vt:lpstr>Prop13AmountDue1</vt:lpstr>
      <vt:lpstr>Prop13AmountDue2</vt:lpstr>
      <vt:lpstr>Prop13AmountDue3</vt:lpstr>
      <vt:lpstr>Prop13AmountDue4</vt:lpstr>
      <vt:lpstr>Prop13Attached</vt:lpstr>
      <vt:lpstr>Prop13CADImprovementValue</vt:lpstr>
      <vt:lpstr>Prop13CADLandValue</vt:lpstr>
      <vt:lpstr>Prop13Cause</vt:lpstr>
      <vt:lpstr>Prop13City</vt:lpstr>
      <vt:lpstr>Prop13County</vt:lpstr>
      <vt:lpstr>Prop13FDate</vt:lpstr>
      <vt:lpstr>Prop13Foreclosure</vt:lpstr>
      <vt:lpstr>Prop13HKValue</vt:lpstr>
      <vt:lpstr>Prop13Info</vt:lpstr>
      <vt:lpstr>Prop13Lawsuit</vt:lpstr>
      <vt:lpstr>Prop13Legal</vt:lpstr>
      <vt:lpstr>Prop13LegalA</vt:lpstr>
      <vt:lpstr>Prop13LegalB</vt:lpstr>
      <vt:lpstr>Prop13LoanBalance</vt:lpstr>
      <vt:lpstr>Prop13LoanDate</vt:lpstr>
      <vt:lpstr>Prop13MobileHome</vt:lpstr>
      <vt:lpstr>Prop13MortgageHolder</vt:lpstr>
      <vt:lpstr>Prop13MortgageWith</vt:lpstr>
      <vt:lpstr>Prop13Name1</vt:lpstr>
      <vt:lpstr>Prop13Name2</vt:lpstr>
      <vt:lpstr>Prop13Name3</vt:lpstr>
      <vt:lpstr>Prop13Name4</vt:lpstr>
      <vt:lpstr>Prop13State</vt:lpstr>
      <vt:lpstr>Prop13TaxingEntity1</vt:lpstr>
      <vt:lpstr>Prop13TaxingEntity2</vt:lpstr>
      <vt:lpstr>Prop13TaxingEntity3</vt:lpstr>
      <vt:lpstr>Prop13TaxingEntity4</vt:lpstr>
      <vt:lpstr>Prop13TaxLiens</vt:lpstr>
      <vt:lpstr>Prop13TaxLoan</vt:lpstr>
      <vt:lpstr>Prop13TaxLoanWith</vt:lpstr>
      <vt:lpstr>Prop13TDHCA</vt:lpstr>
      <vt:lpstr>Prop13Title1</vt:lpstr>
      <vt:lpstr>Prop13Title2</vt:lpstr>
      <vt:lpstr>Prop13Title3</vt:lpstr>
      <vt:lpstr>Prop13Title4</vt:lpstr>
      <vt:lpstr>Prop13TotalAmountDue</vt:lpstr>
      <vt:lpstr>Prop13Years1</vt:lpstr>
      <vt:lpstr>Prop13Years2</vt:lpstr>
      <vt:lpstr>Prop13Years3</vt:lpstr>
      <vt:lpstr>Prop13Years4</vt:lpstr>
      <vt:lpstr>Prop13ZIP</vt:lpstr>
      <vt:lpstr>Prop14AccountNumber1</vt:lpstr>
      <vt:lpstr>Prop14AccountNumber2</vt:lpstr>
      <vt:lpstr>Prop14AccountNumber3</vt:lpstr>
      <vt:lpstr>Prop14AccountNumber4</vt:lpstr>
      <vt:lpstr>Prop14Address</vt:lpstr>
      <vt:lpstr>Prop14AmountDue1</vt:lpstr>
      <vt:lpstr>Prop14AmountDue2</vt:lpstr>
      <vt:lpstr>Prop14AmountDue3</vt:lpstr>
      <vt:lpstr>Prop14AmountDue4</vt:lpstr>
      <vt:lpstr>Prop14Attached</vt:lpstr>
      <vt:lpstr>Prop14CADImprovementValue</vt:lpstr>
      <vt:lpstr>Prop14CADLandValue</vt:lpstr>
      <vt:lpstr>Prop14Cause</vt:lpstr>
      <vt:lpstr>Prop14City</vt:lpstr>
      <vt:lpstr>Prop14County</vt:lpstr>
      <vt:lpstr>Prop14FDate</vt:lpstr>
      <vt:lpstr>Prop14Foreclosure</vt:lpstr>
      <vt:lpstr>Prop14HKValue</vt:lpstr>
      <vt:lpstr>Prop14Info</vt:lpstr>
      <vt:lpstr>Prop14Lawsuit</vt:lpstr>
      <vt:lpstr>Prop14Legal</vt:lpstr>
      <vt:lpstr>Prop14LegalA</vt:lpstr>
      <vt:lpstr>Prop14LegalB</vt:lpstr>
      <vt:lpstr>Prop14LoanBalance</vt:lpstr>
      <vt:lpstr>Prop14LoanDate</vt:lpstr>
      <vt:lpstr>Prop14MobileHome</vt:lpstr>
      <vt:lpstr>Prop14MortgageHolder</vt:lpstr>
      <vt:lpstr>Prop14MortgageWith</vt:lpstr>
      <vt:lpstr>Prop14Name1</vt:lpstr>
      <vt:lpstr>Prop14Name2</vt:lpstr>
      <vt:lpstr>Prop14Name3</vt:lpstr>
      <vt:lpstr>Prop14Name4</vt:lpstr>
      <vt:lpstr>Prop14State</vt:lpstr>
      <vt:lpstr>Prop14TaxingEntity1</vt:lpstr>
      <vt:lpstr>Prop14TaxingEntity2</vt:lpstr>
      <vt:lpstr>Prop14TaxingEntity3</vt:lpstr>
      <vt:lpstr>Prop14TaxingEntity4</vt:lpstr>
      <vt:lpstr>Prop14TaxLiens</vt:lpstr>
      <vt:lpstr>Prop14TaxLoan</vt:lpstr>
      <vt:lpstr>Prop14TaxLoanWith</vt:lpstr>
      <vt:lpstr>Prop14TDHCA</vt:lpstr>
      <vt:lpstr>Prop14Title1</vt:lpstr>
      <vt:lpstr>Prop14Title2</vt:lpstr>
      <vt:lpstr>Prop14Title3</vt:lpstr>
      <vt:lpstr>Prop14Title4</vt:lpstr>
      <vt:lpstr>Prop14TotalAmountDue</vt:lpstr>
      <vt:lpstr>Prop14Years1</vt:lpstr>
      <vt:lpstr>Prop14Years2</vt:lpstr>
      <vt:lpstr>Prop14Years3</vt:lpstr>
      <vt:lpstr>Prop14Years4</vt:lpstr>
      <vt:lpstr>Prop14ZIP</vt:lpstr>
      <vt:lpstr>Prop15AccountNumber1</vt:lpstr>
      <vt:lpstr>Prop15AccountNumber2</vt:lpstr>
      <vt:lpstr>Prop15AccountNumber3</vt:lpstr>
      <vt:lpstr>Prop15AccountNumber4</vt:lpstr>
      <vt:lpstr>Prop15Address</vt:lpstr>
      <vt:lpstr>Prop15AmountDue1</vt:lpstr>
      <vt:lpstr>Prop15AmountDue2</vt:lpstr>
      <vt:lpstr>Prop15AmountDue3</vt:lpstr>
      <vt:lpstr>Prop15AmountDue4</vt:lpstr>
      <vt:lpstr>Prop15Attached</vt:lpstr>
      <vt:lpstr>Prop15CADImprovementValue</vt:lpstr>
      <vt:lpstr>Prop15CADLandValue</vt:lpstr>
      <vt:lpstr>Prop15Cause</vt:lpstr>
      <vt:lpstr>Prop15City</vt:lpstr>
      <vt:lpstr>Prop15County</vt:lpstr>
      <vt:lpstr>Prop15FDate</vt:lpstr>
      <vt:lpstr>Prop15Foreclosure</vt:lpstr>
      <vt:lpstr>Prop15HKValue</vt:lpstr>
      <vt:lpstr>Prop15Info</vt:lpstr>
      <vt:lpstr>Prop15Lawsuit</vt:lpstr>
      <vt:lpstr>Prop15Legal</vt:lpstr>
      <vt:lpstr>Prop15LegalA</vt:lpstr>
      <vt:lpstr>Prop15LegalB</vt:lpstr>
      <vt:lpstr>Prop15LoanBalance</vt:lpstr>
      <vt:lpstr>Prop15LoanDate</vt:lpstr>
      <vt:lpstr>Prop15MobileHome</vt:lpstr>
      <vt:lpstr>Prop15MortgageHolder</vt:lpstr>
      <vt:lpstr>Prop15MortgageWith</vt:lpstr>
      <vt:lpstr>Prop15Name1</vt:lpstr>
      <vt:lpstr>Prop15Name2</vt:lpstr>
      <vt:lpstr>Prop15Name3</vt:lpstr>
      <vt:lpstr>Prop15Name4</vt:lpstr>
      <vt:lpstr>Prop15State</vt:lpstr>
      <vt:lpstr>Prop15TaxingEntity1</vt:lpstr>
      <vt:lpstr>Prop15TaxingEntity2</vt:lpstr>
      <vt:lpstr>Prop15TaxingEntity3</vt:lpstr>
      <vt:lpstr>Prop15TaxingEntity4</vt:lpstr>
      <vt:lpstr>Prop15TaxLiens</vt:lpstr>
      <vt:lpstr>Prop15TaxLoan</vt:lpstr>
      <vt:lpstr>Prop15TaxLoanWith</vt:lpstr>
      <vt:lpstr>Prop15TDHCA</vt:lpstr>
      <vt:lpstr>Prop15Title1</vt:lpstr>
      <vt:lpstr>Prop15Title2</vt:lpstr>
      <vt:lpstr>Prop15Title3</vt:lpstr>
      <vt:lpstr>Prop15Title4</vt:lpstr>
      <vt:lpstr>Prop15TotalAmountDue</vt:lpstr>
      <vt:lpstr>Prop15Years1</vt:lpstr>
      <vt:lpstr>Prop15Years2</vt:lpstr>
      <vt:lpstr>Prop15Years3</vt:lpstr>
      <vt:lpstr>Prop15Years4</vt:lpstr>
      <vt:lpstr>Prop15ZIP</vt:lpstr>
      <vt:lpstr>Prop16AccountNumber1</vt:lpstr>
      <vt:lpstr>Prop16AccountNumber2</vt:lpstr>
      <vt:lpstr>Prop16AccountNumber3</vt:lpstr>
      <vt:lpstr>Prop16AccountNumber4</vt:lpstr>
      <vt:lpstr>Prop16Address</vt:lpstr>
      <vt:lpstr>Prop16AmountDue1</vt:lpstr>
      <vt:lpstr>Prop16AmountDue2</vt:lpstr>
      <vt:lpstr>Prop16AmountDue3</vt:lpstr>
      <vt:lpstr>Prop16AmountDue4</vt:lpstr>
      <vt:lpstr>Prop16Attached</vt:lpstr>
      <vt:lpstr>Prop16CADImprovementValue</vt:lpstr>
      <vt:lpstr>Prop16CADLandValue</vt:lpstr>
      <vt:lpstr>Prop16Cause</vt:lpstr>
      <vt:lpstr>Prop16City</vt:lpstr>
      <vt:lpstr>Prop16County</vt:lpstr>
      <vt:lpstr>Prop16FDate</vt:lpstr>
      <vt:lpstr>Prop16Foreclosure</vt:lpstr>
      <vt:lpstr>Prop16HKValue</vt:lpstr>
      <vt:lpstr>Prop16Info</vt:lpstr>
      <vt:lpstr>Prop16Lawsuit</vt:lpstr>
      <vt:lpstr>Prop16Legal</vt:lpstr>
      <vt:lpstr>Prop16LegalA</vt:lpstr>
      <vt:lpstr>Prop16LegalB</vt:lpstr>
      <vt:lpstr>Prop16LoanBalance</vt:lpstr>
      <vt:lpstr>Prop16LoanDate</vt:lpstr>
      <vt:lpstr>Prop16MobileHome</vt:lpstr>
      <vt:lpstr>Prop16MortgageHolder</vt:lpstr>
      <vt:lpstr>Prop16MortgageWith</vt:lpstr>
      <vt:lpstr>Prop16Name1</vt:lpstr>
      <vt:lpstr>Prop16Name2</vt:lpstr>
      <vt:lpstr>Prop16Name3</vt:lpstr>
      <vt:lpstr>Prop16Name4</vt:lpstr>
      <vt:lpstr>Prop16State</vt:lpstr>
      <vt:lpstr>Prop16TaxingEntity1</vt:lpstr>
      <vt:lpstr>Prop16TaxingEntity2</vt:lpstr>
      <vt:lpstr>Prop16TaxingEntity3</vt:lpstr>
      <vt:lpstr>Prop16TaxingEntity4</vt:lpstr>
      <vt:lpstr>Prop16TaxLiens</vt:lpstr>
      <vt:lpstr>Prop16TaxLoan</vt:lpstr>
      <vt:lpstr>Prop16TaxLoanWith</vt:lpstr>
      <vt:lpstr>Prop16TDHCA</vt:lpstr>
      <vt:lpstr>Prop16Title1</vt:lpstr>
      <vt:lpstr>Prop16Title2</vt:lpstr>
      <vt:lpstr>Prop16Title3</vt:lpstr>
      <vt:lpstr>Prop16Title4</vt:lpstr>
      <vt:lpstr>Prop16TotalAmountDue</vt:lpstr>
      <vt:lpstr>Prop16Years1</vt:lpstr>
      <vt:lpstr>Prop16Years2</vt:lpstr>
      <vt:lpstr>Prop16Years3</vt:lpstr>
      <vt:lpstr>Prop16Years4</vt:lpstr>
      <vt:lpstr>Prop16ZIP</vt:lpstr>
      <vt:lpstr>Prop17AccountNumber1</vt:lpstr>
      <vt:lpstr>Prop17AccountNumber2</vt:lpstr>
      <vt:lpstr>Prop17AccountNumber3</vt:lpstr>
      <vt:lpstr>Prop17AccountNumber4</vt:lpstr>
      <vt:lpstr>Prop17Address</vt:lpstr>
      <vt:lpstr>Prop17AmountDue1</vt:lpstr>
      <vt:lpstr>Prop17AmountDue2</vt:lpstr>
      <vt:lpstr>Prop17AmountDue3</vt:lpstr>
      <vt:lpstr>Prop17AmountDue4</vt:lpstr>
      <vt:lpstr>Prop17Attached</vt:lpstr>
      <vt:lpstr>Prop17CADImprovementValue</vt:lpstr>
      <vt:lpstr>Prop17CADLandValue</vt:lpstr>
      <vt:lpstr>Prop17Cause</vt:lpstr>
      <vt:lpstr>Prop17City</vt:lpstr>
      <vt:lpstr>Prop17County</vt:lpstr>
      <vt:lpstr>Prop17FDate</vt:lpstr>
      <vt:lpstr>Prop17Foreclosure</vt:lpstr>
      <vt:lpstr>Prop17HKValue</vt:lpstr>
      <vt:lpstr>Prop17Info</vt:lpstr>
      <vt:lpstr>Prop17Lawsuit</vt:lpstr>
      <vt:lpstr>Prop17Legal</vt:lpstr>
      <vt:lpstr>Prop17LegalA</vt:lpstr>
      <vt:lpstr>Prop17LegalB</vt:lpstr>
      <vt:lpstr>Prop17LoanBalance</vt:lpstr>
      <vt:lpstr>Prop17LoanDate</vt:lpstr>
      <vt:lpstr>Prop17MobileHome</vt:lpstr>
      <vt:lpstr>Prop17MortgageHolder</vt:lpstr>
      <vt:lpstr>Prop17MortgageWIth</vt:lpstr>
      <vt:lpstr>Prop17Name1</vt:lpstr>
      <vt:lpstr>Prop17Name2</vt:lpstr>
      <vt:lpstr>Prop17Name3</vt:lpstr>
      <vt:lpstr>Prop17Name4</vt:lpstr>
      <vt:lpstr>Prop17State</vt:lpstr>
      <vt:lpstr>Prop17TaxingEntity1</vt:lpstr>
      <vt:lpstr>Prop17TaxingEntity2</vt:lpstr>
      <vt:lpstr>Prop17TaxingEntity3</vt:lpstr>
      <vt:lpstr>Prop17TaxingEntity4</vt:lpstr>
      <vt:lpstr>Prop17TaxLiens</vt:lpstr>
      <vt:lpstr>Prop17TaxLoan</vt:lpstr>
      <vt:lpstr>Prop17TaxLoanWith</vt:lpstr>
      <vt:lpstr>Prop17TDHCA</vt:lpstr>
      <vt:lpstr>Prop17Title1</vt:lpstr>
      <vt:lpstr>Prop17Title2</vt:lpstr>
      <vt:lpstr>Prop17Title3</vt:lpstr>
      <vt:lpstr>Prop17Title4</vt:lpstr>
      <vt:lpstr>Prop17TotalAmountDue</vt:lpstr>
      <vt:lpstr>Prop17Years1</vt:lpstr>
      <vt:lpstr>Prop17Years2</vt:lpstr>
      <vt:lpstr>Prop17Years3</vt:lpstr>
      <vt:lpstr>Prop17Years4</vt:lpstr>
      <vt:lpstr>Prop17ZIP</vt:lpstr>
      <vt:lpstr>Prop18AccountNumber1</vt:lpstr>
      <vt:lpstr>Prop18AccountNumber2</vt:lpstr>
      <vt:lpstr>Prop18AccountNumber3</vt:lpstr>
      <vt:lpstr>Prop18AccountNumber4</vt:lpstr>
      <vt:lpstr>Prop18Address</vt:lpstr>
      <vt:lpstr>Prop18AmountDue1</vt:lpstr>
      <vt:lpstr>Prop18AmountDue2</vt:lpstr>
      <vt:lpstr>Prop18AmountDue3</vt:lpstr>
      <vt:lpstr>Prop18AmountDue4</vt:lpstr>
      <vt:lpstr>Prop18Attached</vt:lpstr>
      <vt:lpstr>Prop18CADImprovementValue</vt:lpstr>
      <vt:lpstr>Prop18CADLandValue</vt:lpstr>
      <vt:lpstr>Prop18Cause</vt:lpstr>
      <vt:lpstr>Prop18City</vt:lpstr>
      <vt:lpstr>Prop18County</vt:lpstr>
      <vt:lpstr>Prop18FDate</vt:lpstr>
      <vt:lpstr>Prop18Foreclosure</vt:lpstr>
      <vt:lpstr>Prop18HKValue</vt:lpstr>
      <vt:lpstr>Prop18Info</vt:lpstr>
      <vt:lpstr>Prop18Lawsuit</vt:lpstr>
      <vt:lpstr>Prop18Legal</vt:lpstr>
      <vt:lpstr>Prop18LegalA</vt:lpstr>
      <vt:lpstr>Prop18LegalB</vt:lpstr>
      <vt:lpstr>Prop18LoanBalance</vt:lpstr>
      <vt:lpstr>Prop18LoanDate</vt:lpstr>
      <vt:lpstr>Prop18MobileHome</vt:lpstr>
      <vt:lpstr>Prop18MortgageHolder</vt:lpstr>
      <vt:lpstr>Prop18MortgageWith</vt:lpstr>
      <vt:lpstr>Prop18Name1</vt:lpstr>
      <vt:lpstr>Prop18Name2</vt:lpstr>
      <vt:lpstr>Prop18Name3</vt:lpstr>
      <vt:lpstr>Prop18Name4</vt:lpstr>
      <vt:lpstr>Prop18State</vt:lpstr>
      <vt:lpstr>Prop18TaxingEntity1</vt:lpstr>
      <vt:lpstr>Prop18TaxingEntity2</vt:lpstr>
      <vt:lpstr>Prop18TaxingEntity3</vt:lpstr>
      <vt:lpstr>Prop18TaxingEntity4</vt:lpstr>
      <vt:lpstr>Prop18TaxLiens</vt:lpstr>
      <vt:lpstr>Prop18TaxLoan</vt:lpstr>
      <vt:lpstr>Prop18TaxLoanWith</vt:lpstr>
      <vt:lpstr>Prop18TDHCA</vt:lpstr>
      <vt:lpstr>Prop18Title1</vt:lpstr>
      <vt:lpstr>Prop18Title2</vt:lpstr>
      <vt:lpstr>Prop18Title3</vt:lpstr>
      <vt:lpstr>Prop18Title4</vt:lpstr>
      <vt:lpstr>Prop18TotalAmountDue</vt:lpstr>
      <vt:lpstr>Prop18Years1</vt:lpstr>
      <vt:lpstr>Prop18Years2</vt:lpstr>
      <vt:lpstr>Prop18Years3</vt:lpstr>
      <vt:lpstr>Prop18Years4</vt:lpstr>
      <vt:lpstr>Prop18ZIP</vt:lpstr>
      <vt:lpstr>Prop19AccountNumber1</vt:lpstr>
      <vt:lpstr>Prop19AccountNumber2</vt:lpstr>
      <vt:lpstr>Prop19AccountNumber3</vt:lpstr>
      <vt:lpstr>Prop19AccountNumber4</vt:lpstr>
      <vt:lpstr>Prop19Address</vt:lpstr>
      <vt:lpstr>Prop19AmountDue1</vt:lpstr>
      <vt:lpstr>Prop19AmountDue2</vt:lpstr>
      <vt:lpstr>Prop19AmountDue3</vt:lpstr>
      <vt:lpstr>Prop19AmountDue4</vt:lpstr>
      <vt:lpstr>Prop19Attached</vt:lpstr>
      <vt:lpstr>Prop19CADImprovementValue</vt:lpstr>
      <vt:lpstr>Prop19CADLandValue</vt:lpstr>
      <vt:lpstr>Prop19Cause</vt:lpstr>
      <vt:lpstr>Prop19City</vt:lpstr>
      <vt:lpstr>Prop19County</vt:lpstr>
      <vt:lpstr>Prop19FDate</vt:lpstr>
      <vt:lpstr>Prop19Foreclosure</vt:lpstr>
      <vt:lpstr>Prop19HKValue</vt:lpstr>
      <vt:lpstr>Prop19Info</vt:lpstr>
      <vt:lpstr>Prop19Lawsuit</vt:lpstr>
      <vt:lpstr>Prop19Legal</vt:lpstr>
      <vt:lpstr>Prop19LegalA</vt:lpstr>
      <vt:lpstr>Prop19LegalB</vt:lpstr>
      <vt:lpstr>Prop19LoanBalance</vt:lpstr>
      <vt:lpstr>Prop19LoanDate</vt:lpstr>
      <vt:lpstr>Prop19MobileHome</vt:lpstr>
      <vt:lpstr>Prop19MortgageHolder</vt:lpstr>
      <vt:lpstr>Prop19MortgageWith</vt:lpstr>
      <vt:lpstr>Prop19Name1</vt:lpstr>
      <vt:lpstr>Prop19Name2</vt:lpstr>
      <vt:lpstr>Prop19Name3</vt:lpstr>
      <vt:lpstr>Prop19Name4</vt:lpstr>
      <vt:lpstr>Prop19State</vt:lpstr>
      <vt:lpstr>Prop19TaxingEntity1</vt:lpstr>
      <vt:lpstr>Prop19TaxingEntity2</vt:lpstr>
      <vt:lpstr>Prop19TaxingEntity3</vt:lpstr>
      <vt:lpstr>Prop19TaxingEntity4</vt:lpstr>
      <vt:lpstr>Prop19TaxLiens</vt:lpstr>
      <vt:lpstr>Prop19TaxLoan</vt:lpstr>
      <vt:lpstr>Prop19TaxLoanWith</vt:lpstr>
      <vt:lpstr>Prop19TDHCA</vt:lpstr>
      <vt:lpstr>Prop19Title1</vt:lpstr>
      <vt:lpstr>Prop19Title2</vt:lpstr>
      <vt:lpstr>Prop19Title3</vt:lpstr>
      <vt:lpstr>Prop19Title4</vt:lpstr>
      <vt:lpstr>Prop19TotalAmountDue</vt:lpstr>
      <vt:lpstr>Prop19Years1</vt:lpstr>
      <vt:lpstr>Prop19Years2</vt:lpstr>
      <vt:lpstr>Prop19Years3</vt:lpstr>
      <vt:lpstr>Prop19Years4</vt:lpstr>
      <vt:lpstr>Prop19ZIP</vt:lpstr>
      <vt:lpstr>Prop1AccountNumber1</vt:lpstr>
      <vt:lpstr>Prop1AccountNumber2</vt:lpstr>
      <vt:lpstr>Prop1AccountNumber3</vt:lpstr>
      <vt:lpstr>Prop1AccountNumber4</vt:lpstr>
      <vt:lpstr>Prop1Address</vt:lpstr>
      <vt:lpstr>Prop1AmountDue1</vt:lpstr>
      <vt:lpstr>Prop1AmountDue2</vt:lpstr>
      <vt:lpstr>Prop1AmountDue3</vt:lpstr>
      <vt:lpstr>Prop1AmountDue4</vt:lpstr>
      <vt:lpstr>Prop1Attached</vt:lpstr>
      <vt:lpstr>Prop1CADLandValue</vt:lpstr>
      <vt:lpstr>Prop1CADTotal</vt:lpstr>
      <vt:lpstr>Prop1Cause</vt:lpstr>
      <vt:lpstr>Prop1City</vt:lpstr>
      <vt:lpstr>Prop1County</vt:lpstr>
      <vt:lpstr>Prop1FDate</vt:lpstr>
      <vt:lpstr>Prop1Foreclosure</vt:lpstr>
      <vt:lpstr>Prop1HKValue</vt:lpstr>
      <vt:lpstr>Prop1Info</vt:lpstr>
      <vt:lpstr>Prop1Lawsuit</vt:lpstr>
      <vt:lpstr>Prop1Legal</vt:lpstr>
      <vt:lpstr>Prop1LegalA</vt:lpstr>
      <vt:lpstr>Prop1LegalB</vt:lpstr>
      <vt:lpstr>Prop1LoanBalance</vt:lpstr>
      <vt:lpstr>Prop1LoanDate</vt:lpstr>
      <vt:lpstr>Prop1MobileHome</vt:lpstr>
      <vt:lpstr>Prop1MortgageHolder</vt:lpstr>
      <vt:lpstr>Prop1MortgageWith</vt:lpstr>
      <vt:lpstr>Prop1Name1</vt:lpstr>
      <vt:lpstr>Prop1Name2</vt:lpstr>
      <vt:lpstr>Prop1Name3</vt:lpstr>
      <vt:lpstr>Prop1Name4</vt:lpstr>
      <vt:lpstr>Prop1State</vt:lpstr>
      <vt:lpstr>Prop1TaxingEntity1</vt:lpstr>
      <vt:lpstr>Prop1TaxingEntity2</vt:lpstr>
      <vt:lpstr>Prop1TaxingEntity3</vt:lpstr>
      <vt:lpstr>Prop1TaxingEntity4</vt:lpstr>
      <vt:lpstr>Prop1TaxLiens</vt:lpstr>
      <vt:lpstr>Prop1TaxLoan</vt:lpstr>
      <vt:lpstr>Prop1TaxLoanWith</vt:lpstr>
      <vt:lpstr>Prop1TDHCA</vt:lpstr>
      <vt:lpstr>Prop1Title1</vt:lpstr>
      <vt:lpstr>Prop1Title2</vt:lpstr>
      <vt:lpstr>Prop1Title3</vt:lpstr>
      <vt:lpstr>Prop1Title4</vt:lpstr>
      <vt:lpstr>Prop1TotalAmountDue</vt:lpstr>
      <vt:lpstr>Prop1Years1</vt:lpstr>
      <vt:lpstr>Prop1Years2</vt:lpstr>
      <vt:lpstr>Prop1Years3</vt:lpstr>
      <vt:lpstr>Prop1Years4</vt:lpstr>
      <vt:lpstr>Prop1ZIP</vt:lpstr>
      <vt:lpstr>Prop20AccountNumber1</vt:lpstr>
      <vt:lpstr>Prop20AccountNumber2</vt:lpstr>
      <vt:lpstr>Prop20AccountNumber3</vt:lpstr>
      <vt:lpstr>Prop20AccountNumber4</vt:lpstr>
      <vt:lpstr>Prop20Address</vt:lpstr>
      <vt:lpstr>Prop20AmountDue1</vt:lpstr>
      <vt:lpstr>Prop20AmountDue2</vt:lpstr>
      <vt:lpstr>Prop20AmountDue3</vt:lpstr>
      <vt:lpstr>Prop20AmountDue4</vt:lpstr>
      <vt:lpstr>Prop20Attached</vt:lpstr>
      <vt:lpstr>Prop20CADImprovementValue</vt:lpstr>
      <vt:lpstr>Prop20CADLandValue</vt:lpstr>
      <vt:lpstr>Prop20Cause</vt:lpstr>
      <vt:lpstr>Prop20City</vt:lpstr>
      <vt:lpstr>Prop20County</vt:lpstr>
      <vt:lpstr>Prop20FDate</vt:lpstr>
      <vt:lpstr>Prop20Foreclosure</vt:lpstr>
      <vt:lpstr>Prop20HKValue</vt:lpstr>
      <vt:lpstr>Prop20Info</vt:lpstr>
      <vt:lpstr>Prop20Lawsuit</vt:lpstr>
      <vt:lpstr>Prop20Legal</vt:lpstr>
      <vt:lpstr>Prop20LegalA</vt:lpstr>
      <vt:lpstr>Prop20LegalB</vt:lpstr>
      <vt:lpstr>Prop20LoanBalance</vt:lpstr>
      <vt:lpstr>Prop20LoanDate</vt:lpstr>
      <vt:lpstr>Prop20MobileHome</vt:lpstr>
      <vt:lpstr>Prop20MortgageHolder</vt:lpstr>
      <vt:lpstr>Prop20MortgageWith</vt:lpstr>
      <vt:lpstr>Prop20Name1</vt:lpstr>
      <vt:lpstr>Prop20Name2</vt:lpstr>
      <vt:lpstr>Prop20Name3</vt:lpstr>
      <vt:lpstr>Prop20Name4</vt:lpstr>
      <vt:lpstr>Prop20State</vt:lpstr>
      <vt:lpstr>Prop20TaxingEntity1</vt:lpstr>
      <vt:lpstr>Prop20TaxingEntity2</vt:lpstr>
      <vt:lpstr>Prop20TaxingEntity3</vt:lpstr>
      <vt:lpstr>Prop20TaxingEntity4</vt:lpstr>
      <vt:lpstr>Prop20TaxLiens</vt:lpstr>
      <vt:lpstr>Prop20TaxLoan</vt:lpstr>
      <vt:lpstr>Prop20TaxLoanWith</vt:lpstr>
      <vt:lpstr>Prop20TDHCA</vt:lpstr>
      <vt:lpstr>Prop20Title1</vt:lpstr>
      <vt:lpstr>Prop20Title2</vt:lpstr>
      <vt:lpstr>Prop20Title3</vt:lpstr>
      <vt:lpstr>Prop20Title4</vt:lpstr>
      <vt:lpstr>Prop20TotalAmountDue</vt:lpstr>
      <vt:lpstr>Prop20Years1</vt:lpstr>
      <vt:lpstr>Prop20Years2</vt:lpstr>
      <vt:lpstr>Prop20Years3</vt:lpstr>
      <vt:lpstr>Prop20Years4</vt:lpstr>
      <vt:lpstr>Prop20ZIP</vt:lpstr>
      <vt:lpstr>Prop21AccountNumber1</vt:lpstr>
      <vt:lpstr>Prop21AccountNumber2</vt:lpstr>
      <vt:lpstr>Prop21AccountNumber3</vt:lpstr>
      <vt:lpstr>Prop21AccountNumber4</vt:lpstr>
      <vt:lpstr>Prop21Address</vt:lpstr>
      <vt:lpstr>Prop21AmountDue1</vt:lpstr>
      <vt:lpstr>Prop21AmountDue2</vt:lpstr>
      <vt:lpstr>Prop21AmountDue3</vt:lpstr>
      <vt:lpstr>Prop21AmountDue4</vt:lpstr>
      <vt:lpstr>Prop21Attached</vt:lpstr>
      <vt:lpstr>Prop21CADImprovementValue</vt:lpstr>
      <vt:lpstr>Prop21CADLandValue</vt:lpstr>
      <vt:lpstr>Prop21Cause</vt:lpstr>
      <vt:lpstr>Prop21City</vt:lpstr>
      <vt:lpstr>Prop21County</vt:lpstr>
      <vt:lpstr>Prop21FDate</vt:lpstr>
      <vt:lpstr>Prop21Foreclosure</vt:lpstr>
      <vt:lpstr>Prop21HKValue</vt:lpstr>
      <vt:lpstr>Prop21Info</vt:lpstr>
      <vt:lpstr>Prop21Lawsuit</vt:lpstr>
      <vt:lpstr>Prop21Legal</vt:lpstr>
      <vt:lpstr>Prop21LegalA</vt:lpstr>
      <vt:lpstr>Prop21LegalB</vt:lpstr>
      <vt:lpstr>Prop21LoanBalance</vt:lpstr>
      <vt:lpstr>Prop21LoanDate</vt:lpstr>
      <vt:lpstr>Prop21MobileHome</vt:lpstr>
      <vt:lpstr>Prop21MortgageHolder</vt:lpstr>
      <vt:lpstr>Prop21MortgageWith</vt:lpstr>
      <vt:lpstr>Prop21Name1</vt:lpstr>
      <vt:lpstr>Prop21Name2</vt:lpstr>
      <vt:lpstr>Prop21Name3</vt:lpstr>
      <vt:lpstr>Prop21Name4</vt:lpstr>
      <vt:lpstr>Prop21State</vt:lpstr>
      <vt:lpstr>Prop21TaxingEntity1</vt:lpstr>
      <vt:lpstr>Prop21TaxingEntity2</vt:lpstr>
      <vt:lpstr>Prop21TaxingEntity3</vt:lpstr>
      <vt:lpstr>Prop21TaxingEntity4</vt:lpstr>
      <vt:lpstr>Prop21TaxLiens</vt:lpstr>
      <vt:lpstr>Prop21TaxLoan</vt:lpstr>
      <vt:lpstr>Prop21TaxLoanWith</vt:lpstr>
      <vt:lpstr>Prop21TDHCA</vt:lpstr>
      <vt:lpstr>Prop21Title1</vt:lpstr>
      <vt:lpstr>Prop21Title2</vt:lpstr>
      <vt:lpstr>Prop21Title3</vt:lpstr>
      <vt:lpstr>Prop21Title4</vt:lpstr>
      <vt:lpstr>Prop21TotalAmountDue</vt:lpstr>
      <vt:lpstr>Prop21Years1</vt:lpstr>
      <vt:lpstr>Prop21Years2</vt:lpstr>
      <vt:lpstr>Prop21Years3</vt:lpstr>
      <vt:lpstr>Prop21Years4</vt:lpstr>
      <vt:lpstr>Prop21ZIP</vt:lpstr>
      <vt:lpstr>Prop22AccountNumber1</vt:lpstr>
      <vt:lpstr>Prop22AccountNumber2</vt:lpstr>
      <vt:lpstr>Prop22AccountNumber3</vt:lpstr>
      <vt:lpstr>Prop22AccountNumber4</vt:lpstr>
      <vt:lpstr>Prop22Address</vt:lpstr>
      <vt:lpstr>Prop22AmountDue1</vt:lpstr>
      <vt:lpstr>Prop22AmountDue2</vt:lpstr>
      <vt:lpstr>Prop22AmountDue3</vt:lpstr>
      <vt:lpstr>Prop22AmountDue4</vt:lpstr>
      <vt:lpstr>Prop22Attached</vt:lpstr>
      <vt:lpstr>Prop22CADImprovementValue</vt:lpstr>
      <vt:lpstr>Prop22CADLandValue</vt:lpstr>
      <vt:lpstr>Prop22Cause</vt:lpstr>
      <vt:lpstr>Prop22City</vt:lpstr>
      <vt:lpstr>Prop22County</vt:lpstr>
      <vt:lpstr>Prop22FDate</vt:lpstr>
      <vt:lpstr>Prop22Foreclosure</vt:lpstr>
      <vt:lpstr>Prop22HKValue</vt:lpstr>
      <vt:lpstr>Prop22Info</vt:lpstr>
      <vt:lpstr>Prop22Lawsuit</vt:lpstr>
      <vt:lpstr>Prop22Legal</vt:lpstr>
      <vt:lpstr>Prop22LegalA</vt:lpstr>
      <vt:lpstr>Prop22LegalB</vt:lpstr>
      <vt:lpstr>Prop22LoanBalance</vt:lpstr>
      <vt:lpstr>Prop22LoanDate</vt:lpstr>
      <vt:lpstr>Prop22MobileHome</vt:lpstr>
      <vt:lpstr>Prop22MortgageHolder</vt:lpstr>
      <vt:lpstr>Prop22MortgageWith</vt:lpstr>
      <vt:lpstr>Prop22Name1</vt:lpstr>
      <vt:lpstr>Prop22Name2</vt:lpstr>
      <vt:lpstr>Prop22Name3</vt:lpstr>
      <vt:lpstr>Prop22Name4</vt:lpstr>
      <vt:lpstr>Prop22State</vt:lpstr>
      <vt:lpstr>Prop22TaxingEntity1</vt:lpstr>
      <vt:lpstr>Prop22TaxingEntity2</vt:lpstr>
      <vt:lpstr>Prop22TaxingEntity3</vt:lpstr>
      <vt:lpstr>Prop22TaxingEntity4</vt:lpstr>
      <vt:lpstr>Prop22TaxLiens</vt:lpstr>
      <vt:lpstr>Prop22TaxLoan</vt:lpstr>
      <vt:lpstr>Prop22TaxLoanWith</vt:lpstr>
      <vt:lpstr>Prop22TDHCA</vt:lpstr>
      <vt:lpstr>Prop22Title1</vt:lpstr>
      <vt:lpstr>Prop22Title2</vt:lpstr>
      <vt:lpstr>Prop22Title3</vt:lpstr>
      <vt:lpstr>Prop22Title4</vt:lpstr>
      <vt:lpstr>Prop22TotalAmountDue</vt:lpstr>
      <vt:lpstr>Prop22Years1</vt:lpstr>
      <vt:lpstr>Prop22Years2</vt:lpstr>
      <vt:lpstr>Prop22Years3</vt:lpstr>
      <vt:lpstr>Prop22Years4</vt:lpstr>
      <vt:lpstr>Prop22ZIP</vt:lpstr>
      <vt:lpstr>Prop23AccountNumber1</vt:lpstr>
      <vt:lpstr>Prop23AccountNumber2</vt:lpstr>
      <vt:lpstr>Prop23AccountNumber3</vt:lpstr>
      <vt:lpstr>Prop23AccountNumber4</vt:lpstr>
      <vt:lpstr>Prop23Address</vt:lpstr>
      <vt:lpstr>Prop23AmountDue1</vt:lpstr>
      <vt:lpstr>Prop23AmountDue2</vt:lpstr>
      <vt:lpstr>Prop23AmountDue3</vt:lpstr>
      <vt:lpstr>Prop23AmountDue4</vt:lpstr>
      <vt:lpstr>Prop23Attached</vt:lpstr>
      <vt:lpstr>Prop23CADImprovementValue</vt:lpstr>
      <vt:lpstr>Prop23CADLandValue</vt:lpstr>
      <vt:lpstr>Prop23Cause</vt:lpstr>
      <vt:lpstr>Prop23City</vt:lpstr>
      <vt:lpstr>Prop23County</vt:lpstr>
      <vt:lpstr>Prop23FDate</vt:lpstr>
      <vt:lpstr>Prop23Foreclosure</vt:lpstr>
      <vt:lpstr>Prop23HKValue</vt:lpstr>
      <vt:lpstr>Prop23Info</vt:lpstr>
      <vt:lpstr>Prop23Lawsuit</vt:lpstr>
      <vt:lpstr>Prop23Legal</vt:lpstr>
      <vt:lpstr>Prop23LegalA</vt:lpstr>
      <vt:lpstr>Prop23LegalB</vt:lpstr>
      <vt:lpstr>Prop23LoanBalance</vt:lpstr>
      <vt:lpstr>Prop23LoanDate</vt:lpstr>
      <vt:lpstr>Prop23MobileHome</vt:lpstr>
      <vt:lpstr>Prop23MortgageHolder</vt:lpstr>
      <vt:lpstr>Prop23MortgageWith</vt:lpstr>
      <vt:lpstr>Prop23Name1</vt:lpstr>
      <vt:lpstr>Prop23Name2</vt:lpstr>
      <vt:lpstr>Prop23Name3</vt:lpstr>
      <vt:lpstr>Prop23Name4</vt:lpstr>
      <vt:lpstr>Prop23State</vt:lpstr>
      <vt:lpstr>Prop23TaxingEntity1</vt:lpstr>
      <vt:lpstr>Prop23TaxingEntity2</vt:lpstr>
      <vt:lpstr>Prop23TaxingEntity3</vt:lpstr>
      <vt:lpstr>Prop23TaxingEntity4</vt:lpstr>
      <vt:lpstr>Prop23TaxLiens</vt:lpstr>
      <vt:lpstr>Prop23TaxLoan</vt:lpstr>
      <vt:lpstr>Prop23TaxLoanWith</vt:lpstr>
      <vt:lpstr>Prop23TDHCA</vt:lpstr>
      <vt:lpstr>Prop23Title1</vt:lpstr>
      <vt:lpstr>Prop23Title2</vt:lpstr>
      <vt:lpstr>Prop23Title3</vt:lpstr>
      <vt:lpstr>Prop23Title4</vt:lpstr>
      <vt:lpstr>Prop23TotalAmountDue</vt:lpstr>
      <vt:lpstr>Prop23Years1</vt:lpstr>
      <vt:lpstr>Prop23Years2</vt:lpstr>
      <vt:lpstr>Prop23Years3</vt:lpstr>
      <vt:lpstr>Prop23Years4</vt:lpstr>
      <vt:lpstr>Prop23ZIP</vt:lpstr>
      <vt:lpstr>Prop24AccountNumber1</vt:lpstr>
      <vt:lpstr>Prop24AccountNumber2</vt:lpstr>
      <vt:lpstr>Prop24AccountNumber3</vt:lpstr>
      <vt:lpstr>Prop24AccountNumber4</vt:lpstr>
      <vt:lpstr>Prop24Address</vt:lpstr>
      <vt:lpstr>Prop24AmountDue1</vt:lpstr>
      <vt:lpstr>Prop24AmountDue2</vt:lpstr>
      <vt:lpstr>Prop24AmountDue3</vt:lpstr>
      <vt:lpstr>Prop24AmountDue4</vt:lpstr>
      <vt:lpstr>Prop24Attached</vt:lpstr>
      <vt:lpstr>Prop24CADImprovementValue</vt:lpstr>
      <vt:lpstr>Prop24CADLandValue</vt:lpstr>
      <vt:lpstr>Prop24Cause</vt:lpstr>
      <vt:lpstr>Prop24City</vt:lpstr>
      <vt:lpstr>Prop24County</vt:lpstr>
      <vt:lpstr>Prop24FDate</vt:lpstr>
      <vt:lpstr>Prop24Foreclosure</vt:lpstr>
      <vt:lpstr>Prop24HKValue</vt:lpstr>
      <vt:lpstr>Prop24Info</vt:lpstr>
      <vt:lpstr>Prop24Lawsuit</vt:lpstr>
      <vt:lpstr>Prop24Legal</vt:lpstr>
      <vt:lpstr>Prop24LegalA</vt:lpstr>
      <vt:lpstr>Prop24LegalB</vt:lpstr>
      <vt:lpstr>Prop24LoanBalance</vt:lpstr>
      <vt:lpstr>Prop24LoanDate</vt:lpstr>
      <vt:lpstr>Prop24MobileHome</vt:lpstr>
      <vt:lpstr>Prop24MortgageHolder</vt:lpstr>
      <vt:lpstr>Prop24MortgageWith</vt:lpstr>
      <vt:lpstr>Prop24Name1</vt:lpstr>
      <vt:lpstr>Prop24Name2</vt:lpstr>
      <vt:lpstr>Prop24Name3</vt:lpstr>
      <vt:lpstr>Prop24Name4</vt:lpstr>
      <vt:lpstr>Prop24State</vt:lpstr>
      <vt:lpstr>Prop24TaxingEntity1</vt:lpstr>
      <vt:lpstr>Prop24TaxingEntity2</vt:lpstr>
      <vt:lpstr>Prop24TaxingEntity3</vt:lpstr>
      <vt:lpstr>Prop24TaxingEntity4</vt:lpstr>
      <vt:lpstr>Prop24TaxLiens</vt:lpstr>
      <vt:lpstr>Prop24TaxLoan</vt:lpstr>
      <vt:lpstr>Prop24TaxLoanWith</vt:lpstr>
      <vt:lpstr>Prop24TDHCA</vt:lpstr>
      <vt:lpstr>Prop24Title1</vt:lpstr>
      <vt:lpstr>Prop24Title2</vt:lpstr>
      <vt:lpstr>Prop24Title3</vt:lpstr>
      <vt:lpstr>Prop24Title4</vt:lpstr>
      <vt:lpstr>Prop24TotalAmountDue</vt:lpstr>
      <vt:lpstr>Prop24Years1</vt:lpstr>
      <vt:lpstr>Prop24Years2</vt:lpstr>
      <vt:lpstr>Prop24Years3</vt:lpstr>
      <vt:lpstr>Prop24Years4</vt:lpstr>
      <vt:lpstr>Prop24ZIP</vt:lpstr>
      <vt:lpstr>Prop25AccountNumber1</vt:lpstr>
      <vt:lpstr>Prop25AccountNumber2</vt:lpstr>
      <vt:lpstr>Prop25AccountNumber3</vt:lpstr>
      <vt:lpstr>Prop25AccountNumber4</vt:lpstr>
      <vt:lpstr>Prop25Address</vt:lpstr>
      <vt:lpstr>Prop25AmountDue1</vt:lpstr>
      <vt:lpstr>Prop25AmountDue2</vt:lpstr>
      <vt:lpstr>Prop25AmountDue3</vt:lpstr>
      <vt:lpstr>Prop25AmountDue4</vt:lpstr>
      <vt:lpstr>Prop25Attached</vt:lpstr>
      <vt:lpstr>Prop25CADImprovementValue</vt:lpstr>
      <vt:lpstr>Prop25CADLandValue</vt:lpstr>
      <vt:lpstr>Prop25Cause</vt:lpstr>
      <vt:lpstr>Prop25City</vt:lpstr>
      <vt:lpstr>Prop25County</vt:lpstr>
      <vt:lpstr>Prop25FDate</vt:lpstr>
      <vt:lpstr>Prop25Foreclosure</vt:lpstr>
      <vt:lpstr>Prop25HKValue</vt:lpstr>
      <vt:lpstr>Prop25Info</vt:lpstr>
      <vt:lpstr>Prop25Lawsuit</vt:lpstr>
      <vt:lpstr>Prop25Legal</vt:lpstr>
      <vt:lpstr>Prop25LegalA</vt:lpstr>
      <vt:lpstr>Prop25LegalB</vt:lpstr>
      <vt:lpstr>Prop25LoanBalance</vt:lpstr>
      <vt:lpstr>Prop25LoanDate</vt:lpstr>
      <vt:lpstr>Prop25MobileHome</vt:lpstr>
      <vt:lpstr>Prop25MortgageHolder</vt:lpstr>
      <vt:lpstr>Prop25MortgageWith</vt:lpstr>
      <vt:lpstr>Prop25Name1</vt:lpstr>
      <vt:lpstr>Prop25Name2</vt:lpstr>
      <vt:lpstr>Prop25Name3</vt:lpstr>
      <vt:lpstr>Prop25Name4</vt:lpstr>
      <vt:lpstr>Prop25State</vt:lpstr>
      <vt:lpstr>Prop25TaxingEntity1</vt:lpstr>
      <vt:lpstr>Prop25TaxingEntity2</vt:lpstr>
      <vt:lpstr>Prop25TaxingEntity3</vt:lpstr>
      <vt:lpstr>Prop25TaxingEntity4</vt:lpstr>
      <vt:lpstr>Prop25TaxLiens</vt:lpstr>
      <vt:lpstr>Prop25TaxLoan</vt:lpstr>
      <vt:lpstr>Prop25TaxLoanWith</vt:lpstr>
      <vt:lpstr>Prop25TDHCA</vt:lpstr>
      <vt:lpstr>Prop25Title1</vt:lpstr>
      <vt:lpstr>Prop25Title2</vt:lpstr>
      <vt:lpstr>Prop25Title3</vt:lpstr>
      <vt:lpstr>Prop25Title4</vt:lpstr>
      <vt:lpstr>Prop25TotalAmountDue</vt:lpstr>
      <vt:lpstr>Prop25Years1</vt:lpstr>
      <vt:lpstr>Prop25Years2</vt:lpstr>
      <vt:lpstr>Prop25Years3</vt:lpstr>
      <vt:lpstr>Prop25Years4</vt:lpstr>
      <vt:lpstr>Prop25ZIP</vt:lpstr>
      <vt:lpstr>Prop2AccountNumber1</vt:lpstr>
      <vt:lpstr>Prop2AccountNumber2</vt:lpstr>
      <vt:lpstr>Prop2AccountNumber3</vt:lpstr>
      <vt:lpstr>Prop2AccountNumber4</vt:lpstr>
      <vt:lpstr>Prop2Address</vt:lpstr>
      <vt:lpstr>Prop2AmountDue1</vt:lpstr>
      <vt:lpstr>Prop2AmountDue2</vt:lpstr>
      <vt:lpstr>Prop2AmountDue3</vt:lpstr>
      <vt:lpstr>Prop2AmountDue4</vt:lpstr>
      <vt:lpstr>Prop2Attached</vt:lpstr>
      <vt:lpstr>Prop2CADImprovementValue</vt:lpstr>
      <vt:lpstr>Prop2CADLandValue</vt:lpstr>
      <vt:lpstr>Prop2Cause</vt:lpstr>
      <vt:lpstr>Prop2City</vt:lpstr>
      <vt:lpstr>Prop2County</vt:lpstr>
      <vt:lpstr>Prop2FDate</vt:lpstr>
      <vt:lpstr>Prop2Foreclosure</vt:lpstr>
      <vt:lpstr>Prop2HKValue</vt:lpstr>
      <vt:lpstr>Prop2Info</vt:lpstr>
      <vt:lpstr>Prop2Lawsuit</vt:lpstr>
      <vt:lpstr>Prop2Legal</vt:lpstr>
      <vt:lpstr>Prop2LegalA</vt:lpstr>
      <vt:lpstr>Prop2LegalB</vt:lpstr>
      <vt:lpstr>Prop2LoanBalance</vt:lpstr>
      <vt:lpstr>Prop2LoanDate</vt:lpstr>
      <vt:lpstr>Prop2MobileHome</vt:lpstr>
      <vt:lpstr>Prop2MortgageHolder</vt:lpstr>
      <vt:lpstr>Prop2MortgageWith</vt:lpstr>
      <vt:lpstr>Prop2Name1</vt:lpstr>
      <vt:lpstr>Prop2Name2</vt:lpstr>
      <vt:lpstr>Prop2Name3</vt:lpstr>
      <vt:lpstr>Prop2Name4</vt:lpstr>
      <vt:lpstr>Prop2State</vt:lpstr>
      <vt:lpstr>Prop2TaxingEntity1</vt:lpstr>
      <vt:lpstr>Prop2TaxingEntity2</vt:lpstr>
      <vt:lpstr>Prop2TaxingEntity3</vt:lpstr>
      <vt:lpstr>Prop2TaxingEntity4</vt:lpstr>
      <vt:lpstr>Prop2TaxLiens</vt:lpstr>
      <vt:lpstr>Prop2TaxLoan</vt:lpstr>
      <vt:lpstr>Prop2TaxLoanWith</vt:lpstr>
      <vt:lpstr>Prop2TDHCA</vt:lpstr>
      <vt:lpstr>Prop2Title1</vt:lpstr>
      <vt:lpstr>Prop2Title2</vt:lpstr>
      <vt:lpstr>Prop2Title3</vt:lpstr>
      <vt:lpstr>Prop2Title4</vt:lpstr>
      <vt:lpstr>Prop2TotalAmountDue</vt:lpstr>
      <vt:lpstr>Prop2Years1</vt:lpstr>
      <vt:lpstr>Prop2Years2</vt:lpstr>
      <vt:lpstr>Prop2Years3</vt:lpstr>
      <vt:lpstr>Prop2Years4</vt:lpstr>
      <vt:lpstr>Prop2ZIP</vt:lpstr>
      <vt:lpstr>Prop3AccountNumber1</vt:lpstr>
      <vt:lpstr>Prop3AccountNumber2</vt:lpstr>
      <vt:lpstr>Prop3AccountNumber3</vt:lpstr>
      <vt:lpstr>Prop3AccountNumber4</vt:lpstr>
      <vt:lpstr>Prop3Address</vt:lpstr>
      <vt:lpstr>Prop3AmountDue1</vt:lpstr>
      <vt:lpstr>Prop3AmountDue2</vt:lpstr>
      <vt:lpstr>Prop3AmountDue3</vt:lpstr>
      <vt:lpstr>Prop3AmountDue4</vt:lpstr>
      <vt:lpstr>Prop3Attached</vt:lpstr>
      <vt:lpstr>Prop3CADImprvementValue</vt:lpstr>
      <vt:lpstr>Prop3CADLandValue</vt:lpstr>
      <vt:lpstr>Prop3Cause</vt:lpstr>
      <vt:lpstr>Prop3City</vt:lpstr>
      <vt:lpstr>Prop3County</vt:lpstr>
      <vt:lpstr>Prop3FDate</vt:lpstr>
      <vt:lpstr>Prop3Foreclosure</vt:lpstr>
      <vt:lpstr>Prop3HKValue</vt:lpstr>
      <vt:lpstr>Prop3Info</vt:lpstr>
      <vt:lpstr>Prop3Lawsuit</vt:lpstr>
      <vt:lpstr>Prop3Legal</vt:lpstr>
      <vt:lpstr>Prop3LegalA</vt:lpstr>
      <vt:lpstr>Prop3LegalB</vt:lpstr>
      <vt:lpstr>Prop3LoanBalance</vt:lpstr>
      <vt:lpstr>Prop3LoanDate</vt:lpstr>
      <vt:lpstr>Prop3MobileHome</vt:lpstr>
      <vt:lpstr>Prop3MortgageHolder</vt:lpstr>
      <vt:lpstr>Prop3MortgageWith</vt:lpstr>
      <vt:lpstr>Prop3Name1</vt:lpstr>
      <vt:lpstr>Prop3Name2</vt:lpstr>
      <vt:lpstr>Prop3Name3</vt:lpstr>
      <vt:lpstr>Prop3Name4</vt:lpstr>
      <vt:lpstr>Prop3State</vt:lpstr>
      <vt:lpstr>Prop3TaxingEntity1</vt:lpstr>
      <vt:lpstr>Prop3TaxingEntity2</vt:lpstr>
      <vt:lpstr>Prop3TaxingEntity3</vt:lpstr>
      <vt:lpstr>Prop3TaxingEntity4</vt:lpstr>
      <vt:lpstr>Prop3TaxLiens</vt:lpstr>
      <vt:lpstr>Prop3TaxLoan</vt:lpstr>
      <vt:lpstr>Prop3TaxLoanWith</vt:lpstr>
      <vt:lpstr>Prop3TDHCA</vt:lpstr>
      <vt:lpstr>Prop3Title1</vt:lpstr>
      <vt:lpstr>Prop3Title2</vt:lpstr>
      <vt:lpstr>Prop3Title3</vt:lpstr>
      <vt:lpstr>Prop3Title4</vt:lpstr>
      <vt:lpstr>Prop3TotalAmountDue</vt:lpstr>
      <vt:lpstr>Prop3Years1</vt:lpstr>
      <vt:lpstr>Prop3Years2</vt:lpstr>
      <vt:lpstr>Prop3Years3</vt:lpstr>
      <vt:lpstr>Prop3Years4</vt:lpstr>
      <vt:lpstr>Prop3ZIP</vt:lpstr>
      <vt:lpstr>Prop4AccountNumber1</vt:lpstr>
      <vt:lpstr>Prop4AccountNumber2</vt:lpstr>
      <vt:lpstr>Prop4AccountNumber3</vt:lpstr>
      <vt:lpstr>Prop4AccountNumber4</vt:lpstr>
      <vt:lpstr>Prop4Address</vt:lpstr>
      <vt:lpstr>Prop4AmountDue1</vt:lpstr>
      <vt:lpstr>Prop4AmountDue2</vt:lpstr>
      <vt:lpstr>Prop4AmountDue3</vt:lpstr>
      <vt:lpstr>Prop4AmountDue4</vt:lpstr>
      <vt:lpstr>Prop4Attached</vt:lpstr>
      <vt:lpstr>Prop4CADImprovementValue</vt:lpstr>
      <vt:lpstr>Prop4CADLandValues</vt:lpstr>
      <vt:lpstr>Prop4Cause</vt:lpstr>
      <vt:lpstr>Prop4City</vt:lpstr>
      <vt:lpstr>Prop4County</vt:lpstr>
      <vt:lpstr>Prop4FDate</vt:lpstr>
      <vt:lpstr>Prop4Foreclosure</vt:lpstr>
      <vt:lpstr>Prop4HKValue</vt:lpstr>
      <vt:lpstr>Prop4Info</vt:lpstr>
      <vt:lpstr>Prop4Lawsuit</vt:lpstr>
      <vt:lpstr>Prop4Legal</vt:lpstr>
      <vt:lpstr>Prop4LegalA</vt:lpstr>
      <vt:lpstr>Prop4LegalB</vt:lpstr>
      <vt:lpstr>Prop4LoanBalance</vt:lpstr>
      <vt:lpstr>Prop4LoanDate</vt:lpstr>
      <vt:lpstr>Prop4MobileHome</vt:lpstr>
      <vt:lpstr>Prop4MortgageHolder</vt:lpstr>
      <vt:lpstr>Prop4MortgageWith</vt:lpstr>
      <vt:lpstr>Prop4Name1</vt:lpstr>
      <vt:lpstr>Prop4Name2</vt:lpstr>
      <vt:lpstr>Prop4Name3</vt:lpstr>
      <vt:lpstr>Prop4Name4</vt:lpstr>
      <vt:lpstr>Prop4State</vt:lpstr>
      <vt:lpstr>Prop4TaxingEntity1</vt:lpstr>
      <vt:lpstr>Prop4TaxingEntity2</vt:lpstr>
      <vt:lpstr>Prop4TaxingEntity3</vt:lpstr>
      <vt:lpstr>Prop4TaxingEntity4</vt:lpstr>
      <vt:lpstr>Prop4TaxLiens</vt:lpstr>
      <vt:lpstr>Prop4TaxLoan</vt:lpstr>
      <vt:lpstr>Prop4TaxLoanWith</vt:lpstr>
      <vt:lpstr>Prop4TDHCA</vt:lpstr>
      <vt:lpstr>Prop4Title1</vt:lpstr>
      <vt:lpstr>Prop4Title2</vt:lpstr>
      <vt:lpstr>Prop4Title3</vt:lpstr>
      <vt:lpstr>Prop4Title4</vt:lpstr>
      <vt:lpstr>Prop4TotalAmountDue</vt:lpstr>
      <vt:lpstr>Prop4Years1</vt:lpstr>
      <vt:lpstr>Prop4Years2</vt:lpstr>
      <vt:lpstr>Prop4Years3</vt:lpstr>
      <vt:lpstr>Prop4Years4</vt:lpstr>
      <vt:lpstr>Prop4ZIP</vt:lpstr>
      <vt:lpstr>Prop5AccountNumber1</vt:lpstr>
      <vt:lpstr>Prop5AccountNumber2</vt:lpstr>
      <vt:lpstr>Prop5AccountNumber3</vt:lpstr>
      <vt:lpstr>Prop5AccountNumber4</vt:lpstr>
      <vt:lpstr>Prop5Address</vt:lpstr>
      <vt:lpstr>Prop5AmountDue1</vt:lpstr>
      <vt:lpstr>Prop5AmountDue2</vt:lpstr>
      <vt:lpstr>Prop5AmountDue3</vt:lpstr>
      <vt:lpstr>Prop5AmountDue4</vt:lpstr>
      <vt:lpstr>Prop5Attached</vt:lpstr>
      <vt:lpstr>Prop5CADImprovementValue</vt:lpstr>
      <vt:lpstr>Prop5CADLandValue</vt:lpstr>
      <vt:lpstr>Prop5Cause</vt:lpstr>
      <vt:lpstr>Prop5City</vt:lpstr>
      <vt:lpstr>Prop5County</vt:lpstr>
      <vt:lpstr>Prop5FDate</vt:lpstr>
      <vt:lpstr>Prop5Foreclosure</vt:lpstr>
      <vt:lpstr>Prop5HKValue</vt:lpstr>
      <vt:lpstr>Prop5Info</vt:lpstr>
      <vt:lpstr>Prop5Lawsuit</vt:lpstr>
      <vt:lpstr>Prop5Legal</vt:lpstr>
      <vt:lpstr>Prop5LegalA</vt:lpstr>
      <vt:lpstr>Prop5LegalB</vt:lpstr>
      <vt:lpstr>Prop5LoanBalance</vt:lpstr>
      <vt:lpstr>Prop5LoanDate</vt:lpstr>
      <vt:lpstr>Prop5MobileHome</vt:lpstr>
      <vt:lpstr>Prop5MortgageHolder</vt:lpstr>
      <vt:lpstr>Prop5MortgageWith</vt:lpstr>
      <vt:lpstr>Prop5Name1</vt:lpstr>
      <vt:lpstr>Prop5Name2</vt:lpstr>
      <vt:lpstr>Prop5Name3</vt:lpstr>
      <vt:lpstr>Prop5Name4</vt:lpstr>
      <vt:lpstr>Prop5State</vt:lpstr>
      <vt:lpstr>Prop5TaxingEntity1</vt:lpstr>
      <vt:lpstr>Prop5TaxingEntity2</vt:lpstr>
      <vt:lpstr>Prop5TaxingEntity3</vt:lpstr>
      <vt:lpstr>Prop5TaxingEntity4</vt:lpstr>
      <vt:lpstr>Prop5TaxLiens</vt:lpstr>
      <vt:lpstr>Prop5TaxLoan</vt:lpstr>
      <vt:lpstr>Prop5TaxLoanWith</vt:lpstr>
      <vt:lpstr>Prop5TDHCA</vt:lpstr>
      <vt:lpstr>Prop5Title1</vt:lpstr>
      <vt:lpstr>Prop5Title2</vt:lpstr>
      <vt:lpstr>Prop5Title3</vt:lpstr>
      <vt:lpstr>Prop5Title4</vt:lpstr>
      <vt:lpstr>Prop5TotalAmountDue</vt:lpstr>
      <vt:lpstr>Prop5Years1</vt:lpstr>
      <vt:lpstr>Prop5Years2</vt:lpstr>
      <vt:lpstr>Prop5Years3</vt:lpstr>
      <vt:lpstr>Prop5Years4</vt:lpstr>
      <vt:lpstr>Prop5ZIP</vt:lpstr>
      <vt:lpstr>Prop6AccountNumber1</vt:lpstr>
      <vt:lpstr>Prop6AccountNumber2</vt:lpstr>
      <vt:lpstr>Prop6AccountNumber3</vt:lpstr>
      <vt:lpstr>Prop6AccountNumber4</vt:lpstr>
      <vt:lpstr>Prop6Address</vt:lpstr>
      <vt:lpstr>Prop6AmountDue1</vt:lpstr>
      <vt:lpstr>Prop6AmountDue2</vt:lpstr>
      <vt:lpstr>Prop6AmountDue3</vt:lpstr>
      <vt:lpstr>Prop6AmountDue4</vt:lpstr>
      <vt:lpstr>Prop6Attached</vt:lpstr>
      <vt:lpstr>Prop6CADImprovementValue</vt:lpstr>
      <vt:lpstr>Prop6CADLandValue</vt:lpstr>
      <vt:lpstr>Prop6Cause</vt:lpstr>
      <vt:lpstr>Prop6City</vt:lpstr>
      <vt:lpstr>Prop6County</vt:lpstr>
      <vt:lpstr>Prop6FDate</vt:lpstr>
      <vt:lpstr>Prop6Foreclosure</vt:lpstr>
      <vt:lpstr>Prop6HKValue</vt:lpstr>
      <vt:lpstr>Prop6Info</vt:lpstr>
      <vt:lpstr>Prop6Lawsuit</vt:lpstr>
      <vt:lpstr>Prop6Legal</vt:lpstr>
      <vt:lpstr>Prop6LegalA</vt:lpstr>
      <vt:lpstr>Prop6LegalB</vt:lpstr>
      <vt:lpstr>Prop6LoanBalance</vt:lpstr>
      <vt:lpstr>Prop6LoanDate</vt:lpstr>
      <vt:lpstr>Prop6MobileHome</vt:lpstr>
      <vt:lpstr>Prop6MortgageHolder</vt:lpstr>
      <vt:lpstr>Prop6MortgageWith</vt:lpstr>
      <vt:lpstr>Prop6Name1</vt:lpstr>
      <vt:lpstr>Prop6Name2</vt:lpstr>
      <vt:lpstr>Prop6Name3</vt:lpstr>
      <vt:lpstr>Prop6Name4</vt:lpstr>
      <vt:lpstr>Prop6State</vt:lpstr>
      <vt:lpstr>Prop6TaxingEntity1</vt:lpstr>
      <vt:lpstr>Prop6TaxingEntity2</vt:lpstr>
      <vt:lpstr>Prop6TaxingEntity3</vt:lpstr>
      <vt:lpstr>Prop6TaxingEntity4</vt:lpstr>
      <vt:lpstr>Prop6TaxLiens</vt:lpstr>
      <vt:lpstr>Prop6TaxLoan</vt:lpstr>
      <vt:lpstr>Prop6TaxLoanWith</vt:lpstr>
      <vt:lpstr>Prop6TDHCA</vt:lpstr>
      <vt:lpstr>Prop6Title1</vt:lpstr>
      <vt:lpstr>Prop6Title2</vt:lpstr>
      <vt:lpstr>Prop6Title3</vt:lpstr>
      <vt:lpstr>Prop6Title4</vt:lpstr>
      <vt:lpstr>Prop6TotalAmountDue</vt:lpstr>
      <vt:lpstr>Prop6Years1</vt:lpstr>
      <vt:lpstr>Prop6Years2</vt:lpstr>
      <vt:lpstr>Prop6Years3</vt:lpstr>
      <vt:lpstr>Prop6Years4</vt:lpstr>
      <vt:lpstr>Prop6ZIP</vt:lpstr>
      <vt:lpstr>Prop7AccountNumber1</vt:lpstr>
      <vt:lpstr>Prop7AccountNumber2</vt:lpstr>
      <vt:lpstr>Prop7AccountNumber3</vt:lpstr>
      <vt:lpstr>Prop7AccountNumber4</vt:lpstr>
      <vt:lpstr>Prop7Address</vt:lpstr>
      <vt:lpstr>Prop7AmountDue1</vt:lpstr>
      <vt:lpstr>Prop7AmountDue2</vt:lpstr>
      <vt:lpstr>Prop7AmountDue3</vt:lpstr>
      <vt:lpstr>Prop7AmountDue4</vt:lpstr>
      <vt:lpstr>Prop7Attached</vt:lpstr>
      <vt:lpstr>Prop7CADImprovementValue</vt:lpstr>
      <vt:lpstr>Prop7CADLandValue</vt:lpstr>
      <vt:lpstr>Prop7Cause</vt:lpstr>
      <vt:lpstr>Prop7City</vt:lpstr>
      <vt:lpstr>Prop7County</vt:lpstr>
      <vt:lpstr>Prop7FDate</vt:lpstr>
      <vt:lpstr>Prop7Foreclosure</vt:lpstr>
      <vt:lpstr>Prop7HKValue</vt:lpstr>
      <vt:lpstr>Prop7Info</vt:lpstr>
      <vt:lpstr>Prop7Lawsuit</vt:lpstr>
      <vt:lpstr>Prop7Legal</vt:lpstr>
      <vt:lpstr>Prop7LegalA</vt:lpstr>
      <vt:lpstr>Prop7LegalB</vt:lpstr>
      <vt:lpstr>Prop7LoanBalance</vt:lpstr>
      <vt:lpstr>Prop7LoanDate</vt:lpstr>
      <vt:lpstr>Prop7MobileHome</vt:lpstr>
      <vt:lpstr>Prop7MortgageHolder</vt:lpstr>
      <vt:lpstr>Prop7MortgageWith</vt:lpstr>
      <vt:lpstr>Prop7Name1</vt:lpstr>
      <vt:lpstr>Prop7Name2</vt:lpstr>
      <vt:lpstr>Prop7Name3</vt:lpstr>
      <vt:lpstr>Prop7Name4</vt:lpstr>
      <vt:lpstr>Prop7State</vt:lpstr>
      <vt:lpstr>Prop7TaxingEntity1</vt:lpstr>
      <vt:lpstr>Prop7TaxingEntity2</vt:lpstr>
      <vt:lpstr>Prop7TaxingEntity3</vt:lpstr>
      <vt:lpstr>Prop7TaxingEntity4</vt:lpstr>
      <vt:lpstr>Prop7TaxLiens</vt:lpstr>
      <vt:lpstr>Prop7TaxLoan</vt:lpstr>
      <vt:lpstr>Prop7TaxLoanWith</vt:lpstr>
      <vt:lpstr>Prop7TDHCA</vt:lpstr>
      <vt:lpstr>Prop7Title1</vt:lpstr>
      <vt:lpstr>Prop7Title2</vt:lpstr>
      <vt:lpstr>Prop7Title3</vt:lpstr>
      <vt:lpstr>Prop7Title4</vt:lpstr>
      <vt:lpstr>Prop7TotalAmountDue</vt:lpstr>
      <vt:lpstr>Prop7Years1</vt:lpstr>
      <vt:lpstr>Prop7Years2</vt:lpstr>
      <vt:lpstr>Prop7Years3</vt:lpstr>
      <vt:lpstr>Prop7Years4</vt:lpstr>
      <vt:lpstr>Prop7ZIP</vt:lpstr>
      <vt:lpstr>Prop8AccountNumber1</vt:lpstr>
      <vt:lpstr>Prop8AccountNumber2</vt:lpstr>
      <vt:lpstr>Prop8AccountNumber3</vt:lpstr>
      <vt:lpstr>Prop8AccountNumber4</vt:lpstr>
      <vt:lpstr>Prop8Address</vt:lpstr>
      <vt:lpstr>Prop8AmountDue1</vt:lpstr>
      <vt:lpstr>Prop8AmountDue2</vt:lpstr>
      <vt:lpstr>Prop8AmountDue3</vt:lpstr>
      <vt:lpstr>Prop8AmountDue4</vt:lpstr>
      <vt:lpstr>Prop8Attached</vt:lpstr>
      <vt:lpstr>Prop8CADImprovementValue</vt:lpstr>
      <vt:lpstr>Prop8CADLandValue</vt:lpstr>
      <vt:lpstr>Prop8Cause</vt:lpstr>
      <vt:lpstr>Prop8City</vt:lpstr>
      <vt:lpstr>Prop8County</vt:lpstr>
      <vt:lpstr>Prop8FDate</vt:lpstr>
      <vt:lpstr>Prop8Foreclosure</vt:lpstr>
      <vt:lpstr>Prop8HKValue</vt:lpstr>
      <vt:lpstr>Prop8Info</vt:lpstr>
      <vt:lpstr>Prop8Lawsuit</vt:lpstr>
      <vt:lpstr>Prop8Legal</vt:lpstr>
      <vt:lpstr>Prop8LegalA</vt:lpstr>
      <vt:lpstr>Prop8LegalB</vt:lpstr>
      <vt:lpstr>Prop8LoanBalance</vt:lpstr>
      <vt:lpstr>Prop8LoanDate</vt:lpstr>
      <vt:lpstr>Prop8MobileHome</vt:lpstr>
      <vt:lpstr>Prop8MortgageHolder</vt:lpstr>
      <vt:lpstr>Prop8MortgageWith</vt:lpstr>
      <vt:lpstr>Prop8Name1</vt:lpstr>
      <vt:lpstr>Prop8Name2</vt:lpstr>
      <vt:lpstr>Prop8Name3</vt:lpstr>
      <vt:lpstr>Prop8Name4</vt:lpstr>
      <vt:lpstr>Prop8State</vt:lpstr>
      <vt:lpstr>Prop8TaxingEntity1</vt:lpstr>
      <vt:lpstr>Prop8TaxingEntity2</vt:lpstr>
      <vt:lpstr>Prop8TaxingEntity3</vt:lpstr>
      <vt:lpstr>Prop8TaxingEntity4</vt:lpstr>
      <vt:lpstr>Prop8TaxLiens</vt:lpstr>
      <vt:lpstr>Prop8TaxLoan</vt:lpstr>
      <vt:lpstr>Prop8TaxLoanWith</vt:lpstr>
      <vt:lpstr>Prop8TDHCA</vt:lpstr>
      <vt:lpstr>Prop8Title1</vt:lpstr>
      <vt:lpstr>Prop8Title2</vt:lpstr>
      <vt:lpstr>Prop8Title3</vt:lpstr>
      <vt:lpstr>Prop8Title4</vt:lpstr>
      <vt:lpstr>Prop8TotalAmountDue</vt:lpstr>
      <vt:lpstr>Prop8Years1</vt:lpstr>
      <vt:lpstr>Prop8Years2</vt:lpstr>
      <vt:lpstr>Prop8Years3</vt:lpstr>
      <vt:lpstr>Prop8Years4</vt:lpstr>
      <vt:lpstr>Prop8ZIP</vt:lpstr>
      <vt:lpstr>Prop9AccountNumber1</vt:lpstr>
      <vt:lpstr>Prop9AccountNumber2</vt:lpstr>
      <vt:lpstr>Prop9AccountNumber3</vt:lpstr>
      <vt:lpstr>Prop9AccountNumber4</vt:lpstr>
      <vt:lpstr>Prop9Address</vt:lpstr>
      <vt:lpstr>Prop9AmountDue1</vt:lpstr>
      <vt:lpstr>Prop9AmountDue2</vt:lpstr>
      <vt:lpstr>Prop9AmountDue3</vt:lpstr>
      <vt:lpstr>Prop9AmountDue4</vt:lpstr>
      <vt:lpstr>Prop9Attached</vt:lpstr>
      <vt:lpstr>Prop9CADImprovementValue</vt:lpstr>
      <vt:lpstr>Prop9CADLandValue</vt:lpstr>
      <vt:lpstr>Prop9Cause</vt:lpstr>
      <vt:lpstr>Prop9City</vt:lpstr>
      <vt:lpstr>Prop9County</vt:lpstr>
      <vt:lpstr>Prop9FDate</vt:lpstr>
      <vt:lpstr>Prop9Foreclosure</vt:lpstr>
      <vt:lpstr>Prop9HKValue</vt:lpstr>
      <vt:lpstr>Prop9Info</vt:lpstr>
      <vt:lpstr>Prop9Lawsuit</vt:lpstr>
      <vt:lpstr>Prop9Legal</vt:lpstr>
      <vt:lpstr>Prop9LegalA</vt:lpstr>
      <vt:lpstr>Prop9LegalB</vt:lpstr>
      <vt:lpstr>Prop9LoanBalance</vt:lpstr>
      <vt:lpstr>Prop9LoanDate</vt:lpstr>
      <vt:lpstr>Prop9MobileHome</vt:lpstr>
      <vt:lpstr>Prop9MortgageHolder</vt:lpstr>
      <vt:lpstr>Prop9MortgageWith</vt:lpstr>
      <vt:lpstr>Prop9Name1</vt:lpstr>
      <vt:lpstr>Prop9Name2</vt:lpstr>
      <vt:lpstr>Prop9Name3</vt:lpstr>
      <vt:lpstr>Prop9Name4</vt:lpstr>
      <vt:lpstr>Prop9State</vt:lpstr>
      <vt:lpstr>Prop9TaxingEntity1</vt:lpstr>
      <vt:lpstr>Prop9TaxingEntity2</vt:lpstr>
      <vt:lpstr>Prop9TaxingEntity3</vt:lpstr>
      <vt:lpstr>Prop9TaxingEntity4</vt:lpstr>
      <vt:lpstr>Prop9TaxLiens</vt:lpstr>
      <vt:lpstr>Prop9TaxLoan</vt:lpstr>
      <vt:lpstr>Prop9TaxLoanWith</vt:lpstr>
      <vt:lpstr>Prop9TDHCA</vt:lpstr>
      <vt:lpstr>Prop9Title1</vt:lpstr>
      <vt:lpstr>Prop9Title2</vt:lpstr>
      <vt:lpstr>Prop9Title3</vt:lpstr>
      <vt:lpstr>Prop9Title4</vt:lpstr>
      <vt:lpstr>Prop9TotalAmountDue</vt:lpstr>
      <vt:lpstr>Prop9Years1</vt:lpstr>
      <vt:lpstr>Prop9Years2</vt:lpstr>
      <vt:lpstr>Prop9Years3</vt:lpstr>
      <vt:lpstr>Prop9Years4</vt:lpstr>
      <vt:lpstr>Prop9ZIP</vt:lpstr>
      <vt:lpstr>RangeToColor</vt:lpstr>
      <vt:lpstr>RecordingFee</vt:lpstr>
      <vt:lpstr>RescindDate</vt:lpstr>
      <vt:lpstr>ReviseDate</vt:lpstr>
      <vt:lpstr>SaveChoice</vt:lpstr>
      <vt:lpstr>SigningDate</vt:lpstr>
      <vt:lpstr>TempFKA1</vt:lpstr>
      <vt:lpstr>TempFKA2</vt:lpstr>
      <vt:lpstr>TempFKA3</vt:lpstr>
      <vt:lpstr>Term</vt:lpstr>
      <vt:lpstr>TitleCurativeFee</vt:lpstr>
      <vt:lpstr>TLTAInfo</vt:lpstr>
      <vt:lpstr>todayDate</vt:lpstr>
      <vt:lpstr>TotalCourtCosts</vt:lpstr>
      <vt:lpstr>TotalOfPayments</vt:lpstr>
      <vt:lpstr>TotalOfPayments30360</vt:lpstr>
      <vt:lpstr>TotalOtherFees</vt:lpstr>
      <vt:lpstr>TotalTaxAmount</vt:lpstr>
      <vt:lpstr>TypeSelected</vt:lpstr>
      <vt:lpstr>UnderwritingFee</vt:lpstr>
      <vt:lpstr>UniqueAmount1</vt:lpstr>
      <vt:lpstr>UniqueAmount10</vt:lpstr>
      <vt:lpstr>UniqueAmount100</vt:lpstr>
      <vt:lpstr>UniqueAmount11</vt:lpstr>
      <vt:lpstr>UniqueAmount12</vt:lpstr>
      <vt:lpstr>UniqueAmount13</vt:lpstr>
      <vt:lpstr>UniqueAmount14</vt:lpstr>
      <vt:lpstr>UniqueAmount15</vt:lpstr>
      <vt:lpstr>UniqueAmount16</vt:lpstr>
      <vt:lpstr>UniqueAmount17</vt:lpstr>
      <vt:lpstr>UniqueAmount18</vt:lpstr>
      <vt:lpstr>UniqueAmount19</vt:lpstr>
      <vt:lpstr>UniqueAmount2</vt:lpstr>
      <vt:lpstr>UniqueAmount20</vt:lpstr>
      <vt:lpstr>UniqueAmount21</vt:lpstr>
      <vt:lpstr>UniqueAmount22</vt:lpstr>
      <vt:lpstr>UniqueAmount23</vt:lpstr>
      <vt:lpstr>UniqueAmount24</vt:lpstr>
      <vt:lpstr>UniqueAmount25</vt:lpstr>
      <vt:lpstr>UniqueAmount26</vt:lpstr>
      <vt:lpstr>UniqueAmount27</vt:lpstr>
      <vt:lpstr>UniqueAmount28</vt:lpstr>
      <vt:lpstr>UniqueAmount29</vt:lpstr>
      <vt:lpstr>UniqueAmount3</vt:lpstr>
      <vt:lpstr>UniqueAmount30</vt:lpstr>
      <vt:lpstr>UniqueAmount31</vt:lpstr>
      <vt:lpstr>UniqueAmount32</vt:lpstr>
      <vt:lpstr>UniqueAmount33</vt:lpstr>
      <vt:lpstr>UniqueAmount34</vt:lpstr>
      <vt:lpstr>UniqueAmount35</vt:lpstr>
      <vt:lpstr>UniqueAmount36</vt:lpstr>
      <vt:lpstr>UniqueAmount37</vt:lpstr>
      <vt:lpstr>UniqueAmount38</vt:lpstr>
      <vt:lpstr>UniqueAmount39</vt:lpstr>
      <vt:lpstr>UniqueAmount4</vt:lpstr>
      <vt:lpstr>UniqueAmount40</vt:lpstr>
      <vt:lpstr>UniqueAmount41</vt:lpstr>
      <vt:lpstr>UniqueAmount42</vt:lpstr>
      <vt:lpstr>UniqueAmount43</vt:lpstr>
      <vt:lpstr>UniqueAmount44</vt:lpstr>
      <vt:lpstr>UniqueAmount45</vt:lpstr>
      <vt:lpstr>UniqueAmount46</vt:lpstr>
      <vt:lpstr>UniqueAmount47</vt:lpstr>
      <vt:lpstr>UniqueAmount48</vt:lpstr>
      <vt:lpstr>UniqueAmount49</vt:lpstr>
      <vt:lpstr>UniqueAmount5</vt:lpstr>
      <vt:lpstr>UniqueAmount50</vt:lpstr>
      <vt:lpstr>UniqueAmount51</vt:lpstr>
      <vt:lpstr>UniqueAmount52</vt:lpstr>
      <vt:lpstr>UniqueAmount53</vt:lpstr>
      <vt:lpstr>UniqueAmount54</vt:lpstr>
      <vt:lpstr>UniqueAmount55</vt:lpstr>
      <vt:lpstr>UniqueAmount56</vt:lpstr>
      <vt:lpstr>UniqueAmount57</vt:lpstr>
      <vt:lpstr>UniqueAmount58</vt:lpstr>
      <vt:lpstr>UniqueAmount59</vt:lpstr>
      <vt:lpstr>UniqueAmount6</vt:lpstr>
      <vt:lpstr>UniqueAmount60</vt:lpstr>
      <vt:lpstr>UniqueAmount61</vt:lpstr>
      <vt:lpstr>UniqueAmount62</vt:lpstr>
      <vt:lpstr>UniqueAmount63</vt:lpstr>
      <vt:lpstr>UniqueAmount64</vt:lpstr>
      <vt:lpstr>UniqueAmount65</vt:lpstr>
      <vt:lpstr>UniqueAmount66</vt:lpstr>
      <vt:lpstr>UniqueAmount67</vt:lpstr>
      <vt:lpstr>UniqueAmount68</vt:lpstr>
      <vt:lpstr>UniqueAmount69</vt:lpstr>
      <vt:lpstr>UniqueAmount7</vt:lpstr>
      <vt:lpstr>UniqueAmount70</vt:lpstr>
      <vt:lpstr>UniqueAmount71</vt:lpstr>
      <vt:lpstr>UniqueAmount72</vt:lpstr>
      <vt:lpstr>UniqueAmount73</vt:lpstr>
      <vt:lpstr>UniqueAmount74</vt:lpstr>
      <vt:lpstr>UniqueAmount75</vt:lpstr>
      <vt:lpstr>UniqueAmount76</vt:lpstr>
      <vt:lpstr>UniqueAmount77</vt:lpstr>
      <vt:lpstr>UniqueAmount78</vt:lpstr>
      <vt:lpstr>UniqueAmount79</vt:lpstr>
      <vt:lpstr>UniqueAmount8</vt:lpstr>
      <vt:lpstr>UniqueAmount80</vt:lpstr>
      <vt:lpstr>UniqueAmount81</vt:lpstr>
      <vt:lpstr>UniqueAmount82</vt:lpstr>
      <vt:lpstr>UniqueAmount83</vt:lpstr>
      <vt:lpstr>UniqueAmount84</vt:lpstr>
      <vt:lpstr>UniqueAmount85</vt:lpstr>
      <vt:lpstr>UniqueAmount86</vt:lpstr>
      <vt:lpstr>UniqueAmount87</vt:lpstr>
      <vt:lpstr>UniqueAmount88</vt:lpstr>
      <vt:lpstr>UniqueAmount89</vt:lpstr>
      <vt:lpstr>UniqueAmount9</vt:lpstr>
      <vt:lpstr>UniqueAmount90</vt:lpstr>
      <vt:lpstr>UniqueAmount91</vt:lpstr>
      <vt:lpstr>UniqueAmount92</vt:lpstr>
      <vt:lpstr>UniqueAmount93</vt:lpstr>
      <vt:lpstr>UniqueAmount94</vt:lpstr>
      <vt:lpstr>UniqueAmount95</vt:lpstr>
      <vt:lpstr>UniqueAmount96</vt:lpstr>
      <vt:lpstr>UniqueAmount97</vt:lpstr>
      <vt:lpstr>UniqueAmount98</vt:lpstr>
      <vt:lpstr>UniqueAmount99</vt:lpstr>
      <vt:lpstr>UniqueCalculator</vt:lpstr>
      <vt:lpstr>UniqueEntity1</vt:lpstr>
      <vt:lpstr>UniqueEntity10</vt:lpstr>
      <vt:lpstr>UniqueEntity100</vt:lpstr>
      <vt:lpstr>UniqueEntity11</vt:lpstr>
      <vt:lpstr>UniqueEntity12</vt:lpstr>
      <vt:lpstr>UniqueEntity13</vt:lpstr>
      <vt:lpstr>UniqueEntity14</vt:lpstr>
      <vt:lpstr>UniqueEntity15</vt:lpstr>
      <vt:lpstr>UniqueEntity16</vt:lpstr>
      <vt:lpstr>UniqueEntity17</vt:lpstr>
      <vt:lpstr>UniqueEntity18</vt:lpstr>
      <vt:lpstr>UniqueEntity19</vt:lpstr>
      <vt:lpstr>UniqueEntity2</vt:lpstr>
      <vt:lpstr>UniqueEntity20</vt:lpstr>
      <vt:lpstr>UniqueEntity21</vt:lpstr>
      <vt:lpstr>UniqueEntity22</vt:lpstr>
      <vt:lpstr>UniqueEntity23</vt:lpstr>
      <vt:lpstr>UniqueEntity24</vt:lpstr>
      <vt:lpstr>UniqueEntity25</vt:lpstr>
      <vt:lpstr>UniqueEntity26</vt:lpstr>
      <vt:lpstr>UniqueEntity27</vt:lpstr>
      <vt:lpstr>UniqueEntity28</vt:lpstr>
      <vt:lpstr>UniqueEntity29</vt:lpstr>
      <vt:lpstr>UniqueEntity3</vt:lpstr>
      <vt:lpstr>UniqueEntity30</vt:lpstr>
      <vt:lpstr>UniqueEntity31</vt:lpstr>
      <vt:lpstr>UniqueEntity32</vt:lpstr>
      <vt:lpstr>UniqueEntity33</vt:lpstr>
      <vt:lpstr>UniqueEntity34</vt:lpstr>
      <vt:lpstr>UniqueEntity35</vt:lpstr>
      <vt:lpstr>UniqueEntity36</vt:lpstr>
      <vt:lpstr>UniqueEntity37</vt:lpstr>
      <vt:lpstr>UniqueEntity38</vt:lpstr>
      <vt:lpstr>UniqueEntity39</vt:lpstr>
      <vt:lpstr>UniqueEntity4</vt:lpstr>
      <vt:lpstr>UniqueEntity40</vt:lpstr>
      <vt:lpstr>UniqueEntity41</vt:lpstr>
      <vt:lpstr>UniqueEntity42</vt:lpstr>
      <vt:lpstr>UniqueEntity43</vt:lpstr>
      <vt:lpstr>UniqueEntity44</vt:lpstr>
      <vt:lpstr>UniqueEntity45</vt:lpstr>
      <vt:lpstr>UniqueEntity46</vt:lpstr>
      <vt:lpstr>UniqueEntity47</vt:lpstr>
      <vt:lpstr>UniqueEntity48</vt:lpstr>
      <vt:lpstr>UniqueEntity49</vt:lpstr>
      <vt:lpstr>UniqueEntity5</vt:lpstr>
      <vt:lpstr>UniqueEntity50</vt:lpstr>
      <vt:lpstr>UniqueEntity51</vt:lpstr>
      <vt:lpstr>UniqueEntity52</vt:lpstr>
      <vt:lpstr>UniqueEntity53</vt:lpstr>
      <vt:lpstr>UniqueEntity54</vt:lpstr>
      <vt:lpstr>UniqueEntity55</vt:lpstr>
      <vt:lpstr>UniqueEntity56</vt:lpstr>
      <vt:lpstr>UniqueEntity57</vt:lpstr>
      <vt:lpstr>UniqueEntity58</vt:lpstr>
      <vt:lpstr>UniqueEntity59</vt:lpstr>
      <vt:lpstr>UniqueEntity6</vt:lpstr>
      <vt:lpstr>UniqueEntity60</vt:lpstr>
      <vt:lpstr>UniqueEntity61</vt:lpstr>
      <vt:lpstr>UniqueEntity62</vt:lpstr>
      <vt:lpstr>UniqueEntity63</vt:lpstr>
      <vt:lpstr>UniqueEntity64</vt:lpstr>
      <vt:lpstr>UniqueEntity65</vt:lpstr>
      <vt:lpstr>UniqueEntity66</vt:lpstr>
      <vt:lpstr>UniqueEntity67</vt:lpstr>
      <vt:lpstr>UniqueEntity68</vt:lpstr>
      <vt:lpstr>UniqueEntity69</vt:lpstr>
      <vt:lpstr>UniqueEntity7</vt:lpstr>
      <vt:lpstr>UniqueEntity70</vt:lpstr>
      <vt:lpstr>UniqueEntity71</vt:lpstr>
      <vt:lpstr>UniqueEntity72</vt:lpstr>
      <vt:lpstr>UniqueEntity73</vt:lpstr>
      <vt:lpstr>UniqueEntity74</vt:lpstr>
      <vt:lpstr>UniqueEntity75</vt:lpstr>
      <vt:lpstr>UniqueEntity76</vt:lpstr>
      <vt:lpstr>UniqueEntity77</vt:lpstr>
      <vt:lpstr>UniqueEntity78</vt:lpstr>
      <vt:lpstr>UniqueEntity79</vt:lpstr>
      <vt:lpstr>UniqueEntity8</vt:lpstr>
      <vt:lpstr>UniqueEntity80</vt:lpstr>
      <vt:lpstr>UniqueEntity81</vt:lpstr>
      <vt:lpstr>UniqueEntity82</vt:lpstr>
      <vt:lpstr>UniqueEntity83</vt:lpstr>
      <vt:lpstr>UniqueEntity84</vt:lpstr>
      <vt:lpstr>UniqueEntity85</vt:lpstr>
      <vt:lpstr>UniqueEntity86</vt:lpstr>
      <vt:lpstr>UniqueEntity87</vt:lpstr>
      <vt:lpstr>UniqueEntity88</vt:lpstr>
      <vt:lpstr>UniqueEntity89</vt:lpstr>
      <vt:lpstr>UniqueEntity9</vt:lpstr>
      <vt:lpstr>UniqueEntity90</vt:lpstr>
      <vt:lpstr>UniqueEntity91</vt:lpstr>
      <vt:lpstr>UniqueEntity92</vt:lpstr>
      <vt:lpstr>UniqueEntity93</vt:lpstr>
      <vt:lpstr>UniqueEntity94</vt:lpstr>
      <vt:lpstr>UniqueEntity95</vt:lpstr>
      <vt:lpstr>UniqueEntity96</vt:lpstr>
      <vt:lpstr>UniqueEntity97</vt:lpstr>
      <vt:lpstr>UniqueEntity98</vt:lpstr>
      <vt:lpstr>UniqueEntity99</vt:lpstr>
      <vt:lpstr>UniqueLoanNumbers</vt:lpstr>
      <vt:lpstr>YearFinanced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Morris</dc:creator>
  <cp:lastModifiedBy>Ben Morris</cp:lastModifiedBy>
  <cp:lastPrinted>2018-12-17T20:38:10Z</cp:lastPrinted>
  <dcterms:created xsi:type="dcterms:W3CDTF">2018-09-24T14:41:52Z</dcterms:created>
  <dcterms:modified xsi:type="dcterms:W3CDTF">2019-08-09T15:38:32Z</dcterms:modified>
</cp:coreProperties>
</file>